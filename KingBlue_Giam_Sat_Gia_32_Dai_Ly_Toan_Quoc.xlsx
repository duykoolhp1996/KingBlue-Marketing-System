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iam_Sat_Gia_32_Dai_Ly" sheetId="1" state="visible" r:id="rId1"/>
    <sheet xmlns:r="http://schemas.openxmlformats.org/officeDocument/2006/relationships" name="2_Danh_Sach_32_Dai_Ly" sheetId="2" state="visible" r:id="rId2"/>
    <sheet xmlns:r="http://schemas.openxmlformats.org/officeDocument/2006/relationships" name="3_Bao_Gia_Goc_KingBlue_P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66011"/>
        <bgColor rgb="00D66011"/>
      </patternFill>
    </fill>
    <fill>
      <patternFill patternType="solid">
        <fgColor rgb="002E75B6"/>
        <bgColor rgb="002E75B6"/>
      </patternFill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8" customWidth="1" min="4" max="4"/>
    <col width="22" customWidth="1" min="5" max="5"/>
    <col width="43" customWidth="1" min="6" max="6"/>
    <col width="48" customWidth="1" min="7" max="7"/>
    <col width="18" customWidth="1" min="8" max="8"/>
    <col width="48" customWidth="1" min="9" max="9"/>
    <col width="12" customWidth="1" min="10" max="10"/>
    <col width="15" customWidth="1" min="11" max="11"/>
    <col width="24" customWidth="1" min="12" max="12"/>
    <col width="30" customWidth="1" min="13" max="13"/>
    <col width="33" customWidth="1" min="14" max="14"/>
    <col width="24" customWidth="1" min="15" max="15"/>
    <col width="24" customWidth="1" min="16" max="16"/>
    <col width="28" customWidth="1" min="17" max="17"/>
    <col width="16" customWidth="1" min="18" max="18"/>
    <col width="18" customWidth="1" min="19" max="19"/>
    <col width="24" customWidth="1" min="20" max="20"/>
  </cols>
  <sheetData>
    <row r="1">
      <c r="A1" s="1" t="inlineStr">
        <is>
          <t>STT</t>
        </is>
      </c>
      <c r="B1" s="1" t="inlineStr">
        <is>
          <t>Mã Đại Lý</t>
        </is>
      </c>
      <c r="C1" s="1" t="inlineStr">
        <is>
          <t>Tên Đại Lý / Gian Hàng TMĐT</t>
        </is>
      </c>
      <c r="D1" s="1" t="inlineStr">
        <is>
          <t>Tỉnh Thành</t>
        </is>
      </c>
      <c r="E1" s="1" t="inlineStr">
        <is>
          <t>Nhân Viên Phụ Trách</t>
        </is>
      </c>
      <c r="F1" s="1" t="inlineStr">
        <is>
          <t>Sàn TMĐT</t>
        </is>
      </c>
      <c r="G1" s="1" t="inlineStr">
        <is>
          <t>Link Gian Hàng Thực Tế</t>
        </is>
      </c>
      <c r="H1" s="1" t="inlineStr">
        <is>
          <t>Mã Sản Phẩm</t>
        </is>
      </c>
      <c r="I1" s="1" t="inlineStr">
        <is>
          <t>Tên Sản Phẩm KingBlue</t>
        </is>
      </c>
      <c r="J1" s="1" t="inlineStr">
        <is>
          <t>ĐVT</t>
        </is>
      </c>
      <c r="K1" s="1" t="inlineStr">
        <is>
          <t>GIÁ SỈ (VNĐ)</t>
        </is>
      </c>
      <c r="L1" s="1" t="inlineStr">
        <is>
          <t>GIÁ LẺ NIÊM YẾT (VNĐ)</t>
        </is>
      </c>
      <c r="M1" s="2" t="inlineStr">
        <is>
          <t>GIÁ SÀN TMĐT QUY ĐỊNH (VNĐ)</t>
        </is>
      </c>
      <c r="N1" s="1" t="inlineStr">
        <is>
          <t>GIÁ BÁN THỰC TẾ TRÊN SÀN (VNĐ)</t>
        </is>
      </c>
      <c r="O1" s="1" t="inlineStr">
        <is>
          <t>Chênh Lệch Tiền (VNĐ)</t>
        </is>
      </c>
      <c r="P1" s="1" t="inlineStr">
        <is>
          <t>% Lệch So Với Giá Sàn</t>
        </is>
      </c>
      <c r="Q1" s="1" t="inlineStr">
        <is>
          <t>KẾT LUẬN TUÂN THỦ GIÁ SÀN</t>
        </is>
      </c>
      <c r="R1" s="1" t="inlineStr">
        <is>
          <t>Ngày Kiểm Tra</t>
        </is>
      </c>
      <c r="S1" s="1" t="inlineStr">
        <is>
          <t>Link Bằng Chứng</t>
        </is>
      </c>
      <c r="T1" s="1" t="inlineStr">
        <is>
          <t>Hướng Xử Lý / Ghi Chú</t>
        </is>
      </c>
    </row>
    <row r="2">
      <c r="A2" s="3" t="n">
        <v>1</v>
      </c>
      <c r="B2" s="3" t="inlineStr">
        <is>
          <t>DL001</t>
        </is>
      </c>
      <c r="C2" s="4" t="inlineStr">
        <is>
          <t>Điện nước Nhật (Shop) HCM</t>
        </is>
      </c>
      <c r="D2" s="3" t="inlineStr">
        <is>
          <t>HCM</t>
        </is>
      </c>
      <c r="E2" s="3" t="inlineStr">
        <is>
          <t>BẢO TRÂM</t>
        </is>
      </c>
      <c r="F2" s="3" t="inlineStr">
        <is>
          <t>Shopee</t>
        </is>
      </c>
      <c r="G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" s="3" t="inlineStr">
        <is>
          <t>T9100E</t>
        </is>
      </c>
      <c r="I2" s="4" t="inlineStr">
        <is>
          <t>Bộ đầu hoa thị T9100E</t>
        </is>
      </c>
      <c r="J2" s="3" t="inlineStr">
        <is>
          <t>Bộ</t>
        </is>
      </c>
      <c r="K2" s="5" t="n">
        <v>86000</v>
      </c>
      <c r="L2" s="5" t="n">
        <v>108000</v>
      </c>
      <c r="M2" s="6" t="n">
        <v>142000</v>
      </c>
      <c r="N2" s="5" t="n"/>
      <c r="O2" s="5">
        <f>IF(AND(ISNUMBER(N2),ISNUMBER(M2)),N2-M2,"")</f>
        <v/>
      </c>
      <c r="P2" s="7">
        <f>IF(AND(ISNUMBER(N2),ISNUMBER(M2),M2&gt;0),(N2-M2)/M2,"")</f>
        <v/>
      </c>
      <c r="Q2" s="3">
        <f>IF(P2="","",IF(P2&lt;-0.02,"🔴 Bán phá giá sàn",IF(P2&gt;0.05,"🔵 Bán cao hơn","🟢 Đúng giá sàn TMĐT")))</f>
        <v/>
      </c>
      <c r="R2" s="3" t="n"/>
      <c r="S2" s="4" t="n"/>
      <c r="T2" s="4" t="n"/>
    </row>
    <row r="3">
      <c r="A3" s="3" t="n">
        <v>2</v>
      </c>
      <c r="B3" s="3" t="inlineStr">
        <is>
          <t>DL001</t>
        </is>
      </c>
      <c r="C3" s="4" t="inlineStr">
        <is>
          <t>Điện nước Nhật (Shop) HCM</t>
        </is>
      </c>
      <c r="D3" s="3" t="inlineStr">
        <is>
          <t>HCM</t>
        </is>
      </c>
      <c r="E3" s="3" t="inlineStr">
        <is>
          <t>BẢO TRÂM</t>
        </is>
      </c>
      <c r="F3" s="3" t="inlineStr">
        <is>
          <t>Shopee</t>
        </is>
      </c>
      <c r="G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" s="3" t="inlineStr">
        <is>
          <t>L8100E</t>
        </is>
      </c>
      <c r="I3" s="4" t="inlineStr">
        <is>
          <t>Bộ đầu lục giác L8100E</t>
        </is>
      </c>
      <c r="J3" s="3" t="inlineStr">
        <is>
          <t>Bộ</t>
        </is>
      </c>
      <c r="K3" s="5" t="n">
        <v>86000</v>
      </c>
      <c r="L3" s="5" t="n">
        <v>108000</v>
      </c>
      <c r="M3" s="6" t="n">
        <v>142000</v>
      </c>
      <c r="N3" s="5" t="n"/>
      <c r="O3" s="5">
        <f>IF(AND(ISNUMBER(N3),ISNUMBER(M3)),N3-M3,"")</f>
        <v/>
      </c>
      <c r="P3" s="7">
        <f>IF(AND(ISNUMBER(N3),ISNUMBER(M3),M3&gt;0),(N3-M3)/M3,"")</f>
        <v/>
      </c>
      <c r="Q3" s="3">
        <f>IF(P3="","",IF(P3&lt;-0.02,"🔴 Bán phá giá sàn",IF(P3&gt;0.05,"🔵 Bán cao hơn","🟢 Đúng giá sàn TMĐT")))</f>
        <v/>
      </c>
      <c r="R3" s="3" t="n"/>
      <c r="S3" s="4" t="n"/>
      <c r="T3" s="4" t="n"/>
    </row>
    <row r="4">
      <c r="A4" s="3" t="n">
        <v>3</v>
      </c>
      <c r="B4" s="3" t="inlineStr">
        <is>
          <t>DL001</t>
        </is>
      </c>
      <c r="C4" s="4" t="inlineStr">
        <is>
          <t>Điện nước Nhật (Shop) HCM</t>
        </is>
      </c>
      <c r="D4" s="3" t="inlineStr">
        <is>
          <t>HCM</t>
        </is>
      </c>
      <c r="E4" s="3" t="inlineStr">
        <is>
          <t>BẢO TRÂM</t>
        </is>
      </c>
      <c r="F4" s="3" t="inlineStr">
        <is>
          <t>Shopee</t>
        </is>
      </c>
      <c r="G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" s="3" t="inlineStr">
        <is>
          <t>KBYT6</t>
        </is>
      </c>
      <c r="I4" s="4" t="inlineStr">
        <is>
          <t>Bộ lấy ốc gãy KingBlue KBYT6</t>
        </is>
      </c>
      <c r="J4" s="3" t="inlineStr">
        <is>
          <t>Bộ</t>
        </is>
      </c>
      <c r="K4" s="5" t="n">
        <v>68000</v>
      </c>
      <c r="L4" s="5" t="n">
        <v>80000</v>
      </c>
      <c r="M4" s="6" t="n">
        <v>99000</v>
      </c>
      <c r="N4" s="5" t="n"/>
      <c r="O4" s="5">
        <f>IF(AND(ISNUMBER(N4),ISNUMBER(M4)),N4-M4,"")</f>
        <v/>
      </c>
      <c r="P4" s="7">
        <f>IF(AND(ISNUMBER(N4),ISNUMBER(M4),M4&gt;0),(N4-M4)/M4,"")</f>
        <v/>
      </c>
      <c r="Q4" s="3">
        <f>IF(P4="","",IF(P4&lt;-0.02,"🔴 Bán phá giá sàn",IF(P4&gt;0.05,"🔵 Bán cao hơn","🟢 Đúng giá sàn TMĐT")))</f>
        <v/>
      </c>
      <c r="R4" s="3" t="n"/>
      <c r="S4" s="4" t="n"/>
      <c r="T4" s="4" t="n"/>
    </row>
    <row r="5">
      <c r="A5" s="3" t="n">
        <v>4</v>
      </c>
      <c r="B5" s="3" t="inlineStr">
        <is>
          <t>DL001</t>
        </is>
      </c>
      <c r="C5" s="4" t="inlineStr">
        <is>
          <t>Điện nước Nhật (Shop) HCM</t>
        </is>
      </c>
      <c r="D5" s="3" t="inlineStr">
        <is>
          <t>HCM</t>
        </is>
      </c>
      <c r="E5" s="3" t="inlineStr">
        <is>
          <t>BẢO TRÂM</t>
        </is>
      </c>
      <c r="F5" s="3" t="inlineStr">
        <is>
          <t>Shopee</t>
        </is>
      </c>
      <c r="G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" s="3" t="inlineStr">
        <is>
          <t>KL-008</t>
        </is>
      </c>
      <c r="I5" s="4" t="inlineStr">
        <is>
          <t>Bộ lục giác gập KL-008</t>
        </is>
      </c>
      <c r="J5" s="3" t="inlineStr">
        <is>
          <t>Cái</t>
        </is>
      </c>
      <c r="K5" s="5" t="n">
        <v>269000</v>
      </c>
      <c r="L5" s="5" t="n">
        <v>317000</v>
      </c>
      <c r="M5" s="6" t="n">
        <v>390000</v>
      </c>
      <c r="N5" s="5" t="n"/>
      <c r="O5" s="5">
        <f>IF(AND(ISNUMBER(N5),ISNUMBER(M5)),N5-M5,"")</f>
        <v/>
      </c>
      <c r="P5" s="7">
        <f>IF(AND(ISNUMBER(N5),ISNUMBER(M5),M5&gt;0),(N5-M5)/M5,"")</f>
        <v/>
      </c>
      <c r="Q5" s="3">
        <f>IF(P5="","",IF(P5&lt;-0.02,"🔴 Bán phá giá sàn",IF(P5&gt;0.05,"🔵 Bán cao hơn","🟢 Đúng giá sàn TMĐT")))</f>
        <v/>
      </c>
      <c r="R5" s="3" t="n"/>
      <c r="S5" s="4" t="n"/>
      <c r="T5" s="4" t="n"/>
    </row>
    <row r="6">
      <c r="A6" s="3" t="n">
        <v>5</v>
      </c>
      <c r="B6" s="3" t="inlineStr">
        <is>
          <t>DL001</t>
        </is>
      </c>
      <c r="C6" s="4" t="inlineStr">
        <is>
          <t>Điện nước Nhật (Shop) HCM</t>
        </is>
      </c>
      <c r="D6" s="3" t="inlineStr">
        <is>
          <t>HCM</t>
        </is>
      </c>
      <c r="E6" s="3" t="inlineStr">
        <is>
          <t>BẢO TRÂM</t>
        </is>
      </c>
      <c r="F6" s="3" t="inlineStr">
        <is>
          <t>Shopee</t>
        </is>
      </c>
      <c r="G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" s="3" t="inlineStr">
        <is>
          <t>KL018</t>
        </is>
      </c>
      <c r="I6" s="4" t="inlineStr">
        <is>
          <t>Bộ lục giác KL018</t>
        </is>
      </c>
      <c r="J6" s="3" t="inlineStr">
        <is>
          <t>Cái</t>
        </is>
      </c>
      <c r="K6" s="5" t="n">
        <v>269000</v>
      </c>
      <c r="L6" s="5" t="n">
        <v>317000</v>
      </c>
      <c r="M6" s="6" t="n">
        <v>390000</v>
      </c>
      <c r="N6" s="5" t="n"/>
      <c r="O6" s="5">
        <f>IF(AND(ISNUMBER(N6),ISNUMBER(M6)),N6-M6,"")</f>
        <v/>
      </c>
      <c r="P6" s="7">
        <f>IF(AND(ISNUMBER(N6),ISNUMBER(M6),M6&gt;0),(N6-M6)/M6,"")</f>
        <v/>
      </c>
      <c r="Q6" s="3">
        <f>IF(P6="","",IF(P6&lt;-0.02,"🔴 Bán phá giá sàn",IF(P6&gt;0.05,"🔵 Bán cao hơn","🟢 Đúng giá sàn TMĐT")))</f>
        <v/>
      </c>
      <c r="R6" s="3" t="n"/>
      <c r="S6" s="4" t="n"/>
      <c r="T6" s="4" t="n"/>
    </row>
    <row r="7">
      <c r="A7" s="3" t="n">
        <v>6</v>
      </c>
      <c r="B7" s="3" t="inlineStr">
        <is>
          <t>DL001</t>
        </is>
      </c>
      <c r="C7" s="4" t="inlineStr">
        <is>
          <t>Điện nước Nhật (Shop) HCM</t>
        </is>
      </c>
      <c r="D7" s="3" t="inlineStr">
        <is>
          <t>HCM</t>
        </is>
      </c>
      <c r="E7" s="3" t="inlineStr">
        <is>
          <t>BẢO TRÂM</t>
        </is>
      </c>
      <c r="F7" s="3" t="inlineStr">
        <is>
          <t>Shopee</t>
        </is>
      </c>
      <c r="G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" s="3" t="inlineStr">
        <is>
          <t>KL7-09</t>
        </is>
      </c>
      <c r="I7" s="4" t="inlineStr">
        <is>
          <t>Bộ lục giác KL7-09 ( đầu bi)</t>
        </is>
      </c>
      <c r="J7" s="3" t="inlineStr">
        <is>
          <t>Cái</t>
        </is>
      </c>
      <c r="K7" s="5" t="n">
        <v>269000</v>
      </c>
      <c r="L7" s="5" t="n">
        <v>317000</v>
      </c>
      <c r="M7" s="6" t="n">
        <v>390000</v>
      </c>
      <c r="N7" s="5" t="n"/>
      <c r="O7" s="5">
        <f>IF(AND(ISNUMBER(N7),ISNUMBER(M7)),N7-M7,"")</f>
        <v/>
      </c>
      <c r="P7" s="7">
        <f>IF(AND(ISNUMBER(N7),ISNUMBER(M7),M7&gt;0),(N7-M7)/M7,"")</f>
        <v/>
      </c>
      <c r="Q7" s="3">
        <f>IF(P7="","",IF(P7&lt;-0.02,"🔴 Bán phá giá sàn",IF(P7&gt;0.05,"🔵 Bán cao hơn","🟢 Đúng giá sàn TMĐT")))</f>
        <v/>
      </c>
      <c r="R7" s="3" t="n"/>
      <c r="S7" s="4" t="n"/>
      <c r="T7" s="4" t="n"/>
    </row>
    <row r="8">
      <c r="A8" s="3" t="n">
        <v>7</v>
      </c>
      <c r="B8" s="3" t="inlineStr">
        <is>
          <t>DL001</t>
        </is>
      </c>
      <c r="C8" s="4" t="inlineStr">
        <is>
          <t>Điện nước Nhật (Shop) HCM</t>
        </is>
      </c>
      <c r="D8" s="3" t="inlineStr">
        <is>
          <t>HCM</t>
        </is>
      </c>
      <c r="E8" s="3" t="inlineStr">
        <is>
          <t>BẢO TRÂM</t>
        </is>
      </c>
      <c r="F8" s="3" t="inlineStr">
        <is>
          <t>Shopee</t>
        </is>
      </c>
      <c r="G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" s="3" t="inlineStr">
        <is>
          <t>KL9-09</t>
        </is>
      </c>
      <c r="I8" s="4" t="inlineStr">
        <is>
          <t>Bộ lục giác KL9-09 (đầu hoa thị)</t>
        </is>
      </c>
      <c r="J8" s="3" t="inlineStr">
        <is>
          <t>Cái</t>
        </is>
      </c>
      <c r="K8" s="5" t="n">
        <v>269000</v>
      </c>
      <c r="L8" s="5" t="n">
        <v>317000</v>
      </c>
      <c r="M8" s="6" t="n">
        <v>390000</v>
      </c>
      <c r="N8" s="5" t="n"/>
      <c r="O8" s="5">
        <f>IF(AND(ISNUMBER(N8),ISNUMBER(M8)),N8-M8,"")</f>
        <v/>
      </c>
      <c r="P8" s="7">
        <f>IF(AND(ISNUMBER(N8),ISNUMBER(M8),M8&gt;0),(N8-M8)/M8,"")</f>
        <v/>
      </c>
      <c r="Q8" s="3">
        <f>IF(P8="","",IF(P8&lt;-0.02,"🔴 Bán phá giá sàn",IF(P8&gt;0.05,"🔵 Bán cao hơn","🟢 Đúng giá sàn TMĐT")))</f>
        <v/>
      </c>
      <c r="R8" s="3" t="n"/>
      <c r="S8" s="4" t="n"/>
      <c r="T8" s="4" t="n"/>
    </row>
    <row r="9">
      <c r="A9" s="3" t="n">
        <v>8</v>
      </c>
      <c r="B9" s="3" t="inlineStr">
        <is>
          <t>DL001</t>
        </is>
      </c>
      <c r="C9" s="4" t="inlineStr">
        <is>
          <t>Điện nước Nhật (Shop) HCM</t>
        </is>
      </c>
      <c r="D9" s="3" t="inlineStr">
        <is>
          <t>HCM</t>
        </is>
      </c>
      <c r="E9" s="3" t="inlineStr">
        <is>
          <t>BẢO TRÂM</t>
        </is>
      </c>
      <c r="F9" s="3" t="inlineStr">
        <is>
          <t>Shopee</t>
        </is>
      </c>
      <c r="G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" s="3" t="inlineStr">
        <is>
          <t>KV7-036</t>
        </is>
      </c>
      <c r="I9" s="4" t="inlineStr">
        <is>
          <t>Bộ tuốc nơ vít đa năng KV7-036</t>
        </is>
      </c>
      <c r="J9" s="3" t="inlineStr">
        <is>
          <t>Cái</t>
        </is>
      </c>
      <c r="K9" s="5" t="n">
        <v>176000</v>
      </c>
      <c r="L9" s="5" t="n">
        <v>208000</v>
      </c>
      <c r="M9" s="6" t="n">
        <v>255000</v>
      </c>
      <c r="N9" s="5" t="n"/>
      <c r="O9" s="5">
        <f>IF(AND(ISNUMBER(N9),ISNUMBER(M9)),N9-M9,"")</f>
        <v/>
      </c>
      <c r="P9" s="7">
        <f>IF(AND(ISNUMBER(N9),ISNUMBER(M9),M9&gt;0),(N9-M9)/M9,"")</f>
        <v/>
      </c>
      <c r="Q9" s="3">
        <f>IF(P9="","",IF(P9&lt;-0.02,"🔴 Bán phá giá sàn",IF(P9&gt;0.05,"🔵 Bán cao hơn","🟢 Đúng giá sàn TMĐT")))</f>
        <v/>
      </c>
      <c r="R9" s="3" t="n"/>
      <c r="S9" s="4" t="n"/>
      <c r="T9" s="4" t="n"/>
    </row>
    <row r="10">
      <c r="A10" s="3" t="n">
        <v>9</v>
      </c>
      <c r="B10" s="3" t="inlineStr">
        <is>
          <t>DL001</t>
        </is>
      </c>
      <c r="C10" s="4" t="inlineStr">
        <is>
          <t>Điện nước Nhật (Shop) HCM</t>
        </is>
      </c>
      <c r="D10" s="3" t="inlineStr">
        <is>
          <t>HCM</t>
        </is>
      </c>
      <c r="E10" s="3" t="inlineStr">
        <is>
          <t>BẢO TRÂM</t>
        </is>
      </c>
      <c r="F10" s="3" t="inlineStr">
        <is>
          <t>Shopee</t>
        </is>
      </c>
      <c r="G1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" s="3" t="inlineStr">
        <is>
          <t>KV8-113</t>
        </is>
      </c>
      <c r="I10" s="4" t="inlineStr">
        <is>
          <t>Bộ tuốc nơ vít ĐN cao cấp 113 chi tiết KV8-113</t>
        </is>
      </c>
      <c r="J10" s="3" t="inlineStr">
        <is>
          <t>Bộ</t>
        </is>
      </c>
      <c r="K10" s="5" t="n">
        <v>372000</v>
      </c>
      <c r="L10" s="5" t="n">
        <v>439000</v>
      </c>
      <c r="M10" s="6" t="n">
        <v>539000</v>
      </c>
      <c r="N10" s="5" t="n"/>
      <c r="O10" s="5">
        <f>IF(AND(ISNUMBER(N10),ISNUMBER(M10)),N10-M10,"")</f>
        <v/>
      </c>
      <c r="P10" s="7">
        <f>IF(AND(ISNUMBER(N10),ISNUMBER(M10),M10&gt;0),(N10-M10)/M10,"")</f>
        <v/>
      </c>
      <c r="Q10" s="3">
        <f>IF(P10="","",IF(P10&lt;-0.02,"🔴 Bán phá giá sàn",IF(P10&gt;0.05,"🔵 Bán cao hơn","🟢 Đúng giá sàn TMĐT")))</f>
        <v/>
      </c>
      <c r="R10" s="3" t="n"/>
      <c r="S10" s="4" t="n"/>
      <c r="T10" s="4" t="n"/>
    </row>
    <row r="11">
      <c r="A11" s="3" t="n">
        <v>10</v>
      </c>
      <c r="B11" s="3" t="inlineStr">
        <is>
          <t>DL001</t>
        </is>
      </c>
      <c r="C11" s="4" t="inlineStr">
        <is>
          <t>Điện nước Nhật (Shop) HCM</t>
        </is>
      </c>
      <c r="D11" s="3" t="inlineStr">
        <is>
          <t>HCM</t>
        </is>
      </c>
      <c r="E11" s="3" t="inlineStr">
        <is>
          <t>BẢO TRÂM</t>
        </is>
      </c>
      <c r="F11" s="3" t="inlineStr">
        <is>
          <t>Shopee</t>
        </is>
      </c>
      <c r="G1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" s="3" t="inlineStr">
        <is>
          <t>KV10-13</t>
        </is>
      </c>
      <c r="I11" s="4" t="inlineStr">
        <is>
          <t>Bộ tuvit đóng KV10-13</t>
        </is>
      </c>
      <c r="J11" s="3" t="inlineStr">
        <is>
          <t>Cái</t>
        </is>
      </c>
      <c r="K11" s="5" t="n">
        <v>269000</v>
      </c>
      <c r="L11" s="5" t="n">
        <v>317000</v>
      </c>
      <c r="M11" s="6" t="n">
        <v>390000</v>
      </c>
      <c r="N11" s="5" t="n"/>
      <c r="O11" s="5">
        <f>IF(AND(ISNUMBER(N11),ISNUMBER(M11)),N11-M11,"")</f>
        <v/>
      </c>
      <c r="P11" s="7">
        <f>IF(AND(ISNUMBER(N11),ISNUMBER(M11),M11&gt;0),(N11-M11)/M11,"")</f>
        <v/>
      </c>
      <c r="Q11" s="3">
        <f>IF(P11="","",IF(P11&lt;-0.02,"🔴 Bán phá giá sàn",IF(P11&gt;0.05,"🔵 Bán cao hơn","🟢 Đúng giá sàn TMĐT")))</f>
        <v/>
      </c>
      <c r="R11" s="3" t="n"/>
      <c r="S11" s="4" t="n"/>
      <c r="T11" s="4" t="n"/>
    </row>
    <row r="12">
      <c r="A12" s="3" t="n">
        <v>11</v>
      </c>
      <c r="B12" s="3" t="inlineStr">
        <is>
          <t>DL001</t>
        </is>
      </c>
      <c r="C12" s="4" t="inlineStr">
        <is>
          <t>Điện nước Nhật (Shop) HCM</t>
        </is>
      </c>
      <c r="D12" s="3" t="inlineStr">
        <is>
          <t>HCM</t>
        </is>
      </c>
      <c r="E12" s="3" t="inlineStr">
        <is>
          <t>BẢO TRÂM</t>
        </is>
      </c>
      <c r="F12" s="3" t="inlineStr">
        <is>
          <t>Shopee</t>
        </is>
      </c>
      <c r="G1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" s="3" t="inlineStr">
        <is>
          <t>KIC140</t>
        </is>
      </c>
      <c r="I12" s="4" t="inlineStr">
        <is>
          <t>Bút thử điện KIC140</t>
        </is>
      </c>
      <c r="J12" s="3" t="inlineStr">
        <is>
          <t>Cái</t>
        </is>
      </c>
      <c r="K12" s="5" t="n">
        <v>14000</v>
      </c>
      <c r="L12" s="5" t="n">
        <v>16000</v>
      </c>
      <c r="M12" s="6" t="n">
        <v>20000</v>
      </c>
      <c r="N12" s="5" t="n"/>
      <c r="O12" s="5">
        <f>IF(AND(ISNUMBER(N12),ISNUMBER(M12)),N12-M12,"")</f>
        <v/>
      </c>
      <c r="P12" s="7">
        <f>IF(AND(ISNUMBER(N12),ISNUMBER(M12),M12&gt;0),(N12-M12)/M12,"")</f>
        <v/>
      </c>
      <c r="Q12" s="3">
        <f>IF(P12="","",IF(P12&lt;-0.02,"🔴 Bán phá giá sàn",IF(P12&gt;0.05,"🔵 Bán cao hơn","🟢 Đúng giá sàn TMĐT")))</f>
        <v/>
      </c>
      <c r="R12" s="3" t="n"/>
      <c r="S12" s="4" t="n"/>
      <c r="T12" s="4" t="n"/>
    </row>
    <row r="13">
      <c r="A13" s="3" t="n">
        <v>12</v>
      </c>
      <c r="B13" s="3" t="inlineStr">
        <is>
          <t>DL001</t>
        </is>
      </c>
      <c r="C13" s="4" t="inlineStr">
        <is>
          <t>Điện nước Nhật (Shop) HCM</t>
        </is>
      </c>
      <c r="D13" s="3" t="inlineStr">
        <is>
          <t>HCM</t>
        </is>
      </c>
      <c r="E13" s="3" t="inlineStr">
        <is>
          <t>BẢO TRÂM</t>
        </is>
      </c>
      <c r="F13" s="3" t="inlineStr">
        <is>
          <t>Shopee</t>
        </is>
      </c>
      <c r="G1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" s="3" t="inlineStr">
        <is>
          <t>KCC3</t>
        </is>
      </c>
      <c r="I13" s="4" t="inlineStr">
        <is>
          <t>Cảo chữ C - KCC3</t>
        </is>
      </c>
      <c r="J13" s="3" t="inlineStr">
        <is>
          <t>Cái</t>
        </is>
      </c>
      <c r="K13" s="5" t="n">
        <v>99000</v>
      </c>
      <c r="L13" s="5" t="n">
        <v>117000</v>
      </c>
      <c r="M13" s="6" t="n">
        <v>144000</v>
      </c>
      <c r="N13" s="5" t="n"/>
      <c r="O13" s="5">
        <f>IF(AND(ISNUMBER(N13),ISNUMBER(M13)),N13-M13,"")</f>
        <v/>
      </c>
      <c r="P13" s="7">
        <f>IF(AND(ISNUMBER(N13),ISNUMBER(M13),M13&gt;0),(N13-M13)/M13,"")</f>
        <v/>
      </c>
      <c r="Q13" s="3">
        <f>IF(P13="","",IF(P13&lt;-0.02,"🔴 Bán phá giá sàn",IF(P13&gt;0.05,"🔵 Bán cao hơn","🟢 Đúng giá sàn TMĐT")))</f>
        <v/>
      </c>
      <c r="R13" s="3" t="n"/>
      <c r="S13" s="4" t="n"/>
      <c r="T13" s="4" t="n"/>
    </row>
    <row r="14">
      <c r="A14" s="3" t="n">
        <v>13</v>
      </c>
      <c r="B14" s="3" t="inlineStr">
        <is>
          <t>DL001</t>
        </is>
      </c>
      <c r="C14" s="4" t="inlineStr">
        <is>
          <t>Điện nước Nhật (Shop) HCM</t>
        </is>
      </c>
      <c r="D14" s="3" t="inlineStr">
        <is>
          <t>HCM</t>
        </is>
      </c>
      <c r="E14" s="3" t="inlineStr">
        <is>
          <t>BẢO TRÂM</t>
        </is>
      </c>
      <c r="F14" s="3" t="inlineStr">
        <is>
          <t>Shopee</t>
        </is>
      </c>
      <c r="G1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" s="3" t="inlineStr">
        <is>
          <t>KFC8.150</t>
        </is>
      </c>
      <c r="I14" s="4" t="inlineStr">
        <is>
          <t>Cảo chữ F - KFC8.150</t>
        </is>
      </c>
      <c r="J14" s="3" t="inlineStr">
        <is>
          <t>Cái</t>
        </is>
      </c>
      <c r="K14" s="5" t="n">
        <v>269000</v>
      </c>
      <c r="L14" s="5" t="n">
        <v>317000</v>
      </c>
      <c r="M14" s="6" t="n">
        <v>390000</v>
      </c>
      <c r="N14" s="5" t="n"/>
      <c r="O14" s="5">
        <f>IF(AND(ISNUMBER(N14),ISNUMBER(M14)),N14-M14,"")</f>
        <v/>
      </c>
      <c r="P14" s="7">
        <f>IF(AND(ISNUMBER(N14),ISNUMBER(M14),M14&gt;0),(N14-M14)/M14,"")</f>
        <v/>
      </c>
      <c r="Q14" s="3">
        <f>IF(P14="","",IF(P14&lt;-0.02,"🔴 Bán phá giá sàn",IF(P14&gt;0.05,"🔵 Bán cao hơn","🟢 Đúng giá sàn TMĐT")))</f>
        <v/>
      </c>
      <c r="R14" s="3" t="n"/>
      <c r="S14" s="4" t="n"/>
      <c r="T14" s="4" t="n"/>
    </row>
    <row r="15">
      <c r="A15" s="3" t="n">
        <v>14</v>
      </c>
      <c r="B15" s="3" t="inlineStr">
        <is>
          <t>DL001</t>
        </is>
      </c>
      <c r="C15" s="4" t="inlineStr">
        <is>
          <t>Điện nước Nhật (Shop) HCM</t>
        </is>
      </c>
      <c r="D15" s="3" t="inlineStr">
        <is>
          <t>HCM</t>
        </is>
      </c>
      <c r="E15" s="3" t="inlineStr">
        <is>
          <t>BẢO TRÂM</t>
        </is>
      </c>
      <c r="F15" s="3" t="inlineStr">
        <is>
          <t>Shopee</t>
        </is>
      </c>
      <c r="G1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" s="3" t="inlineStr">
        <is>
          <t>KLG-01</t>
        </is>
      </c>
      <c r="I15" s="4" t="inlineStr">
        <is>
          <t>Cần siết tự động 1/2 (72 răng) KLG-01</t>
        </is>
      </c>
      <c r="J15" s="3" t="inlineStr">
        <is>
          <t>Cái</t>
        </is>
      </c>
      <c r="K15" s="5" t="n">
        <v>160000</v>
      </c>
      <c r="L15" s="5" t="n">
        <v>189000</v>
      </c>
      <c r="M15" s="6" t="n">
        <v>232000</v>
      </c>
      <c r="N15" s="5" t="n"/>
      <c r="O15" s="5">
        <f>IF(AND(ISNUMBER(N15),ISNUMBER(M15)),N15-M15,"")</f>
        <v/>
      </c>
      <c r="P15" s="7">
        <f>IF(AND(ISNUMBER(N15),ISNUMBER(M15),M15&gt;0),(N15-M15)/M15,"")</f>
        <v/>
      </c>
      <c r="Q15" s="3">
        <f>IF(P15="","",IF(P15&lt;-0.02,"🔴 Bán phá giá sàn",IF(P15&gt;0.05,"🔵 Bán cao hơn","🟢 Đúng giá sàn TMĐT")))</f>
        <v/>
      </c>
      <c r="R15" s="3" t="n"/>
      <c r="S15" s="4" t="n"/>
      <c r="T15" s="4" t="n"/>
    </row>
    <row r="16">
      <c r="A16" s="3" t="n">
        <v>15</v>
      </c>
      <c r="B16" s="3" t="inlineStr">
        <is>
          <t>DL001</t>
        </is>
      </c>
      <c r="C16" s="4" t="inlineStr">
        <is>
          <t>Điện nước Nhật (Shop) HCM</t>
        </is>
      </c>
      <c r="D16" s="3" t="inlineStr">
        <is>
          <t>HCM</t>
        </is>
      </c>
      <c r="E16" s="3" t="inlineStr">
        <is>
          <t>BẢO TRÂM</t>
        </is>
      </c>
      <c r="F16" s="3" t="inlineStr">
        <is>
          <t>Shopee</t>
        </is>
      </c>
      <c r="G1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" s="3" t="inlineStr">
        <is>
          <t>KB-ST18</t>
        </is>
      </c>
      <c r="I16" s="4" t="inlineStr">
        <is>
          <t>Công cụ đóng đinh bán tự động KB-ST18</t>
        </is>
      </c>
      <c r="J16" s="3" t="inlineStr">
        <is>
          <t>Cái</t>
        </is>
      </c>
      <c r="K16" s="5" t="n">
        <v>242000</v>
      </c>
      <c r="L16" s="5" t="n">
        <v>286000</v>
      </c>
      <c r="M16" s="6" t="n">
        <v>351000</v>
      </c>
      <c r="N16" s="5" t="n"/>
      <c r="O16" s="5">
        <f>IF(AND(ISNUMBER(N16),ISNUMBER(M16)),N16-M16,"")</f>
        <v/>
      </c>
      <c r="P16" s="7">
        <f>IF(AND(ISNUMBER(N16),ISNUMBER(M16),M16&gt;0),(N16-M16)/M16,"")</f>
        <v/>
      </c>
      <c r="Q16" s="3">
        <f>IF(P16="","",IF(P16&lt;-0.02,"🔴 Bán phá giá sàn",IF(P16&gt;0.05,"🔵 Bán cao hơn","🟢 Đúng giá sàn TMĐT")))</f>
        <v/>
      </c>
      <c r="R16" s="3" t="n"/>
      <c r="S16" s="4" t="n"/>
      <c r="T16" s="4" t="n"/>
    </row>
    <row r="17">
      <c r="A17" s="3" t="n">
        <v>16</v>
      </c>
      <c r="B17" s="3" t="inlineStr">
        <is>
          <t>DL001</t>
        </is>
      </c>
      <c r="C17" s="4" t="inlineStr">
        <is>
          <t>Điện nước Nhật (Shop) HCM</t>
        </is>
      </c>
      <c r="D17" s="3" t="inlineStr">
        <is>
          <t>HCM</t>
        </is>
      </c>
      <c r="E17" s="3" t="inlineStr">
        <is>
          <t>BẢO TRÂM</t>
        </is>
      </c>
      <c r="F17" s="3" t="inlineStr">
        <is>
          <t>Shopee</t>
        </is>
      </c>
      <c r="G1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" s="3" t="inlineStr">
        <is>
          <t>KH3-08</t>
        </is>
      </c>
      <c r="I17" s="4" t="inlineStr">
        <is>
          <t>Cờ lê vòng miệng tự động ( càng cua đảo chiều) KH3-08</t>
        </is>
      </c>
      <c r="J17" s="3" t="inlineStr">
        <is>
          <t>Cái</t>
        </is>
      </c>
      <c r="K17" s="5" t="n">
        <v>54000</v>
      </c>
      <c r="L17" s="5" t="n">
        <v>64000</v>
      </c>
      <c r="M17" s="6" t="n">
        <v>78000</v>
      </c>
      <c r="N17" s="5" t="n"/>
      <c r="O17" s="5">
        <f>IF(AND(ISNUMBER(N17),ISNUMBER(M17)),N17-M17,"")</f>
        <v/>
      </c>
      <c r="P17" s="7">
        <f>IF(AND(ISNUMBER(N17),ISNUMBER(M17),M17&gt;0),(N17-M17)/M17,"")</f>
        <v/>
      </c>
      <c r="Q17" s="3">
        <f>IF(P17="","",IF(P17&lt;-0.02,"🔴 Bán phá giá sàn",IF(P17&gt;0.05,"🔵 Bán cao hơn","🟢 Đúng giá sàn TMĐT")))</f>
        <v/>
      </c>
      <c r="R17" s="3" t="n"/>
      <c r="S17" s="4" t="n"/>
      <c r="T17" s="4" t="n"/>
    </row>
    <row r="18">
      <c r="A18" s="3" t="n">
        <v>17</v>
      </c>
      <c r="B18" s="3" t="inlineStr">
        <is>
          <t>DL001</t>
        </is>
      </c>
      <c r="C18" s="4" t="inlineStr">
        <is>
          <t>Điện nước Nhật (Shop) HCM</t>
        </is>
      </c>
      <c r="D18" s="3" t="inlineStr">
        <is>
          <t>HCM</t>
        </is>
      </c>
      <c r="E18" s="3" t="inlineStr">
        <is>
          <t>BẢO TRÂM</t>
        </is>
      </c>
      <c r="F18" s="3" t="inlineStr">
        <is>
          <t>Shopee</t>
        </is>
      </c>
      <c r="G1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" s="3" t="inlineStr">
        <is>
          <t>KH3-10</t>
        </is>
      </c>
      <c r="I18" s="4" t="inlineStr">
        <is>
          <t>Cờ lê vòng miệng tự động ( càng cua đảo chiều) KH3-10</t>
        </is>
      </c>
      <c r="J18" s="3" t="inlineStr">
        <is>
          <t>Cái</t>
        </is>
      </c>
      <c r="K18" s="5" t="n">
        <v>62000</v>
      </c>
      <c r="L18" s="5" t="n">
        <v>73000</v>
      </c>
      <c r="M18" s="6" t="n">
        <v>90000</v>
      </c>
      <c r="N18" s="5" t="n"/>
      <c r="O18" s="5">
        <f>IF(AND(ISNUMBER(N18),ISNUMBER(M18)),N18-M18,"")</f>
        <v/>
      </c>
      <c r="P18" s="7">
        <f>IF(AND(ISNUMBER(N18),ISNUMBER(M18),M18&gt;0),(N18-M18)/M18,"")</f>
        <v/>
      </c>
      <c r="Q18" s="3">
        <f>IF(P18="","",IF(P18&lt;-0.02,"🔴 Bán phá giá sàn",IF(P18&gt;0.05,"🔵 Bán cao hơn","🟢 Đúng giá sàn TMĐT")))</f>
        <v/>
      </c>
      <c r="R18" s="3" t="n"/>
      <c r="S18" s="4" t="n"/>
      <c r="T18" s="4" t="n"/>
    </row>
    <row r="19">
      <c r="A19" s="3" t="n">
        <v>18</v>
      </c>
      <c r="B19" s="3" t="inlineStr">
        <is>
          <t>DL001</t>
        </is>
      </c>
      <c r="C19" s="4" t="inlineStr">
        <is>
          <t>Điện nước Nhật (Shop) HCM</t>
        </is>
      </c>
      <c r="D19" s="3" t="inlineStr">
        <is>
          <t>HCM</t>
        </is>
      </c>
      <c r="E19" s="3" t="inlineStr">
        <is>
          <t>BẢO TRÂM</t>
        </is>
      </c>
      <c r="F19" s="3" t="inlineStr">
        <is>
          <t>Shopee</t>
        </is>
      </c>
      <c r="G1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" s="3" t="inlineStr">
        <is>
          <t>KH3-12</t>
        </is>
      </c>
      <c r="I19" s="4" t="inlineStr">
        <is>
          <t>Cờ lê vòng miệng tự động ( càng cua đảo chiều) KH3-12</t>
        </is>
      </c>
      <c r="J19" s="3" t="inlineStr">
        <is>
          <t>Cái</t>
        </is>
      </c>
      <c r="K19" s="5" t="n">
        <v>70000</v>
      </c>
      <c r="L19" s="5" t="n">
        <v>83000</v>
      </c>
      <c r="M19" s="6" t="n">
        <v>102000</v>
      </c>
      <c r="N19" s="5" t="n"/>
      <c r="O19" s="5">
        <f>IF(AND(ISNUMBER(N19),ISNUMBER(M19)),N19-M19,"")</f>
        <v/>
      </c>
      <c r="P19" s="7">
        <f>IF(AND(ISNUMBER(N19),ISNUMBER(M19),M19&gt;0),(N19-M19)/M19,"")</f>
        <v/>
      </c>
      <c r="Q19" s="3">
        <f>IF(P19="","",IF(P19&lt;-0.02,"🔴 Bán phá giá sàn",IF(P19&gt;0.05,"🔵 Bán cao hơn","🟢 Đúng giá sàn TMĐT")))</f>
        <v/>
      </c>
      <c r="R19" s="3" t="n"/>
      <c r="S19" s="4" t="n"/>
      <c r="T19" s="4" t="n"/>
    </row>
    <row r="20">
      <c r="A20" s="3" t="n">
        <v>19</v>
      </c>
      <c r="B20" s="3" t="inlineStr">
        <is>
          <t>DL001</t>
        </is>
      </c>
      <c r="C20" s="4" t="inlineStr">
        <is>
          <t>Điện nước Nhật (Shop) HCM</t>
        </is>
      </c>
      <c r="D20" s="3" t="inlineStr">
        <is>
          <t>HCM</t>
        </is>
      </c>
      <c r="E20" s="3" t="inlineStr">
        <is>
          <t>BẢO TRÂM</t>
        </is>
      </c>
      <c r="F20" s="3" t="inlineStr">
        <is>
          <t>Shopee</t>
        </is>
      </c>
      <c r="G2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" s="3" t="inlineStr">
        <is>
          <t>KH3-13</t>
        </is>
      </c>
      <c r="I20" s="4" t="inlineStr">
        <is>
          <t>Cờ lê vòng miệng tự động ( càng cua đảo chiều) KH3-13</t>
        </is>
      </c>
      <c r="J20" s="3" t="inlineStr">
        <is>
          <t>Cái</t>
        </is>
      </c>
      <c r="K20" s="5" t="n">
        <v>75000</v>
      </c>
      <c r="L20" s="5" t="n">
        <v>89000</v>
      </c>
      <c r="M20" s="6" t="n">
        <v>109000</v>
      </c>
      <c r="N20" s="5" t="n"/>
      <c r="O20" s="5">
        <f>IF(AND(ISNUMBER(N20),ISNUMBER(M20)),N20-M20,"")</f>
        <v/>
      </c>
      <c r="P20" s="7">
        <f>IF(AND(ISNUMBER(N20),ISNUMBER(M20),M20&gt;0),(N20-M20)/M20,"")</f>
        <v/>
      </c>
      <c r="Q20" s="3">
        <f>IF(P20="","",IF(P20&lt;-0.02,"🔴 Bán phá giá sàn",IF(P20&gt;0.05,"🔵 Bán cao hơn","🟢 Đúng giá sàn TMĐT")))</f>
        <v/>
      </c>
      <c r="R20" s="3" t="n"/>
      <c r="S20" s="4" t="n"/>
      <c r="T20" s="4" t="n"/>
    </row>
    <row r="21">
      <c r="A21" s="3" t="n">
        <v>20</v>
      </c>
      <c r="B21" s="3" t="inlineStr">
        <is>
          <t>DL001</t>
        </is>
      </c>
      <c r="C21" s="4" t="inlineStr">
        <is>
          <t>Điện nước Nhật (Shop) HCM</t>
        </is>
      </c>
      <c r="D21" s="3" t="inlineStr">
        <is>
          <t>HCM</t>
        </is>
      </c>
      <c r="E21" s="3" t="inlineStr">
        <is>
          <t>BẢO TRÂM</t>
        </is>
      </c>
      <c r="F21" s="3" t="inlineStr">
        <is>
          <t>Shopee</t>
        </is>
      </c>
      <c r="G2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" s="3" t="inlineStr">
        <is>
          <t>KH3-14</t>
        </is>
      </c>
      <c r="I21" s="4" t="inlineStr">
        <is>
          <t>Cờ lê vòng miệng tự động ( càng cua đảo chiều) KH3-14</t>
        </is>
      </c>
      <c r="J21" s="3" t="inlineStr">
        <is>
          <t>Cái</t>
        </is>
      </c>
      <c r="K21" s="5" t="n">
        <v>79000</v>
      </c>
      <c r="L21" s="5" t="n">
        <v>93000</v>
      </c>
      <c r="M21" s="6" t="n">
        <v>115000</v>
      </c>
      <c r="N21" s="5" t="n"/>
      <c r="O21" s="5">
        <f>IF(AND(ISNUMBER(N21),ISNUMBER(M21)),N21-M21,"")</f>
        <v/>
      </c>
      <c r="P21" s="7">
        <f>IF(AND(ISNUMBER(N21),ISNUMBER(M21),M21&gt;0),(N21-M21)/M21,"")</f>
        <v/>
      </c>
      <c r="Q21" s="3">
        <f>IF(P21="","",IF(P21&lt;-0.02,"🔴 Bán phá giá sàn",IF(P21&gt;0.05,"🔵 Bán cao hơn","🟢 Đúng giá sàn TMĐT")))</f>
        <v/>
      </c>
      <c r="R21" s="3" t="n"/>
      <c r="S21" s="4" t="n"/>
      <c r="T21" s="4" t="n"/>
    </row>
    <row r="22">
      <c r="A22" s="3" t="n">
        <v>21</v>
      </c>
      <c r="B22" s="3" t="inlineStr">
        <is>
          <t>DL001</t>
        </is>
      </c>
      <c r="C22" s="4" t="inlineStr">
        <is>
          <t>Điện nước Nhật (Shop) HCM</t>
        </is>
      </c>
      <c r="D22" s="3" t="inlineStr">
        <is>
          <t>HCM</t>
        </is>
      </c>
      <c r="E22" s="3" t="inlineStr">
        <is>
          <t>BẢO TRÂM</t>
        </is>
      </c>
      <c r="F22" s="3" t="inlineStr">
        <is>
          <t>Shopee</t>
        </is>
      </c>
      <c r="G2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" s="3" t="inlineStr">
        <is>
          <t>KH3-17</t>
        </is>
      </c>
      <c r="I22" s="4" t="inlineStr">
        <is>
          <t>Cờ lê vòng miệng tự động ( càng cua đảo chiều) KH3-17</t>
        </is>
      </c>
      <c r="J22" s="3" t="inlineStr">
        <is>
          <t>Cái</t>
        </is>
      </c>
      <c r="K22" s="5" t="n">
        <v>97000</v>
      </c>
      <c r="L22" s="5" t="n">
        <v>115000</v>
      </c>
      <c r="M22" s="6" t="n">
        <v>141000</v>
      </c>
      <c r="N22" s="5" t="n"/>
      <c r="O22" s="5">
        <f>IF(AND(ISNUMBER(N22),ISNUMBER(M22)),N22-M22,"")</f>
        <v/>
      </c>
      <c r="P22" s="7">
        <f>IF(AND(ISNUMBER(N22),ISNUMBER(M22),M22&gt;0),(N22-M22)/M22,"")</f>
        <v/>
      </c>
      <c r="Q22" s="3">
        <f>IF(P22="","",IF(P22&lt;-0.02,"🔴 Bán phá giá sàn",IF(P22&gt;0.05,"🔵 Bán cao hơn","🟢 Đúng giá sàn TMĐT")))</f>
        <v/>
      </c>
      <c r="R22" s="3" t="n"/>
      <c r="S22" s="4" t="n"/>
      <c r="T22" s="4" t="n"/>
    </row>
    <row r="23">
      <c r="A23" s="3" t="n">
        <v>22</v>
      </c>
      <c r="B23" s="3" t="inlineStr">
        <is>
          <t>DL001</t>
        </is>
      </c>
      <c r="C23" s="4" t="inlineStr">
        <is>
          <t>Điện nước Nhật (Shop) HCM</t>
        </is>
      </c>
      <c r="D23" s="3" t="inlineStr">
        <is>
          <t>HCM</t>
        </is>
      </c>
      <c r="E23" s="3" t="inlineStr">
        <is>
          <t>BẢO TRÂM</t>
        </is>
      </c>
      <c r="F23" s="3" t="inlineStr">
        <is>
          <t>Shopee</t>
        </is>
      </c>
      <c r="G2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" s="3" t="inlineStr">
        <is>
          <t>KH3-19</t>
        </is>
      </c>
      <c r="I23" s="4" t="inlineStr">
        <is>
          <t>Cờ lê vòng miệng tự động ( càng cua đảo chiều) KH3-19</t>
        </is>
      </c>
      <c r="J23" s="3" t="inlineStr">
        <is>
          <t>Cái</t>
        </is>
      </c>
      <c r="K23" s="5" t="n">
        <v>108000</v>
      </c>
      <c r="L23" s="5" t="n">
        <v>128000</v>
      </c>
      <c r="M23" s="6" t="n">
        <v>157000</v>
      </c>
      <c r="N23" s="5" t="n"/>
      <c r="O23" s="5">
        <f>IF(AND(ISNUMBER(N23),ISNUMBER(M23)),N23-M23,"")</f>
        <v/>
      </c>
      <c r="P23" s="7">
        <f>IF(AND(ISNUMBER(N23),ISNUMBER(M23),M23&gt;0),(N23-M23)/M23,"")</f>
        <v/>
      </c>
      <c r="Q23" s="3">
        <f>IF(P23="","",IF(P23&lt;-0.02,"🔴 Bán phá giá sàn",IF(P23&gt;0.05,"🔵 Bán cao hơn","🟢 Đúng giá sàn TMĐT")))</f>
        <v/>
      </c>
      <c r="R23" s="3" t="n"/>
      <c r="S23" s="4" t="n"/>
      <c r="T23" s="4" t="n"/>
    </row>
    <row r="24">
      <c r="A24" s="3" t="n">
        <v>23</v>
      </c>
      <c r="B24" s="3" t="inlineStr">
        <is>
          <t>DL001</t>
        </is>
      </c>
      <c r="C24" s="4" t="inlineStr">
        <is>
          <t>Điện nước Nhật (Shop) HCM</t>
        </is>
      </c>
      <c r="D24" s="3" t="inlineStr">
        <is>
          <t>HCM</t>
        </is>
      </c>
      <c r="E24" s="3" t="inlineStr">
        <is>
          <t>BẢO TRÂM</t>
        </is>
      </c>
      <c r="F24" s="3" t="inlineStr">
        <is>
          <t>Shopee</t>
        </is>
      </c>
      <c r="G2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" s="3" t="inlineStr">
        <is>
          <t>KJH-04</t>
        </is>
      </c>
      <c r="I24" s="4" t="inlineStr">
        <is>
          <t>Dao rọc cáp đa năng KJH-04</t>
        </is>
      </c>
      <c r="J24" s="3" t="inlineStr">
        <is>
          <t>Cái</t>
        </is>
      </c>
      <c r="K24" s="5" t="n">
        <v>121000</v>
      </c>
      <c r="L24" s="5" t="n">
        <v>143000</v>
      </c>
      <c r="M24" s="6" t="n">
        <v>176000</v>
      </c>
      <c r="N24" s="5" t="n"/>
      <c r="O24" s="5">
        <f>IF(AND(ISNUMBER(N24),ISNUMBER(M24)),N24-M24,"")</f>
        <v/>
      </c>
      <c r="P24" s="7">
        <f>IF(AND(ISNUMBER(N24),ISNUMBER(M24),M24&gt;0),(N24-M24)/M24,"")</f>
        <v/>
      </c>
      <c r="Q24" s="3">
        <f>IF(P24="","",IF(P24&lt;-0.02,"🔴 Bán phá giá sàn",IF(P24&gt;0.05,"🔵 Bán cao hơn","🟢 Đúng giá sàn TMĐT")))</f>
        <v/>
      </c>
      <c r="R24" s="3" t="n"/>
      <c r="S24" s="4" t="n"/>
      <c r="T24" s="4" t="n"/>
    </row>
    <row r="25">
      <c r="A25" s="3" t="n">
        <v>24</v>
      </c>
      <c r="B25" s="3" t="inlineStr">
        <is>
          <t>DL001</t>
        </is>
      </c>
      <c r="C25" s="4" t="inlineStr">
        <is>
          <t>Điện nước Nhật (Shop) HCM</t>
        </is>
      </c>
      <c r="D25" s="3" t="inlineStr">
        <is>
          <t>HCM</t>
        </is>
      </c>
      <c r="E25" s="3" t="inlineStr">
        <is>
          <t>BẢO TRÂM</t>
        </is>
      </c>
      <c r="F25" s="3" t="inlineStr">
        <is>
          <t>Shopee</t>
        </is>
      </c>
      <c r="G2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" s="3" t="inlineStr">
        <is>
          <t>KJH-06</t>
        </is>
      </c>
      <c r="I25" s="4" t="inlineStr">
        <is>
          <t>Dao rọc cáp đa năng KJH-06</t>
        </is>
      </c>
      <c r="J25" s="3" t="inlineStr">
        <is>
          <t>Cái</t>
        </is>
      </c>
      <c r="K25" s="5" t="n">
        <v>171000</v>
      </c>
      <c r="L25" s="5" t="n">
        <v>202000</v>
      </c>
      <c r="M25" s="6" t="n">
        <v>248000</v>
      </c>
      <c r="N25" s="5" t="n"/>
      <c r="O25" s="5">
        <f>IF(AND(ISNUMBER(N25),ISNUMBER(M25)),N25-M25,"")</f>
        <v/>
      </c>
      <c r="P25" s="7">
        <f>IF(AND(ISNUMBER(N25),ISNUMBER(M25),M25&gt;0),(N25-M25)/M25,"")</f>
        <v/>
      </c>
      <c r="Q25" s="3">
        <f>IF(P25="","",IF(P25&lt;-0.02,"🔴 Bán phá giá sàn",IF(P25&gt;0.05,"🔵 Bán cao hơn","🟢 Đúng giá sàn TMĐT")))</f>
        <v/>
      </c>
      <c r="R25" s="3" t="n"/>
      <c r="S25" s="4" t="n"/>
      <c r="T25" s="4" t="n"/>
    </row>
    <row r="26">
      <c r="A26" s="3" t="n">
        <v>25</v>
      </c>
      <c r="B26" s="3" t="inlineStr">
        <is>
          <t>DL001</t>
        </is>
      </c>
      <c r="C26" s="4" t="inlineStr">
        <is>
          <t>Điện nước Nhật (Shop) HCM</t>
        </is>
      </c>
      <c r="D26" s="3" t="inlineStr">
        <is>
          <t>HCM</t>
        </is>
      </c>
      <c r="E26" s="3" t="inlineStr">
        <is>
          <t>BẢO TRÂM</t>
        </is>
      </c>
      <c r="F26" s="3" t="inlineStr">
        <is>
          <t>Shopee</t>
        </is>
      </c>
      <c r="G2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6" s="3" t="inlineStr">
        <is>
          <t>K54M</t>
        </is>
      </c>
      <c r="I26" s="4" t="inlineStr">
        <is>
          <t>Dụng cụ khò gas mini K54M</t>
        </is>
      </c>
      <c r="J26" s="3" t="inlineStr">
        <is>
          <t>Cái</t>
        </is>
      </c>
      <c r="K26" s="5" t="n">
        <v>209000</v>
      </c>
      <c r="L26" s="5" t="n">
        <v>247000</v>
      </c>
      <c r="M26" s="6" t="n">
        <v>303000</v>
      </c>
      <c r="N26" s="5" t="n"/>
      <c r="O26" s="5">
        <f>IF(AND(ISNUMBER(N26),ISNUMBER(M26)),N26-M26,"")</f>
        <v/>
      </c>
      <c r="P26" s="7">
        <f>IF(AND(ISNUMBER(N26),ISNUMBER(M26),M26&gt;0),(N26-M26)/M26,"")</f>
        <v/>
      </c>
      <c r="Q26" s="3">
        <f>IF(P26="","",IF(P26&lt;-0.02,"🔴 Bán phá giá sàn",IF(P26&gt;0.05,"🔵 Bán cao hơn","🟢 Đúng giá sàn TMĐT")))</f>
        <v/>
      </c>
      <c r="R26" s="3" t="n"/>
      <c r="S26" s="4" t="n"/>
      <c r="T26" s="4" t="n"/>
    </row>
    <row r="27">
      <c r="A27" s="3" t="n">
        <v>26</v>
      </c>
      <c r="B27" s="3" t="inlineStr">
        <is>
          <t>DL001</t>
        </is>
      </c>
      <c r="C27" s="4" t="inlineStr">
        <is>
          <t>Điện nước Nhật (Shop) HCM</t>
        </is>
      </c>
      <c r="D27" s="3" t="inlineStr">
        <is>
          <t>HCM</t>
        </is>
      </c>
      <c r="E27" s="3" t="inlineStr">
        <is>
          <t>BẢO TRÂM</t>
        </is>
      </c>
      <c r="F27" s="3" t="inlineStr">
        <is>
          <t>Shopee</t>
        </is>
      </c>
      <c r="G2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7" s="3" t="inlineStr">
        <is>
          <t>D1-107x1.2</t>
        </is>
      </c>
      <c r="I27" s="4" t="inlineStr">
        <is>
          <t>Đá cắt sắt, inox KingBlue D1-107x1.2 xanh (Hộp sắt)</t>
        </is>
      </c>
      <c r="J27" s="3" t="inlineStr">
        <is>
          <t>Cái</t>
        </is>
      </c>
      <c r="K27" s="5" t="n">
        <v>4000</v>
      </c>
      <c r="L27" s="5" t="n">
        <v>5000</v>
      </c>
      <c r="M27" s="6" t="n">
        <v>6500</v>
      </c>
      <c r="N27" s="5" t="n"/>
      <c r="O27" s="5">
        <f>IF(AND(ISNUMBER(N27),ISNUMBER(M27)),N27-M27,"")</f>
        <v/>
      </c>
      <c r="P27" s="7">
        <f>IF(AND(ISNUMBER(N27),ISNUMBER(M27),M27&gt;0),(N27-M27)/M27,"")</f>
        <v/>
      </c>
      <c r="Q27" s="3">
        <f>IF(P27="","",IF(P27&lt;-0.02,"🔴 Bán phá giá sàn",IF(P27&gt;0.05,"🔵 Bán cao hơn","🟢 Đúng giá sàn TMĐT")))</f>
        <v/>
      </c>
      <c r="R27" s="3" t="n"/>
      <c r="S27" s="4" t="n"/>
      <c r="T27" s="4" t="n"/>
    </row>
    <row r="28">
      <c r="A28" s="3" t="n">
        <v>27</v>
      </c>
      <c r="B28" s="3" t="inlineStr">
        <is>
          <t>DL001</t>
        </is>
      </c>
      <c r="C28" s="4" t="inlineStr">
        <is>
          <t>Điện nước Nhật (Shop) HCM</t>
        </is>
      </c>
      <c r="D28" s="3" t="inlineStr">
        <is>
          <t>HCM</t>
        </is>
      </c>
      <c r="E28" s="3" t="inlineStr">
        <is>
          <t>BẢO TRÂM</t>
        </is>
      </c>
      <c r="F28" s="3" t="inlineStr">
        <is>
          <t>Shopee</t>
        </is>
      </c>
      <c r="G2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8" s="3" t="inlineStr">
        <is>
          <t>D1-125x1.6</t>
        </is>
      </c>
      <c r="I28" s="4" t="inlineStr">
        <is>
          <t>Đá cắt sắt, inox Kingblue D1-125x1.6 xanh</t>
        </is>
      </c>
      <c r="J28" s="3" t="inlineStr">
        <is>
          <t>Cái</t>
        </is>
      </c>
      <c r="K28" s="5" t="n">
        <v>8300</v>
      </c>
      <c r="L28" s="5" t="n">
        <v>10400</v>
      </c>
      <c r="M28" s="6" t="n">
        <v>13500</v>
      </c>
      <c r="N28" s="5" t="n"/>
      <c r="O28" s="5">
        <f>IF(AND(ISNUMBER(N28),ISNUMBER(M28)),N28-M28,"")</f>
        <v/>
      </c>
      <c r="P28" s="7">
        <f>IF(AND(ISNUMBER(N28),ISNUMBER(M28),M28&gt;0),(N28-M28)/M28,"")</f>
        <v/>
      </c>
      <c r="Q28" s="3">
        <f>IF(P28="","",IF(P28&lt;-0.02,"🔴 Bán phá giá sàn",IF(P28&gt;0.05,"🔵 Bán cao hơn","🟢 Đúng giá sàn TMĐT")))</f>
        <v/>
      </c>
      <c r="R28" s="3" t="n"/>
      <c r="S28" s="4" t="n"/>
      <c r="T28" s="4" t="n"/>
    </row>
    <row r="29">
      <c r="A29" s="3" t="n">
        <v>28</v>
      </c>
      <c r="B29" s="3" t="inlineStr">
        <is>
          <t>DL001</t>
        </is>
      </c>
      <c r="C29" s="4" t="inlineStr">
        <is>
          <t>Điện nước Nhật (Shop) HCM</t>
        </is>
      </c>
      <c r="D29" s="3" t="inlineStr">
        <is>
          <t>HCM</t>
        </is>
      </c>
      <c r="E29" s="3" t="inlineStr">
        <is>
          <t>BẢO TRÂM</t>
        </is>
      </c>
      <c r="F29" s="3" t="inlineStr">
        <is>
          <t>Shopee</t>
        </is>
      </c>
      <c r="G2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9" s="3" t="inlineStr">
        <is>
          <t>D3-107x1.2</t>
        </is>
      </c>
      <c r="I29" s="4" t="inlineStr">
        <is>
          <t>Đá cắt sắt, inox KingBlue D3-107x1.2 xanh ( hộp sắt)</t>
        </is>
      </c>
      <c r="J29" s="3" t="inlineStr">
        <is>
          <t>Viên</t>
        </is>
      </c>
      <c r="K29" s="5" t="n">
        <v>4600</v>
      </c>
      <c r="L29" s="5" t="n">
        <v>5800</v>
      </c>
      <c r="M29" s="6" t="n">
        <v>7500</v>
      </c>
      <c r="N29" s="5" t="n"/>
      <c r="O29" s="5">
        <f>IF(AND(ISNUMBER(N29),ISNUMBER(M29)),N29-M29,"")</f>
        <v/>
      </c>
      <c r="P29" s="7">
        <f>IF(AND(ISNUMBER(N29),ISNUMBER(M29),M29&gt;0),(N29-M29)/M29,"")</f>
        <v/>
      </c>
      <c r="Q29" s="3">
        <f>IF(P29="","",IF(P29&lt;-0.02,"🔴 Bán phá giá sàn",IF(P29&gt;0.05,"🔵 Bán cao hơn","🟢 Đúng giá sàn TMĐT")))</f>
        <v/>
      </c>
      <c r="R29" s="3" t="n"/>
      <c r="S29" s="4" t="n"/>
      <c r="T29" s="4" t="n"/>
    </row>
    <row r="30">
      <c r="A30" s="3" t="n">
        <v>29</v>
      </c>
      <c r="B30" s="3" t="inlineStr">
        <is>
          <t>DL001</t>
        </is>
      </c>
      <c r="C30" s="4" t="inlineStr">
        <is>
          <t>Điện nước Nhật (Shop) HCM</t>
        </is>
      </c>
      <c r="D30" s="3" t="inlineStr">
        <is>
          <t>HCM</t>
        </is>
      </c>
      <c r="E30" s="3" t="inlineStr">
        <is>
          <t>BẢO TRÂM</t>
        </is>
      </c>
      <c r="F30" s="3" t="inlineStr">
        <is>
          <t>Shopee</t>
        </is>
      </c>
      <c r="G3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0" s="3" t="inlineStr">
        <is>
          <t>D3-125x1.8</t>
        </is>
      </c>
      <c r="I30" s="4" t="inlineStr">
        <is>
          <t>Đá cắt sắt, inox Kingblue D3-125x1.8 xanh</t>
        </is>
      </c>
      <c r="J30" s="3" t="inlineStr">
        <is>
          <t>Viên</t>
        </is>
      </c>
      <c r="K30" s="5" t="n">
        <v>9700</v>
      </c>
      <c r="L30" s="5" t="n">
        <v>12000</v>
      </c>
      <c r="M30" s="6" t="n">
        <v>15500</v>
      </c>
      <c r="N30" s="5" t="n"/>
      <c r="O30" s="5">
        <f>IF(AND(ISNUMBER(N30),ISNUMBER(M30)),N30-M30,"")</f>
        <v/>
      </c>
      <c r="P30" s="7">
        <f>IF(AND(ISNUMBER(N30),ISNUMBER(M30),M30&gt;0),(N30-M30)/M30,"")</f>
        <v/>
      </c>
      <c r="Q30" s="3">
        <f>IF(P30="","",IF(P30&lt;-0.02,"🔴 Bán phá giá sàn",IF(P30&gt;0.05,"🔵 Bán cao hơn","🟢 Đúng giá sàn TMĐT")))</f>
        <v/>
      </c>
      <c r="R30" s="3" t="n"/>
      <c r="S30" s="4" t="n"/>
      <c r="T30" s="4" t="n"/>
    </row>
    <row r="31">
      <c r="A31" s="3" t="n">
        <v>30</v>
      </c>
      <c r="B31" s="3" t="inlineStr">
        <is>
          <t>DL001</t>
        </is>
      </c>
      <c r="C31" s="4" t="inlineStr">
        <is>
          <t>Điện nước Nhật (Shop) HCM</t>
        </is>
      </c>
      <c r="D31" s="3" t="inlineStr">
        <is>
          <t>HCM</t>
        </is>
      </c>
      <c r="E31" s="3" t="inlineStr">
        <is>
          <t>BẢO TRÂM</t>
        </is>
      </c>
      <c r="F31" s="3" t="inlineStr">
        <is>
          <t>Shopee</t>
        </is>
      </c>
      <c r="G3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1" s="3" t="inlineStr">
        <is>
          <t>D3-150x2.0x22mm</t>
        </is>
      </c>
      <c r="I31" s="4" t="inlineStr">
        <is>
          <t>Đá cắt sắt, inox Kingblue D3-150x2.0x22mm</t>
        </is>
      </c>
      <c r="J31" s="3" t="inlineStr">
        <is>
          <t>Cái</t>
        </is>
      </c>
      <c r="K31" s="5" t="n">
        <v>269000</v>
      </c>
      <c r="L31" s="5" t="n">
        <v>317000</v>
      </c>
      <c r="M31" s="6" t="n">
        <v>390000</v>
      </c>
      <c r="N31" s="5" t="n"/>
      <c r="O31" s="5">
        <f>IF(AND(ISNUMBER(N31),ISNUMBER(M31)),N31-M31,"")</f>
        <v/>
      </c>
      <c r="P31" s="7">
        <f>IF(AND(ISNUMBER(N31),ISNUMBER(M31),M31&gt;0),(N31-M31)/M31,"")</f>
        <v/>
      </c>
      <c r="Q31" s="3">
        <f>IF(P31="","",IF(P31&lt;-0.02,"🔴 Bán phá giá sàn",IF(P31&gt;0.05,"🔵 Bán cao hơn","🟢 Đúng giá sàn TMĐT")))</f>
        <v/>
      </c>
      <c r="R31" s="3" t="n"/>
      <c r="S31" s="4" t="n"/>
      <c r="T31" s="4" t="n"/>
    </row>
    <row r="32">
      <c r="A32" s="3" t="n">
        <v>31</v>
      </c>
      <c r="B32" s="3" t="inlineStr">
        <is>
          <t>DL001</t>
        </is>
      </c>
      <c r="C32" s="4" t="inlineStr">
        <is>
          <t>Điện nước Nhật (Shop) HCM</t>
        </is>
      </c>
      <c r="D32" s="3" t="inlineStr">
        <is>
          <t>HCM</t>
        </is>
      </c>
      <c r="E32" s="3" t="inlineStr">
        <is>
          <t>BẢO TRÂM</t>
        </is>
      </c>
      <c r="F32" s="3" t="inlineStr">
        <is>
          <t>Shopee</t>
        </is>
      </c>
      <c r="G3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2" s="3" t="inlineStr">
        <is>
          <t>D3-180x2.0x22mm</t>
        </is>
      </c>
      <c r="I32" s="4" t="inlineStr">
        <is>
          <t>Đá cắt sắt, inox Kingblue D3-180x2.0x22mm</t>
        </is>
      </c>
      <c r="J32" s="3" t="inlineStr">
        <is>
          <t>Cái</t>
        </is>
      </c>
      <c r="K32" s="5" t="n">
        <v>269000</v>
      </c>
      <c r="L32" s="5" t="n">
        <v>317000</v>
      </c>
      <c r="M32" s="6" t="n">
        <v>390000</v>
      </c>
      <c r="N32" s="5" t="n"/>
      <c r="O32" s="5">
        <f>IF(AND(ISNUMBER(N32),ISNUMBER(M32)),N32-M32,"")</f>
        <v/>
      </c>
      <c r="P32" s="7">
        <f>IF(AND(ISNUMBER(N32),ISNUMBER(M32),M32&gt;0),(N32-M32)/M32,"")</f>
        <v/>
      </c>
      <c r="Q32" s="3">
        <f>IF(P32="","",IF(P32&lt;-0.02,"🔴 Bán phá giá sàn",IF(P32&gt;0.05,"🔵 Bán cao hơn","🟢 Đúng giá sàn TMĐT")))</f>
        <v/>
      </c>
      <c r="R32" s="3" t="n"/>
      <c r="S32" s="4" t="n"/>
      <c r="T32" s="4" t="n"/>
    </row>
    <row r="33">
      <c r="A33" s="3" t="n">
        <v>32</v>
      </c>
      <c r="B33" s="3" t="inlineStr">
        <is>
          <t>DL001</t>
        </is>
      </c>
      <c r="C33" s="4" t="inlineStr">
        <is>
          <t>Điện nước Nhật (Shop) HCM</t>
        </is>
      </c>
      <c r="D33" s="3" t="inlineStr">
        <is>
          <t>HCM</t>
        </is>
      </c>
      <c r="E33" s="3" t="inlineStr">
        <is>
          <t>BẢO TRÂM</t>
        </is>
      </c>
      <c r="F33" s="3" t="inlineStr">
        <is>
          <t>Shopee</t>
        </is>
      </c>
      <c r="G3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3" s="3" t="inlineStr">
        <is>
          <t>D3-300x2.8</t>
        </is>
      </c>
      <c r="I33" s="4" t="inlineStr">
        <is>
          <t>Đá cắt sắt, inox KingBlue D3-300x2.8 S</t>
        </is>
      </c>
      <c r="J33" s="3" t="inlineStr">
        <is>
          <t>Viên</t>
        </is>
      </c>
      <c r="K33" s="5" t="n">
        <v>38500</v>
      </c>
      <c r="L33" s="5" t="n">
        <v>46000</v>
      </c>
      <c r="M33" s="6" t="n">
        <v>56000</v>
      </c>
      <c r="N33" s="5" t="n"/>
      <c r="O33" s="5">
        <f>IF(AND(ISNUMBER(N33),ISNUMBER(M33)),N33-M33,"")</f>
        <v/>
      </c>
      <c r="P33" s="7">
        <f>IF(AND(ISNUMBER(N33),ISNUMBER(M33),M33&gt;0),(N33-M33)/M33,"")</f>
        <v/>
      </c>
      <c r="Q33" s="3">
        <f>IF(P33="","",IF(P33&lt;-0.02,"🔴 Bán phá giá sàn",IF(P33&gt;0.05,"🔵 Bán cao hơn","🟢 Đúng giá sàn TMĐT")))</f>
        <v/>
      </c>
      <c r="R33" s="3" t="n"/>
      <c r="S33" s="4" t="n"/>
      <c r="T33" s="4" t="n"/>
    </row>
    <row r="34">
      <c r="A34" s="3" t="n">
        <v>33</v>
      </c>
      <c r="B34" s="3" t="inlineStr">
        <is>
          <t>DL001</t>
        </is>
      </c>
      <c r="C34" s="4" t="inlineStr">
        <is>
          <t>Điện nước Nhật (Shop) HCM</t>
        </is>
      </c>
      <c r="D34" s="3" t="inlineStr">
        <is>
          <t>HCM</t>
        </is>
      </c>
      <c r="E34" s="3" t="inlineStr">
        <is>
          <t>BẢO TRÂM</t>
        </is>
      </c>
      <c r="F34" s="3" t="inlineStr">
        <is>
          <t>Shopee</t>
        </is>
      </c>
      <c r="G3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4" s="3" t="inlineStr">
        <is>
          <t>D3-400x3.0</t>
        </is>
      </c>
      <c r="I34" s="4" t="inlineStr">
        <is>
          <t>Đá cắt sắt, inox KingBlue D3-400x3.0 S</t>
        </is>
      </c>
      <c r="J34" s="3" t="inlineStr">
        <is>
          <t>Cái</t>
        </is>
      </c>
      <c r="K34" s="5" t="n">
        <v>67000</v>
      </c>
      <c r="L34" s="5" t="n">
        <v>77000</v>
      </c>
      <c r="M34" s="6" t="n">
        <v>93000</v>
      </c>
      <c r="N34" s="5" t="n"/>
      <c r="O34" s="5">
        <f>IF(AND(ISNUMBER(N34),ISNUMBER(M34)),N34-M34,"")</f>
        <v/>
      </c>
      <c r="P34" s="7">
        <f>IF(AND(ISNUMBER(N34),ISNUMBER(M34),M34&gt;0),(N34-M34)/M34,"")</f>
        <v/>
      </c>
      <c r="Q34" s="3">
        <f>IF(P34="","",IF(P34&lt;-0.02,"🔴 Bán phá giá sàn",IF(P34&gt;0.05,"🔵 Bán cao hơn","🟢 Đúng giá sàn TMĐT")))</f>
        <v/>
      </c>
      <c r="R34" s="3" t="n"/>
      <c r="S34" s="4" t="n"/>
      <c r="T34" s="4" t="n"/>
    </row>
    <row r="35">
      <c r="A35" s="3" t="n">
        <v>34</v>
      </c>
      <c r="B35" s="3" t="inlineStr">
        <is>
          <t>DL001</t>
        </is>
      </c>
      <c r="C35" s="4" t="inlineStr">
        <is>
          <t>Điện nước Nhật (Shop) HCM</t>
        </is>
      </c>
      <c r="D35" s="3" t="inlineStr">
        <is>
          <t>HCM</t>
        </is>
      </c>
      <c r="E35" s="3" t="inlineStr">
        <is>
          <t>BẢO TRÂM</t>
        </is>
      </c>
      <c r="F35" s="3" t="inlineStr">
        <is>
          <t>Shopee</t>
        </is>
      </c>
      <c r="G3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5" s="3" t="inlineStr">
        <is>
          <t>D3-103x2.8</t>
        </is>
      </c>
      <c r="I35" s="4" t="inlineStr">
        <is>
          <t>Đá mài sắt, inox KingBlue D3-103x2.8</t>
        </is>
      </c>
      <c r="J35" s="3" t="inlineStr">
        <is>
          <t>Cái</t>
        </is>
      </c>
      <c r="K35" s="5" t="n">
        <v>9100</v>
      </c>
      <c r="L35" s="5" t="n">
        <v>11300</v>
      </c>
      <c r="M35" s="6" t="n">
        <v>14500</v>
      </c>
      <c r="N35" s="5" t="n"/>
      <c r="O35" s="5">
        <f>IF(AND(ISNUMBER(N35),ISNUMBER(M35)),N35-M35,"")</f>
        <v/>
      </c>
      <c r="P35" s="7">
        <f>IF(AND(ISNUMBER(N35),ISNUMBER(M35),M35&gt;0),(N35-M35)/M35,"")</f>
        <v/>
      </c>
      <c r="Q35" s="3">
        <f>IF(P35="","",IF(P35&lt;-0.02,"🔴 Bán phá giá sàn",IF(P35&gt;0.05,"🔵 Bán cao hơn","🟢 Đúng giá sàn TMĐT")))</f>
        <v/>
      </c>
      <c r="R35" s="3" t="n"/>
      <c r="S35" s="4" t="n"/>
      <c r="T35" s="4" t="n"/>
    </row>
    <row r="36">
      <c r="A36" s="3" t="n">
        <v>35</v>
      </c>
      <c r="B36" s="3" t="inlineStr">
        <is>
          <t>DL001</t>
        </is>
      </c>
      <c r="C36" s="4" t="inlineStr">
        <is>
          <t>Điện nước Nhật (Shop) HCM</t>
        </is>
      </c>
      <c r="D36" s="3" t="inlineStr">
        <is>
          <t>HCM</t>
        </is>
      </c>
      <c r="E36" s="3" t="inlineStr">
        <is>
          <t>BẢO TRÂM</t>
        </is>
      </c>
      <c r="F36" s="3" t="inlineStr">
        <is>
          <t>Shopee</t>
        </is>
      </c>
      <c r="G3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6" s="3" t="inlineStr">
        <is>
          <t>D3-125x6.0</t>
        </is>
      </c>
      <c r="I36" s="4" t="inlineStr">
        <is>
          <t>Đá mài sắt, inox Kingblue D3-125x6.0</t>
        </is>
      </c>
      <c r="J36" s="3" t="inlineStr">
        <is>
          <t>Cái</t>
        </is>
      </c>
      <c r="K36" s="5" t="n">
        <v>20000</v>
      </c>
      <c r="L36" s="5" t="n">
        <v>25000</v>
      </c>
      <c r="M36" s="6" t="n">
        <v>32000</v>
      </c>
      <c r="N36" s="5" t="n"/>
      <c r="O36" s="5">
        <f>IF(AND(ISNUMBER(N36),ISNUMBER(M36)),N36-M36,"")</f>
        <v/>
      </c>
      <c r="P36" s="7">
        <f>IF(AND(ISNUMBER(N36),ISNUMBER(M36),M36&gt;0),(N36-M36)/M36,"")</f>
        <v/>
      </c>
      <c r="Q36" s="3">
        <f>IF(P36="","",IF(P36&lt;-0.02,"🔴 Bán phá giá sàn",IF(P36&gt;0.05,"🔵 Bán cao hơn","🟢 Đúng giá sàn TMĐT")))</f>
        <v/>
      </c>
      <c r="R36" s="3" t="n"/>
      <c r="S36" s="4" t="n"/>
      <c r="T36" s="4" t="n"/>
    </row>
    <row r="37">
      <c r="A37" s="3" t="n">
        <v>36</v>
      </c>
      <c r="B37" s="3" t="inlineStr">
        <is>
          <t>DL001</t>
        </is>
      </c>
      <c r="C37" s="4" t="inlineStr">
        <is>
          <t>Điện nước Nhật (Shop) HCM</t>
        </is>
      </c>
      <c r="D37" s="3" t="inlineStr">
        <is>
          <t>HCM</t>
        </is>
      </c>
      <c r="E37" s="3" t="inlineStr">
        <is>
          <t>BẢO TRÂM</t>
        </is>
      </c>
      <c r="F37" s="3" t="inlineStr">
        <is>
          <t>Shopee</t>
        </is>
      </c>
      <c r="G3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7" s="3" t="inlineStr">
        <is>
          <t>D3-100x6.0mm</t>
        </is>
      </c>
      <c r="I37" s="4" t="inlineStr">
        <is>
          <t>Đá mài sắt,inox KingBlue D3-100x6.0mm</t>
        </is>
      </c>
      <c r="J37" s="3" t="inlineStr">
        <is>
          <t>Cái</t>
        </is>
      </c>
      <c r="K37" s="5" t="n">
        <v>269000</v>
      </c>
      <c r="L37" s="5" t="n">
        <v>317000</v>
      </c>
      <c r="M37" s="6" t="n">
        <v>390000</v>
      </c>
      <c r="N37" s="5" t="n"/>
      <c r="O37" s="5">
        <f>IF(AND(ISNUMBER(N37),ISNUMBER(M37)),N37-M37,"")</f>
        <v/>
      </c>
      <c r="P37" s="7">
        <f>IF(AND(ISNUMBER(N37),ISNUMBER(M37),M37&gt;0),(N37-M37)/M37,"")</f>
        <v/>
      </c>
      <c r="Q37" s="3">
        <f>IF(P37="","",IF(P37&lt;-0.02,"🔴 Bán phá giá sàn",IF(P37&gt;0.05,"🔵 Bán cao hơn","🟢 Đúng giá sàn TMĐT")))</f>
        <v/>
      </c>
      <c r="R37" s="3" t="n"/>
      <c r="S37" s="4" t="n"/>
      <c r="T37" s="4" t="n"/>
    </row>
    <row r="38">
      <c r="A38" s="3" t="n">
        <v>37</v>
      </c>
      <c r="B38" s="3" t="inlineStr">
        <is>
          <t>DL001</t>
        </is>
      </c>
      <c r="C38" s="4" t="inlineStr">
        <is>
          <t>Điện nước Nhật (Shop) HCM</t>
        </is>
      </c>
      <c r="D38" s="3" t="inlineStr">
        <is>
          <t>HCM</t>
        </is>
      </c>
      <c r="E38" s="3" t="inlineStr">
        <is>
          <t>BẢO TRÂM</t>
        </is>
      </c>
      <c r="F38" s="3" t="inlineStr">
        <is>
          <t>Shopee</t>
        </is>
      </c>
      <c r="G3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8" s="3" t="inlineStr">
        <is>
          <t>CM07</t>
        </is>
      </c>
      <c r="I38" s="4" t="inlineStr">
        <is>
          <t>Đầu chụp bulon KingBlue CM07</t>
        </is>
      </c>
      <c r="J38" s="3" t="inlineStr">
        <is>
          <t>Hộp</t>
        </is>
      </c>
      <c r="K38" s="5" t="n">
        <v>143000</v>
      </c>
      <c r="L38" s="5" t="n">
        <v>180000</v>
      </c>
      <c r="M38" s="6" t="n">
        <v>236000</v>
      </c>
      <c r="N38" s="5" t="n"/>
      <c r="O38" s="5">
        <f>IF(AND(ISNUMBER(N38),ISNUMBER(M38)),N38-M38,"")</f>
        <v/>
      </c>
      <c r="P38" s="7">
        <f>IF(AND(ISNUMBER(N38),ISNUMBER(M38),M38&gt;0),(N38-M38)/M38,"")</f>
        <v/>
      </c>
      <c r="Q38" s="3">
        <f>IF(P38="","",IF(P38&lt;-0.02,"🔴 Bán phá giá sàn",IF(P38&gt;0.05,"🔵 Bán cao hơn","🟢 Đúng giá sàn TMĐT")))</f>
        <v/>
      </c>
      <c r="R38" s="3" t="n"/>
      <c r="S38" s="4" t="n"/>
      <c r="T38" s="4" t="n"/>
    </row>
    <row r="39">
      <c r="A39" s="3" t="n">
        <v>38</v>
      </c>
      <c r="B39" s="3" t="inlineStr">
        <is>
          <t>DL001</t>
        </is>
      </c>
      <c r="C39" s="4" t="inlineStr">
        <is>
          <t>Điện nước Nhật (Shop) HCM</t>
        </is>
      </c>
      <c r="D39" s="3" t="inlineStr">
        <is>
          <t>HCM</t>
        </is>
      </c>
      <c r="E39" s="3" t="inlineStr">
        <is>
          <t>BẢO TRÂM</t>
        </is>
      </c>
      <c r="F39" s="3" t="inlineStr">
        <is>
          <t>Shopee</t>
        </is>
      </c>
      <c r="G3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39" s="3" t="inlineStr">
        <is>
          <t>CM08</t>
        </is>
      </c>
      <c r="I39" s="4" t="inlineStr">
        <is>
          <t>Đầu chụp bulon KingBlue CM08</t>
        </is>
      </c>
      <c r="J39" s="3" t="inlineStr">
        <is>
          <t>Hộp</t>
        </is>
      </c>
      <c r="K39" s="5" t="n">
        <v>154000</v>
      </c>
      <c r="L39" s="5" t="n">
        <v>194000</v>
      </c>
      <c r="M39" s="6" t="n">
        <v>254000</v>
      </c>
      <c r="N39" s="5" t="n"/>
      <c r="O39" s="5">
        <f>IF(AND(ISNUMBER(N39),ISNUMBER(M39)),N39-M39,"")</f>
        <v/>
      </c>
      <c r="P39" s="7">
        <f>IF(AND(ISNUMBER(N39),ISNUMBER(M39),M39&gt;0),(N39-M39)/M39,"")</f>
        <v/>
      </c>
      <c r="Q39" s="3">
        <f>IF(P39="","",IF(P39&lt;-0.02,"🔴 Bán phá giá sàn",IF(P39&gt;0.05,"🔵 Bán cao hơn","🟢 Đúng giá sàn TMĐT")))</f>
        <v/>
      </c>
      <c r="R39" s="3" t="n"/>
      <c r="S39" s="4" t="n"/>
      <c r="T39" s="4" t="n"/>
    </row>
    <row r="40">
      <c r="A40" s="3" t="n">
        <v>39</v>
      </c>
      <c r="B40" s="3" t="inlineStr">
        <is>
          <t>DL001</t>
        </is>
      </c>
      <c r="C40" s="4" t="inlineStr">
        <is>
          <t>Điện nước Nhật (Shop) HCM</t>
        </is>
      </c>
      <c r="D40" s="3" t="inlineStr">
        <is>
          <t>HCM</t>
        </is>
      </c>
      <c r="E40" s="3" t="inlineStr">
        <is>
          <t>BẢO TRÂM</t>
        </is>
      </c>
      <c r="F40" s="3" t="inlineStr">
        <is>
          <t>Shopee</t>
        </is>
      </c>
      <c r="G4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0" s="3" t="inlineStr">
        <is>
          <t>CM10</t>
        </is>
      </c>
      <c r="I40" s="4" t="inlineStr">
        <is>
          <t>Đầu chụp bulon KingBlue CM10</t>
        </is>
      </c>
      <c r="J40" s="3" t="inlineStr">
        <is>
          <t>Hộp</t>
        </is>
      </c>
      <c r="K40" s="5" t="n">
        <v>176000</v>
      </c>
      <c r="L40" s="5" t="n">
        <v>222000</v>
      </c>
      <c r="M40" s="6" t="n">
        <v>290000</v>
      </c>
      <c r="N40" s="5" t="n"/>
      <c r="O40" s="5">
        <f>IF(AND(ISNUMBER(N40),ISNUMBER(M40)),N40-M40,"")</f>
        <v/>
      </c>
      <c r="P40" s="7">
        <f>IF(AND(ISNUMBER(N40),ISNUMBER(M40),M40&gt;0),(N40-M40)/M40,"")</f>
        <v/>
      </c>
      <c r="Q40" s="3">
        <f>IF(P40="","",IF(P40&lt;-0.02,"🔴 Bán phá giá sàn",IF(P40&gt;0.05,"🔵 Bán cao hơn","🟢 Đúng giá sàn TMĐT")))</f>
        <v/>
      </c>
      <c r="R40" s="3" t="n"/>
      <c r="S40" s="4" t="n"/>
      <c r="T40" s="4" t="n"/>
    </row>
    <row r="41">
      <c r="A41" s="3" t="n">
        <v>40</v>
      </c>
      <c r="B41" s="3" t="inlineStr">
        <is>
          <t>DL001</t>
        </is>
      </c>
      <c r="C41" s="4" t="inlineStr">
        <is>
          <t>Điện nước Nhật (Shop) HCM</t>
        </is>
      </c>
      <c r="D41" s="3" t="inlineStr">
        <is>
          <t>HCM</t>
        </is>
      </c>
      <c r="E41" s="3" t="inlineStr">
        <is>
          <t>BẢO TRÂM</t>
        </is>
      </c>
      <c r="F41" s="3" t="inlineStr">
        <is>
          <t>Shopee</t>
        </is>
      </c>
      <c r="G4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1" s="3" t="inlineStr">
        <is>
          <t>CM12</t>
        </is>
      </c>
      <c r="I41" s="4" t="inlineStr">
        <is>
          <t>Đầu chụp bulon KingBlue CM12</t>
        </is>
      </c>
      <c r="J41" s="3" t="inlineStr">
        <is>
          <t>Hộp</t>
        </is>
      </c>
      <c r="K41" s="5" t="n">
        <v>99000</v>
      </c>
      <c r="L41" s="5" t="n">
        <v>125000</v>
      </c>
      <c r="M41" s="6" t="n">
        <v>163000</v>
      </c>
      <c r="N41" s="5" t="n"/>
      <c r="O41" s="5">
        <f>IF(AND(ISNUMBER(N41),ISNUMBER(M41)),N41-M41,"")</f>
        <v/>
      </c>
      <c r="P41" s="7">
        <f>IF(AND(ISNUMBER(N41),ISNUMBER(M41),M41&gt;0),(N41-M41)/M41,"")</f>
        <v/>
      </c>
      <c r="Q41" s="3">
        <f>IF(P41="","",IF(P41&lt;-0.02,"🔴 Bán phá giá sàn",IF(P41&gt;0.05,"🔵 Bán cao hơn","🟢 Đúng giá sàn TMĐT")))</f>
        <v/>
      </c>
      <c r="R41" s="3" t="n"/>
      <c r="S41" s="4" t="n"/>
      <c r="T41" s="4" t="n"/>
    </row>
    <row r="42">
      <c r="A42" s="3" t="n">
        <v>41</v>
      </c>
      <c r="B42" s="3" t="inlineStr">
        <is>
          <t>DL001</t>
        </is>
      </c>
      <c r="C42" s="4" t="inlineStr">
        <is>
          <t>Điện nước Nhật (Shop) HCM</t>
        </is>
      </c>
      <c r="D42" s="3" t="inlineStr">
        <is>
          <t>HCM</t>
        </is>
      </c>
      <c r="E42" s="3" t="inlineStr">
        <is>
          <t>BẢO TRÂM</t>
        </is>
      </c>
      <c r="F42" s="3" t="inlineStr">
        <is>
          <t>Shopee</t>
        </is>
      </c>
      <c r="G4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2" s="3" t="inlineStr">
        <is>
          <t>CM13</t>
        </is>
      </c>
      <c r="I42" s="4" t="inlineStr">
        <is>
          <t>Đầu chụp bulon KingBlue CM13</t>
        </is>
      </c>
      <c r="J42" s="3" t="inlineStr">
        <is>
          <t>Hộp</t>
        </is>
      </c>
      <c r="K42" s="5" t="n">
        <v>105000</v>
      </c>
      <c r="L42" s="5" t="n">
        <v>132000</v>
      </c>
      <c r="M42" s="6" t="n">
        <v>173000</v>
      </c>
      <c r="N42" s="5" t="n"/>
      <c r="O42" s="5">
        <f>IF(AND(ISNUMBER(N42),ISNUMBER(M42)),N42-M42,"")</f>
        <v/>
      </c>
      <c r="P42" s="7">
        <f>IF(AND(ISNUMBER(N42),ISNUMBER(M42),M42&gt;0),(N42-M42)/M42,"")</f>
        <v/>
      </c>
      <c r="Q42" s="3">
        <f>IF(P42="","",IF(P42&lt;-0.02,"🔴 Bán phá giá sàn",IF(P42&gt;0.05,"🔵 Bán cao hơn","🟢 Đúng giá sàn TMĐT")))</f>
        <v/>
      </c>
      <c r="R42" s="3" t="n"/>
      <c r="S42" s="4" t="n"/>
      <c r="T42" s="4" t="n"/>
    </row>
    <row r="43">
      <c r="A43" s="3" t="n">
        <v>42</v>
      </c>
      <c r="B43" s="3" t="inlineStr">
        <is>
          <t>DL001</t>
        </is>
      </c>
      <c r="C43" s="4" t="inlineStr">
        <is>
          <t>Điện nước Nhật (Shop) HCM</t>
        </is>
      </c>
      <c r="D43" s="3" t="inlineStr">
        <is>
          <t>HCM</t>
        </is>
      </c>
      <c r="E43" s="3" t="inlineStr">
        <is>
          <t>BẢO TRÂM</t>
        </is>
      </c>
      <c r="F43" s="3" t="inlineStr">
        <is>
          <t>Shopee</t>
        </is>
      </c>
      <c r="G4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3" s="3" t="inlineStr">
        <is>
          <t>CM14</t>
        </is>
      </c>
      <c r="I43" s="4" t="inlineStr">
        <is>
          <t>Đầu chụp bulon KingBlue CM14</t>
        </is>
      </c>
      <c r="J43" s="3" t="inlineStr">
        <is>
          <t>Hộp</t>
        </is>
      </c>
      <c r="K43" s="5" t="n">
        <v>105000</v>
      </c>
      <c r="L43" s="5" t="n">
        <v>132000</v>
      </c>
      <c r="M43" s="6" t="n">
        <v>173000</v>
      </c>
      <c r="N43" s="5" t="n"/>
      <c r="O43" s="5">
        <f>IF(AND(ISNUMBER(N43),ISNUMBER(M43)),N43-M43,"")</f>
        <v/>
      </c>
      <c r="P43" s="7">
        <f>IF(AND(ISNUMBER(N43),ISNUMBER(M43),M43&gt;0),(N43-M43)/M43,"")</f>
        <v/>
      </c>
      <c r="Q43" s="3">
        <f>IF(P43="","",IF(P43&lt;-0.02,"🔴 Bán phá giá sàn",IF(P43&gt;0.05,"🔵 Bán cao hơn","🟢 Đúng giá sàn TMĐT")))</f>
        <v/>
      </c>
      <c r="R43" s="3" t="n"/>
      <c r="S43" s="4" t="n"/>
      <c r="T43" s="4" t="n"/>
    </row>
    <row r="44">
      <c r="A44" s="3" t="n">
        <v>43</v>
      </c>
      <c r="B44" s="3" t="inlineStr">
        <is>
          <t>DL001</t>
        </is>
      </c>
      <c r="C44" s="4" t="inlineStr">
        <is>
          <t>Điện nước Nhật (Shop) HCM</t>
        </is>
      </c>
      <c r="D44" s="3" t="inlineStr">
        <is>
          <t>HCM</t>
        </is>
      </c>
      <c r="E44" s="3" t="inlineStr">
        <is>
          <t>BẢO TRÂM</t>
        </is>
      </c>
      <c r="F44" s="3" t="inlineStr">
        <is>
          <t>Shopee</t>
        </is>
      </c>
      <c r="G4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4" s="3" t="inlineStr">
        <is>
          <t>CM17</t>
        </is>
      </c>
      <c r="I44" s="4" t="inlineStr">
        <is>
          <t>Đầu chụp bulon KingBlue CM17</t>
        </is>
      </c>
      <c r="J44" s="3" t="inlineStr">
        <is>
          <t>Hộp</t>
        </is>
      </c>
      <c r="K44" s="5" t="n">
        <v>110000</v>
      </c>
      <c r="L44" s="5" t="n">
        <v>139000</v>
      </c>
      <c r="M44" s="6" t="n">
        <v>182000</v>
      </c>
      <c r="N44" s="5" t="n"/>
      <c r="O44" s="5">
        <f>IF(AND(ISNUMBER(N44),ISNUMBER(M44)),N44-M44,"")</f>
        <v/>
      </c>
      <c r="P44" s="7">
        <f>IF(AND(ISNUMBER(N44),ISNUMBER(M44),M44&gt;0),(N44-M44)/M44,"")</f>
        <v/>
      </c>
      <c r="Q44" s="3">
        <f>IF(P44="","",IF(P44&lt;-0.02,"🔴 Bán phá giá sàn",IF(P44&gt;0.05,"🔵 Bán cao hơn","🟢 Đúng giá sàn TMĐT")))</f>
        <v/>
      </c>
      <c r="R44" s="3" t="n"/>
      <c r="S44" s="4" t="n"/>
      <c r="T44" s="4" t="n"/>
    </row>
    <row r="45">
      <c r="A45" s="3" t="n">
        <v>44</v>
      </c>
      <c r="B45" s="3" t="inlineStr">
        <is>
          <t>DL001</t>
        </is>
      </c>
      <c r="C45" s="4" t="inlineStr">
        <is>
          <t>Điện nước Nhật (Shop) HCM</t>
        </is>
      </c>
      <c r="D45" s="3" t="inlineStr">
        <is>
          <t>HCM</t>
        </is>
      </c>
      <c r="E45" s="3" t="inlineStr">
        <is>
          <t>BẢO TRÂM</t>
        </is>
      </c>
      <c r="F45" s="3" t="inlineStr">
        <is>
          <t>Shopee</t>
        </is>
      </c>
      <c r="G4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5" s="3" t="inlineStr">
        <is>
          <t>CM19</t>
        </is>
      </c>
      <c r="I45" s="4" t="inlineStr">
        <is>
          <t>Đầu chụp bulon KingBlue CM19</t>
        </is>
      </c>
      <c r="J45" s="3" t="inlineStr">
        <is>
          <t>Hộp</t>
        </is>
      </c>
      <c r="K45" s="5" t="n">
        <v>86000</v>
      </c>
      <c r="L45" s="5" t="n">
        <v>108000</v>
      </c>
      <c r="M45" s="6" t="n">
        <v>142000</v>
      </c>
      <c r="N45" s="5" t="n"/>
      <c r="O45" s="5">
        <f>IF(AND(ISNUMBER(N45),ISNUMBER(M45)),N45-M45,"")</f>
        <v/>
      </c>
      <c r="P45" s="7">
        <f>IF(AND(ISNUMBER(N45),ISNUMBER(M45),M45&gt;0),(N45-M45)/M45,"")</f>
        <v/>
      </c>
      <c r="Q45" s="3">
        <f>IF(P45="","",IF(P45&lt;-0.02,"🔴 Bán phá giá sàn",IF(P45&gt;0.05,"🔵 Bán cao hơn","🟢 Đúng giá sàn TMĐT")))</f>
        <v/>
      </c>
      <c r="R45" s="3" t="n"/>
      <c r="S45" s="4" t="n"/>
      <c r="T45" s="4" t="n"/>
    </row>
    <row r="46">
      <c r="A46" s="3" t="n">
        <v>45</v>
      </c>
      <c r="B46" s="3" t="inlineStr">
        <is>
          <t>DL001</t>
        </is>
      </c>
      <c r="C46" s="4" t="inlineStr">
        <is>
          <t>Điện nước Nhật (Shop) HCM</t>
        </is>
      </c>
      <c r="D46" s="3" t="inlineStr">
        <is>
          <t>HCM</t>
        </is>
      </c>
      <c r="E46" s="3" t="inlineStr">
        <is>
          <t>BẢO TRÂM</t>
        </is>
      </c>
      <c r="F46" s="3" t="inlineStr">
        <is>
          <t>Shopee</t>
        </is>
      </c>
      <c r="G4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6" s="3" t="inlineStr">
        <is>
          <t>K49M</t>
        </is>
      </c>
      <c r="I46" s="4" t="inlineStr">
        <is>
          <t>Đầu khò gas K49M</t>
        </is>
      </c>
      <c r="J46" s="3" t="inlineStr">
        <is>
          <t>Cái</t>
        </is>
      </c>
      <c r="K46" s="5" t="n">
        <v>269000</v>
      </c>
      <c r="L46" s="5" t="n">
        <v>317000</v>
      </c>
      <c r="M46" s="6" t="n">
        <v>390000</v>
      </c>
      <c r="N46" s="5" t="n"/>
      <c r="O46" s="5">
        <f>IF(AND(ISNUMBER(N46),ISNUMBER(M46)),N46-M46,"")</f>
        <v/>
      </c>
      <c r="P46" s="7">
        <f>IF(AND(ISNUMBER(N46),ISNUMBER(M46),M46&gt;0),(N46-M46)/M46,"")</f>
        <v/>
      </c>
      <c r="Q46" s="3">
        <f>IF(P46="","",IF(P46&lt;-0.02,"🔴 Bán phá giá sàn",IF(P46&gt;0.05,"🔵 Bán cao hơn","🟢 Đúng giá sàn TMĐT")))</f>
        <v/>
      </c>
      <c r="R46" s="3" t="n"/>
      <c r="S46" s="4" t="n"/>
      <c r="T46" s="4" t="n"/>
    </row>
    <row r="47">
      <c r="A47" s="3" t="n">
        <v>46</v>
      </c>
      <c r="B47" s="3" t="inlineStr">
        <is>
          <t>DL001</t>
        </is>
      </c>
      <c r="C47" s="4" t="inlineStr">
        <is>
          <t>Điện nước Nhật (Shop) HCM</t>
        </is>
      </c>
      <c r="D47" s="3" t="inlineStr">
        <is>
          <t>HCM</t>
        </is>
      </c>
      <c r="E47" s="3" t="inlineStr">
        <is>
          <t>BẢO TRÂM</t>
        </is>
      </c>
      <c r="F47" s="3" t="inlineStr">
        <is>
          <t>Shopee</t>
        </is>
      </c>
      <c r="G4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7" s="3" t="inlineStr"/>
      <c r="I47" s="4" t="inlineStr">
        <is>
          <t>Đầu nạp gas</t>
        </is>
      </c>
      <c r="J47" s="3" t="inlineStr">
        <is>
          <t>Cái</t>
        </is>
      </c>
      <c r="K47" s="5" t="n">
        <v>269000</v>
      </c>
      <c r="L47" s="5" t="n">
        <v>317000</v>
      </c>
      <c r="M47" s="6" t="n">
        <v>390000</v>
      </c>
      <c r="N47" s="5" t="n"/>
      <c r="O47" s="5">
        <f>IF(AND(ISNUMBER(N47),ISNUMBER(M47)),N47-M47,"")</f>
        <v/>
      </c>
      <c r="P47" s="7">
        <f>IF(AND(ISNUMBER(N47),ISNUMBER(M47),M47&gt;0),(N47-M47)/M47,"")</f>
        <v/>
      </c>
      <c r="Q47" s="3">
        <f>IF(P47="","",IF(P47&lt;-0.02,"🔴 Bán phá giá sàn",IF(P47&gt;0.05,"🔵 Bán cao hơn","🟢 Đúng giá sàn TMĐT")))</f>
        <v/>
      </c>
      <c r="R47" s="3" t="n"/>
      <c r="S47" s="4" t="n"/>
      <c r="T47" s="4" t="n"/>
    </row>
    <row r="48">
      <c r="A48" s="3" t="n">
        <v>47</v>
      </c>
      <c r="B48" s="3" t="inlineStr">
        <is>
          <t>DL001</t>
        </is>
      </c>
      <c r="C48" s="4" t="inlineStr">
        <is>
          <t>Điện nước Nhật (Shop) HCM</t>
        </is>
      </c>
      <c r="D48" s="3" t="inlineStr">
        <is>
          <t>HCM</t>
        </is>
      </c>
      <c r="E48" s="3" t="inlineStr">
        <is>
          <t>BẢO TRÂM</t>
        </is>
      </c>
      <c r="F48" s="3" t="inlineStr">
        <is>
          <t>Shopee</t>
        </is>
      </c>
      <c r="G4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8" s="3" t="inlineStr">
        <is>
          <t>T265E-T10</t>
        </is>
      </c>
      <c r="I48" s="4" t="inlineStr">
        <is>
          <t>Đầu vít hoa thị KingBlue T265E-T10</t>
        </is>
      </c>
      <c r="J48" s="3" t="inlineStr">
        <is>
          <t>Vỉ</t>
        </is>
      </c>
      <c r="K48" s="5" t="n">
        <v>17000</v>
      </c>
      <c r="L48" s="5" t="n">
        <v>22000</v>
      </c>
      <c r="M48" s="6" t="n">
        <v>29000</v>
      </c>
      <c r="N48" s="5" t="n"/>
      <c r="O48" s="5">
        <f>IF(AND(ISNUMBER(N48),ISNUMBER(M48)),N48-M48,"")</f>
        <v/>
      </c>
      <c r="P48" s="7">
        <f>IF(AND(ISNUMBER(N48),ISNUMBER(M48),M48&gt;0),(N48-M48)/M48,"")</f>
        <v/>
      </c>
      <c r="Q48" s="3">
        <f>IF(P48="","",IF(P48&lt;-0.02,"🔴 Bán phá giá sàn",IF(P48&gt;0.05,"🔵 Bán cao hơn","🟢 Đúng giá sàn TMĐT")))</f>
        <v/>
      </c>
      <c r="R48" s="3" t="n"/>
      <c r="S48" s="4" t="n"/>
      <c r="T48" s="4" t="n"/>
    </row>
    <row r="49">
      <c r="A49" s="3" t="n">
        <v>48</v>
      </c>
      <c r="B49" s="3" t="inlineStr">
        <is>
          <t>DL001</t>
        </is>
      </c>
      <c r="C49" s="4" t="inlineStr">
        <is>
          <t>Điện nước Nhật (Shop) HCM</t>
        </is>
      </c>
      <c r="D49" s="3" t="inlineStr">
        <is>
          <t>HCM</t>
        </is>
      </c>
      <c r="E49" s="3" t="inlineStr">
        <is>
          <t>BẢO TRÂM</t>
        </is>
      </c>
      <c r="F49" s="3" t="inlineStr">
        <is>
          <t>Shopee</t>
        </is>
      </c>
      <c r="G4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49" s="3" t="inlineStr">
        <is>
          <t>T265E-T15</t>
        </is>
      </c>
      <c r="I49" s="4" t="inlineStr">
        <is>
          <t>Đầu vít hoa thị KingBlue T265E-T15</t>
        </is>
      </c>
      <c r="J49" s="3" t="inlineStr">
        <is>
          <t>Vỉ</t>
        </is>
      </c>
      <c r="K49" s="5" t="n">
        <v>17000</v>
      </c>
      <c r="L49" s="5" t="n">
        <v>22000</v>
      </c>
      <c r="M49" s="6" t="n">
        <v>29000</v>
      </c>
      <c r="N49" s="5" t="n"/>
      <c r="O49" s="5">
        <f>IF(AND(ISNUMBER(N49),ISNUMBER(M49)),N49-M49,"")</f>
        <v/>
      </c>
      <c r="P49" s="7">
        <f>IF(AND(ISNUMBER(N49),ISNUMBER(M49),M49&gt;0),(N49-M49)/M49,"")</f>
        <v/>
      </c>
      <c r="Q49" s="3">
        <f>IF(P49="","",IF(P49&lt;-0.02,"🔴 Bán phá giá sàn",IF(P49&gt;0.05,"🔵 Bán cao hơn","🟢 Đúng giá sàn TMĐT")))</f>
        <v/>
      </c>
      <c r="R49" s="3" t="n"/>
      <c r="S49" s="4" t="n"/>
      <c r="T49" s="4" t="n"/>
    </row>
    <row r="50">
      <c r="A50" s="3" t="n">
        <v>49</v>
      </c>
      <c r="B50" s="3" t="inlineStr">
        <is>
          <t>DL001</t>
        </is>
      </c>
      <c r="C50" s="4" t="inlineStr">
        <is>
          <t>Điện nước Nhật (Shop) HCM</t>
        </is>
      </c>
      <c r="D50" s="3" t="inlineStr">
        <is>
          <t>HCM</t>
        </is>
      </c>
      <c r="E50" s="3" t="inlineStr">
        <is>
          <t>BẢO TRÂM</t>
        </is>
      </c>
      <c r="F50" s="3" t="inlineStr">
        <is>
          <t>Shopee</t>
        </is>
      </c>
      <c r="G5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0" s="3" t="inlineStr">
        <is>
          <t>T265E-T20</t>
        </is>
      </c>
      <c r="I50" s="4" t="inlineStr">
        <is>
          <t>Đầu vít hoa thị KingBlue T265E-T20</t>
        </is>
      </c>
      <c r="J50" s="3" t="inlineStr">
        <is>
          <t>Vỉ</t>
        </is>
      </c>
      <c r="K50" s="5" t="n">
        <v>17000</v>
      </c>
      <c r="L50" s="5" t="n">
        <v>22000</v>
      </c>
      <c r="M50" s="6" t="n">
        <v>29000</v>
      </c>
      <c r="N50" s="5" t="n"/>
      <c r="O50" s="5">
        <f>IF(AND(ISNUMBER(N50),ISNUMBER(M50)),N50-M50,"")</f>
        <v/>
      </c>
      <c r="P50" s="7">
        <f>IF(AND(ISNUMBER(N50),ISNUMBER(M50),M50&gt;0),(N50-M50)/M50,"")</f>
        <v/>
      </c>
      <c r="Q50" s="3">
        <f>IF(P50="","",IF(P50&lt;-0.02,"🔴 Bán phá giá sàn",IF(P50&gt;0.05,"🔵 Bán cao hơn","🟢 Đúng giá sàn TMĐT")))</f>
        <v/>
      </c>
      <c r="R50" s="3" t="n"/>
      <c r="S50" s="4" t="n"/>
      <c r="T50" s="4" t="n"/>
    </row>
    <row r="51">
      <c r="A51" s="3" t="n">
        <v>50</v>
      </c>
      <c r="B51" s="3" t="inlineStr">
        <is>
          <t>DL001</t>
        </is>
      </c>
      <c r="C51" s="4" t="inlineStr">
        <is>
          <t>Điện nước Nhật (Shop) HCM</t>
        </is>
      </c>
      <c r="D51" s="3" t="inlineStr">
        <is>
          <t>HCM</t>
        </is>
      </c>
      <c r="E51" s="3" t="inlineStr">
        <is>
          <t>BẢO TRÂM</t>
        </is>
      </c>
      <c r="F51" s="3" t="inlineStr">
        <is>
          <t>Shopee</t>
        </is>
      </c>
      <c r="G5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1" s="3" t="inlineStr">
        <is>
          <t>T265E-T25</t>
        </is>
      </c>
      <c r="I51" s="4" t="inlineStr">
        <is>
          <t>Đầu vít hoa thị KingBlue T265E-T25</t>
        </is>
      </c>
      <c r="J51" s="3" t="inlineStr">
        <is>
          <t>Vỉ</t>
        </is>
      </c>
      <c r="K51" s="5" t="n">
        <v>17000</v>
      </c>
      <c r="L51" s="5" t="n">
        <v>22000</v>
      </c>
      <c r="M51" s="6" t="n">
        <v>29000</v>
      </c>
      <c r="N51" s="5" t="n"/>
      <c r="O51" s="5">
        <f>IF(AND(ISNUMBER(N51),ISNUMBER(M51)),N51-M51,"")</f>
        <v/>
      </c>
      <c r="P51" s="7">
        <f>IF(AND(ISNUMBER(N51),ISNUMBER(M51),M51&gt;0),(N51-M51)/M51,"")</f>
        <v/>
      </c>
      <c r="Q51" s="3">
        <f>IF(P51="","",IF(P51&lt;-0.02,"🔴 Bán phá giá sàn",IF(P51&gt;0.05,"🔵 Bán cao hơn","🟢 Đúng giá sàn TMĐT")))</f>
        <v/>
      </c>
      <c r="R51" s="3" t="n"/>
      <c r="S51" s="4" t="n"/>
      <c r="T51" s="4" t="n"/>
    </row>
    <row r="52">
      <c r="A52" s="3" t="n">
        <v>51</v>
      </c>
      <c r="B52" s="3" t="inlineStr">
        <is>
          <t>DL001</t>
        </is>
      </c>
      <c r="C52" s="4" t="inlineStr">
        <is>
          <t>Điện nước Nhật (Shop) HCM</t>
        </is>
      </c>
      <c r="D52" s="3" t="inlineStr">
        <is>
          <t>HCM</t>
        </is>
      </c>
      <c r="E52" s="3" t="inlineStr">
        <is>
          <t>BẢO TRÂM</t>
        </is>
      </c>
      <c r="F52" s="3" t="inlineStr">
        <is>
          <t>Shopee</t>
        </is>
      </c>
      <c r="G5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2" s="3" t="inlineStr">
        <is>
          <t>T265E-T27</t>
        </is>
      </c>
      <c r="I52" s="4" t="inlineStr">
        <is>
          <t>Đầu vít hoa thị KingBlue T265E-T27</t>
        </is>
      </c>
      <c r="J52" s="3" t="inlineStr">
        <is>
          <t>Vỉ</t>
        </is>
      </c>
      <c r="K52" s="5" t="n">
        <v>17000</v>
      </c>
      <c r="L52" s="5" t="n">
        <v>22000</v>
      </c>
      <c r="M52" s="6" t="n">
        <v>29000</v>
      </c>
      <c r="N52" s="5" t="n"/>
      <c r="O52" s="5">
        <f>IF(AND(ISNUMBER(N52),ISNUMBER(M52)),N52-M52,"")</f>
        <v/>
      </c>
      <c r="P52" s="7">
        <f>IF(AND(ISNUMBER(N52),ISNUMBER(M52),M52&gt;0),(N52-M52)/M52,"")</f>
        <v/>
      </c>
      <c r="Q52" s="3">
        <f>IF(P52="","",IF(P52&lt;-0.02,"🔴 Bán phá giá sàn",IF(P52&gt;0.05,"🔵 Bán cao hơn","🟢 Đúng giá sàn TMĐT")))</f>
        <v/>
      </c>
      <c r="R52" s="3" t="n"/>
      <c r="S52" s="4" t="n"/>
      <c r="T52" s="4" t="n"/>
    </row>
    <row r="53">
      <c r="A53" s="3" t="n">
        <v>52</v>
      </c>
      <c r="B53" s="3" t="inlineStr">
        <is>
          <t>DL001</t>
        </is>
      </c>
      <c r="C53" s="4" t="inlineStr">
        <is>
          <t>Điện nước Nhật (Shop) HCM</t>
        </is>
      </c>
      <c r="D53" s="3" t="inlineStr">
        <is>
          <t>HCM</t>
        </is>
      </c>
      <c r="E53" s="3" t="inlineStr">
        <is>
          <t>BẢO TRÂM</t>
        </is>
      </c>
      <c r="F53" s="3" t="inlineStr">
        <is>
          <t>Shopee</t>
        </is>
      </c>
      <c r="G5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3" s="3" t="inlineStr">
        <is>
          <t>T265E-T30</t>
        </is>
      </c>
      <c r="I53" s="4" t="inlineStr">
        <is>
          <t>Đầu vít hoa thị KingBlue T265E-T30</t>
        </is>
      </c>
      <c r="J53" s="3" t="inlineStr">
        <is>
          <t>Vỉ</t>
        </is>
      </c>
      <c r="K53" s="5" t="n">
        <v>17000</v>
      </c>
      <c r="L53" s="5" t="n">
        <v>22000</v>
      </c>
      <c r="M53" s="6" t="n">
        <v>29000</v>
      </c>
      <c r="N53" s="5" t="n"/>
      <c r="O53" s="5">
        <f>IF(AND(ISNUMBER(N53),ISNUMBER(M53)),N53-M53,"")</f>
        <v/>
      </c>
      <c r="P53" s="7">
        <f>IF(AND(ISNUMBER(N53),ISNUMBER(M53),M53&gt;0),(N53-M53)/M53,"")</f>
        <v/>
      </c>
      <c r="Q53" s="3">
        <f>IF(P53="","",IF(P53&lt;-0.02,"🔴 Bán phá giá sàn",IF(P53&gt;0.05,"🔵 Bán cao hơn","🟢 Đúng giá sàn TMĐT")))</f>
        <v/>
      </c>
      <c r="R53" s="3" t="n"/>
      <c r="S53" s="4" t="n"/>
      <c r="T53" s="4" t="n"/>
    </row>
    <row r="54">
      <c r="A54" s="3" t="n">
        <v>53</v>
      </c>
      <c r="B54" s="3" t="inlineStr">
        <is>
          <t>DL001</t>
        </is>
      </c>
      <c r="C54" s="4" t="inlineStr">
        <is>
          <t>Điện nước Nhật (Shop) HCM</t>
        </is>
      </c>
      <c r="D54" s="3" t="inlineStr">
        <is>
          <t>HCM</t>
        </is>
      </c>
      <c r="E54" s="3" t="inlineStr">
        <is>
          <t>BẢO TRÂM</t>
        </is>
      </c>
      <c r="F54" s="3" t="inlineStr">
        <is>
          <t>Shopee</t>
        </is>
      </c>
      <c r="G5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4" s="3" t="inlineStr">
        <is>
          <t>T265E-T40</t>
        </is>
      </c>
      <c r="I54" s="4" t="inlineStr">
        <is>
          <t>Đầu vít hoa thị KingBlue T265E-T40</t>
        </is>
      </c>
      <c r="J54" s="3" t="inlineStr">
        <is>
          <t>Vỉ</t>
        </is>
      </c>
      <c r="K54" s="5" t="n">
        <v>17000</v>
      </c>
      <c r="L54" s="5" t="n">
        <v>22000</v>
      </c>
      <c r="M54" s="6" t="n">
        <v>29000</v>
      </c>
      <c r="N54" s="5" t="n"/>
      <c r="O54" s="5">
        <f>IF(AND(ISNUMBER(N54),ISNUMBER(M54)),N54-M54,"")</f>
        <v/>
      </c>
      <c r="P54" s="7">
        <f>IF(AND(ISNUMBER(N54),ISNUMBER(M54),M54&gt;0),(N54-M54)/M54,"")</f>
        <v/>
      </c>
      <c r="Q54" s="3">
        <f>IF(P54="","",IF(P54&lt;-0.02,"🔴 Bán phá giá sàn",IF(P54&gt;0.05,"🔵 Bán cao hơn","🟢 Đúng giá sàn TMĐT")))</f>
        <v/>
      </c>
      <c r="R54" s="3" t="n"/>
      <c r="S54" s="4" t="n"/>
      <c r="T54" s="4" t="n"/>
    </row>
    <row r="55">
      <c r="A55" s="3" t="n">
        <v>54</v>
      </c>
      <c r="B55" s="3" t="inlineStr">
        <is>
          <t>DL001</t>
        </is>
      </c>
      <c r="C55" s="4" t="inlineStr">
        <is>
          <t>Điện nước Nhật (Shop) HCM</t>
        </is>
      </c>
      <c r="D55" s="3" t="inlineStr">
        <is>
          <t>HCM</t>
        </is>
      </c>
      <c r="E55" s="3" t="inlineStr">
        <is>
          <t>BẢO TRÂM</t>
        </is>
      </c>
      <c r="F55" s="3" t="inlineStr">
        <is>
          <t>Shopee</t>
        </is>
      </c>
      <c r="G5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5" s="3" t="inlineStr">
        <is>
          <t>T265E-T50</t>
        </is>
      </c>
      <c r="I55" s="4" t="inlineStr">
        <is>
          <t>Đầu vít hoa thị KingBlue T265E-T50</t>
        </is>
      </c>
      <c r="J55" s="3" t="inlineStr">
        <is>
          <t>Vỉ</t>
        </is>
      </c>
      <c r="K55" s="5" t="n">
        <v>41000</v>
      </c>
      <c r="L55" s="5" t="n">
        <v>53000</v>
      </c>
      <c r="M55" s="6" t="n">
        <v>70000</v>
      </c>
      <c r="N55" s="5" t="n"/>
      <c r="O55" s="5">
        <f>IF(AND(ISNUMBER(N55),ISNUMBER(M55)),N55-M55,"")</f>
        <v/>
      </c>
      <c r="P55" s="7">
        <f>IF(AND(ISNUMBER(N55),ISNUMBER(M55),M55&gt;0),(N55-M55)/M55,"")</f>
        <v/>
      </c>
      <c r="Q55" s="3">
        <f>IF(P55="","",IF(P55&lt;-0.02,"🔴 Bán phá giá sàn",IF(P55&gt;0.05,"🔵 Bán cao hơn","🟢 Đúng giá sàn TMĐT")))</f>
        <v/>
      </c>
      <c r="R55" s="3" t="n"/>
      <c r="S55" s="4" t="n"/>
      <c r="T55" s="4" t="n"/>
    </row>
    <row r="56">
      <c r="A56" s="3" t="n">
        <v>55</v>
      </c>
      <c r="B56" s="3" t="inlineStr">
        <is>
          <t>DL001</t>
        </is>
      </c>
      <c r="C56" s="4" t="inlineStr">
        <is>
          <t>Điện nước Nhật (Shop) HCM</t>
        </is>
      </c>
      <c r="D56" s="3" t="inlineStr">
        <is>
          <t>HCM</t>
        </is>
      </c>
      <c r="E56" s="3" t="inlineStr">
        <is>
          <t>BẢO TRÂM</t>
        </is>
      </c>
      <c r="F56" s="3" t="inlineStr">
        <is>
          <t>Shopee</t>
        </is>
      </c>
      <c r="G5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6" s="3" t="inlineStr">
        <is>
          <t>L265E-H3</t>
        </is>
      </c>
      <c r="I56" s="4" t="inlineStr">
        <is>
          <t>Đầu vít lục giác KingBlue L265E-H3</t>
        </is>
      </c>
      <c r="J56" s="3" t="inlineStr">
        <is>
          <t>Vỉ</t>
        </is>
      </c>
      <c r="K56" s="5" t="n">
        <v>17000</v>
      </c>
      <c r="L56" s="5" t="n">
        <v>22000</v>
      </c>
      <c r="M56" s="6" t="n">
        <v>29000</v>
      </c>
      <c r="N56" s="5" t="n"/>
      <c r="O56" s="5">
        <f>IF(AND(ISNUMBER(N56),ISNUMBER(M56)),N56-M56,"")</f>
        <v/>
      </c>
      <c r="P56" s="7">
        <f>IF(AND(ISNUMBER(N56),ISNUMBER(M56),M56&gt;0),(N56-M56)/M56,"")</f>
        <v/>
      </c>
      <c r="Q56" s="3">
        <f>IF(P56="","",IF(P56&lt;-0.02,"🔴 Bán phá giá sàn",IF(P56&gt;0.05,"🔵 Bán cao hơn","🟢 Đúng giá sàn TMĐT")))</f>
        <v/>
      </c>
      <c r="R56" s="3" t="n"/>
      <c r="S56" s="4" t="n"/>
      <c r="T56" s="4" t="n"/>
    </row>
    <row r="57">
      <c r="A57" s="3" t="n">
        <v>56</v>
      </c>
      <c r="B57" s="3" t="inlineStr">
        <is>
          <t>DL001</t>
        </is>
      </c>
      <c r="C57" s="4" t="inlineStr">
        <is>
          <t>Điện nước Nhật (Shop) HCM</t>
        </is>
      </c>
      <c r="D57" s="3" t="inlineStr">
        <is>
          <t>HCM</t>
        </is>
      </c>
      <c r="E57" s="3" t="inlineStr">
        <is>
          <t>BẢO TRÂM</t>
        </is>
      </c>
      <c r="F57" s="3" t="inlineStr">
        <is>
          <t>Shopee</t>
        </is>
      </c>
      <c r="G5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7" s="3" t="inlineStr">
        <is>
          <t>L265E-H4</t>
        </is>
      </c>
      <c r="I57" s="4" t="inlineStr">
        <is>
          <t>Đầu vít lục giác KingBlue L265E-H4</t>
        </is>
      </c>
      <c r="J57" s="3" t="inlineStr">
        <is>
          <t>Vỉ</t>
        </is>
      </c>
      <c r="K57" s="5" t="n">
        <v>17000</v>
      </c>
      <c r="L57" s="5" t="n">
        <v>22000</v>
      </c>
      <c r="M57" s="6" t="n">
        <v>29000</v>
      </c>
      <c r="N57" s="5" t="n"/>
      <c r="O57" s="5">
        <f>IF(AND(ISNUMBER(N57),ISNUMBER(M57)),N57-M57,"")</f>
        <v/>
      </c>
      <c r="P57" s="7">
        <f>IF(AND(ISNUMBER(N57),ISNUMBER(M57),M57&gt;0),(N57-M57)/M57,"")</f>
        <v/>
      </c>
      <c r="Q57" s="3">
        <f>IF(P57="","",IF(P57&lt;-0.02,"🔴 Bán phá giá sàn",IF(P57&gt;0.05,"🔵 Bán cao hơn","🟢 Đúng giá sàn TMĐT")))</f>
        <v/>
      </c>
      <c r="R57" s="3" t="n"/>
      <c r="S57" s="4" t="n"/>
      <c r="T57" s="4" t="n"/>
    </row>
    <row r="58">
      <c r="A58" s="3" t="n">
        <v>57</v>
      </c>
      <c r="B58" s="3" t="inlineStr">
        <is>
          <t>DL001</t>
        </is>
      </c>
      <c r="C58" s="4" t="inlineStr">
        <is>
          <t>Điện nước Nhật (Shop) HCM</t>
        </is>
      </c>
      <c r="D58" s="3" t="inlineStr">
        <is>
          <t>HCM</t>
        </is>
      </c>
      <c r="E58" s="3" t="inlineStr">
        <is>
          <t>BẢO TRÂM</t>
        </is>
      </c>
      <c r="F58" s="3" t="inlineStr">
        <is>
          <t>Shopee</t>
        </is>
      </c>
      <c r="G5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8" s="3" t="inlineStr">
        <is>
          <t>L265E-H5</t>
        </is>
      </c>
      <c r="I58" s="4" t="inlineStr">
        <is>
          <t>Đầu vít lục giác KingBlue L265E-H5</t>
        </is>
      </c>
      <c r="J58" s="3" t="inlineStr">
        <is>
          <t>Vỉ</t>
        </is>
      </c>
      <c r="K58" s="5" t="n">
        <v>17000</v>
      </c>
      <c r="L58" s="5" t="n">
        <v>22000</v>
      </c>
      <c r="M58" s="6" t="n">
        <v>29000</v>
      </c>
      <c r="N58" s="5" t="n"/>
      <c r="O58" s="5">
        <f>IF(AND(ISNUMBER(N58),ISNUMBER(M58)),N58-M58,"")</f>
        <v/>
      </c>
      <c r="P58" s="7">
        <f>IF(AND(ISNUMBER(N58),ISNUMBER(M58),M58&gt;0),(N58-M58)/M58,"")</f>
        <v/>
      </c>
      <c r="Q58" s="3">
        <f>IF(P58="","",IF(P58&lt;-0.02,"🔴 Bán phá giá sàn",IF(P58&gt;0.05,"🔵 Bán cao hơn","🟢 Đúng giá sàn TMĐT")))</f>
        <v/>
      </c>
      <c r="R58" s="3" t="n"/>
      <c r="S58" s="4" t="n"/>
      <c r="T58" s="4" t="n"/>
    </row>
    <row r="59">
      <c r="A59" s="3" t="n">
        <v>58</v>
      </c>
      <c r="B59" s="3" t="inlineStr">
        <is>
          <t>DL001</t>
        </is>
      </c>
      <c r="C59" s="4" t="inlineStr">
        <is>
          <t>Điện nước Nhật (Shop) HCM</t>
        </is>
      </c>
      <c r="D59" s="3" t="inlineStr">
        <is>
          <t>HCM</t>
        </is>
      </c>
      <c r="E59" s="3" t="inlineStr">
        <is>
          <t>BẢO TRÂM</t>
        </is>
      </c>
      <c r="F59" s="3" t="inlineStr">
        <is>
          <t>Shopee</t>
        </is>
      </c>
      <c r="G5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59" s="3" t="inlineStr">
        <is>
          <t>L265E-H6</t>
        </is>
      </c>
      <c r="I59" s="4" t="inlineStr">
        <is>
          <t>Đầu vít lục giác KingBlue L265E-H6</t>
        </is>
      </c>
      <c r="J59" s="3" t="inlineStr">
        <is>
          <t>Vỉ</t>
        </is>
      </c>
      <c r="K59" s="5" t="n">
        <v>17000</v>
      </c>
      <c r="L59" s="5" t="n">
        <v>22000</v>
      </c>
      <c r="M59" s="6" t="n">
        <v>29000</v>
      </c>
      <c r="N59" s="5" t="n"/>
      <c r="O59" s="5">
        <f>IF(AND(ISNUMBER(N59),ISNUMBER(M59)),N59-M59,"")</f>
        <v/>
      </c>
      <c r="P59" s="7">
        <f>IF(AND(ISNUMBER(N59),ISNUMBER(M59),M59&gt;0),(N59-M59)/M59,"")</f>
        <v/>
      </c>
      <c r="Q59" s="3">
        <f>IF(P59="","",IF(P59&lt;-0.02,"🔴 Bán phá giá sàn",IF(P59&gt;0.05,"🔵 Bán cao hơn","🟢 Đúng giá sàn TMĐT")))</f>
        <v/>
      </c>
      <c r="R59" s="3" t="n"/>
      <c r="S59" s="4" t="n"/>
      <c r="T59" s="4" t="n"/>
    </row>
    <row r="60">
      <c r="A60" s="3" t="n">
        <v>59</v>
      </c>
      <c r="B60" s="3" t="inlineStr">
        <is>
          <t>DL001</t>
        </is>
      </c>
      <c r="C60" s="4" t="inlineStr">
        <is>
          <t>Điện nước Nhật (Shop) HCM</t>
        </is>
      </c>
      <c r="D60" s="3" t="inlineStr">
        <is>
          <t>HCM</t>
        </is>
      </c>
      <c r="E60" s="3" t="inlineStr">
        <is>
          <t>BẢO TRÂM</t>
        </is>
      </c>
      <c r="F60" s="3" t="inlineStr">
        <is>
          <t>Shopee</t>
        </is>
      </c>
      <c r="G6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0" s="3" t="inlineStr">
        <is>
          <t>L265E-H8</t>
        </is>
      </c>
      <c r="I60" s="4" t="inlineStr">
        <is>
          <t>Đầu vít lục giác KingBlue L265E-H8</t>
        </is>
      </c>
      <c r="J60" s="3" t="inlineStr">
        <is>
          <t>Vỉ</t>
        </is>
      </c>
      <c r="K60" s="5" t="n">
        <v>41000</v>
      </c>
      <c r="L60" s="5" t="n">
        <v>53000</v>
      </c>
      <c r="M60" s="6" t="n">
        <v>70000</v>
      </c>
      <c r="N60" s="5" t="n"/>
      <c r="O60" s="5">
        <f>IF(AND(ISNUMBER(N60),ISNUMBER(M60)),N60-M60,"")</f>
        <v/>
      </c>
      <c r="P60" s="7">
        <f>IF(AND(ISNUMBER(N60),ISNUMBER(M60),M60&gt;0),(N60-M60)/M60,"")</f>
        <v/>
      </c>
      <c r="Q60" s="3">
        <f>IF(P60="","",IF(P60&lt;-0.02,"🔴 Bán phá giá sàn",IF(P60&gt;0.05,"🔵 Bán cao hơn","🟢 Đúng giá sàn TMĐT")))</f>
        <v/>
      </c>
      <c r="R60" s="3" t="n"/>
      <c r="S60" s="4" t="n"/>
      <c r="T60" s="4" t="n"/>
    </row>
    <row r="61">
      <c r="A61" s="3" t="n">
        <v>60</v>
      </c>
      <c r="B61" s="3" t="inlineStr">
        <is>
          <t>DL001</t>
        </is>
      </c>
      <c r="C61" s="4" t="inlineStr">
        <is>
          <t>Điện nước Nhật (Shop) HCM</t>
        </is>
      </c>
      <c r="D61" s="3" t="inlineStr">
        <is>
          <t>HCM</t>
        </is>
      </c>
      <c r="E61" s="3" t="inlineStr">
        <is>
          <t>BẢO TRÂM</t>
        </is>
      </c>
      <c r="F61" s="3" t="inlineStr">
        <is>
          <t>Shopee</t>
        </is>
      </c>
      <c r="G6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1" s="3" t="inlineStr">
        <is>
          <t>KPQ-32</t>
        </is>
      </c>
      <c r="I61" s="4" t="inlineStr">
        <is>
          <t>Kéo cắt góc nẹp điện KPQ-32</t>
        </is>
      </c>
      <c r="J61" s="3" t="inlineStr">
        <is>
          <t>Cái</t>
        </is>
      </c>
      <c r="K61" s="5" t="n">
        <v>163000</v>
      </c>
      <c r="L61" s="5" t="n">
        <v>192000</v>
      </c>
      <c r="M61" s="6" t="n">
        <v>236000</v>
      </c>
      <c r="N61" s="5" t="n"/>
      <c r="O61" s="5">
        <f>IF(AND(ISNUMBER(N61),ISNUMBER(M61)),N61-M61,"")</f>
        <v/>
      </c>
      <c r="P61" s="7">
        <f>IF(AND(ISNUMBER(N61),ISNUMBER(M61),M61&gt;0),(N61-M61)/M61,"")</f>
        <v/>
      </c>
      <c r="Q61" s="3">
        <f>IF(P61="","",IF(P61&lt;-0.02,"🔴 Bán phá giá sàn",IF(P61&gt;0.05,"🔵 Bán cao hơn","🟢 Đúng giá sàn TMĐT")))</f>
        <v/>
      </c>
      <c r="R61" s="3" t="n"/>
      <c r="S61" s="4" t="n"/>
      <c r="T61" s="4" t="n"/>
    </row>
    <row r="62">
      <c r="A62" s="3" t="n">
        <v>61</v>
      </c>
      <c r="B62" s="3" t="inlineStr">
        <is>
          <t>DL001</t>
        </is>
      </c>
      <c r="C62" s="4" t="inlineStr">
        <is>
          <t>Điện nước Nhật (Shop) HCM</t>
        </is>
      </c>
      <c r="D62" s="3" t="inlineStr">
        <is>
          <t>HCM</t>
        </is>
      </c>
      <c r="E62" s="3" t="inlineStr">
        <is>
          <t>BẢO TRÂM</t>
        </is>
      </c>
      <c r="F62" s="3" t="inlineStr">
        <is>
          <t>Shopee</t>
        </is>
      </c>
      <c r="G6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2" s="3" t="inlineStr">
        <is>
          <t>KPC-042</t>
        </is>
      </c>
      <c r="I62" s="4" t="inlineStr">
        <is>
          <t>Kéo cắt ống KPC-042 (NEW)</t>
        </is>
      </c>
      <c r="J62" s="3" t="inlineStr">
        <is>
          <t>Cái</t>
        </is>
      </c>
      <c r="K62" s="5" t="n">
        <v>102000</v>
      </c>
      <c r="L62" s="5" t="n">
        <v>120000</v>
      </c>
      <c r="M62" s="6" t="n">
        <v>148000</v>
      </c>
      <c r="N62" s="5" t="n"/>
      <c r="O62" s="5">
        <f>IF(AND(ISNUMBER(N62),ISNUMBER(M62)),N62-M62,"")</f>
        <v/>
      </c>
      <c r="P62" s="7">
        <f>IF(AND(ISNUMBER(N62),ISNUMBER(M62),M62&gt;0),(N62-M62)/M62,"")</f>
        <v/>
      </c>
      <c r="Q62" s="3">
        <f>IF(P62="","",IF(P62&lt;-0.02,"🔴 Bán phá giá sàn",IF(P62&gt;0.05,"🔵 Bán cao hơn","🟢 Đúng giá sàn TMĐT")))</f>
        <v/>
      </c>
      <c r="R62" s="3" t="n"/>
      <c r="S62" s="4" t="n"/>
      <c r="T62" s="4" t="n"/>
    </row>
    <row r="63">
      <c r="A63" s="3" t="n">
        <v>62</v>
      </c>
      <c r="B63" s="3" t="inlineStr">
        <is>
          <t>DL001</t>
        </is>
      </c>
      <c r="C63" s="4" t="inlineStr">
        <is>
          <t>Điện nước Nhật (Shop) HCM</t>
        </is>
      </c>
      <c r="D63" s="3" t="inlineStr">
        <is>
          <t>HCM</t>
        </is>
      </c>
      <c r="E63" s="3" t="inlineStr">
        <is>
          <t>BẢO TRÂM</t>
        </is>
      </c>
      <c r="F63" s="3" t="inlineStr">
        <is>
          <t>Shopee</t>
        </is>
      </c>
      <c r="G6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3" s="3" t="inlineStr">
        <is>
          <t>KPC-132</t>
        </is>
      </c>
      <c r="I63" s="4" t="inlineStr">
        <is>
          <t>Kéo cắt ống KPC-132</t>
        </is>
      </c>
      <c r="J63" s="3" t="inlineStr">
        <is>
          <t>Cái</t>
        </is>
      </c>
      <c r="K63" s="5" t="n">
        <v>101000</v>
      </c>
      <c r="L63" s="5" t="n">
        <v>119000</v>
      </c>
      <c r="M63" s="6" t="n">
        <v>147000</v>
      </c>
      <c r="N63" s="5" t="n"/>
      <c r="O63" s="5">
        <f>IF(AND(ISNUMBER(N63),ISNUMBER(M63)),N63-M63,"")</f>
        <v/>
      </c>
      <c r="P63" s="7">
        <f>IF(AND(ISNUMBER(N63),ISNUMBER(M63),M63&gt;0),(N63-M63)/M63,"")</f>
        <v/>
      </c>
      <c r="Q63" s="3">
        <f>IF(P63="","",IF(P63&lt;-0.02,"🔴 Bán phá giá sàn",IF(P63&gt;0.05,"🔵 Bán cao hơn","🟢 Đúng giá sàn TMĐT")))</f>
        <v/>
      </c>
      <c r="R63" s="3" t="n"/>
      <c r="S63" s="4" t="n"/>
      <c r="T63" s="4" t="n"/>
    </row>
    <row r="64">
      <c r="A64" s="3" t="n">
        <v>63</v>
      </c>
      <c r="B64" s="3" t="inlineStr">
        <is>
          <t>DL001</t>
        </is>
      </c>
      <c r="C64" s="4" t="inlineStr">
        <is>
          <t>Điện nước Nhật (Shop) HCM</t>
        </is>
      </c>
      <c r="D64" s="3" t="inlineStr">
        <is>
          <t>HCM</t>
        </is>
      </c>
      <c r="E64" s="3" t="inlineStr">
        <is>
          <t>BẢO TRÂM</t>
        </is>
      </c>
      <c r="F64" s="3" t="inlineStr">
        <is>
          <t>Shopee</t>
        </is>
      </c>
      <c r="G6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4" s="3" t="inlineStr">
        <is>
          <t>KPC-142</t>
        </is>
      </c>
      <c r="I64" s="4" t="inlineStr">
        <is>
          <t>Kéo cắt ống KPC-142 (NEW)</t>
        </is>
      </c>
      <c r="J64" s="3" t="inlineStr">
        <is>
          <t>Cái</t>
        </is>
      </c>
      <c r="K64" s="5" t="n">
        <v>269000</v>
      </c>
      <c r="L64" s="5" t="n">
        <v>317000</v>
      </c>
      <c r="M64" s="6" t="n">
        <v>390000</v>
      </c>
      <c r="N64" s="5" t="n"/>
      <c r="O64" s="5">
        <f>IF(AND(ISNUMBER(N64),ISNUMBER(M64)),N64-M64,"")</f>
        <v/>
      </c>
      <c r="P64" s="7">
        <f>IF(AND(ISNUMBER(N64),ISNUMBER(M64),M64&gt;0),(N64-M64)/M64,"")</f>
        <v/>
      </c>
      <c r="Q64" s="3">
        <f>IF(P64="","",IF(P64&lt;-0.02,"🔴 Bán phá giá sàn",IF(P64&gt;0.05,"🔵 Bán cao hơn","🟢 Đúng giá sàn TMĐT")))</f>
        <v/>
      </c>
      <c r="R64" s="3" t="n"/>
      <c r="S64" s="4" t="n"/>
      <c r="T64" s="4" t="n"/>
    </row>
    <row r="65">
      <c r="A65" s="3" t="n">
        <v>64</v>
      </c>
      <c r="B65" s="3" t="inlineStr">
        <is>
          <t>DL001</t>
        </is>
      </c>
      <c r="C65" s="4" t="inlineStr">
        <is>
          <t>Điện nước Nhật (Shop) HCM</t>
        </is>
      </c>
      <c r="D65" s="3" t="inlineStr">
        <is>
          <t>HCM</t>
        </is>
      </c>
      <c r="E65" s="3" t="inlineStr">
        <is>
          <t>BẢO TRÂM</t>
        </is>
      </c>
      <c r="F65" s="3" t="inlineStr">
        <is>
          <t>Shopee</t>
        </is>
      </c>
      <c r="G6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5" s="3" t="inlineStr">
        <is>
          <t>KPC-164</t>
        </is>
      </c>
      <c r="I65" s="4" t="inlineStr">
        <is>
          <t>Kéo cắt ống KPC-164</t>
        </is>
      </c>
      <c r="J65" s="3" t="inlineStr">
        <is>
          <t>Cái</t>
        </is>
      </c>
      <c r="K65" s="5" t="n">
        <v>262000</v>
      </c>
      <c r="L65" s="5" t="n">
        <v>309000</v>
      </c>
      <c r="M65" s="6" t="n">
        <v>380000</v>
      </c>
      <c r="N65" s="5" t="n"/>
      <c r="O65" s="5">
        <f>IF(AND(ISNUMBER(N65),ISNUMBER(M65)),N65-M65,"")</f>
        <v/>
      </c>
      <c r="P65" s="7">
        <f>IF(AND(ISNUMBER(N65),ISNUMBER(M65),M65&gt;0),(N65-M65)/M65,"")</f>
        <v/>
      </c>
      <c r="Q65" s="3">
        <f>IF(P65="","",IF(P65&lt;-0.02,"🔴 Bán phá giá sàn",IF(P65&gt;0.05,"🔵 Bán cao hơn","🟢 Đúng giá sàn TMĐT")))</f>
        <v/>
      </c>
      <c r="R65" s="3" t="n"/>
      <c r="S65" s="4" t="n"/>
      <c r="T65" s="4" t="n"/>
    </row>
    <row r="66">
      <c r="A66" s="3" t="n">
        <v>65</v>
      </c>
      <c r="B66" s="3" t="inlineStr">
        <is>
          <t>DL001</t>
        </is>
      </c>
      <c r="C66" s="4" t="inlineStr">
        <is>
          <t>Điện nước Nhật (Shop) HCM</t>
        </is>
      </c>
      <c r="D66" s="3" t="inlineStr">
        <is>
          <t>HCM</t>
        </is>
      </c>
      <c r="E66" s="3" t="inlineStr">
        <is>
          <t>BẢO TRÂM</t>
        </is>
      </c>
      <c r="F66" s="3" t="inlineStr">
        <is>
          <t>Shopee</t>
        </is>
      </c>
      <c r="G6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6" s="3" t="inlineStr">
        <is>
          <t>KPC-242</t>
        </is>
      </c>
      <c r="I66" s="4" t="inlineStr">
        <is>
          <t>Kéo cắt ống KPC-242</t>
        </is>
      </c>
      <c r="J66" s="3" t="inlineStr">
        <is>
          <t>Cái</t>
        </is>
      </c>
      <c r="K66" s="5" t="n">
        <v>172000</v>
      </c>
      <c r="L66" s="5" t="n">
        <v>203000</v>
      </c>
      <c r="M66" s="6" t="n">
        <v>249000</v>
      </c>
      <c r="N66" s="5" t="n"/>
      <c r="O66" s="5">
        <f>IF(AND(ISNUMBER(N66),ISNUMBER(M66)),N66-M66,"")</f>
        <v/>
      </c>
      <c r="P66" s="7">
        <f>IF(AND(ISNUMBER(N66),ISNUMBER(M66),M66&gt;0),(N66-M66)/M66,"")</f>
        <v/>
      </c>
      <c r="Q66" s="3">
        <f>IF(P66="","",IF(P66&lt;-0.02,"🔴 Bán phá giá sàn",IF(P66&gt;0.05,"🔵 Bán cao hơn","🟢 Đúng giá sàn TMĐT")))</f>
        <v/>
      </c>
      <c r="R66" s="3" t="n"/>
      <c r="S66" s="4" t="n"/>
      <c r="T66" s="4" t="n"/>
    </row>
    <row r="67">
      <c r="A67" s="3" t="n">
        <v>66</v>
      </c>
      <c r="B67" s="3" t="inlineStr">
        <is>
          <t>DL001</t>
        </is>
      </c>
      <c r="C67" s="4" t="inlineStr">
        <is>
          <t>Điện nước Nhật (Shop) HCM</t>
        </is>
      </c>
      <c r="D67" s="3" t="inlineStr">
        <is>
          <t>HCM</t>
        </is>
      </c>
      <c r="E67" s="3" t="inlineStr">
        <is>
          <t>BẢO TRÂM</t>
        </is>
      </c>
      <c r="F67" s="3" t="inlineStr">
        <is>
          <t>Shopee</t>
        </is>
      </c>
      <c r="G6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7" s="3" t="inlineStr">
        <is>
          <t>KDT-250</t>
        </is>
      </c>
      <c r="I67" s="4" t="inlineStr">
        <is>
          <t>Kéo cắt tole KDT-250</t>
        </is>
      </c>
      <c r="J67" s="3" t="inlineStr">
        <is>
          <t>Cái</t>
        </is>
      </c>
      <c r="K67" s="5" t="n">
        <v>116000</v>
      </c>
      <c r="L67" s="5" t="n">
        <v>137000</v>
      </c>
      <c r="M67" s="6" t="n">
        <v>168000</v>
      </c>
      <c r="N67" s="5" t="n"/>
      <c r="O67" s="5">
        <f>IF(AND(ISNUMBER(N67),ISNUMBER(M67)),N67-M67,"")</f>
        <v/>
      </c>
      <c r="P67" s="7">
        <f>IF(AND(ISNUMBER(N67),ISNUMBER(M67),M67&gt;0),(N67-M67)/M67,"")</f>
        <v/>
      </c>
      <c r="Q67" s="3">
        <f>IF(P67="","",IF(P67&lt;-0.02,"🔴 Bán phá giá sàn",IF(P67&gt;0.05,"🔵 Bán cao hơn","🟢 Đúng giá sàn TMĐT")))</f>
        <v/>
      </c>
      <c r="R67" s="3" t="n"/>
      <c r="S67" s="4" t="n"/>
      <c r="T67" s="4" t="n"/>
    </row>
    <row r="68">
      <c r="A68" s="3" t="n">
        <v>67</v>
      </c>
      <c r="B68" s="3" t="inlineStr">
        <is>
          <t>DL001</t>
        </is>
      </c>
      <c r="C68" s="4" t="inlineStr">
        <is>
          <t>Điện nước Nhật (Shop) HCM</t>
        </is>
      </c>
      <c r="D68" s="3" t="inlineStr">
        <is>
          <t>HCM</t>
        </is>
      </c>
      <c r="E68" s="3" t="inlineStr">
        <is>
          <t>BẢO TRÂM</t>
        </is>
      </c>
      <c r="F68" s="3" t="inlineStr">
        <is>
          <t>Shopee</t>
        </is>
      </c>
      <c r="G6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8" s="3" t="inlineStr">
        <is>
          <t>KCT-250</t>
        </is>
      </c>
      <c r="I68" s="4" t="inlineStr">
        <is>
          <t>Kéo cắt thạch cao (tole) KCT-250</t>
        </is>
      </c>
      <c r="J68" s="3" t="inlineStr">
        <is>
          <t>Cái</t>
        </is>
      </c>
      <c r="K68" s="5" t="n">
        <v>105000</v>
      </c>
      <c r="L68" s="5" t="n">
        <v>124000</v>
      </c>
      <c r="M68" s="6" t="n">
        <v>152000</v>
      </c>
      <c r="N68" s="5" t="n"/>
      <c r="O68" s="5">
        <f>IF(AND(ISNUMBER(N68),ISNUMBER(M68)),N68-M68,"")</f>
        <v/>
      </c>
      <c r="P68" s="7">
        <f>IF(AND(ISNUMBER(N68),ISNUMBER(M68),M68&gt;0),(N68-M68)/M68,"")</f>
        <v/>
      </c>
      <c r="Q68" s="3">
        <f>IF(P68="","",IF(P68&lt;-0.02,"🔴 Bán phá giá sàn",IF(P68&gt;0.05,"🔵 Bán cao hơn","🟢 Đúng giá sàn TMĐT")))</f>
        <v/>
      </c>
      <c r="R68" s="3" t="n"/>
      <c r="S68" s="4" t="n"/>
      <c r="T68" s="4" t="n"/>
    </row>
    <row r="69">
      <c r="A69" s="3" t="n">
        <v>68</v>
      </c>
      <c r="B69" s="3" t="inlineStr">
        <is>
          <t>DL001</t>
        </is>
      </c>
      <c r="C69" s="4" t="inlineStr">
        <is>
          <t>Điện nước Nhật (Shop) HCM</t>
        </is>
      </c>
      <c r="D69" s="3" t="inlineStr">
        <is>
          <t>HCM</t>
        </is>
      </c>
      <c r="E69" s="3" t="inlineStr">
        <is>
          <t>BẢO TRÂM</t>
        </is>
      </c>
      <c r="F69" s="3" t="inlineStr">
        <is>
          <t>Shopee</t>
        </is>
      </c>
      <c r="G6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69" s="3" t="inlineStr">
        <is>
          <t>QC2</t>
        </is>
      </c>
      <c r="I69" s="4" t="inlineStr">
        <is>
          <t>Kéo cắt trái cây QC2</t>
        </is>
      </c>
      <c r="J69" s="3" t="inlineStr">
        <is>
          <t>Cái</t>
        </is>
      </c>
      <c r="K69" s="5" t="n">
        <v>65000</v>
      </c>
      <c r="L69" s="5" t="n">
        <v>77000</v>
      </c>
      <c r="M69" s="6" t="n">
        <v>94000</v>
      </c>
      <c r="N69" s="5" t="n"/>
      <c r="O69" s="5">
        <f>IF(AND(ISNUMBER(N69),ISNUMBER(M69)),N69-M69,"")</f>
        <v/>
      </c>
      <c r="P69" s="7">
        <f>IF(AND(ISNUMBER(N69),ISNUMBER(M69),M69&gt;0),(N69-M69)/M69,"")</f>
        <v/>
      </c>
      <c r="Q69" s="3">
        <f>IF(P69="","",IF(P69&lt;-0.02,"🔴 Bán phá giá sàn",IF(P69&gt;0.05,"🔵 Bán cao hơn","🟢 Đúng giá sàn TMĐT")))</f>
        <v/>
      </c>
      <c r="R69" s="3" t="n"/>
      <c r="S69" s="4" t="n"/>
      <c r="T69" s="4" t="n"/>
    </row>
    <row r="70">
      <c r="A70" s="3" t="n">
        <v>69</v>
      </c>
      <c r="B70" s="3" t="inlineStr">
        <is>
          <t>DL001</t>
        </is>
      </c>
      <c r="C70" s="4" t="inlineStr">
        <is>
          <t>Điện nước Nhật (Shop) HCM</t>
        </is>
      </c>
      <c r="D70" s="3" t="inlineStr">
        <is>
          <t>HCM</t>
        </is>
      </c>
      <c r="E70" s="3" t="inlineStr">
        <is>
          <t>BẢO TRÂM</t>
        </is>
      </c>
      <c r="F70" s="3" t="inlineStr">
        <is>
          <t>Shopee</t>
        </is>
      </c>
      <c r="G7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0" s="3" t="inlineStr">
        <is>
          <t>KB001-Q1</t>
        </is>
      </c>
      <c r="I70" s="4" t="inlineStr">
        <is>
          <t>Kéo KB001-Q1</t>
        </is>
      </c>
      <c r="J70" s="3" t="inlineStr">
        <is>
          <t>Cái</t>
        </is>
      </c>
      <c r="K70" s="5" t="n">
        <v>79000</v>
      </c>
      <c r="L70" s="5" t="n">
        <v>93000</v>
      </c>
      <c r="M70" s="6" t="n">
        <v>115000</v>
      </c>
      <c r="N70" s="5" t="n"/>
      <c r="O70" s="5">
        <f>IF(AND(ISNUMBER(N70),ISNUMBER(M70)),N70-M70,"")</f>
        <v/>
      </c>
      <c r="P70" s="7">
        <f>IF(AND(ISNUMBER(N70),ISNUMBER(M70),M70&gt;0),(N70-M70)/M70,"")</f>
        <v/>
      </c>
      <c r="Q70" s="3">
        <f>IF(P70="","",IF(P70&lt;-0.02,"🔴 Bán phá giá sàn",IF(P70&gt;0.05,"🔵 Bán cao hơn","🟢 Đúng giá sàn TMĐT")))</f>
        <v/>
      </c>
      <c r="R70" s="3" t="n"/>
      <c r="S70" s="4" t="n"/>
      <c r="T70" s="4" t="n"/>
    </row>
    <row r="71">
      <c r="A71" s="3" t="n">
        <v>70</v>
      </c>
      <c r="B71" s="3" t="inlineStr">
        <is>
          <t>DL001</t>
        </is>
      </c>
      <c r="C71" s="4" t="inlineStr">
        <is>
          <t>Điện nước Nhật (Shop) HCM</t>
        </is>
      </c>
      <c r="D71" s="3" t="inlineStr">
        <is>
          <t>HCM</t>
        </is>
      </c>
      <c r="E71" s="3" t="inlineStr">
        <is>
          <t>BẢO TRÂM</t>
        </is>
      </c>
      <c r="F71" s="3" t="inlineStr">
        <is>
          <t>Shopee</t>
        </is>
      </c>
      <c r="G7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1" s="3" t="inlineStr">
        <is>
          <t>Q9</t>
        </is>
      </c>
      <c r="I71" s="4" t="inlineStr">
        <is>
          <t>Kéo Q9</t>
        </is>
      </c>
      <c r="J71" s="3" t="inlineStr">
        <is>
          <t>Cái</t>
        </is>
      </c>
      <c r="K71" s="5" t="n">
        <v>185000</v>
      </c>
      <c r="L71" s="5" t="n">
        <v>218000</v>
      </c>
      <c r="M71" s="6" t="n">
        <v>268000</v>
      </c>
      <c r="N71" s="5" t="n"/>
      <c r="O71" s="5">
        <f>IF(AND(ISNUMBER(N71),ISNUMBER(M71)),N71-M71,"")</f>
        <v/>
      </c>
      <c r="P71" s="7">
        <f>IF(AND(ISNUMBER(N71),ISNUMBER(M71),M71&gt;0),(N71-M71)/M71,"")</f>
        <v/>
      </c>
      <c r="Q71" s="3">
        <f>IF(P71="","",IF(P71&lt;-0.02,"🔴 Bán phá giá sàn",IF(P71&gt;0.05,"🔵 Bán cao hơn","🟢 Đúng giá sàn TMĐT")))</f>
        <v/>
      </c>
      <c r="R71" s="3" t="n"/>
      <c r="S71" s="4" t="n"/>
      <c r="T71" s="4" t="n"/>
    </row>
    <row r="72">
      <c r="A72" s="3" t="n">
        <v>71</v>
      </c>
      <c r="B72" s="3" t="inlineStr">
        <is>
          <t>DL001</t>
        </is>
      </c>
      <c r="C72" s="4" t="inlineStr">
        <is>
          <t>Điện nước Nhật (Shop) HCM</t>
        </is>
      </c>
      <c r="D72" s="3" t="inlineStr">
        <is>
          <t>HCM</t>
        </is>
      </c>
      <c r="E72" s="3" t="inlineStr">
        <is>
          <t>BẢO TRÂM</t>
        </is>
      </c>
      <c r="F72" s="3" t="inlineStr">
        <is>
          <t>Shopee</t>
        </is>
      </c>
      <c r="G7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2" s="3" t="inlineStr">
        <is>
          <t>KND185</t>
        </is>
      </c>
      <c r="I72" s="4" t="inlineStr">
        <is>
          <t>Kìm bấm Cos vuông KND185</t>
        </is>
      </c>
      <c r="J72" s="3" t="inlineStr">
        <is>
          <t>Cái</t>
        </is>
      </c>
      <c r="K72" s="5" t="n">
        <v>182000</v>
      </c>
      <c r="L72" s="5" t="n">
        <v>215000</v>
      </c>
      <c r="M72" s="6" t="n">
        <v>264000</v>
      </c>
      <c r="N72" s="5" t="n"/>
      <c r="O72" s="5">
        <f>IF(AND(ISNUMBER(N72),ISNUMBER(M72)),N72-M72,"")</f>
        <v/>
      </c>
      <c r="P72" s="7">
        <f>IF(AND(ISNUMBER(N72),ISNUMBER(M72),M72&gt;0),(N72-M72)/M72,"")</f>
        <v/>
      </c>
      <c r="Q72" s="3">
        <f>IF(P72="","",IF(P72&lt;-0.02,"🔴 Bán phá giá sàn",IF(P72&gt;0.05,"🔵 Bán cao hơn","🟢 Đúng giá sàn TMĐT")))</f>
        <v/>
      </c>
      <c r="R72" s="3" t="n"/>
      <c r="S72" s="4" t="n"/>
      <c r="T72" s="4" t="n"/>
    </row>
    <row r="73">
      <c r="A73" s="3" t="n">
        <v>72</v>
      </c>
      <c r="B73" s="3" t="inlineStr">
        <is>
          <t>DL001</t>
        </is>
      </c>
      <c r="C73" s="4" t="inlineStr">
        <is>
          <t>Điện nước Nhật (Shop) HCM</t>
        </is>
      </c>
      <c r="D73" s="3" t="inlineStr">
        <is>
          <t>HCM</t>
        </is>
      </c>
      <c r="E73" s="3" t="inlineStr">
        <is>
          <t>BẢO TRÂM</t>
        </is>
      </c>
      <c r="F73" s="3" t="inlineStr">
        <is>
          <t>Shopee</t>
        </is>
      </c>
      <c r="G7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3" s="3" t="inlineStr">
        <is>
          <t>KND150</t>
        </is>
      </c>
      <c r="I73" s="4" t="inlineStr">
        <is>
          <t>Kìm cắt chân mạch đa năng KND150</t>
        </is>
      </c>
      <c r="J73" s="3" t="inlineStr">
        <is>
          <t>Cái</t>
        </is>
      </c>
      <c r="K73" s="5" t="n">
        <v>64000</v>
      </c>
      <c r="L73" s="5" t="n">
        <v>76000</v>
      </c>
      <c r="M73" s="6" t="n">
        <v>93000</v>
      </c>
      <c r="N73" s="5" t="n"/>
      <c r="O73" s="5">
        <f>IF(AND(ISNUMBER(N73),ISNUMBER(M73)),N73-M73,"")</f>
        <v/>
      </c>
      <c r="P73" s="7">
        <f>IF(AND(ISNUMBER(N73),ISNUMBER(M73),M73&gt;0),(N73-M73)/M73,"")</f>
        <v/>
      </c>
      <c r="Q73" s="3">
        <f>IF(P73="","",IF(P73&lt;-0.02,"🔴 Bán phá giá sàn",IF(P73&gt;0.05,"🔵 Bán cao hơn","🟢 Đúng giá sàn TMĐT")))</f>
        <v/>
      </c>
      <c r="R73" s="3" t="n"/>
      <c r="S73" s="4" t="n"/>
      <c r="T73" s="4" t="n"/>
    </row>
    <row r="74">
      <c r="A74" s="3" t="n">
        <v>73</v>
      </c>
      <c r="B74" s="3" t="inlineStr">
        <is>
          <t>DL001</t>
        </is>
      </c>
      <c r="C74" s="4" t="inlineStr">
        <is>
          <t>Điện nước Nhật (Shop) HCM</t>
        </is>
      </c>
      <c r="D74" s="3" t="inlineStr">
        <is>
          <t>HCM</t>
        </is>
      </c>
      <c r="E74" s="3" t="inlineStr">
        <is>
          <t>BẢO TRÂM</t>
        </is>
      </c>
      <c r="F74" s="3" t="inlineStr">
        <is>
          <t>Shopee</t>
        </is>
      </c>
      <c r="G7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4" s="3" t="inlineStr">
        <is>
          <t>KC3-09</t>
        </is>
      </c>
      <c r="I74" s="4" t="inlineStr">
        <is>
          <t>Kìm cắt đa năng KC3-09</t>
        </is>
      </c>
      <c r="J74" s="3" t="inlineStr">
        <is>
          <t>Cái</t>
        </is>
      </c>
      <c r="K74" s="5" t="n">
        <v>269000</v>
      </c>
      <c r="L74" s="5" t="n">
        <v>317000</v>
      </c>
      <c r="M74" s="6" t="n">
        <v>390000</v>
      </c>
      <c r="N74" s="5" t="n"/>
      <c r="O74" s="5">
        <f>IF(AND(ISNUMBER(N74),ISNUMBER(M74)),N74-M74,"")</f>
        <v/>
      </c>
      <c r="P74" s="7">
        <f>IF(AND(ISNUMBER(N74),ISNUMBER(M74),M74&gt;0),(N74-M74)/M74,"")</f>
        <v/>
      </c>
      <c r="Q74" s="3">
        <f>IF(P74="","",IF(P74&lt;-0.02,"🔴 Bán phá giá sàn",IF(P74&gt;0.05,"🔵 Bán cao hơn","🟢 Đúng giá sàn TMĐT")))</f>
        <v/>
      </c>
      <c r="R74" s="3" t="n"/>
      <c r="S74" s="4" t="n"/>
      <c r="T74" s="4" t="n"/>
    </row>
    <row r="75">
      <c r="A75" s="3" t="n">
        <v>74</v>
      </c>
      <c r="B75" s="3" t="inlineStr">
        <is>
          <t>DL001</t>
        </is>
      </c>
      <c r="C75" s="4" t="inlineStr">
        <is>
          <t>Điện nước Nhật (Shop) HCM</t>
        </is>
      </c>
      <c r="D75" s="3" t="inlineStr">
        <is>
          <t>HCM</t>
        </is>
      </c>
      <c r="E75" s="3" t="inlineStr">
        <is>
          <t>BẢO TRÂM</t>
        </is>
      </c>
      <c r="F75" s="3" t="inlineStr">
        <is>
          <t>Shopee</t>
        </is>
      </c>
      <c r="G7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5" s="3" t="inlineStr">
        <is>
          <t>KC3-150</t>
        </is>
      </c>
      <c r="I75" s="4" t="inlineStr">
        <is>
          <t>Kìm cắt KC3-150</t>
        </is>
      </c>
      <c r="J75" s="3" t="inlineStr">
        <is>
          <t>Cái</t>
        </is>
      </c>
      <c r="K75" s="5" t="n">
        <v>91000</v>
      </c>
      <c r="L75" s="5" t="n">
        <v>107000</v>
      </c>
      <c r="M75" s="6" t="n">
        <v>132000</v>
      </c>
      <c r="N75" s="5" t="n"/>
      <c r="O75" s="5">
        <f>IF(AND(ISNUMBER(N75),ISNUMBER(M75)),N75-M75,"")</f>
        <v/>
      </c>
      <c r="P75" s="7">
        <f>IF(AND(ISNUMBER(N75),ISNUMBER(M75),M75&gt;0),(N75-M75)/M75,"")</f>
        <v/>
      </c>
      <c r="Q75" s="3">
        <f>IF(P75="","",IF(P75&lt;-0.02,"🔴 Bán phá giá sàn",IF(P75&gt;0.05,"🔵 Bán cao hơn","🟢 Đúng giá sàn TMĐT")))</f>
        <v/>
      </c>
      <c r="R75" s="3" t="n"/>
      <c r="S75" s="4" t="n"/>
      <c r="T75" s="4" t="n"/>
    </row>
    <row r="76">
      <c r="A76" s="3" t="n">
        <v>75</v>
      </c>
      <c r="B76" s="3" t="inlineStr">
        <is>
          <t>DL001</t>
        </is>
      </c>
      <c r="C76" s="4" t="inlineStr">
        <is>
          <t>Điện nước Nhật (Shop) HCM</t>
        </is>
      </c>
      <c r="D76" s="3" t="inlineStr">
        <is>
          <t>HCM</t>
        </is>
      </c>
      <c r="E76" s="3" t="inlineStr">
        <is>
          <t>BẢO TRÂM</t>
        </is>
      </c>
      <c r="F76" s="3" t="inlineStr">
        <is>
          <t>Shopee</t>
        </is>
      </c>
      <c r="G7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6" s="3" t="inlineStr">
        <is>
          <t>KND200</t>
        </is>
      </c>
      <c r="I76" s="4" t="inlineStr">
        <is>
          <t>Kìm cắt tuốt đa năng 5 in1 KND200</t>
        </is>
      </c>
      <c r="J76" s="3" t="inlineStr">
        <is>
          <t>Cái</t>
        </is>
      </c>
      <c r="K76" s="5" t="n">
        <v>72000</v>
      </c>
      <c r="L76" s="5" t="n">
        <v>85000</v>
      </c>
      <c r="M76" s="6" t="n">
        <v>104000</v>
      </c>
      <c r="N76" s="5" t="n"/>
      <c r="O76" s="5">
        <f>IF(AND(ISNUMBER(N76),ISNUMBER(M76)),N76-M76,"")</f>
        <v/>
      </c>
      <c r="P76" s="7">
        <f>IF(AND(ISNUMBER(N76),ISNUMBER(M76),M76&gt;0),(N76-M76)/M76,"")</f>
        <v/>
      </c>
      <c r="Q76" s="3">
        <f>IF(P76="","",IF(P76&lt;-0.02,"🔴 Bán phá giá sàn",IF(P76&gt;0.05,"🔵 Bán cao hơn","🟢 Đúng giá sàn TMĐT")))</f>
        <v/>
      </c>
      <c r="R76" s="3" t="n"/>
      <c r="S76" s="4" t="n"/>
      <c r="T76" s="4" t="n"/>
    </row>
    <row r="77">
      <c r="A77" s="3" t="n">
        <v>76</v>
      </c>
      <c r="B77" s="3" t="inlineStr">
        <is>
          <t>DL001</t>
        </is>
      </c>
      <c r="C77" s="4" t="inlineStr">
        <is>
          <t>Điện nước Nhật (Shop) HCM</t>
        </is>
      </c>
      <c r="D77" s="3" t="inlineStr">
        <is>
          <t>HCM</t>
        </is>
      </c>
      <c r="E77" s="3" t="inlineStr">
        <is>
          <t>BẢO TRÂM</t>
        </is>
      </c>
      <c r="F77" s="3" t="inlineStr">
        <is>
          <t>Shopee</t>
        </is>
      </c>
      <c r="G7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7" s="3" t="inlineStr">
        <is>
          <t>KS4-260</t>
        </is>
      </c>
      <c r="I77" s="4" t="inlineStr">
        <is>
          <t>Kìm chết ngàm rộng 4 chế độ KS4-260</t>
        </is>
      </c>
      <c r="J77" s="3" t="inlineStr">
        <is>
          <t>Cái</t>
        </is>
      </c>
      <c r="K77" s="5" t="n">
        <v>270000</v>
      </c>
      <c r="L77" s="5" t="n">
        <v>319000</v>
      </c>
      <c r="M77" s="6" t="n">
        <v>392000</v>
      </c>
      <c r="N77" s="5" t="n"/>
      <c r="O77" s="5">
        <f>IF(AND(ISNUMBER(N77),ISNUMBER(M77)),N77-M77,"")</f>
        <v/>
      </c>
      <c r="P77" s="7">
        <f>IF(AND(ISNUMBER(N77),ISNUMBER(M77),M77&gt;0),(N77-M77)/M77,"")</f>
        <v/>
      </c>
      <c r="Q77" s="3">
        <f>IF(P77="","",IF(P77&lt;-0.02,"🔴 Bán phá giá sàn",IF(P77&gt;0.05,"🔵 Bán cao hơn","🟢 Đúng giá sàn TMĐT")))</f>
        <v/>
      </c>
      <c r="R77" s="3" t="n"/>
      <c r="S77" s="4" t="n"/>
      <c r="T77" s="4" t="n"/>
    </row>
    <row r="78">
      <c r="A78" s="3" t="n">
        <v>77</v>
      </c>
      <c r="B78" s="3" t="inlineStr">
        <is>
          <t>DL001</t>
        </is>
      </c>
      <c r="C78" s="4" t="inlineStr">
        <is>
          <t>Điện nước Nhật (Shop) HCM</t>
        </is>
      </c>
      <c r="D78" s="3" t="inlineStr">
        <is>
          <t>HCM</t>
        </is>
      </c>
      <c r="E78" s="3" t="inlineStr">
        <is>
          <t>BẢO TRÂM</t>
        </is>
      </c>
      <c r="F78" s="3" t="inlineStr">
        <is>
          <t>Shopee</t>
        </is>
      </c>
      <c r="G7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8" s="3" t="inlineStr">
        <is>
          <t>KS-264</t>
        </is>
      </c>
      <c r="I78" s="4" t="inlineStr">
        <is>
          <t>Kìm chết ngàm rộng KS-264</t>
        </is>
      </c>
      <c r="J78" s="3" t="inlineStr">
        <is>
          <t>Cái</t>
        </is>
      </c>
      <c r="K78" s="5" t="n">
        <v>352000</v>
      </c>
      <c r="L78" s="5" t="n">
        <v>415000</v>
      </c>
      <c r="M78" s="6" t="n">
        <v>510000</v>
      </c>
      <c r="N78" s="5" t="n"/>
      <c r="O78" s="5">
        <f>IF(AND(ISNUMBER(N78),ISNUMBER(M78)),N78-M78,"")</f>
        <v/>
      </c>
      <c r="P78" s="7">
        <f>IF(AND(ISNUMBER(N78),ISNUMBER(M78),M78&gt;0),(N78-M78)/M78,"")</f>
        <v/>
      </c>
      <c r="Q78" s="3">
        <f>IF(P78="","",IF(P78&lt;-0.02,"🔴 Bán phá giá sàn",IF(P78&gt;0.05,"🔵 Bán cao hơn","🟢 Đúng giá sàn TMĐT")))</f>
        <v/>
      </c>
      <c r="R78" s="3" t="n"/>
      <c r="S78" s="4" t="n"/>
      <c r="T78" s="4" t="n"/>
    </row>
    <row r="79">
      <c r="A79" s="3" t="n">
        <v>78</v>
      </c>
      <c r="B79" s="3" t="inlineStr">
        <is>
          <t>DL001</t>
        </is>
      </c>
      <c r="C79" s="4" t="inlineStr">
        <is>
          <t>Điện nước Nhật (Shop) HCM</t>
        </is>
      </c>
      <c r="D79" s="3" t="inlineStr">
        <is>
          <t>HCM</t>
        </is>
      </c>
      <c r="E79" s="3" t="inlineStr">
        <is>
          <t>BẢO TRÂM</t>
        </is>
      </c>
      <c r="F79" s="3" t="inlineStr">
        <is>
          <t>Shopee</t>
        </is>
      </c>
      <c r="G7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79" s="3" t="inlineStr">
        <is>
          <t>KS3-208</t>
        </is>
      </c>
      <c r="I79" s="4" t="inlineStr">
        <is>
          <t>Kìm chữ C KS3-208</t>
        </is>
      </c>
      <c r="J79" s="3" t="inlineStr">
        <is>
          <t>Cái</t>
        </is>
      </c>
      <c r="K79" s="5" t="n">
        <v>132000</v>
      </c>
      <c r="L79" s="5" t="n">
        <v>156000</v>
      </c>
      <c r="M79" s="6" t="n">
        <v>191000</v>
      </c>
      <c r="N79" s="5" t="n"/>
      <c r="O79" s="5">
        <f>IF(AND(ISNUMBER(N79),ISNUMBER(M79)),N79-M79,"")</f>
        <v/>
      </c>
      <c r="P79" s="7">
        <f>IF(AND(ISNUMBER(N79),ISNUMBER(M79),M79&gt;0),(N79-M79)/M79,"")</f>
        <v/>
      </c>
      <c r="Q79" s="3">
        <f>IF(P79="","",IF(P79&lt;-0.02,"🔴 Bán phá giá sàn",IF(P79&gt;0.05,"🔵 Bán cao hơn","🟢 Đúng giá sàn TMĐT")))</f>
        <v/>
      </c>
      <c r="R79" s="3" t="n"/>
      <c r="S79" s="4" t="n"/>
      <c r="T79" s="4" t="n"/>
    </row>
    <row r="80">
      <c r="A80" s="3" t="n">
        <v>79</v>
      </c>
      <c r="B80" s="3" t="inlineStr">
        <is>
          <t>DL001</t>
        </is>
      </c>
      <c r="C80" s="4" t="inlineStr">
        <is>
          <t>Điện nước Nhật (Shop) HCM</t>
        </is>
      </c>
      <c r="D80" s="3" t="inlineStr">
        <is>
          <t>HCM</t>
        </is>
      </c>
      <c r="E80" s="3" t="inlineStr">
        <is>
          <t>BẢO TRÂM</t>
        </is>
      </c>
      <c r="F80" s="3" t="inlineStr">
        <is>
          <t>Shopee</t>
        </is>
      </c>
      <c r="G8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0" s="3" t="inlineStr">
        <is>
          <t>KC1-09</t>
        </is>
      </c>
      <c r="I80" s="4" t="inlineStr">
        <is>
          <t>Kìm điện đa năng KC1-09</t>
        </is>
      </c>
      <c r="J80" s="3" t="inlineStr">
        <is>
          <t>Cái</t>
        </is>
      </c>
      <c r="K80" s="5" t="n">
        <v>127000</v>
      </c>
      <c r="L80" s="5" t="n">
        <v>150000</v>
      </c>
      <c r="M80" s="6" t="n">
        <v>184000</v>
      </c>
      <c r="N80" s="5" t="n"/>
      <c r="O80" s="5">
        <f>IF(AND(ISNUMBER(N80),ISNUMBER(M80)),N80-M80,"")</f>
        <v/>
      </c>
      <c r="P80" s="7">
        <f>IF(AND(ISNUMBER(N80),ISNUMBER(M80),M80&gt;0),(N80-M80)/M80,"")</f>
        <v/>
      </c>
      <c r="Q80" s="3">
        <f>IF(P80="","",IF(P80&lt;-0.02,"🔴 Bán phá giá sàn",IF(P80&gt;0.05,"🔵 Bán cao hơn","🟢 Đúng giá sàn TMĐT")))</f>
        <v/>
      </c>
      <c r="R80" s="3" t="n"/>
      <c r="S80" s="4" t="n"/>
      <c r="T80" s="4" t="n"/>
    </row>
    <row r="81">
      <c r="A81" s="3" t="n">
        <v>80</v>
      </c>
      <c r="B81" s="3" t="inlineStr">
        <is>
          <t>DL001</t>
        </is>
      </c>
      <c r="C81" s="4" t="inlineStr">
        <is>
          <t>Điện nước Nhật (Shop) HCM</t>
        </is>
      </c>
      <c r="D81" s="3" t="inlineStr">
        <is>
          <t>HCM</t>
        </is>
      </c>
      <c r="E81" s="3" t="inlineStr">
        <is>
          <t>BẢO TRÂM</t>
        </is>
      </c>
      <c r="F81" s="3" t="inlineStr">
        <is>
          <t>Shopee</t>
        </is>
      </c>
      <c r="G8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1" s="3" t="inlineStr">
        <is>
          <t>KC1-06</t>
        </is>
      </c>
      <c r="I81" s="4" t="inlineStr">
        <is>
          <t>Kìm điện KC1-06</t>
        </is>
      </c>
      <c r="J81" s="3" t="inlineStr">
        <is>
          <t>Cái</t>
        </is>
      </c>
      <c r="K81" s="5" t="n">
        <v>269000</v>
      </c>
      <c r="L81" s="5" t="n">
        <v>317000</v>
      </c>
      <c r="M81" s="6" t="n">
        <v>390000</v>
      </c>
      <c r="N81" s="5" t="n"/>
      <c r="O81" s="5">
        <f>IF(AND(ISNUMBER(N81),ISNUMBER(M81)),N81-M81,"")</f>
        <v/>
      </c>
      <c r="P81" s="7">
        <f>IF(AND(ISNUMBER(N81),ISNUMBER(M81),M81&gt;0),(N81-M81)/M81,"")</f>
        <v/>
      </c>
      <c r="Q81" s="3">
        <f>IF(P81="","",IF(P81&lt;-0.02,"🔴 Bán phá giá sàn",IF(P81&gt;0.05,"🔵 Bán cao hơn","🟢 Đúng giá sàn TMĐT")))</f>
        <v/>
      </c>
      <c r="R81" s="3" t="n"/>
      <c r="S81" s="4" t="n"/>
      <c r="T81" s="4" t="n"/>
    </row>
    <row r="82">
      <c r="A82" s="3" t="n">
        <v>81</v>
      </c>
      <c r="B82" s="3" t="inlineStr">
        <is>
          <t>DL001</t>
        </is>
      </c>
      <c r="C82" s="4" t="inlineStr">
        <is>
          <t>Điện nước Nhật (Shop) HCM</t>
        </is>
      </c>
      <c r="D82" s="3" t="inlineStr">
        <is>
          <t>HCM</t>
        </is>
      </c>
      <c r="E82" s="3" t="inlineStr">
        <is>
          <t>BẢO TRÂM</t>
        </is>
      </c>
      <c r="F82" s="3" t="inlineStr">
        <is>
          <t>Shopee</t>
        </is>
      </c>
      <c r="G8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2" s="3" t="inlineStr">
        <is>
          <t>KC1-08</t>
        </is>
      </c>
      <c r="I82" s="4" t="inlineStr">
        <is>
          <t>Kìm điện KC1-08</t>
        </is>
      </c>
      <c r="J82" s="3" t="inlineStr">
        <is>
          <t>Cái</t>
        </is>
      </c>
      <c r="K82" s="5" t="n">
        <v>109000</v>
      </c>
      <c r="L82" s="5" t="n">
        <v>129000</v>
      </c>
      <c r="M82" s="6" t="n">
        <v>158000</v>
      </c>
      <c r="N82" s="5" t="n"/>
      <c r="O82" s="5">
        <f>IF(AND(ISNUMBER(N82),ISNUMBER(M82)),N82-M82,"")</f>
        <v/>
      </c>
      <c r="P82" s="7">
        <f>IF(AND(ISNUMBER(N82),ISNUMBER(M82),M82&gt;0),(N82-M82)/M82,"")</f>
        <v/>
      </c>
      <c r="Q82" s="3">
        <f>IF(P82="","",IF(P82&lt;-0.02,"🔴 Bán phá giá sàn",IF(P82&gt;0.05,"🔵 Bán cao hơn","🟢 Đúng giá sàn TMĐT")))</f>
        <v/>
      </c>
      <c r="R82" s="3" t="n"/>
      <c r="S82" s="4" t="n"/>
      <c r="T82" s="4" t="n"/>
    </row>
    <row r="83">
      <c r="A83" s="3" t="n">
        <v>82</v>
      </c>
      <c r="B83" s="3" t="inlineStr">
        <is>
          <t>DL001</t>
        </is>
      </c>
      <c r="C83" s="4" t="inlineStr">
        <is>
          <t>Điện nước Nhật (Shop) HCM</t>
        </is>
      </c>
      <c r="D83" s="3" t="inlineStr">
        <is>
          <t>HCM</t>
        </is>
      </c>
      <c r="E83" s="3" t="inlineStr">
        <is>
          <t>BẢO TRÂM</t>
        </is>
      </c>
      <c r="F83" s="3" t="inlineStr">
        <is>
          <t>Shopee</t>
        </is>
      </c>
      <c r="G8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3" s="3" t="inlineStr">
        <is>
          <t>300-500A</t>
        </is>
      </c>
      <c r="I83" s="4" t="inlineStr">
        <is>
          <t>Kìm hàn  KCH-300  (300-500A)</t>
        </is>
      </c>
      <c r="J83" s="3" t="inlineStr">
        <is>
          <t>Cái</t>
        </is>
      </c>
      <c r="K83" s="5" t="n">
        <v>269000</v>
      </c>
      <c r="L83" s="5" t="n">
        <v>317000</v>
      </c>
      <c r="M83" s="6" t="n">
        <v>390000</v>
      </c>
      <c r="N83" s="5" t="n"/>
      <c r="O83" s="5">
        <f>IF(AND(ISNUMBER(N83),ISNUMBER(M83)),N83-M83,"")</f>
        <v/>
      </c>
      <c r="P83" s="7">
        <f>IF(AND(ISNUMBER(N83),ISNUMBER(M83),M83&gt;0),(N83-M83)/M83,"")</f>
        <v/>
      </c>
      <c r="Q83" s="3">
        <f>IF(P83="","",IF(P83&lt;-0.02,"🔴 Bán phá giá sàn",IF(P83&gt;0.05,"🔵 Bán cao hơn","🟢 Đúng giá sàn TMĐT")))</f>
        <v/>
      </c>
      <c r="R83" s="3" t="n"/>
      <c r="S83" s="4" t="n"/>
      <c r="T83" s="4" t="n"/>
    </row>
    <row r="84">
      <c r="A84" s="3" t="n">
        <v>83</v>
      </c>
      <c r="B84" s="3" t="inlineStr">
        <is>
          <t>DL001</t>
        </is>
      </c>
      <c r="C84" s="4" t="inlineStr">
        <is>
          <t>Điện nước Nhật (Shop) HCM</t>
        </is>
      </c>
      <c r="D84" s="3" t="inlineStr">
        <is>
          <t>HCM</t>
        </is>
      </c>
      <c r="E84" s="3" t="inlineStr">
        <is>
          <t>BẢO TRÂM</t>
        </is>
      </c>
      <c r="F84" s="3" t="inlineStr">
        <is>
          <t>Shopee</t>
        </is>
      </c>
      <c r="G8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4" s="3" t="inlineStr">
        <is>
          <t>KC2-09</t>
        </is>
      </c>
      <c r="I84" s="4" t="inlineStr">
        <is>
          <t>Kìm mỏ nhọn đa năng KC2-09</t>
        </is>
      </c>
      <c r="J84" s="3" t="inlineStr">
        <is>
          <t>Cái</t>
        </is>
      </c>
      <c r="K84" s="5" t="n">
        <v>127000</v>
      </c>
      <c r="L84" s="5" t="n">
        <v>150000</v>
      </c>
      <c r="M84" s="6" t="n">
        <v>184000</v>
      </c>
      <c r="N84" s="5" t="n"/>
      <c r="O84" s="5">
        <f>IF(AND(ISNUMBER(N84),ISNUMBER(M84)),N84-M84,"")</f>
        <v/>
      </c>
      <c r="P84" s="7">
        <f>IF(AND(ISNUMBER(N84),ISNUMBER(M84),M84&gt;0),(N84-M84)/M84,"")</f>
        <v/>
      </c>
      <c r="Q84" s="3">
        <f>IF(P84="","",IF(P84&lt;-0.02,"🔴 Bán phá giá sàn",IF(P84&gt;0.05,"🔵 Bán cao hơn","🟢 Đúng giá sàn TMĐT")))</f>
        <v/>
      </c>
      <c r="R84" s="3" t="n"/>
      <c r="S84" s="4" t="n"/>
      <c r="T84" s="4" t="n"/>
    </row>
    <row r="85">
      <c r="A85" s="3" t="n">
        <v>84</v>
      </c>
      <c r="B85" s="3" t="inlineStr">
        <is>
          <t>DL001</t>
        </is>
      </c>
      <c r="C85" s="4" t="inlineStr">
        <is>
          <t>Điện nước Nhật (Shop) HCM</t>
        </is>
      </c>
      <c r="D85" s="3" t="inlineStr">
        <is>
          <t>HCM</t>
        </is>
      </c>
      <c r="E85" s="3" t="inlineStr">
        <is>
          <t>BẢO TRÂM</t>
        </is>
      </c>
      <c r="F85" s="3" t="inlineStr">
        <is>
          <t>Shopee</t>
        </is>
      </c>
      <c r="G8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5" s="3" t="inlineStr">
        <is>
          <t>KC2-150</t>
        </is>
      </c>
      <c r="I85" s="4" t="inlineStr">
        <is>
          <t>Kìm nhọn KC2-150</t>
        </is>
      </c>
      <c r="J85" s="3" t="inlineStr">
        <is>
          <t>Cái</t>
        </is>
      </c>
      <c r="K85" s="5" t="n">
        <v>91000</v>
      </c>
      <c r="L85" s="5" t="n">
        <v>107000</v>
      </c>
      <c r="M85" s="6" t="n">
        <v>132000</v>
      </c>
      <c r="N85" s="5" t="n"/>
      <c r="O85" s="5">
        <f>IF(AND(ISNUMBER(N85),ISNUMBER(M85)),N85-M85,"")</f>
        <v/>
      </c>
      <c r="P85" s="7">
        <f>IF(AND(ISNUMBER(N85),ISNUMBER(M85),M85&gt;0),(N85-M85)/M85,"")</f>
        <v/>
      </c>
      <c r="Q85" s="3">
        <f>IF(P85="","",IF(P85&lt;-0.02,"🔴 Bán phá giá sàn",IF(P85&gt;0.05,"🔵 Bán cao hơn","🟢 Đúng giá sàn TMĐT")))</f>
        <v/>
      </c>
      <c r="R85" s="3" t="n"/>
      <c r="S85" s="4" t="n"/>
      <c r="T85" s="4" t="n"/>
    </row>
    <row r="86">
      <c r="A86" s="3" t="n">
        <v>85</v>
      </c>
      <c r="B86" s="3" t="inlineStr">
        <is>
          <t>DL001</t>
        </is>
      </c>
      <c r="C86" s="4" t="inlineStr">
        <is>
          <t>Điện nước Nhật (Shop) HCM</t>
        </is>
      </c>
      <c r="D86" s="3" t="inlineStr">
        <is>
          <t>HCM</t>
        </is>
      </c>
      <c r="E86" s="3" t="inlineStr">
        <is>
          <t>BẢO TRÂM</t>
        </is>
      </c>
      <c r="F86" s="3" t="inlineStr">
        <is>
          <t>Shopee</t>
        </is>
      </c>
      <c r="G8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6" s="3" t="inlineStr">
        <is>
          <t>KJ-230</t>
        </is>
      </c>
      <c r="I86" s="4" t="inlineStr">
        <is>
          <t>Kìm rút đinh công nghiệp KJ-230</t>
        </is>
      </c>
      <c r="J86" s="3" t="inlineStr">
        <is>
          <t>Cái</t>
        </is>
      </c>
      <c r="K86" s="5" t="n">
        <v>249000</v>
      </c>
      <c r="L86" s="5" t="n">
        <v>294000</v>
      </c>
      <c r="M86" s="6" t="n">
        <v>361000</v>
      </c>
      <c r="N86" s="5" t="n"/>
      <c r="O86" s="5">
        <f>IF(AND(ISNUMBER(N86),ISNUMBER(M86)),N86-M86,"")</f>
        <v/>
      </c>
      <c r="P86" s="7">
        <f>IF(AND(ISNUMBER(N86),ISNUMBER(M86),M86&gt;0),(N86-M86)/M86,"")</f>
        <v/>
      </c>
      <c r="Q86" s="3">
        <f>IF(P86="","",IF(P86&lt;-0.02,"🔴 Bán phá giá sàn",IF(P86&gt;0.05,"🔵 Bán cao hơn","🟢 Đúng giá sàn TMĐT")))</f>
        <v/>
      </c>
      <c r="R86" s="3" t="n"/>
      <c r="S86" s="4" t="n"/>
      <c r="T86" s="4" t="n"/>
    </row>
    <row r="87">
      <c r="A87" s="3" t="n">
        <v>86</v>
      </c>
      <c r="B87" s="3" t="inlineStr">
        <is>
          <t>DL001</t>
        </is>
      </c>
      <c r="C87" s="4" t="inlineStr">
        <is>
          <t>Điện nước Nhật (Shop) HCM</t>
        </is>
      </c>
      <c r="D87" s="3" t="inlineStr">
        <is>
          <t>HCM</t>
        </is>
      </c>
      <c r="E87" s="3" t="inlineStr">
        <is>
          <t>BẢO TRÂM</t>
        </is>
      </c>
      <c r="F87" s="3" t="inlineStr">
        <is>
          <t>Shopee</t>
        </is>
      </c>
      <c r="G8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7" s="3" t="inlineStr">
        <is>
          <t>KJ-103</t>
        </is>
      </c>
      <c r="I87" s="4" t="inlineStr">
        <is>
          <t>Kìm rút đinh KJ-103</t>
        </is>
      </c>
      <c r="J87" s="3" t="inlineStr">
        <is>
          <t>Cái</t>
        </is>
      </c>
      <c r="K87" s="5" t="n">
        <v>94000</v>
      </c>
      <c r="L87" s="5" t="n">
        <v>111000</v>
      </c>
      <c r="M87" s="6" t="n">
        <v>136000</v>
      </c>
      <c r="N87" s="5" t="n"/>
      <c r="O87" s="5">
        <f>IF(AND(ISNUMBER(N87),ISNUMBER(M87)),N87-M87,"")</f>
        <v/>
      </c>
      <c r="P87" s="7">
        <f>IF(AND(ISNUMBER(N87),ISNUMBER(M87),M87&gt;0),(N87-M87)/M87,"")</f>
        <v/>
      </c>
      <c r="Q87" s="3">
        <f>IF(P87="","",IF(P87&lt;-0.02,"🔴 Bán phá giá sàn",IF(P87&gt;0.05,"🔵 Bán cao hơn","🟢 Đúng giá sàn TMĐT")))</f>
        <v/>
      </c>
      <c r="R87" s="3" t="n"/>
      <c r="S87" s="4" t="n"/>
      <c r="T87" s="4" t="n"/>
    </row>
    <row r="88">
      <c r="A88" s="3" t="n">
        <v>87</v>
      </c>
      <c r="B88" s="3" t="inlineStr">
        <is>
          <t>DL001</t>
        </is>
      </c>
      <c r="C88" s="4" t="inlineStr">
        <is>
          <t>Điện nước Nhật (Shop) HCM</t>
        </is>
      </c>
      <c r="D88" s="3" t="inlineStr">
        <is>
          <t>HCM</t>
        </is>
      </c>
      <c r="E88" s="3" t="inlineStr">
        <is>
          <t>BẢO TRÂM</t>
        </is>
      </c>
      <c r="F88" s="3" t="inlineStr">
        <is>
          <t>Shopee</t>
        </is>
      </c>
      <c r="G8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8" s="3" t="inlineStr">
        <is>
          <t>KND180</t>
        </is>
      </c>
      <c r="I88" s="4" t="inlineStr">
        <is>
          <t>Kìm tuốt dây điện đa năng KND180</t>
        </is>
      </c>
      <c r="J88" s="3" t="inlineStr">
        <is>
          <t>Cái</t>
        </is>
      </c>
      <c r="K88" s="5" t="n">
        <v>127000</v>
      </c>
      <c r="L88" s="5" t="n">
        <v>150000</v>
      </c>
      <c r="M88" s="6" t="n">
        <v>184000</v>
      </c>
      <c r="N88" s="5" t="n"/>
      <c r="O88" s="5">
        <f>IF(AND(ISNUMBER(N88),ISNUMBER(M88)),N88-M88,"")</f>
        <v/>
      </c>
      <c r="P88" s="7">
        <f>IF(AND(ISNUMBER(N88),ISNUMBER(M88),M88&gt;0),(N88-M88)/M88,"")</f>
        <v/>
      </c>
      <c r="Q88" s="3">
        <f>IF(P88="","",IF(P88&lt;-0.02,"🔴 Bán phá giá sàn",IF(P88&gt;0.05,"🔵 Bán cao hơn","🟢 Đúng giá sàn TMĐT")))</f>
        <v/>
      </c>
      <c r="R88" s="3" t="n"/>
      <c r="S88" s="4" t="n"/>
      <c r="T88" s="4" t="n"/>
    </row>
    <row r="89">
      <c r="A89" s="3" t="n">
        <v>88</v>
      </c>
      <c r="B89" s="3" t="inlineStr">
        <is>
          <t>DL001</t>
        </is>
      </c>
      <c r="C89" s="4" t="inlineStr">
        <is>
          <t>Điện nước Nhật (Shop) HCM</t>
        </is>
      </c>
      <c r="D89" s="3" t="inlineStr">
        <is>
          <t>HCM</t>
        </is>
      </c>
      <c r="E89" s="3" t="inlineStr">
        <is>
          <t>BẢO TRÂM</t>
        </is>
      </c>
      <c r="F89" s="3" t="inlineStr">
        <is>
          <t>Shopee</t>
        </is>
      </c>
      <c r="G8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89" s="3" t="inlineStr">
        <is>
          <t>KND205</t>
        </is>
      </c>
      <c r="I89" s="4" t="inlineStr">
        <is>
          <t>Kìm tuốt dây điện đa năng KND205</t>
        </is>
      </c>
      <c r="J89" s="3" t="inlineStr">
        <is>
          <t>Cái</t>
        </is>
      </c>
      <c r="K89" s="5" t="n">
        <v>160000</v>
      </c>
      <c r="L89" s="5" t="n">
        <v>189000</v>
      </c>
      <c r="M89" s="6" t="n">
        <v>232000</v>
      </c>
      <c r="N89" s="5" t="n"/>
      <c r="O89" s="5">
        <f>IF(AND(ISNUMBER(N89),ISNUMBER(M89)),N89-M89,"")</f>
        <v/>
      </c>
      <c r="P89" s="7">
        <f>IF(AND(ISNUMBER(N89),ISNUMBER(M89),M89&gt;0),(N89-M89)/M89,"")</f>
        <v/>
      </c>
      <c r="Q89" s="3">
        <f>IF(P89="","",IF(P89&lt;-0.02,"🔴 Bán phá giá sàn",IF(P89&gt;0.05,"🔵 Bán cao hơn","🟢 Đúng giá sàn TMĐT")))</f>
        <v/>
      </c>
      <c r="R89" s="3" t="n"/>
      <c r="S89" s="4" t="n"/>
      <c r="T89" s="4" t="n"/>
    </row>
    <row r="90">
      <c r="A90" s="3" t="n">
        <v>89</v>
      </c>
      <c r="B90" s="3" t="inlineStr">
        <is>
          <t>DL001</t>
        </is>
      </c>
      <c r="C90" s="4" t="inlineStr">
        <is>
          <t>Điện nước Nhật (Shop) HCM</t>
        </is>
      </c>
      <c r="D90" s="3" t="inlineStr">
        <is>
          <t>HCM</t>
        </is>
      </c>
      <c r="E90" s="3" t="inlineStr">
        <is>
          <t>BẢO TRÂM</t>
        </is>
      </c>
      <c r="F90" s="3" t="inlineStr">
        <is>
          <t>Shopee</t>
        </is>
      </c>
      <c r="G9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0" s="3" t="inlineStr">
        <is>
          <t>KBM2-06160</t>
        </is>
      </c>
      <c r="I90" s="4" t="inlineStr">
        <is>
          <t>Khoan bê tông chuôi lục giác KBM2-06*160</t>
        </is>
      </c>
      <c r="J90" s="3" t="inlineStr">
        <is>
          <t>Cái</t>
        </is>
      </c>
      <c r="K90" s="5" t="n">
        <v>22000</v>
      </c>
      <c r="L90" s="5" t="n">
        <v>27000</v>
      </c>
      <c r="M90" s="6" t="n">
        <v>34000</v>
      </c>
      <c r="N90" s="5" t="n"/>
      <c r="O90" s="5">
        <f>IF(AND(ISNUMBER(N90),ISNUMBER(M90)),N90-M90,"")</f>
        <v/>
      </c>
      <c r="P90" s="7">
        <f>IF(AND(ISNUMBER(N90),ISNUMBER(M90),M90&gt;0),(N90-M90)/M90,"")</f>
        <v/>
      </c>
      <c r="Q90" s="3">
        <f>IF(P90="","",IF(P90&lt;-0.02,"🔴 Bán phá giá sàn",IF(P90&gt;0.05,"🔵 Bán cao hơn","🟢 Đúng giá sàn TMĐT")))</f>
        <v/>
      </c>
      <c r="R90" s="3" t="n"/>
      <c r="S90" s="4" t="n"/>
      <c r="T90" s="4" t="n"/>
    </row>
    <row r="91">
      <c r="A91" s="3" t="n">
        <v>90</v>
      </c>
      <c r="B91" s="3" t="inlineStr">
        <is>
          <t>DL001</t>
        </is>
      </c>
      <c r="C91" s="4" t="inlineStr">
        <is>
          <t>Điện nước Nhật (Shop) HCM</t>
        </is>
      </c>
      <c r="D91" s="3" t="inlineStr">
        <is>
          <t>HCM</t>
        </is>
      </c>
      <c r="E91" s="3" t="inlineStr">
        <is>
          <t>BẢO TRÂM</t>
        </is>
      </c>
      <c r="F91" s="3" t="inlineStr">
        <is>
          <t>Shopee</t>
        </is>
      </c>
      <c r="G9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1" s="3" t="inlineStr">
        <is>
          <t>KBM2-08160</t>
        </is>
      </c>
      <c r="I91" s="4" t="inlineStr">
        <is>
          <t>Khoan bê tông chuôi lục giác KBM2-08*160</t>
        </is>
      </c>
      <c r="J91" s="3" t="inlineStr">
        <is>
          <t>Cái</t>
        </is>
      </c>
      <c r="K91" s="5" t="n">
        <v>24000</v>
      </c>
      <c r="L91" s="5" t="n">
        <v>29000</v>
      </c>
      <c r="M91" s="6" t="n">
        <v>37000</v>
      </c>
      <c r="N91" s="5" t="n"/>
      <c r="O91" s="5">
        <f>IF(AND(ISNUMBER(N91),ISNUMBER(M91)),N91-M91,"")</f>
        <v/>
      </c>
      <c r="P91" s="7">
        <f>IF(AND(ISNUMBER(N91),ISNUMBER(M91),M91&gt;0),(N91-M91)/M91,"")</f>
        <v/>
      </c>
      <c r="Q91" s="3">
        <f>IF(P91="","",IF(P91&lt;-0.02,"🔴 Bán phá giá sàn",IF(P91&gt;0.05,"🔵 Bán cao hơn","🟢 Đúng giá sàn TMĐT")))</f>
        <v/>
      </c>
      <c r="R91" s="3" t="n"/>
      <c r="S91" s="4" t="n"/>
      <c r="T91" s="4" t="n"/>
    </row>
    <row r="92">
      <c r="A92" s="3" t="n">
        <v>91</v>
      </c>
      <c r="B92" s="3" t="inlineStr">
        <is>
          <t>DL001</t>
        </is>
      </c>
      <c r="C92" s="4" t="inlineStr">
        <is>
          <t>Điện nước Nhật (Shop) HCM</t>
        </is>
      </c>
      <c r="D92" s="3" t="inlineStr">
        <is>
          <t>HCM</t>
        </is>
      </c>
      <c r="E92" s="3" t="inlineStr">
        <is>
          <t>BẢO TRÂM</t>
        </is>
      </c>
      <c r="F92" s="3" t="inlineStr">
        <is>
          <t>Shopee</t>
        </is>
      </c>
      <c r="G9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2" s="3" t="inlineStr">
        <is>
          <t>KBY3-020CO</t>
        </is>
      </c>
      <c r="I92" s="4" t="inlineStr">
        <is>
          <t>Khoan inox chuôi lục KBY3-020CO</t>
        </is>
      </c>
      <c r="J92" s="3" t="inlineStr">
        <is>
          <t>Vỉ</t>
        </is>
      </c>
      <c r="K92" s="5" t="n">
        <v>28000</v>
      </c>
      <c r="L92" s="5" t="n">
        <v>35000</v>
      </c>
      <c r="M92" s="6" t="n">
        <v>45000</v>
      </c>
      <c r="N92" s="5" t="n"/>
      <c r="O92" s="5">
        <f>IF(AND(ISNUMBER(N92),ISNUMBER(M92)),N92-M92,"")</f>
        <v/>
      </c>
      <c r="P92" s="7">
        <f>IF(AND(ISNUMBER(N92),ISNUMBER(M92),M92&gt;0),(N92-M92)/M92,"")</f>
        <v/>
      </c>
      <c r="Q92" s="3">
        <f>IF(P92="","",IF(P92&lt;-0.02,"🔴 Bán phá giá sàn",IF(P92&gt;0.05,"🔵 Bán cao hơn","🟢 Đúng giá sàn TMĐT")))</f>
        <v/>
      </c>
      <c r="R92" s="3" t="n"/>
      <c r="S92" s="4" t="n"/>
      <c r="T92" s="4" t="n"/>
    </row>
    <row r="93">
      <c r="A93" s="3" t="n">
        <v>92</v>
      </c>
      <c r="B93" s="3" t="inlineStr">
        <is>
          <t>DL001</t>
        </is>
      </c>
      <c r="C93" s="4" t="inlineStr">
        <is>
          <t>Điện nước Nhật (Shop) HCM</t>
        </is>
      </c>
      <c r="D93" s="3" t="inlineStr">
        <is>
          <t>HCM</t>
        </is>
      </c>
      <c r="E93" s="3" t="inlineStr">
        <is>
          <t>BẢO TRÂM</t>
        </is>
      </c>
      <c r="F93" s="3" t="inlineStr">
        <is>
          <t>Shopee</t>
        </is>
      </c>
      <c r="G9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3" s="3" t="inlineStr">
        <is>
          <t>KBY3-030CO</t>
        </is>
      </c>
      <c r="I93" s="4" t="inlineStr">
        <is>
          <t>Khoan inox chuôi lục KBY3-030CO</t>
        </is>
      </c>
      <c r="J93" s="3" t="inlineStr">
        <is>
          <t>Vỉ</t>
        </is>
      </c>
      <c r="K93" s="5" t="n">
        <v>31000</v>
      </c>
      <c r="L93" s="5" t="n">
        <v>39000</v>
      </c>
      <c r="M93" s="6" t="n">
        <v>50000</v>
      </c>
      <c r="N93" s="5" t="n"/>
      <c r="O93" s="5">
        <f>IF(AND(ISNUMBER(N93),ISNUMBER(M93)),N93-M93,"")</f>
        <v/>
      </c>
      <c r="P93" s="7">
        <f>IF(AND(ISNUMBER(N93),ISNUMBER(M93),M93&gt;0),(N93-M93)/M93,"")</f>
        <v/>
      </c>
      <c r="Q93" s="3">
        <f>IF(P93="","",IF(P93&lt;-0.02,"🔴 Bán phá giá sàn",IF(P93&gt;0.05,"🔵 Bán cao hơn","🟢 Đúng giá sàn TMĐT")))</f>
        <v/>
      </c>
      <c r="R93" s="3" t="n"/>
      <c r="S93" s="4" t="n"/>
      <c r="T93" s="4" t="n"/>
    </row>
    <row r="94">
      <c r="A94" s="3" t="n">
        <v>93</v>
      </c>
      <c r="B94" s="3" t="inlineStr">
        <is>
          <t>DL001</t>
        </is>
      </c>
      <c r="C94" s="4" t="inlineStr">
        <is>
          <t>Điện nước Nhật (Shop) HCM</t>
        </is>
      </c>
      <c r="D94" s="3" t="inlineStr">
        <is>
          <t>HCM</t>
        </is>
      </c>
      <c r="E94" s="3" t="inlineStr">
        <is>
          <t>BẢO TRÂM</t>
        </is>
      </c>
      <c r="F94" s="3" t="inlineStr">
        <is>
          <t>Shopee</t>
        </is>
      </c>
      <c r="G9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4" s="3" t="inlineStr">
        <is>
          <t>KBY3-032CO</t>
        </is>
      </c>
      <c r="I94" s="4" t="inlineStr">
        <is>
          <t>Khoan inox chuôi lục KBY3-032CO</t>
        </is>
      </c>
      <c r="J94" s="3" t="inlineStr">
        <is>
          <t>Vỉ</t>
        </is>
      </c>
      <c r="K94" s="5" t="n">
        <v>35000</v>
      </c>
      <c r="L94" s="5" t="n">
        <v>43000</v>
      </c>
      <c r="M94" s="6" t="n">
        <v>56000</v>
      </c>
      <c r="N94" s="5" t="n"/>
      <c r="O94" s="5">
        <f>IF(AND(ISNUMBER(N94),ISNUMBER(M94)),N94-M94,"")</f>
        <v/>
      </c>
      <c r="P94" s="7">
        <f>IF(AND(ISNUMBER(N94),ISNUMBER(M94),M94&gt;0),(N94-M94)/M94,"")</f>
        <v/>
      </c>
      <c r="Q94" s="3">
        <f>IF(P94="","",IF(P94&lt;-0.02,"🔴 Bán phá giá sàn",IF(P94&gt;0.05,"🔵 Bán cao hơn","🟢 Đúng giá sàn TMĐT")))</f>
        <v/>
      </c>
      <c r="R94" s="3" t="n"/>
      <c r="S94" s="4" t="n"/>
      <c r="T94" s="4" t="n"/>
    </row>
    <row r="95">
      <c r="A95" s="3" t="n">
        <v>94</v>
      </c>
      <c r="B95" s="3" t="inlineStr">
        <is>
          <t>DL001</t>
        </is>
      </c>
      <c r="C95" s="4" t="inlineStr">
        <is>
          <t>Điện nước Nhật (Shop) HCM</t>
        </is>
      </c>
      <c r="D95" s="3" t="inlineStr">
        <is>
          <t>HCM</t>
        </is>
      </c>
      <c r="E95" s="3" t="inlineStr">
        <is>
          <t>BẢO TRÂM</t>
        </is>
      </c>
      <c r="F95" s="3" t="inlineStr">
        <is>
          <t>Shopee</t>
        </is>
      </c>
      <c r="G9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5" s="3" t="inlineStr">
        <is>
          <t>KBY3-035CO</t>
        </is>
      </c>
      <c r="I95" s="4" t="inlineStr">
        <is>
          <t>Khoan inox chuôi lục KBY3-035CO</t>
        </is>
      </c>
      <c r="J95" s="3" t="inlineStr">
        <is>
          <t>Vỉ</t>
        </is>
      </c>
      <c r="K95" s="5" t="n">
        <v>36000</v>
      </c>
      <c r="L95" s="5" t="n">
        <v>45000</v>
      </c>
      <c r="M95" s="6" t="n">
        <v>58000</v>
      </c>
      <c r="N95" s="5" t="n"/>
      <c r="O95" s="5">
        <f>IF(AND(ISNUMBER(N95),ISNUMBER(M95)),N95-M95,"")</f>
        <v/>
      </c>
      <c r="P95" s="7">
        <f>IF(AND(ISNUMBER(N95),ISNUMBER(M95),M95&gt;0),(N95-M95)/M95,"")</f>
        <v/>
      </c>
      <c r="Q95" s="3">
        <f>IF(P95="","",IF(P95&lt;-0.02,"🔴 Bán phá giá sàn",IF(P95&gt;0.05,"🔵 Bán cao hơn","🟢 Đúng giá sàn TMĐT")))</f>
        <v/>
      </c>
      <c r="R95" s="3" t="n"/>
      <c r="S95" s="4" t="n"/>
      <c r="T95" s="4" t="n"/>
    </row>
    <row r="96">
      <c r="A96" s="3" t="n">
        <v>95</v>
      </c>
      <c r="B96" s="3" t="inlineStr">
        <is>
          <t>DL001</t>
        </is>
      </c>
      <c r="C96" s="4" t="inlineStr">
        <is>
          <t>Điện nước Nhật (Shop) HCM</t>
        </is>
      </c>
      <c r="D96" s="3" t="inlineStr">
        <is>
          <t>HCM</t>
        </is>
      </c>
      <c r="E96" s="3" t="inlineStr">
        <is>
          <t>BẢO TRÂM</t>
        </is>
      </c>
      <c r="F96" s="3" t="inlineStr">
        <is>
          <t>Shopee</t>
        </is>
      </c>
      <c r="G9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6" s="3" t="inlineStr">
        <is>
          <t>KBY3-040CO</t>
        </is>
      </c>
      <c r="I96" s="4" t="inlineStr">
        <is>
          <t>Khoan inox chuôi lục KBY3-040CO</t>
        </is>
      </c>
      <c r="J96" s="3" t="inlineStr">
        <is>
          <t>Vỉ</t>
        </is>
      </c>
      <c r="K96" s="5" t="n">
        <v>40000</v>
      </c>
      <c r="L96" s="5" t="n">
        <v>50000</v>
      </c>
      <c r="M96" s="6" t="n">
        <v>64000</v>
      </c>
      <c r="N96" s="5" t="n"/>
      <c r="O96" s="5">
        <f>IF(AND(ISNUMBER(N96),ISNUMBER(M96)),N96-M96,"")</f>
        <v/>
      </c>
      <c r="P96" s="7">
        <f>IF(AND(ISNUMBER(N96),ISNUMBER(M96),M96&gt;0),(N96-M96)/M96,"")</f>
        <v/>
      </c>
      <c r="Q96" s="3">
        <f>IF(P96="","",IF(P96&lt;-0.02,"🔴 Bán phá giá sàn",IF(P96&gt;0.05,"🔵 Bán cao hơn","🟢 Đúng giá sàn TMĐT")))</f>
        <v/>
      </c>
      <c r="R96" s="3" t="n"/>
      <c r="S96" s="4" t="n"/>
      <c r="T96" s="4" t="n"/>
    </row>
    <row r="97">
      <c r="A97" s="3" t="n">
        <v>96</v>
      </c>
      <c r="B97" s="3" t="inlineStr">
        <is>
          <t>DL001</t>
        </is>
      </c>
      <c r="C97" s="4" t="inlineStr">
        <is>
          <t>Điện nước Nhật (Shop) HCM</t>
        </is>
      </c>
      <c r="D97" s="3" t="inlineStr">
        <is>
          <t>HCM</t>
        </is>
      </c>
      <c r="E97" s="3" t="inlineStr">
        <is>
          <t>BẢO TRÂM</t>
        </is>
      </c>
      <c r="F97" s="3" t="inlineStr">
        <is>
          <t>Shopee</t>
        </is>
      </c>
      <c r="G9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7" s="3" t="inlineStr">
        <is>
          <t>KBY3-042CO</t>
        </is>
      </c>
      <c r="I97" s="4" t="inlineStr">
        <is>
          <t>Khoan inox chuôi lục KBY3-042CO</t>
        </is>
      </c>
      <c r="J97" s="3" t="inlineStr">
        <is>
          <t>Vỉ</t>
        </is>
      </c>
      <c r="K97" s="5" t="n">
        <v>45000</v>
      </c>
      <c r="L97" s="5" t="n">
        <v>56000</v>
      </c>
      <c r="M97" s="6" t="n">
        <v>72000</v>
      </c>
      <c r="N97" s="5" t="n"/>
      <c r="O97" s="5">
        <f>IF(AND(ISNUMBER(N97),ISNUMBER(M97)),N97-M97,"")</f>
        <v/>
      </c>
      <c r="P97" s="7">
        <f>IF(AND(ISNUMBER(N97),ISNUMBER(M97),M97&gt;0),(N97-M97)/M97,"")</f>
        <v/>
      </c>
      <c r="Q97" s="3">
        <f>IF(P97="","",IF(P97&lt;-0.02,"🔴 Bán phá giá sàn",IF(P97&gt;0.05,"🔵 Bán cao hơn","🟢 Đúng giá sàn TMĐT")))</f>
        <v/>
      </c>
      <c r="R97" s="3" t="n"/>
      <c r="S97" s="4" t="n"/>
      <c r="T97" s="4" t="n"/>
    </row>
    <row r="98">
      <c r="A98" s="3" t="n">
        <v>97</v>
      </c>
      <c r="B98" s="3" t="inlineStr">
        <is>
          <t>DL001</t>
        </is>
      </c>
      <c r="C98" s="4" t="inlineStr">
        <is>
          <t>Điện nước Nhật (Shop) HCM</t>
        </is>
      </c>
      <c r="D98" s="3" t="inlineStr">
        <is>
          <t>HCM</t>
        </is>
      </c>
      <c r="E98" s="3" t="inlineStr">
        <is>
          <t>BẢO TRÂM</t>
        </is>
      </c>
      <c r="F98" s="3" t="inlineStr">
        <is>
          <t>Shopee</t>
        </is>
      </c>
      <c r="G9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8" s="3" t="inlineStr">
        <is>
          <t>KBY3-045CO</t>
        </is>
      </c>
      <c r="I98" s="4" t="inlineStr">
        <is>
          <t>Khoan inox chuôi lục KBY3-045CO</t>
        </is>
      </c>
      <c r="J98" s="3" t="inlineStr">
        <is>
          <t>Vỉ</t>
        </is>
      </c>
      <c r="K98" s="5" t="n">
        <v>46000</v>
      </c>
      <c r="L98" s="5" t="n">
        <v>57000</v>
      </c>
      <c r="M98" s="6" t="n">
        <v>74000</v>
      </c>
      <c r="N98" s="5" t="n"/>
      <c r="O98" s="5">
        <f>IF(AND(ISNUMBER(N98),ISNUMBER(M98)),N98-M98,"")</f>
        <v/>
      </c>
      <c r="P98" s="7">
        <f>IF(AND(ISNUMBER(N98),ISNUMBER(M98),M98&gt;0),(N98-M98)/M98,"")</f>
        <v/>
      </c>
      <c r="Q98" s="3">
        <f>IF(P98="","",IF(P98&lt;-0.02,"🔴 Bán phá giá sàn",IF(P98&gt;0.05,"🔵 Bán cao hơn","🟢 Đúng giá sàn TMĐT")))</f>
        <v/>
      </c>
      <c r="R98" s="3" t="n"/>
      <c r="S98" s="4" t="n"/>
      <c r="T98" s="4" t="n"/>
    </row>
    <row r="99">
      <c r="A99" s="3" t="n">
        <v>98</v>
      </c>
      <c r="B99" s="3" t="inlineStr">
        <is>
          <t>DL001</t>
        </is>
      </c>
      <c r="C99" s="4" t="inlineStr">
        <is>
          <t>Điện nước Nhật (Shop) HCM</t>
        </is>
      </c>
      <c r="D99" s="3" t="inlineStr">
        <is>
          <t>HCM</t>
        </is>
      </c>
      <c r="E99" s="3" t="inlineStr">
        <is>
          <t>BẢO TRÂM</t>
        </is>
      </c>
      <c r="F99" s="3" t="inlineStr">
        <is>
          <t>Shopee</t>
        </is>
      </c>
      <c r="G9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99" s="3" t="inlineStr">
        <is>
          <t>KBY3-050CO</t>
        </is>
      </c>
      <c r="I99" s="4" t="inlineStr">
        <is>
          <t>Khoan inox chuôi lục KBY3-050CO</t>
        </is>
      </c>
      <c r="J99" s="3" t="inlineStr">
        <is>
          <t>Vỉ</t>
        </is>
      </c>
      <c r="K99" s="5" t="n">
        <v>53000</v>
      </c>
      <c r="L99" s="5" t="n">
        <v>66000</v>
      </c>
      <c r="M99" s="6" t="n">
        <v>85000</v>
      </c>
      <c r="N99" s="5" t="n"/>
      <c r="O99" s="5">
        <f>IF(AND(ISNUMBER(N99),ISNUMBER(M99)),N99-M99,"")</f>
        <v/>
      </c>
      <c r="P99" s="7">
        <f>IF(AND(ISNUMBER(N99),ISNUMBER(M99),M99&gt;0),(N99-M99)/M99,"")</f>
        <v/>
      </c>
      <c r="Q99" s="3">
        <f>IF(P99="","",IF(P99&lt;-0.02,"🔴 Bán phá giá sàn",IF(P99&gt;0.05,"🔵 Bán cao hơn","🟢 Đúng giá sàn TMĐT")))</f>
        <v/>
      </c>
      <c r="R99" s="3" t="n"/>
      <c r="S99" s="4" t="n"/>
      <c r="T99" s="4" t="n"/>
    </row>
    <row r="100">
      <c r="A100" s="3" t="n">
        <v>99</v>
      </c>
      <c r="B100" s="3" t="inlineStr">
        <is>
          <t>DL001</t>
        </is>
      </c>
      <c r="C100" s="4" t="inlineStr">
        <is>
          <t>Điện nước Nhật (Shop) HCM</t>
        </is>
      </c>
      <c r="D100" s="3" t="inlineStr">
        <is>
          <t>HCM</t>
        </is>
      </c>
      <c r="E100" s="3" t="inlineStr">
        <is>
          <t>BẢO TRÂM</t>
        </is>
      </c>
      <c r="F100" s="3" t="inlineStr">
        <is>
          <t>Shopee</t>
        </is>
      </c>
      <c r="G10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0" s="3" t="inlineStr">
        <is>
          <t>KBY3-060CO</t>
        </is>
      </c>
      <c r="I100" s="4" t="inlineStr">
        <is>
          <t>Khoan inox chuôi lục KBY3-060CO</t>
        </is>
      </c>
      <c r="J100" s="3" t="inlineStr">
        <is>
          <t>Vỉ</t>
        </is>
      </c>
      <c r="K100" s="5" t="n">
        <v>65000</v>
      </c>
      <c r="L100" s="5" t="n">
        <v>81000</v>
      </c>
      <c r="M100" s="6" t="n">
        <v>104000</v>
      </c>
      <c r="N100" s="5" t="n"/>
      <c r="O100" s="5">
        <f>IF(AND(ISNUMBER(N100),ISNUMBER(M100)),N100-M100,"")</f>
        <v/>
      </c>
      <c r="P100" s="7">
        <f>IF(AND(ISNUMBER(N100),ISNUMBER(M100),M100&gt;0),(N100-M100)/M100,"")</f>
        <v/>
      </c>
      <c r="Q100" s="3">
        <f>IF(P100="","",IF(P100&lt;-0.02,"🔴 Bán phá giá sàn",IF(P100&gt;0.05,"🔵 Bán cao hơn","🟢 Đúng giá sàn TMĐT")))</f>
        <v/>
      </c>
      <c r="R100" s="3" t="n"/>
      <c r="S100" s="4" t="n"/>
      <c r="T100" s="4" t="n"/>
    </row>
    <row r="101">
      <c r="A101" s="3" t="n">
        <v>100</v>
      </c>
      <c r="B101" s="3" t="inlineStr">
        <is>
          <t>DL001</t>
        </is>
      </c>
      <c r="C101" s="4" t="inlineStr">
        <is>
          <t>Điện nước Nhật (Shop) HCM</t>
        </is>
      </c>
      <c r="D101" s="3" t="inlineStr">
        <is>
          <t>HCM</t>
        </is>
      </c>
      <c r="E101" s="3" t="inlineStr">
        <is>
          <t>BẢO TRÂM</t>
        </is>
      </c>
      <c r="F101" s="3" t="inlineStr">
        <is>
          <t>Shopee</t>
        </is>
      </c>
      <c r="G10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1" s="3" t="inlineStr">
        <is>
          <t>KBY3-065CO</t>
        </is>
      </c>
      <c r="I101" s="4" t="inlineStr">
        <is>
          <t>Khoan inox chuôi lục KBY3-065CO</t>
        </is>
      </c>
      <c r="J101" s="3" t="inlineStr">
        <is>
          <t>Cái</t>
        </is>
      </c>
      <c r="K101" s="5" t="n">
        <v>42000</v>
      </c>
      <c r="L101" s="5" t="n">
        <v>52000</v>
      </c>
      <c r="M101" s="6" t="n">
        <v>67000</v>
      </c>
      <c r="N101" s="5" t="n"/>
      <c r="O101" s="5">
        <f>IF(AND(ISNUMBER(N101),ISNUMBER(M101)),N101-M101,"")</f>
        <v/>
      </c>
      <c r="P101" s="7">
        <f>IF(AND(ISNUMBER(N101),ISNUMBER(M101),M101&gt;0),(N101-M101)/M101,"")</f>
        <v/>
      </c>
      <c r="Q101" s="3">
        <f>IF(P101="","",IF(P101&lt;-0.02,"🔴 Bán phá giá sàn",IF(P101&gt;0.05,"🔵 Bán cao hơn","🟢 Đúng giá sàn TMĐT")))</f>
        <v/>
      </c>
      <c r="R101" s="3" t="n"/>
      <c r="S101" s="4" t="n"/>
      <c r="T101" s="4" t="n"/>
    </row>
    <row r="102">
      <c r="A102" s="3" t="n">
        <v>101</v>
      </c>
      <c r="B102" s="3" t="inlineStr">
        <is>
          <t>DL001</t>
        </is>
      </c>
      <c r="C102" s="4" t="inlineStr">
        <is>
          <t>Điện nước Nhật (Shop) HCM</t>
        </is>
      </c>
      <c r="D102" s="3" t="inlineStr">
        <is>
          <t>HCM</t>
        </is>
      </c>
      <c r="E102" s="3" t="inlineStr">
        <is>
          <t>BẢO TRÂM</t>
        </is>
      </c>
      <c r="F102" s="3" t="inlineStr">
        <is>
          <t>Shopee</t>
        </is>
      </c>
      <c r="G10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2" s="3" t="inlineStr">
        <is>
          <t>KBY3-070CO</t>
        </is>
      </c>
      <c r="I102" s="4" t="inlineStr">
        <is>
          <t>Khoan inox chuôi lục KBY3-070CO</t>
        </is>
      </c>
      <c r="J102" s="3" t="inlineStr">
        <is>
          <t>Cái</t>
        </is>
      </c>
      <c r="K102" s="5" t="n">
        <v>45000</v>
      </c>
      <c r="L102" s="5" t="n">
        <v>56000</v>
      </c>
      <c r="M102" s="6" t="n">
        <v>72000</v>
      </c>
      <c r="N102" s="5" t="n"/>
      <c r="O102" s="5">
        <f>IF(AND(ISNUMBER(N102),ISNUMBER(M102)),N102-M102,"")</f>
        <v/>
      </c>
      <c r="P102" s="7">
        <f>IF(AND(ISNUMBER(N102),ISNUMBER(M102),M102&gt;0),(N102-M102)/M102,"")</f>
        <v/>
      </c>
      <c r="Q102" s="3">
        <f>IF(P102="","",IF(P102&lt;-0.02,"🔴 Bán phá giá sàn",IF(P102&gt;0.05,"🔵 Bán cao hơn","🟢 Đúng giá sàn TMĐT")))</f>
        <v/>
      </c>
      <c r="R102" s="3" t="n"/>
      <c r="S102" s="4" t="n"/>
      <c r="T102" s="4" t="n"/>
    </row>
    <row r="103">
      <c r="A103" s="3" t="n">
        <v>102</v>
      </c>
      <c r="B103" s="3" t="inlineStr">
        <is>
          <t>DL001</t>
        </is>
      </c>
      <c r="C103" s="4" t="inlineStr">
        <is>
          <t>Điện nước Nhật (Shop) HCM</t>
        </is>
      </c>
      <c r="D103" s="3" t="inlineStr">
        <is>
          <t>HCM</t>
        </is>
      </c>
      <c r="E103" s="3" t="inlineStr">
        <is>
          <t>BẢO TRÂM</t>
        </is>
      </c>
      <c r="F103" s="3" t="inlineStr">
        <is>
          <t>Shopee</t>
        </is>
      </c>
      <c r="G10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3" s="3" t="inlineStr">
        <is>
          <t>KBY3-080CO</t>
        </is>
      </c>
      <c r="I103" s="4" t="inlineStr">
        <is>
          <t>Khoan inox chuôi lục KBY3-080CO</t>
        </is>
      </c>
      <c r="J103" s="3" t="inlineStr">
        <is>
          <t>Cái</t>
        </is>
      </c>
      <c r="K103" s="5" t="n">
        <v>58000</v>
      </c>
      <c r="L103" s="5" t="n">
        <v>72000</v>
      </c>
      <c r="M103" s="6" t="n">
        <v>93000</v>
      </c>
      <c r="N103" s="5" t="n"/>
      <c r="O103" s="5">
        <f>IF(AND(ISNUMBER(N103),ISNUMBER(M103)),N103-M103,"")</f>
        <v/>
      </c>
      <c r="P103" s="7">
        <f>IF(AND(ISNUMBER(N103),ISNUMBER(M103),M103&gt;0),(N103-M103)/M103,"")</f>
        <v/>
      </c>
      <c r="Q103" s="3">
        <f>IF(P103="","",IF(P103&lt;-0.02,"🔴 Bán phá giá sàn",IF(P103&gt;0.05,"🔵 Bán cao hơn","🟢 Đúng giá sàn TMĐT")))</f>
        <v/>
      </c>
      <c r="R103" s="3" t="n"/>
      <c r="S103" s="4" t="n"/>
      <c r="T103" s="4" t="n"/>
    </row>
    <row r="104">
      <c r="A104" s="3" t="n">
        <v>103</v>
      </c>
      <c r="B104" s="3" t="inlineStr">
        <is>
          <t>DL001</t>
        </is>
      </c>
      <c r="C104" s="4" t="inlineStr">
        <is>
          <t>Điện nước Nhật (Shop) HCM</t>
        </is>
      </c>
      <c r="D104" s="3" t="inlineStr">
        <is>
          <t>HCM</t>
        </is>
      </c>
      <c r="E104" s="3" t="inlineStr">
        <is>
          <t>BẢO TRÂM</t>
        </is>
      </c>
      <c r="F104" s="3" t="inlineStr">
        <is>
          <t>Shopee</t>
        </is>
      </c>
      <c r="G10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4" s="3" t="inlineStr">
        <is>
          <t>KBY2-025CO</t>
        </is>
      </c>
      <c r="I104" s="4" t="inlineStr">
        <is>
          <t>Khoan inox KingBlue KBY2-025CO</t>
        </is>
      </c>
      <c r="J104" s="3" t="inlineStr">
        <is>
          <t>Cái</t>
        </is>
      </c>
      <c r="K104" s="5" t="n">
        <v>9000</v>
      </c>
      <c r="L104" s="5" t="n">
        <v>11000</v>
      </c>
      <c r="M104" s="6" t="n">
        <v>14000</v>
      </c>
      <c r="N104" s="5" t="n"/>
      <c r="O104" s="5">
        <f>IF(AND(ISNUMBER(N104),ISNUMBER(M104)),N104-M104,"")</f>
        <v/>
      </c>
      <c r="P104" s="7">
        <f>IF(AND(ISNUMBER(N104),ISNUMBER(M104),M104&gt;0),(N104-M104)/M104,"")</f>
        <v/>
      </c>
      <c r="Q104" s="3">
        <f>IF(P104="","",IF(P104&lt;-0.02,"🔴 Bán phá giá sàn",IF(P104&gt;0.05,"🔵 Bán cao hơn","🟢 Đúng giá sàn TMĐT")))</f>
        <v/>
      </c>
      <c r="R104" s="3" t="n"/>
      <c r="S104" s="4" t="n"/>
      <c r="T104" s="4" t="n"/>
    </row>
    <row r="105">
      <c r="A105" s="3" t="n">
        <v>104</v>
      </c>
      <c r="B105" s="3" t="inlineStr">
        <is>
          <t>DL001</t>
        </is>
      </c>
      <c r="C105" s="4" t="inlineStr">
        <is>
          <t>Điện nước Nhật (Shop) HCM</t>
        </is>
      </c>
      <c r="D105" s="3" t="inlineStr">
        <is>
          <t>HCM</t>
        </is>
      </c>
      <c r="E105" s="3" t="inlineStr">
        <is>
          <t>BẢO TRÂM</t>
        </is>
      </c>
      <c r="F105" s="3" t="inlineStr">
        <is>
          <t>Shopee</t>
        </is>
      </c>
      <c r="G10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5" s="3" t="inlineStr">
        <is>
          <t>KBY2-032CO</t>
        </is>
      </c>
      <c r="I105" s="4" t="inlineStr">
        <is>
          <t>Khoan inox KingBlue KBY2-032CO</t>
        </is>
      </c>
      <c r="J105" s="3" t="inlineStr">
        <is>
          <t>Cái</t>
        </is>
      </c>
      <c r="K105" s="5" t="n">
        <v>11000</v>
      </c>
      <c r="L105" s="5" t="n">
        <v>14000</v>
      </c>
      <c r="M105" s="6" t="n">
        <v>18000</v>
      </c>
      <c r="N105" s="5" t="n"/>
      <c r="O105" s="5">
        <f>IF(AND(ISNUMBER(N105),ISNUMBER(M105)),N105-M105,"")</f>
        <v/>
      </c>
      <c r="P105" s="7">
        <f>IF(AND(ISNUMBER(N105),ISNUMBER(M105),M105&gt;0),(N105-M105)/M105,"")</f>
        <v/>
      </c>
      <c r="Q105" s="3">
        <f>IF(P105="","",IF(P105&lt;-0.02,"🔴 Bán phá giá sàn",IF(P105&gt;0.05,"🔵 Bán cao hơn","🟢 Đúng giá sàn TMĐT")))</f>
        <v/>
      </c>
      <c r="R105" s="3" t="n"/>
      <c r="S105" s="4" t="n"/>
      <c r="T105" s="4" t="n"/>
    </row>
    <row r="106">
      <c r="A106" s="3" t="n">
        <v>105</v>
      </c>
      <c r="B106" s="3" t="inlineStr">
        <is>
          <t>DL001</t>
        </is>
      </c>
      <c r="C106" s="4" t="inlineStr">
        <is>
          <t>Điện nước Nhật (Shop) HCM</t>
        </is>
      </c>
      <c r="D106" s="3" t="inlineStr">
        <is>
          <t>HCM</t>
        </is>
      </c>
      <c r="E106" s="3" t="inlineStr">
        <is>
          <t>BẢO TRÂM</t>
        </is>
      </c>
      <c r="F106" s="3" t="inlineStr">
        <is>
          <t>Shopee</t>
        </is>
      </c>
      <c r="G10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6" s="3" t="inlineStr">
        <is>
          <t>KBY2-040CO</t>
        </is>
      </c>
      <c r="I106" s="4" t="inlineStr">
        <is>
          <t>Khoan inox KingBlue KBY2-040CO</t>
        </is>
      </c>
      <c r="J106" s="3" t="inlineStr">
        <is>
          <t>Cái</t>
        </is>
      </c>
      <c r="K106" s="5" t="n">
        <v>17000</v>
      </c>
      <c r="L106" s="5" t="n">
        <v>21000</v>
      </c>
      <c r="M106" s="6" t="n">
        <v>27000</v>
      </c>
      <c r="N106" s="5" t="n"/>
      <c r="O106" s="5">
        <f>IF(AND(ISNUMBER(N106),ISNUMBER(M106)),N106-M106,"")</f>
        <v/>
      </c>
      <c r="P106" s="7">
        <f>IF(AND(ISNUMBER(N106),ISNUMBER(M106),M106&gt;0),(N106-M106)/M106,"")</f>
        <v/>
      </c>
      <c r="Q106" s="3">
        <f>IF(P106="","",IF(P106&lt;-0.02,"🔴 Bán phá giá sàn",IF(P106&gt;0.05,"🔵 Bán cao hơn","🟢 Đúng giá sàn TMĐT")))</f>
        <v/>
      </c>
      <c r="R106" s="3" t="n"/>
      <c r="S106" s="4" t="n"/>
      <c r="T106" s="4" t="n"/>
    </row>
    <row r="107">
      <c r="A107" s="3" t="n">
        <v>106</v>
      </c>
      <c r="B107" s="3" t="inlineStr">
        <is>
          <t>DL001</t>
        </is>
      </c>
      <c r="C107" s="4" t="inlineStr">
        <is>
          <t>Điện nước Nhật (Shop) HCM</t>
        </is>
      </c>
      <c r="D107" s="3" t="inlineStr">
        <is>
          <t>HCM</t>
        </is>
      </c>
      <c r="E107" s="3" t="inlineStr">
        <is>
          <t>BẢO TRÂM</t>
        </is>
      </c>
      <c r="F107" s="3" t="inlineStr">
        <is>
          <t>Shopee</t>
        </is>
      </c>
      <c r="G10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7" s="3" t="inlineStr">
        <is>
          <t>KBY2-042CO</t>
        </is>
      </c>
      <c r="I107" s="4" t="inlineStr">
        <is>
          <t>Khoan inox KingBlue KBY2-042CO</t>
        </is>
      </c>
      <c r="J107" s="3" t="inlineStr">
        <is>
          <t>Cái</t>
        </is>
      </c>
      <c r="K107" s="5" t="n">
        <v>19000</v>
      </c>
      <c r="L107" s="5" t="n">
        <v>23000</v>
      </c>
      <c r="M107" s="6" t="n">
        <v>30000</v>
      </c>
      <c r="N107" s="5" t="n"/>
      <c r="O107" s="5">
        <f>IF(AND(ISNUMBER(N107),ISNUMBER(M107)),N107-M107,"")</f>
        <v/>
      </c>
      <c r="P107" s="7">
        <f>IF(AND(ISNUMBER(N107),ISNUMBER(M107),M107&gt;0),(N107-M107)/M107,"")</f>
        <v/>
      </c>
      <c r="Q107" s="3">
        <f>IF(P107="","",IF(P107&lt;-0.02,"🔴 Bán phá giá sàn",IF(P107&gt;0.05,"🔵 Bán cao hơn","🟢 Đúng giá sàn TMĐT")))</f>
        <v/>
      </c>
      <c r="R107" s="3" t="n"/>
      <c r="S107" s="4" t="n"/>
      <c r="T107" s="4" t="n"/>
    </row>
    <row r="108">
      <c r="A108" s="3" t="n">
        <v>107</v>
      </c>
      <c r="B108" s="3" t="inlineStr">
        <is>
          <t>DL001</t>
        </is>
      </c>
      <c r="C108" s="4" t="inlineStr">
        <is>
          <t>Điện nước Nhật (Shop) HCM</t>
        </is>
      </c>
      <c r="D108" s="3" t="inlineStr">
        <is>
          <t>HCM</t>
        </is>
      </c>
      <c r="E108" s="3" t="inlineStr">
        <is>
          <t>BẢO TRÂM</t>
        </is>
      </c>
      <c r="F108" s="3" t="inlineStr">
        <is>
          <t>Shopee</t>
        </is>
      </c>
      <c r="G10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8" s="3" t="inlineStr">
        <is>
          <t>KBY2-045CO</t>
        </is>
      </c>
      <c r="I108" s="4" t="inlineStr">
        <is>
          <t>Khoan inox KingBlue KBY2-045CO</t>
        </is>
      </c>
      <c r="J108" s="3" t="inlineStr">
        <is>
          <t>Cái</t>
        </is>
      </c>
      <c r="K108" s="5" t="n">
        <v>21000</v>
      </c>
      <c r="L108" s="5" t="n">
        <v>26000</v>
      </c>
      <c r="M108" s="6" t="n">
        <v>34000</v>
      </c>
      <c r="N108" s="5" t="n"/>
      <c r="O108" s="5">
        <f>IF(AND(ISNUMBER(N108),ISNUMBER(M108)),N108-M108,"")</f>
        <v/>
      </c>
      <c r="P108" s="7">
        <f>IF(AND(ISNUMBER(N108),ISNUMBER(M108),M108&gt;0),(N108-M108)/M108,"")</f>
        <v/>
      </c>
      <c r="Q108" s="3">
        <f>IF(P108="","",IF(P108&lt;-0.02,"🔴 Bán phá giá sàn",IF(P108&gt;0.05,"🔵 Bán cao hơn","🟢 Đúng giá sàn TMĐT")))</f>
        <v/>
      </c>
      <c r="R108" s="3" t="n"/>
      <c r="S108" s="4" t="n"/>
      <c r="T108" s="4" t="n"/>
    </row>
    <row r="109">
      <c r="A109" s="3" t="n">
        <v>108</v>
      </c>
      <c r="B109" s="3" t="inlineStr">
        <is>
          <t>DL001</t>
        </is>
      </c>
      <c r="C109" s="4" t="inlineStr">
        <is>
          <t>Điện nước Nhật (Shop) HCM</t>
        </is>
      </c>
      <c r="D109" s="3" t="inlineStr">
        <is>
          <t>HCM</t>
        </is>
      </c>
      <c r="E109" s="3" t="inlineStr">
        <is>
          <t>BẢO TRÂM</t>
        </is>
      </c>
      <c r="F109" s="3" t="inlineStr">
        <is>
          <t>Shopee</t>
        </is>
      </c>
      <c r="G10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09" s="3" t="inlineStr">
        <is>
          <t>KBY2-050CO</t>
        </is>
      </c>
      <c r="I109" s="4" t="inlineStr">
        <is>
          <t>Khoan inox KingBlue KBY2-050CO</t>
        </is>
      </c>
      <c r="J109" s="3" t="inlineStr">
        <is>
          <t>Cái</t>
        </is>
      </c>
      <c r="K109" s="5" t="n">
        <v>25000</v>
      </c>
      <c r="L109" s="5" t="n">
        <v>31000</v>
      </c>
      <c r="M109" s="6" t="n">
        <v>40000</v>
      </c>
      <c r="N109" s="5" t="n"/>
      <c r="O109" s="5">
        <f>IF(AND(ISNUMBER(N109),ISNUMBER(M109)),N109-M109,"")</f>
        <v/>
      </c>
      <c r="P109" s="7">
        <f>IF(AND(ISNUMBER(N109),ISNUMBER(M109),M109&gt;0),(N109-M109)/M109,"")</f>
        <v/>
      </c>
      <c r="Q109" s="3">
        <f>IF(P109="","",IF(P109&lt;-0.02,"🔴 Bán phá giá sàn",IF(P109&gt;0.05,"🔵 Bán cao hơn","🟢 Đúng giá sàn TMĐT")))</f>
        <v/>
      </c>
      <c r="R109" s="3" t="n"/>
      <c r="S109" s="4" t="n"/>
      <c r="T109" s="4" t="n"/>
    </row>
    <row r="110">
      <c r="A110" s="3" t="n">
        <v>109</v>
      </c>
      <c r="B110" s="3" t="inlineStr">
        <is>
          <t>DL001</t>
        </is>
      </c>
      <c r="C110" s="4" t="inlineStr">
        <is>
          <t>Điện nước Nhật (Shop) HCM</t>
        </is>
      </c>
      <c r="D110" s="3" t="inlineStr">
        <is>
          <t>HCM</t>
        </is>
      </c>
      <c r="E110" s="3" t="inlineStr">
        <is>
          <t>BẢO TRÂM</t>
        </is>
      </c>
      <c r="F110" s="3" t="inlineStr">
        <is>
          <t>Shopee</t>
        </is>
      </c>
      <c r="G11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0" s="3" t="inlineStr">
        <is>
          <t>KBY2-130CO</t>
        </is>
      </c>
      <c r="I110" s="4" t="inlineStr">
        <is>
          <t>Khoan inox KingBlue KBY2-130CO</t>
        </is>
      </c>
      <c r="J110" s="3" t="inlineStr">
        <is>
          <t>Cái</t>
        </is>
      </c>
      <c r="K110" s="5" t="n">
        <v>190000</v>
      </c>
      <c r="L110" s="5" t="n">
        <v>236000</v>
      </c>
      <c r="M110" s="6" t="n">
        <v>304000</v>
      </c>
      <c r="N110" s="5" t="n"/>
      <c r="O110" s="5">
        <f>IF(AND(ISNUMBER(N110),ISNUMBER(M110)),N110-M110,"")</f>
        <v/>
      </c>
      <c r="P110" s="7">
        <f>IF(AND(ISNUMBER(N110),ISNUMBER(M110),M110&gt;0),(N110-M110)/M110,"")</f>
        <v/>
      </c>
      <c r="Q110" s="3">
        <f>IF(P110="","",IF(P110&lt;-0.02,"🔴 Bán phá giá sàn",IF(P110&gt;0.05,"🔵 Bán cao hơn","🟢 Đúng giá sàn TMĐT")))</f>
        <v/>
      </c>
      <c r="R110" s="3" t="n"/>
      <c r="S110" s="4" t="n"/>
      <c r="T110" s="4" t="n"/>
    </row>
    <row r="111">
      <c r="A111" s="3" t="n">
        <v>110</v>
      </c>
      <c r="B111" s="3" t="inlineStr">
        <is>
          <t>DL001</t>
        </is>
      </c>
      <c r="C111" s="4" t="inlineStr">
        <is>
          <t>Điện nước Nhật (Shop) HCM</t>
        </is>
      </c>
      <c r="D111" s="3" t="inlineStr">
        <is>
          <t>HCM</t>
        </is>
      </c>
      <c r="E111" s="3" t="inlineStr">
        <is>
          <t>BẢO TRÂM</t>
        </is>
      </c>
      <c r="F111" s="3" t="inlineStr">
        <is>
          <t>Shopee</t>
        </is>
      </c>
      <c r="G11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1" s="3" t="inlineStr">
        <is>
          <t>E2-110X20</t>
        </is>
      </c>
      <c r="I111" s="4" t="inlineStr">
        <is>
          <t>Lưỡi cắt KingBlue E2-110X20</t>
        </is>
      </c>
      <c r="J111" s="3" t="inlineStr">
        <is>
          <t>Cái</t>
        </is>
      </c>
      <c r="K111" s="5" t="n">
        <v>48000</v>
      </c>
      <c r="L111" s="5" t="n">
        <v>57000</v>
      </c>
      <c r="M111" s="6" t="n">
        <v>70000</v>
      </c>
      <c r="N111" s="5" t="n"/>
      <c r="O111" s="5">
        <f>IF(AND(ISNUMBER(N111),ISNUMBER(M111)),N111-M111,"")</f>
        <v/>
      </c>
      <c r="P111" s="7">
        <f>IF(AND(ISNUMBER(N111),ISNUMBER(M111),M111&gt;0),(N111-M111)/M111,"")</f>
        <v/>
      </c>
      <c r="Q111" s="3">
        <f>IF(P111="","",IF(P111&lt;-0.02,"🔴 Bán phá giá sàn",IF(P111&gt;0.05,"🔵 Bán cao hơn","🟢 Đúng giá sàn TMĐT")))</f>
        <v/>
      </c>
      <c r="R111" s="3" t="n"/>
      <c r="S111" s="4" t="n"/>
      <c r="T111" s="4" t="n"/>
    </row>
    <row r="112">
      <c r="A112" s="3" t="n">
        <v>111</v>
      </c>
      <c r="B112" s="3" t="inlineStr">
        <is>
          <t>DL001</t>
        </is>
      </c>
      <c r="C112" s="4" t="inlineStr">
        <is>
          <t>Điện nước Nhật (Shop) HCM</t>
        </is>
      </c>
      <c r="D112" s="3" t="inlineStr">
        <is>
          <t>HCM</t>
        </is>
      </c>
      <c r="E112" s="3" t="inlineStr">
        <is>
          <t>BẢO TRÂM</t>
        </is>
      </c>
      <c r="F112" s="3" t="inlineStr">
        <is>
          <t>Shopee</t>
        </is>
      </c>
      <c r="G11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2" s="3" t="inlineStr">
        <is>
          <t>E3-105DN</t>
        </is>
      </c>
      <c r="I112" s="4" t="inlineStr">
        <is>
          <t>Lưỡi cắt KingBlue E3-105DN</t>
        </is>
      </c>
      <c r="J112" s="3" t="inlineStr">
        <is>
          <t>Cái</t>
        </is>
      </c>
      <c r="K112" s="5" t="n">
        <v>70000</v>
      </c>
      <c r="L112" s="5" t="n">
        <v>83000</v>
      </c>
      <c r="M112" s="6" t="n">
        <v>102000</v>
      </c>
      <c r="N112" s="5" t="n"/>
      <c r="O112" s="5">
        <f>IF(AND(ISNUMBER(N112),ISNUMBER(M112)),N112-M112,"")</f>
        <v/>
      </c>
      <c r="P112" s="7">
        <f>IF(AND(ISNUMBER(N112),ISNUMBER(M112),M112&gt;0),(N112-M112)/M112,"")</f>
        <v/>
      </c>
      <c r="Q112" s="3">
        <f>IF(P112="","",IF(P112&lt;-0.02,"🔴 Bán phá giá sàn",IF(P112&gt;0.05,"🔵 Bán cao hơn","🟢 Đúng giá sàn TMĐT")))</f>
        <v/>
      </c>
      <c r="R112" s="3" t="n"/>
      <c r="S112" s="4" t="n"/>
      <c r="T112" s="4" t="n"/>
    </row>
    <row r="113">
      <c r="A113" s="3" t="n">
        <v>112</v>
      </c>
      <c r="B113" s="3" t="inlineStr">
        <is>
          <t>DL001</t>
        </is>
      </c>
      <c r="C113" s="4" t="inlineStr">
        <is>
          <t>Điện nước Nhật (Shop) HCM</t>
        </is>
      </c>
      <c r="D113" s="3" t="inlineStr">
        <is>
          <t>HCM</t>
        </is>
      </c>
      <c r="E113" s="3" t="inlineStr">
        <is>
          <t>BẢO TRÂM</t>
        </is>
      </c>
      <c r="F113" s="3" t="inlineStr">
        <is>
          <t>Shopee</t>
        </is>
      </c>
      <c r="G11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3" s="3" t="inlineStr">
        <is>
          <t>E3-125DN</t>
        </is>
      </c>
      <c r="I113" s="4" t="inlineStr">
        <is>
          <t>Lưỡi cắt KingBlue E3-125DN</t>
        </is>
      </c>
      <c r="J113" s="3" t="inlineStr">
        <is>
          <t>Cái</t>
        </is>
      </c>
      <c r="K113" s="5" t="n">
        <v>88000</v>
      </c>
      <c r="L113" s="5" t="n">
        <v>104000</v>
      </c>
      <c r="M113" s="6" t="n">
        <v>128000</v>
      </c>
      <c r="N113" s="5" t="n"/>
      <c r="O113" s="5">
        <f>IF(AND(ISNUMBER(N113),ISNUMBER(M113)),N113-M113,"")</f>
        <v/>
      </c>
      <c r="P113" s="7">
        <f>IF(AND(ISNUMBER(N113),ISNUMBER(M113),M113&gt;0),(N113-M113)/M113,"")</f>
        <v/>
      </c>
      <c r="Q113" s="3">
        <f>IF(P113="","",IF(P113&lt;-0.02,"🔴 Bán phá giá sàn",IF(P113&gt;0.05,"🔵 Bán cao hơn","🟢 Đúng giá sàn TMĐT")))</f>
        <v/>
      </c>
      <c r="R113" s="3" t="n"/>
      <c r="S113" s="4" t="n"/>
      <c r="T113" s="4" t="n"/>
    </row>
    <row r="114">
      <c r="A114" s="3" t="n">
        <v>113</v>
      </c>
      <c r="B114" s="3" t="inlineStr">
        <is>
          <t>DL001</t>
        </is>
      </c>
      <c r="C114" s="4" t="inlineStr">
        <is>
          <t>Điện nước Nhật (Shop) HCM</t>
        </is>
      </c>
      <c r="D114" s="3" t="inlineStr">
        <is>
          <t>HCM</t>
        </is>
      </c>
      <c r="E114" s="3" t="inlineStr">
        <is>
          <t>BẢO TRÂM</t>
        </is>
      </c>
      <c r="F114" s="3" t="inlineStr">
        <is>
          <t>Shopee</t>
        </is>
      </c>
      <c r="G11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4" s="3" t="inlineStr">
        <is>
          <t>F1</t>
        </is>
      </c>
      <c r="I114" s="4" t="inlineStr">
        <is>
          <t>Lưỡi cắt Kingblue F1 110DN (vàng)</t>
        </is>
      </c>
      <c r="J114" s="3" t="inlineStr">
        <is>
          <t>Cái</t>
        </is>
      </c>
      <c r="K114" s="5" t="n">
        <v>92000</v>
      </c>
      <c r="L114" s="5" t="n">
        <v>108000</v>
      </c>
      <c r="M114" s="6" t="n">
        <v>133000</v>
      </c>
      <c r="N114" s="5" t="n"/>
      <c r="O114" s="5">
        <f>IF(AND(ISNUMBER(N114),ISNUMBER(M114)),N114-M114,"")</f>
        <v/>
      </c>
      <c r="P114" s="7">
        <f>IF(AND(ISNUMBER(N114),ISNUMBER(M114),M114&gt;0),(N114-M114)/M114,"")</f>
        <v/>
      </c>
      <c r="Q114" s="3">
        <f>IF(P114="","",IF(P114&lt;-0.02,"🔴 Bán phá giá sàn",IF(P114&gt;0.05,"🔵 Bán cao hơn","🟢 Đúng giá sàn TMĐT")))</f>
        <v/>
      </c>
      <c r="R114" s="3" t="n"/>
      <c r="S114" s="4" t="n"/>
      <c r="T114" s="4" t="n"/>
    </row>
    <row r="115">
      <c r="A115" s="3" t="n">
        <v>114</v>
      </c>
      <c r="B115" s="3" t="inlineStr">
        <is>
          <t>DL001</t>
        </is>
      </c>
      <c r="C115" s="4" t="inlineStr">
        <is>
          <t>Điện nước Nhật (Shop) HCM</t>
        </is>
      </c>
      <c r="D115" s="3" t="inlineStr">
        <is>
          <t>HCM</t>
        </is>
      </c>
      <c r="E115" s="3" t="inlineStr">
        <is>
          <t>BẢO TRÂM</t>
        </is>
      </c>
      <c r="F115" s="3" t="inlineStr">
        <is>
          <t>Shopee</t>
        </is>
      </c>
      <c r="G11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5" s="3" t="inlineStr">
        <is>
          <t>F1-125DN</t>
        </is>
      </c>
      <c r="I115" s="4" t="inlineStr">
        <is>
          <t>Lưỡi cắt KingBlue F1-125DN (Vàng)</t>
        </is>
      </c>
      <c r="J115" s="3" t="inlineStr">
        <is>
          <t>Cái</t>
        </is>
      </c>
      <c r="K115" s="5" t="n">
        <v>107000</v>
      </c>
      <c r="L115" s="5" t="n">
        <v>126000</v>
      </c>
      <c r="M115" s="6" t="n">
        <v>155000</v>
      </c>
      <c r="N115" s="5" t="n"/>
      <c r="O115" s="5">
        <f>IF(AND(ISNUMBER(N115),ISNUMBER(M115)),N115-M115,"")</f>
        <v/>
      </c>
      <c r="P115" s="7">
        <f>IF(AND(ISNUMBER(N115),ISNUMBER(M115),M115&gt;0),(N115-M115)/M115,"")</f>
        <v/>
      </c>
      <c r="Q115" s="3">
        <f>IF(P115="","",IF(P115&lt;-0.02,"🔴 Bán phá giá sàn",IF(P115&gt;0.05,"🔵 Bán cao hơn","🟢 Đúng giá sàn TMĐT")))</f>
        <v/>
      </c>
      <c r="R115" s="3" t="n"/>
      <c r="S115" s="4" t="n"/>
      <c r="T115" s="4" t="n"/>
    </row>
    <row r="116">
      <c r="A116" s="3" t="n">
        <v>115</v>
      </c>
      <c r="B116" s="3" t="inlineStr">
        <is>
          <t>DL001</t>
        </is>
      </c>
      <c r="C116" s="4" t="inlineStr">
        <is>
          <t>Điện nước Nhật (Shop) HCM</t>
        </is>
      </c>
      <c r="D116" s="3" t="inlineStr">
        <is>
          <t>HCM</t>
        </is>
      </c>
      <c r="E116" s="3" t="inlineStr">
        <is>
          <t>BẢO TRÂM</t>
        </is>
      </c>
      <c r="F116" s="3" t="inlineStr">
        <is>
          <t>Shopee</t>
        </is>
      </c>
      <c r="G11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6" s="3" t="inlineStr">
        <is>
          <t>S1-105DN</t>
        </is>
      </c>
      <c r="I116" s="4" t="inlineStr">
        <is>
          <t>Lưỡi cắt KingBlue S1-105DN</t>
        </is>
      </c>
      <c r="J116" s="3" t="inlineStr">
        <is>
          <t>Cái</t>
        </is>
      </c>
      <c r="K116" s="5" t="n">
        <v>60000</v>
      </c>
      <c r="L116" s="5" t="n">
        <v>71000</v>
      </c>
      <c r="M116" s="6" t="n">
        <v>87000</v>
      </c>
      <c r="N116" s="5" t="n"/>
      <c r="O116" s="5">
        <f>IF(AND(ISNUMBER(N116),ISNUMBER(M116)),N116-M116,"")</f>
        <v/>
      </c>
      <c r="P116" s="7">
        <f>IF(AND(ISNUMBER(N116),ISNUMBER(M116),M116&gt;0),(N116-M116)/M116,"")</f>
        <v/>
      </c>
      <c r="Q116" s="3">
        <f>IF(P116="","",IF(P116&lt;-0.02,"🔴 Bán phá giá sàn",IF(P116&gt;0.05,"🔵 Bán cao hơn","🟢 Đúng giá sàn TMĐT")))</f>
        <v/>
      </c>
      <c r="R116" s="3" t="n"/>
      <c r="S116" s="4" t="n"/>
      <c r="T116" s="4" t="n"/>
    </row>
    <row r="117">
      <c r="A117" s="3" t="n">
        <v>116</v>
      </c>
      <c r="B117" s="3" t="inlineStr">
        <is>
          <t>DL001</t>
        </is>
      </c>
      <c r="C117" s="4" t="inlineStr">
        <is>
          <t>Điện nước Nhật (Shop) HCM</t>
        </is>
      </c>
      <c r="D117" s="3" t="inlineStr">
        <is>
          <t>HCM</t>
        </is>
      </c>
      <c r="E117" s="3" t="inlineStr">
        <is>
          <t>BẢO TRÂM</t>
        </is>
      </c>
      <c r="F117" s="3" t="inlineStr">
        <is>
          <t>Shopee</t>
        </is>
      </c>
      <c r="G11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7" s="3" t="inlineStr">
        <is>
          <t>S1-125DN</t>
        </is>
      </c>
      <c r="I117" s="4" t="inlineStr">
        <is>
          <t>Lưỡi cắt KingBlue S1-125DN</t>
        </is>
      </c>
      <c r="J117" s="3" t="inlineStr">
        <is>
          <t>Cái</t>
        </is>
      </c>
      <c r="K117" s="5" t="n">
        <v>80000</v>
      </c>
      <c r="L117" s="5" t="n">
        <v>94000</v>
      </c>
      <c r="M117" s="6" t="n">
        <v>116000</v>
      </c>
      <c r="N117" s="5" t="n"/>
      <c r="O117" s="5">
        <f>IF(AND(ISNUMBER(N117),ISNUMBER(M117)),N117-M117,"")</f>
        <v/>
      </c>
      <c r="P117" s="7">
        <f>IF(AND(ISNUMBER(N117),ISNUMBER(M117),M117&gt;0),(N117-M117)/M117,"")</f>
        <v/>
      </c>
      <c r="Q117" s="3">
        <f>IF(P117="","",IF(P117&lt;-0.02,"🔴 Bán phá giá sàn",IF(P117&gt;0.05,"🔵 Bán cao hơn","🟢 Đúng giá sàn TMĐT")))</f>
        <v/>
      </c>
      <c r="R117" s="3" t="n"/>
      <c r="S117" s="4" t="n"/>
      <c r="T117" s="4" t="n"/>
    </row>
    <row r="118">
      <c r="A118" s="3" t="n">
        <v>117</v>
      </c>
      <c r="B118" s="3" t="inlineStr">
        <is>
          <t>DL001</t>
        </is>
      </c>
      <c r="C118" s="4" t="inlineStr">
        <is>
          <t>Điện nước Nhật (Shop) HCM</t>
        </is>
      </c>
      <c r="D118" s="3" t="inlineStr">
        <is>
          <t>HCM</t>
        </is>
      </c>
      <c r="E118" s="3" t="inlineStr">
        <is>
          <t>BẢO TRÂM</t>
        </is>
      </c>
      <c r="F118" s="3" t="inlineStr">
        <is>
          <t>Shopee</t>
        </is>
      </c>
      <c r="G11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8" s="3" t="inlineStr">
        <is>
          <t>TS-114R</t>
        </is>
      </c>
      <c r="I118" s="4" t="inlineStr">
        <is>
          <t>Lưỡi cắt KingBlue TS-114R</t>
        </is>
      </c>
      <c r="J118" s="3" t="inlineStr">
        <is>
          <t>Cái</t>
        </is>
      </c>
      <c r="K118" s="5" t="n">
        <v>53000</v>
      </c>
      <c r="L118" s="5" t="n">
        <v>63000</v>
      </c>
      <c r="M118" s="6" t="n">
        <v>77000</v>
      </c>
      <c r="N118" s="5" t="n"/>
      <c r="O118" s="5">
        <f>IF(AND(ISNUMBER(N118),ISNUMBER(M118)),N118-M118,"")</f>
        <v/>
      </c>
      <c r="P118" s="7">
        <f>IF(AND(ISNUMBER(N118),ISNUMBER(M118),M118&gt;0),(N118-M118)/M118,"")</f>
        <v/>
      </c>
      <c r="Q118" s="3">
        <f>IF(P118="","",IF(P118&lt;-0.02,"🔴 Bán phá giá sàn",IF(P118&gt;0.05,"🔵 Bán cao hơn","🟢 Đúng giá sàn TMĐT")))</f>
        <v/>
      </c>
      <c r="R118" s="3" t="n"/>
      <c r="S118" s="4" t="n"/>
      <c r="T118" s="4" t="n"/>
    </row>
    <row r="119">
      <c r="A119" s="3" t="n">
        <v>118</v>
      </c>
      <c r="B119" s="3" t="inlineStr">
        <is>
          <t>DL001</t>
        </is>
      </c>
      <c r="C119" s="4" t="inlineStr">
        <is>
          <t>Điện nước Nhật (Shop) HCM</t>
        </is>
      </c>
      <c r="D119" s="3" t="inlineStr">
        <is>
          <t>HCM</t>
        </is>
      </c>
      <c r="E119" s="3" t="inlineStr">
        <is>
          <t>BẢO TRÂM</t>
        </is>
      </c>
      <c r="F119" s="3" t="inlineStr">
        <is>
          <t>Shopee</t>
        </is>
      </c>
      <c r="G11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19" s="3" t="inlineStr">
        <is>
          <t>JH-06</t>
        </is>
      </c>
      <c r="I119" s="4" t="inlineStr">
        <is>
          <t>Lưỡi dao rọc cáp đa năng JH-06</t>
        </is>
      </c>
      <c r="J119" s="3" t="inlineStr">
        <is>
          <t>Vỉ</t>
        </is>
      </c>
      <c r="K119" s="5" t="n">
        <v>22000</v>
      </c>
      <c r="L119" s="5" t="n">
        <v>26000</v>
      </c>
      <c r="M119" s="6" t="n">
        <v>32000</v>
      </c>
      <c r="N119" s="5" t="n"/>
      <c r="O119" s="5">
        <f>IF(AND(ISNUMBER(N119),ISNUMBER(M119)),N119-M119,"")</f>
        <v/>
      </c>
      <c r="P119" s="7">
        <f>IF(AND(ISNUMBER(N119),ISNUMBER(M119),M119&gt;0),(N119-M119)/M119,"")</f>
        <v/>
      </c>
      <c r="Q119" s="3">
        <f>IF(P119="","",IF(P119&lt;-0.02,"🔴 Bán phá giá sàn",IF(P119&gt;0.05,"🔵 Bán cao hơn","🟢 Đúng giá sàn TMĐT")))</f>
        <v/>
      </c>
      <c r="R119" s="3" t="n"/>
      <c r="S119" s="4" t="n"/>
      <c r="T119" s="4" t="n"/>
    </row>
    <row r="120">
      <c r="A120" s="3" t="n">
        <v>119</v>
      </c>
      <c r="B120" s="3" t="inlineStr">
        <is>
          <t>DL001</t>
        </is>
      </c>
      <c r="C120" s="4" t="inlineStr">
        <is>
          <t>Điện nước Nhật (Shop) HCM</t>
        </is>
      </c>
      <c r="D120" s="3" t="inlineStr">
        <is>
          <t>HCM</t>
        </is>
      </c>
      <c r="E120" s="3" t="inlineStr">
        <is>
          <t>BẢO TRÂM</t>
        </is>
      </c>
      <c r="F120" s="3" t="inlineStr">
        <is>
          <t>Shopee</t>
        </is>
      </c>
      <c r="G12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0" s="3" t="inlineStr">
        <is>
          <t>KUC60</t>
        </is>
      </c>
      <c r="I120" s="4" t="inlineStr">
        <is>
          <t>Mỏ hàn thiếc KUC60</t>
        </is>
      </c>
      <c r="J120" s="3" t="inlineStr">
        <is>
          <t>Cái</t>
        </is>
      </c>
      <c r="K120" s="5" t="n">
        <v>132000</v>
      </c>
      <c r="L120" s="5" t="n">
        <v>156000</v>
      </c>
      <c r="M120" s="6" t="n">
        <v>191000</v>
      </c>
      <c r="N120" s="5" t="n"/>
      <c r="O120" s="5">
        <f>IF(AND(ISNUMBER(N120),ISNUMBER(M120)),N120-M120,"")</f>
        <v/>
      </c>
      <c r="P120" s="7">
        <f>IF(AND(ISNUMBER(N120),ISNUMBER(M120),M120&gt;0),(N120-M120)/M120,"")</f>
        <v/>
      </c>
      <c r="Q120" s="3">
        <f>IF(P120="","",IF(P120&lt;-0.02,"🔴 Bán phá giá sàn",IF(P120&gt;0.05,"🔵 Bán cao hơn","🟢 Đúng giá sàn TMĐT")))</f>
        <v/>
      </c>
      <c r="R120" s="3" t="n"/>
      <c r="S120" s="4" t="n"/>
      <c r="T120" s="4" t="n"/>
    </row>
    <row r="121">
      <c r="A121" s="3" t="n">
        <v>120</v>
      </c>
      <c r="B121" s="3" t="inlineStr">
        <is>
          <t>DL001</t>
        </is>
      </c>
      <c r="C121" s="4" t="inlineStr">
        <is>
          <t>Điện nước Nhật (Shop) HCM</t>
        </is>
      </c>
      <c r="D121" s="3" t="inlineStr">
        <is>
          <t>HCM</t>
        </is>
      </c>
      <c r="E121" s="3" t="inlineStr">
        <is>
          <t>BẢO TRÂM</t>
        </is>
      </c>
      <c r="F121" s="3" t="inlineStr">
        <is>
          <t>Shopee</t>
        </is>
      </c>
      <c r="G12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1" s="3" t="inlineStr">
        <is>
          <t>KD3</t>
        </is>
      </c>
      <c r="I121" s="4" t="inlineStr">
        <is>
          <t>Mỏ lết đa năng cán bọc KD3 200</t>
        </is>
      </c>
      <c r="J121" s="3" t="inlineStr">
        <is>
          <t>Cái</t>
        </is>
      </c>
      <c r="K121" s="5" t="n">
        <v>108000</v>
      </c>
      <c r="L121" s="5" t="n">
        <v>128000</v>
      </c>
      <c r="M121" s="6" t="n">
        <v>157000</v>
      </c>
      <c r="N121" s="5" t="n"/>
      <c r="O121" s="5">
        <f>IF(AND(ISNUMBER(N121),ISNUMBER(M121)),N121-M121,"")</f>
        <v/>
      </c>
      <c r="P121" s="7">
        <f>IF(AND(ISNUMBER(N121),ISNUMBER(M121),M121&gt;0),(N121-M121)/M121,"")</f>
        <v/>
      </c>
      <c r="Q121" s="3">
        <f>IF(P121="","",IF(P121&lt;-0.02,"🔴 Bán phá giá sàn",IF(P121&gt;0.05,"🔵 Bán cao hơn","🟢 Đúng giá sàn TMĐT")))</f>
        <v/>
      </c>
      <c r="R121" s="3" t="n"/>
      <c r="S121" s="4" t="n"/>
      <c r="T121" s="4" t="n"/>
    </row>
    <row r="122">
      <c r="A122" s="3" t="n">
        <v>121</v>
      </c>
      <c r="B122" s="3" t="inlineStr">
        <is>
          <t>DL001</t>
        </is>
      </c>
      <c r="C122" s="4" t="inlineStr">
        <is>
          <t>Điện nước Nhật (Shop) HCM</t>
        </is>
      </c>
      <c r="D122" s="3" t="inlineStr">
        <is>
          <t>HCM</t>
        </is>
      </c>
      <c r="E122" s="3" t="inlineStr">
        <is>
          <t>BẢO TRÂM</t>
        </is>
      </c>
      <c r="F122" s="3" t="inlineStr">
        <is>
          <t>Shopee</t>
        </is>
      </c>
      <c r="G12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2" s="3" t="inlineStr">
        <is>
          <t>KD3</t>
        </is>
      </c>
      <c r="I122" s="4" t="inlineStr">
        <is>
          <t>Mỏ lết đa năng cán bọc KD3 250</t>
        </is>
      </c>
      <c r="J122" s="3" t="inlineStr">
        <is>
          <t>Cái</t>
        </is>
      </c>
      <c r="K122" s="5" t="n">
        <v>108000</v>
      </c>
      <c r="L122" s="5" t="n">
        <v>128000</v>
      </c>
      <c r="M122" s="6" t="n">
        <v>157000</v>
      </c>
      <c r="N122" s="5" t="n"/>
      <c r="O122" s="5">
        <f>IF(AND(ISNUMBER(N122),ISNUMBER(M122)),N122-M122,"")</f>
        <v/>
      </c>
      <c r="P122" s="7">
        <f>IF(AND(ISNUMBER(N122),ISNUMBER(M122),M122&gt;0),(N122-M122)/M122,"")</f>
        <v/>
      </c>
      <c r="Q122" s="3">
        <f>IF(P122="","",IF(P122&lt;-0.02,"🔴 Bán phá giá sàn",IF(P122&gt;0.05,"🔵 Bán cao hơn","🟢 Đúng giá sàn TMĐT")))</f>
        <v/>
      </c>
      <c r="R122" s="3" t="n"/>
      <c r="S122" s="4" t="n"/>
      <c r="T122" s="4" t="n"/>
    </row>
    <row r="123">
      <c r="A123" s="3" t="n">
        <v>122</v>
      </c>
      <c r="B123" s="3" t="inlineStr">
        <is>
          <t>DL001</t>
        </is>
      </c>
      <c r="C123" s="4" t="inlineStr">
        <is>
          <t>Điện nước Nhật (Shop) HCM</t>
        </is>
      </c>
      <c r="D123" s="3" t="inlineStr">
        <is>
          <t>HCM</t>
        </is>
      </c>
      <c r="E123" s="3" t="inlineStr">
        <is>
          <t>BẢO TRÂM</t>
        </is>
      </c>
      <c r="F123" s="3" t="inlineStr">
        <is>
          <t>Shopee</t>
        </is>
      </c>
      <c r="G12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3" s="3" t="inlineStr">
        <is>
          <t>KD3</t>
        </is>
      </c>
      <c r="I123" s="4" t="inlineStr">
        <is>
          <t>Mỏ lết đa năng cán bọc KD3 300</t>
        </is>
      </c>
      <c r="J123" s="3" t="inlineStr">
        <is>
          <t>Cái</t>
        </is>
      </c>
      <c r="K123" s="5" t="n">
        <v>108000</v>
      </c>
      <c r="L123" s="5" t="n">
        <v>128000</v>
      </c>
      <c r="M123" s="6" t="n">
        <v>157000</v>
      </c>
      <c r="N123" s="5" t="n"/>
      <c r="O123" s="5">
        <f>IF(AND(ISNUMBER(N123),ISNUMBER(M123)),N123-M123,"")</f>
        <v/>
      </c>
      <c r="P123" s="7">
        <f>IF(AND(ISNUMBER(N123),ISNUMBER(M123),M123&gt;0),(N123-M123)/M123,"")</f>
        <v/>
      </c>
      <c r="Q123" s="3">
        <f>IF(P123="","",IF(P123&lt;-0.02,"🔴 Bán phá giá sàn",IF(P123&gt;0.05,"🔵 Bán cao hơn","🟢 Đúng giá sàn TMĐT")))</f>
        <v/>
      </c>
      <c r="R123" s="3" t="n"/>
      <c r="S123" s="4" t="n"/>
      <c r="T123" s="4" t="n"/>
    </row>
    <row r="124">
      <c r="A124" s="3" t="n">
        <v>123</v>
      </c>
      <c r="B124" s="3" t="inlineStr">
        <is>
          <t>DL001</t>
        </is>
      </c>
      <c r="C124" s="4" t="inlineStr">
        <is>
          <t>Điện nước Nhật (Shop) HCM</t>
        </is>
      </c>
      <c r="D124" s="3" t="inlineStr">
        <is>
          <t>HCM</t>
        </is>
      </c>
      <c r="E124" s="3" t="inlineStr">
        <is>
          <t>BẢO TRÂM</t>
        </is>
      </c>
      <c r="F124" s="3" t="inlineStr">
        <is>
          <t>Shopee</t>
        </is>
      </c>
      <c r="G12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4" s="3" t="inlineStr">
        <is>
          <t>KD5-150</t>
        </is>
      </c>
      <c r="I124" s="4" t="inlineStr">
        <is>
          <t>Mỏ lết KD5-150</t>
        </is>
      </c>
      <c r="J124" s="3" t="inlineStr">
        <is>
          <t>Cái</t>
        </is>
      </c>
      <c r="K124" s="5" t="n">
        <v>149000</v>
      </c>
      <c r="L124" s="5" t="n">
        <v>176000</v>
      </c>
      <c r="M124" s="6" t="n">
        <v>216000</v>
      </c>
      <c r="N124" s="5" t="n"/>
      <c r="O124" s="5">
        <f>IF(AND(ISNUMBER(N124),ISNUMBER(M124)),N124-M124,"")</f>
        <v/>
      </c>
      <c r="P124" s="7">
        <f>IF(AND(ISNUMBER(N124),ISNUMBER(M124),M124&gt;0),(N124-M124)/M124,"")</f>
        <v/>
      </c>
      <c r="Q124" s="3">
        <f>IF(P124="","",IF(P124&lt;-0.02,"🔴 Bán phá giá sàn",IF(P124&gt;0.05,"🔵 Bán cao hơn","🟢 Đúng giá sàn TMĐT")))</f>
        <v/>
      </c>
      <c r="R124" s="3" t="n"/>
      <c r="S124" s="4" t="n"/>
      <c r="T124" s="4" t="n"/>
    </row>
    <row r="125">
      <c r="A125" s="3" t="n">
        <v>124</v>
      </c>
      <c r="B125" s="3" t="inlineStr">
        <is>
          <t>DL001</t>
        </is>
      </c>
      <c r="C125" s="4" t="inlineStr">
        <is>
          <t>Điện nước Nhật (Shop) HCM</t>
        </is>
      </c>
      <c r="D125" s="3" t="inlineStr">
        <is>
          <t>HCM</t>
        </is>
      </c>
      <c r="E125" s="3" t="inlineStr">
        <is>
          <t>BẢO TRÂM</t>
        </is>
      </c>
      <c r="F125" s="3" t="inlineStr">
        <is>
          <t>Shopee</t>
        </is>
      </c>
      <c r="G12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5" s="3" t="inlineStr">
        <is>
          <t>KD5-200</t>
        </is>
      </c>
      <c r="I125" s="4" t="inlineStr">
        <is>
          <t>Mỏ lết KD5-200</t>
        </is>
      </c>
      <c r="J125" s="3" t="inlineStr">
        <is>
          <t>Cái</t>
        </is>
      </c>
      <c r="K125" s="5" t="n">
        <v>193000</v>
      </c>
      <c r="L125" s="5" t="n">
        <v>228000</v>
      </c>
      <c r="M125" s="6" t="n">
        <v>280000</v>
      </c>
      <c r="N125" s="5" t="n"/>
      <c r="O125" s="5">
        <f>IF(AND(ISNUMBER(N125),ISNUMBER(M125)),N125-M125,"")</f>
        <v/>
      </c>
      <c r="P125" s="7">
        <f>IF(AND(ISNUMBER(N125),ISNUMBER(M125),M125&gt;0),(N125-M125)/M125,"")</f>
        <v/>
      </c>
      <c r="Q125" s="3">
        <f>IF(P125="","",IF(P125&lt;-0.02,"🔴 Bán phá giá sàn",IF(P125&gt;0.05,"🔵 Bán cao hơn","🟢 Đúng giá sàn TMĐT")))</f>
        <v/>
      </c>
      <c r="R125" s="3" t="n"/>
      <c r="S125" s="4" t="n"/>
      <c r="T125" s="4" t="n"/>
    </row>
    <row r="126">
      <c r="A126" s="3" t="n">
        <v>125</v>
      </c>
      <c r="B126" s="3" t="inlineStr">
        <is>
          <t>DL001</t>
        </is>
      </c>
      <c r="C126" s="4" t="inlineStr">
        <is>
          <t>Điện nước Nhật (Shop) HCM</t>
        </is>
      </c>
      <c r="D126" s="3" t="inlineStr">
        <is>
          <t>HCM</t>
        </is>
      </c>
      <c r="E126" s="3" t="inlineStr">
        <is>
          <t>BẢO TRÂM</t>
        </is>
      </c>
      <c r="F126" s="3" t="inlineStr">
        <is>
          <t>Shopee</t>
        </is>
      </c>
      <c r="G12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6" s="3" t="inlineStr">
        <is>
          <t>KD5-250</t>
        </is>
      </c>
      <c r="I126" s="4" t="inlineStr">
        <is>
          <t>Mỏ lết KD5-250</t>
        </is>
      </c>
      <c r="J126" s="3" t="inlineStr">
        <is>
          <t>Cái</t>
        </is>
      </c>
      <c r="K126" s="5" t="n">
        <v>292000</v>
      </c>
      <c r="L126" s="5" t="n">
        <v>344000</v>
      </c>
      <c r="M126" s="6" t="n">
        <v>423000</v>
      </c>
      <c r="N126" s="5" t="n"/>
      <c r="O126" s="5">
        <f>IF(AND(ISNUMBER(N126),ISNUMBER(M126)),N126-M126,"")</f>
        <v/>
      </c>
      <c r="P126" s="7">
        <f>IF(AND(ISNUMBER(N126),ISNUMBER(M126),M126&gt;0),(N126-M126)/M126,"")</f>
        <v/>
      </c>
      <c r="Q126" s="3">
        <f>IF(P126="","",IF(P126&lt;-0.02,"🔴 Bán phá giá sàn",IF(P126&gt;0.05,"🔵 Bán cao hơn","🟢 Đúng giá sàn TMĐT")))</f>
        <v/>
      </c>
      <c r="R126" s="3" t="n"/>
      <c r="S126" s="4" t="n"/>
      <c r="T126" s="4" t="n"/>
    </row>
    <row r="127">
      <c r="A127" s="3" t="n">
        <v>126</v>
      </c>
      <c r="B127" s="3" t="inlineStr">
        <is>
          <t>DL001</t>
        </is>
      </c>
      <c r="C127" s="4" t="inlineStr">
        <is>
          <t>Điện nước Nhật (Shop) HCM</t>
        </is>
      </c>
      <c r="D127" s="3" t="inlineStr">
        <is>
          <t>HCM</t>
        </is>
      </c>
      <c r="E127" s="3" t="inlineStr">
        <is>
          <t>BẢO TRÂM</t>
        </is>
      </c>
      <c r="F127" s="3" t="inlineStr">
        <is>
          <t>Shopee</t>
        </is>
      </c>
      <c r="G12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7" s="3" t="inlineStr">
        <is>
          <t>V100R</t>
        </is>
      </c>
      <c r="I127" s="4" t="inlineStr">
        <is>
          <t>Mũi bắn vít chống trượt KingBlue V100R</t>
        </is>
      </c>
      <c r="J127" s="3" t="inlineStr">
        <is>
          <t>Vỉ</t>
        </is>
      </c>
      <c r="K127" s="5" t="n">
        <v>29000</v>
      </c>
      <c r="L127" s="5" t="n">
        <v>37000</v>
      </c>
      <c r="M127" s="6" t="n">
        <v>48000</v>
      </c>
      <c r="N127" s="5" t="n"/>
      <c r="O127" s="5">
        <f>IF(AND(ISNUMBER(N127),ISNUMBER(M127)),N127-M127,"")</f>
        <v/>
      </c>
      <c r="P127" s="7">
        <f>IF(AND(ISNUMBER(N127),ISNUMBER(M127),M127&gt;0),(N127-M127)/M127,"")</f>
        <v/>
      </c>
      <c r="Q127" s="3">
        <f>IF(P127="","",IF(P127&lt;-0.02,"🔴 Bán phá giá sàn",IF(P127&gt;0.05,"🔵 Bán cao hơn","🟢 Đúng giá sàn TMĐT")))</f>
        <v/>
      </c>
      <c r="R127" s="3" t="n"/>
      <c r="S127" s="4" t="n"/>
      <c r="T127" s="4" t="n"/>
    </row>
    <row r="128">
      <c r="A128" s="3" t="n">
        <v>127</v>
      </c>
      <c r="B128" s="3" t="inlineStr">
        <is>
          <t>DL001</t>
        </is>
      </c>
      <c r="C128" s="4" t="inlineStr">
        <is>
          <t>Điện nước Nhật (Shop) HCM</t>
        </is>
      </c>
      <c r="D128" s="3" t="inlineStr">
        <is>
          <t>HCM</t>
        </is>
      </c>
      <c r="E128" s="3" t="inlineStr">
        <is>
          <t>BẢO TRÂM</t>
        </is>
      </c>
      <c r="F128" s="3" t="inlineStr">
        <is>
          <t>Shopee</t>
        </is>
      </c>
      <c r="G12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8" s="3" t="inlineStr">
        <is>
          <t>V150R</t>
        </is>
      </c>
      <c r="I128" s="4" t="inlineStr">
        <is>
          <t>Mũi bắn vít chống trượt KingBlue V150R</t>
        </is>
      </c>
      <c r="J128" s="3" t="inlineStr">
        <is>
          <t>Vỉ</t>
        </is>
      </c>
      <c r="K128" s="5" t="n">
        <v>40000</v>
      </c>
      <c r="L128" s="5" t="n">
        <v>50000</v>
      </c>
      <c r="M128" s="6" t="n">
        <v>66000</v>
      </c>
      <c r="N128" s="5" t="n"/>
      <c r="O128" s="5">
        <f>IF(AND(ISNUMBER(N128),ISNUMBER(M128)),N128-M128,"")</f>
        <v/>
      </c>
      <c r="P128" s="7">
        <f>IF(AND(ISNUMBER(N128),ISNUMBER(M128),M128&gt;0),(N128-M128)/M128,"")</f>
        <v/>
      </c>
      <c r="Q128" s="3">
        <f>IF(P128="","",IF(P128&lt;-0.02,"🔴 Bán phá giá sàn",IF(P128&gt;0.05,"🔵 Bán cao hơn","🟢 Đúng giá sàn TMĐT")))</f>
        <v/>
      </c>
      <c r="R128" s="3" t="n"/>
      <c r="S128" s="4" t="n"/>
      <c r="T128" s="4" t="n"/>
    </row>
    <row r="129">
      <c r="A129" s="3" t="n">
        <v>128</v>
      </c>
      <c r="B129" s="3" t="inlineStr">
        <is>
          <t>DL001</t>
        </is>
      </c>
      <c r="C129" s="4" t="inlineStr">
        <is>
          <t>Điện nước Nhật (Shop) HCM</t>
        </is>
      </c>
      <c r="D129" s="3" t="inlineStr">
        <is>
          <t>HCM</t>
        </is>
      </c>
      <c r="E129" s="3" t="inlineStr">
        <is>
          <t>BẢO TRÂM</t>
        </is>
      </c>
      <c r="F129" s="3" t="inlineStr">
        <is>
          <t>Shopee</t>
        </is>
      </c>
      <c r="G12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29" s="3" t="inlineStr">
        <is>
          <t>V65R</t>
        </is>
      </c>
      <c r="I129" s="4" t="inlineStr">
        <is>
          <t>Mũi bắn vít chống trượt KingBlue V65R</t>
        </is>
      </c>
      <c r="J129" s="3" t="inlineStr">
        <is>
          <t>Vỉ</t>
        </is>
      </c>
      <c r="K129" s="5" t="n">
        <v>20000</v>
      </c>
      <c r="L129" s="5" t="n">
        <v>25000</v>
      </c>
      <c r="M129" s="6" t="n">
        <v>33000</v>
      </c>
      <c r="N129" s="5" t="n"/>
      <c r="O129" s="5">
        <f>IF(AND(ISNUMBER(N129),ISNUMBER(M129)),N129-M129,"")</f>
        <v/>
      </c>
      <c r="P129" s="7">
        <f>IF(AND(ISNUMBER(N129),ISNUMBER(M129),M129&gt;0),(N129-M129)/M129,"")</f>
        <v/>
      </c>
      <c r="Q129" s="3">
        <f>IF(P129="","",IF(P129&lt;-0.02,"🔴 Bán phá giá sàn",IF(P129&gt;0.05,"🔵 Bán cao hơn","🟢 Đúng giá sàn TMĐT")))</f>
        <v/>
      </c>
      <c r="R129" s="3" t="n"/>
      <c r="S129" s="4" t="n"/>
      <c r="T129" s="4" t="n"/>
    </row>
    <row r="130">
      <c r="A130" s="3" t="n">
        <v>129</v>
      </c>
      <c r="B130" s="3" t="inlineStr">
        <is>
          <t>DL001</t>
        </is>
      </c>
      <c r="C130" s="4" t="inlineStr">
        <is>
          <t>Điện nước Nhật (Shop) HCM</t>
        </is>
      </c>
      <c r="D130" s="3" t="inlineStr">
        <is>
          <t>HCM</t>
        </is>
      </c>
      <c r="E130" s="3" t="inlineStr">
        <is>
          <t>BẢO TRÂM</t>
        </is>
      </c>
      <c r="F130" s="3" t="inlineStr">
        <is>
          <t>Shopee</t>
        </is>
      </c>
      <c r="G13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0" s="3" t="inlineStr">
        <is>
          <t>V100S</t>
        </is>
      </c>
      <c r="I130" s="4" t="inlineStr">
        <is>
          <t>Mũi bắn vít PH2 V100S</t>
        </is>
      </c>
      <c r="J130" s="3" t="inlineStr">
        <is>
          <t>Vỉ</t>
        </is>
      </c>
      <c r="K130" s="5" t="n">
        <v>44000</v>
      </c>
      <c r="L130" s="5" t="n">
        <v>56000</v>
      </c>
      <c r="M130" s="6" t="n">
        <v>73000</v>
      </c>
      <c r="N130" s="5" t="n"/>
      <c r="O130" s="5">
        <f>IF(AND(ISNUMBER(N130),ISNUMBER(M130)),N130-M130,"")</f>
        <v/>
      </c>
      <c r="P130" s="7">
        <f>IF(AND(ISNUMBER(N130),ISNUMBER(M130),M130&gt;0),(N130-M130)/M130,"")</f>
        <v/>
      </c>
      <c r="Q130" s="3">
        <f>IF(P130="","",IF(P130&lt;-0.02,"🔴 Bán phá giá sàn",IF(P130&gt;0.05,"🔵 Bán cao hơn","🟢 Đúng giá sàn TMĐT")))</f>
        <v/>
      </c>
      <c r="R130" s="3" t="n"/>
      <c r="S130" s="4" t="n"/>
      <c r="T130" s="4" t="n"/>
    </row>
    <row r="131">
      <c r="A131" s="3" t="n">
        <v>130</v>
      </c>
      <c r="B131" s="3" t="inlineStr">
        <is>
          <t>DL001</t>
        </is>
      </c>
      <c r="C131" s="4" t="inlineStr">
        <is>
          <t>Điện nước Nhật (Shop) HCM</t>
        </is>
      </c>
      <c r="D131" s="3" t="inlineStr">
        <is>
          <t>HCM</t>
        </is>
      </c>
      <c r="E131" s="3" t="inlineStr">
        <is>
          <t>BẢO TRÂM</t>
        </is>
      </c>
      <c r="F131" s="3" t="inlineStr">
        <is>
          <t>Shopee</t>
        </is>
      </c>
      <c r="G13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1" s="3" t="inlineStr">
        <is>
          <t>V150S</t>
        </is>
      </c>
      <c r="I131" s="4" t="inlineStr">
        <is>
          <t>Mũi bắn vít PH2 V150S</t>
        </is>
      </c>
      <c r="J131" s="3" t="inlineStr">
        <is>
          <t>Vỉ</t>
        </is>
      </c>
      <c r="K131" s="5" t="n">
        <v>54000</v>
      </c>
      <c r="L131" s="5" t="n">
        <v>68000</v>
      </c>
      <c r="M131" s="6" t="n">
        <v>89000</v>
      </c>
      <c r="N131" s="5" t="n"/>
      <c r="O131" s="5">
        <f>IF(AND(ISNUMBER(N131),ISNUMBER(M131)),N131-M131,"")</f>
        <v/>
      </c>
      <c r="P131" s="7">
        <f>IF(AND(ISNUMBER(N131),ISNUMBER(M131),M131&gt;0),(N131-M131)/M131,"")</f>
        <v/>
      </c>
      <c r="Q131" s="3">
        <f>IF(P131="","",IF(P131&lt;-0.02,"🔴 Bán phá giá sàn",IF(P131&gt;0.05,"🔵 Bán cao hơn","🟢 Đúng giá sàn TMĐT")))</f>
        <v/>
      </c>
      <c r="R131" s="3" t="n"/>
      <c r="S131" s="4" t="n"/>
      <c r="T131" s="4" t="n"/>
    </row>
    <row r="132">
      <c r="A132" s="3" t="n">
        <v>131</v>
      </c>
      <c r="B132" s="3" t="inlineStr">
        <is>
          <t>DL001</t>
        </is>
      </c>
      <c r="C132" s="4" t="inlineStr">
        <is>
          <t>Điện nước Nhật (Shop) HCM</t>
        </is>
      </c>
      <c r="D132" s="3" t="inlineStr">
        <is>
          <t>HCM</t>
        </is>
      </c>
      <c r="E132" s="3" t="inlineStr">
        <is>
          <t>BẢO TRÂM</t>
        </is>
      </c>
      <c r="F132" s="3" t="inlineStr">
        <is>
          <t>Shopee</t>
        </is>
      </c>
      <c r="G13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2" s="3" t="inlineStr">
        <is>
          <t>V65S</t>
        </is>
      </c>
      <c r="I132" s="4" t="inlineStr">
        <is>
          <t>Mũi bắn vít PH2 V65S</t>
        </is>
      </c>
      <c r="J132" s="3" t="inlineStr">
        <is>
          <t>Vỉ</t>
        </is>
      </c>
      <c r="K132" s="5" t="n">
        <v>30000</v>
      </c>
      <c r="L132" s="5" t="n">
        <v>38000</v>
      </c>
      <c r="M132" s="6" t="n">
        <v>50000</v>
      </c>
      <c r="N132" s="5" t="n"/>
      <c r="O132" s="5">
        <f>IF(AND(ISNUMBER(N132),ISNUMBER(M132)),N132-M132,"")</f>
        <v/>
      </c>
      <c r="P132" s="7">
        <f>IF(AND(ISNUMBER(N132),ISNUMBER(M132),M132&gt;0),(N132-M132)/M132,"")</f>
        <v/>
      </c>
      <c r="Q132" s="3">
        <f>IF(P132="","",IF(P132&lt;-0.02,"🔴 Bán phá giá sàn",IF(P132&gt;0.05,"🔵 Bán cao hơn","🟢 Đúng giá sàn TMĐT")))</f>
        <v/>
      </c>
      <c r="R132" s="3" t="n"/>
      <c r="S132" s="4" t="n"/>
      <c r="T132" s="4" t="n"/>
    </row>
    <row r="133">
      <c r="A133" s="3" t="n">
        <v>132</v>
      </c>
      <c r="B133" s="3" t="inlineStr">
        <is>
          <t>DL001</t>
        </is>
      </c>
      <c r="C133" s="4" t="inlineStr">
        <is>
          <t>Điện nước Nhật (Shop) HCM</t>
        </is>
      </c>
      <c r="D133" s="3" t="inlineStr">
        <is>
          <t>HCM</t>
        </is>
      </c>
      <c r="E133" s="3" t="inlineStr">
        <is>
          <t>BẢO TRÂM</t>
        </is>
      </c>
      <c r="F133" s="3" t="inlineStr">
        <is>
          <t>Shopee</t>
        </is>
      </c>
      <c r="G13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3" s="3" t="inlineStr"/>
      <c r="I133" s="4" t="inlineStr">
        <is>
          <t>Mũi đục bê tông KBVd-14*250*22</t>
        </is>
      </c>
      <c r="J133" s="3" t="inlineStr">
        <is>
          <t>Cái</t>
        </is>
      </c>
      <c r="K133" s="5" t="n">
        <v>269000</v>
      </c>
      <c r="L133" s="5" t="n">
        <v>317000</v>
      </c>
      <c r="M133" s="6" t="n">
        <v>390000</v>
      </c>
      <c r="N133" s="5" t="n"/>
      <c r="O133" s="5">
        <f>IF(AND(ISNUMBER(N133),ISNUMBER(M133)),N133-M133,"")</f>
        <v/>
      </c>
      <c r="P133" s="7">
        <f>IF(AND(ISNUMBER(N133),ISNUMBER(M133),M133&gt;0),(N133-M133)/M133,"")</f>
        <v/>
      </c>
      <c r="Q133" s="3">
        <f>IF(P133="","",IF(P133&lt;-0.02,"🔴 Bán phá giá sàn",IF(P133&gt;0.05,"🔵 Bán cao hơn","🟢 Đúng giá sàn TMĐT")))</f>
        <v/>
      </c>
      <c r="R133" s="3" t="n"/>
      <c r="S133" s="4" t="n"/>
      <c r="T133" s="4" t="n"/>
    </row>
    <row r="134">
      <c r="A134" s="3" t="n">
        <v>133</v>
      </c>
      <c r="B134" s="3" t="inlineStr">
        <is>
          <t>DL001</t>
        </is>
      </c>
      <c r="C134" s="4" t="inlineStr">
        <is>
          <t>Điện nước Nhật (Shop) HCM</t>
        </is>
      </c>
      <c r="D134" s="3" t="inlineStr">
        <is>
          <t>HCM</t>
        </is>
      </c>
      <c r="E134" s="3" t="inlineStr">
        <is>
          <t>BẢO TRÂM</t>
        </is>
      </c>
      <c r="F134" s="3" t="inlineStr">
        <is>
          <t>Shopee</t>
        </is>
      </c>
      <c r="G13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4" s="3" t="inlineStr"/>
      <c r="I134" s="4" t="inlineStr">
        <is>
          <t>Mũi đục bê tông KBVd-17*280*25</t>
        </is>
      </c>
      <c r="J134" s="3" t="inlineStr">
        <is>
          <t>Cái</t>
        </is>
      </c>
      <c r="K134" s="5" t="n">
        <v>269000</v>
      </c>
      <c r="L134" s="5" t="n">
        <v>317000</v>
      </c>
      <c r="M134" s="6" t="n">
        <v>390000</v>
      </c>
      <c r="N134" s="5" t="n"/>
      <c r="O134" s="5">
        <f>IF(AND(ISNUMBER(N134),ISNUMBER(M134)),N134-M134,"")</f>
        <v/>
      </c>
      <c r="P134" s="7">
        <f>IF(AND(ISNUMBER(N134),ISNUMBER(M134),M134&gt;0),(N134-M134)/M134,"")</f>
        <v/>
      </c>
      <c r="Q134" s="3">
        <f>IF(P134="","",IF(P134&lt;-0.02,"🔴 Bán phá giá sàn",IF(P134&gt;0.05,"🔵 Bán cao hơn","🟢 Đúng giá sàn TMĐT")))</f>
        <v/>
      </c>
      <c r="R134" s="3" t="n"/>
      <c r="S134" s="4" t="n"/>
      <c r="T134" s="4" t="n"/>
    </row>
    <row r="135">
      <c r="A135" s="3" t="n">
        <v>134</v>
      </c>
      <c r="B135" s="3" t="inlineStr">
        <is>
          <t>DL001</t>
        </is>
      </c>
      <c r="C135" s="4" t="inlineStr">
        <is>
          <t>Điện nước Nhật (Shop) HCM</t>
        </is>
      </c>
      <c r="D135" s="3" t="inlineStr">
        <is>
          <t>HCM</t>
        </is>
      </c>
      <c r="E135" s="3" t="inlineStr">
        <is>
          <t>BẢO TRÂM</t>
        </is>
      </c>
      <c r="F135" s="3" t="inlineStr">
        <is>
          <t>Shopee</t>
        </is>
      </c>
      <c r="G13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5" s="3" t="inlineStr"/>
      <c r="I135" s="4" t="inlineStr">
        <is>
          <t>Mũi đục bê tông KBVn-14*250</t>
        </is>
      </c>
      <c r="J135" s="3" t="inlineStr">
        <is>
          <t>Cái</t>
        </is>
      </c>
      <c r="K135" s="5" t="n">
        <v>269000</v>
      </c>
      <c r="L135" s="5" t="n">
        <v>317000</v>
      </c>
      <c r="M135" s="6" t="n">
        <v>390000</v>
      </c>
      <c r="N135" s="5" t="n"/>
      <c r="O135" s="5">
        <f>IF(AND(ISNUMBER(N135),ISNUMBER(M135)),N135-M135,"")</f>
        <v/>
      </c>
      <c r="P135" s="7">
        <f>IF(AND(ISNUMBER(N135),ISNUMBER(M135),M135&gt;0),(N135-M135)/M135,"")</f>
        <v/>
      </c>
      <c r="Q135" s="3">
        <f>IF(P135="","",IF(P135&lt;-0.02,"🔴 Bán phá giá sàn",IF(P135&gt;0.05,"🔵 Bán cao hơn","🟢 Đúng giá sàn TMĐT")))</f>
        <v/>
      </c>
      <c r="R135" s="3" t="n"/>
      <c r="S135" s="4" t="n"/>
      <c r="T135" s="4" t="n"/>
    </row>
    <row r="136">
      <c r="A136" s="3" t="n">
        <v>135</v>
      </c>
      <c r="B136" s="3" t="inlineStr">
        <is>
          <t>DL001</t>
        </is>
      </c>
      <c r="C136" s="4" t="inlineStr">
        <is>
          <t>Điện nước Nhật (Shop) HCM</t>
        </is>
      </c>
      <c r="D136" s="3" t="inlineStr">
        <is>
          <t>HCM</t>
        </is>
      </c>
      <c r="E136" s="3" t="inlineStr">
        <is>
          <t>BẢO TRÂM</t>
        </is>
      </c>
      <c r="F136" s="3" t="inlineStr">
        <is>
          <t>Shopee</t>
        </is>
      </c>
      <c r="G13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6" s="3" t="inlineStr"/>
      <c r="I136" s="4" t="inlineStr">
        <is>
          <t>Mũi đục bê tông KBVn-17*280</t>
        </is>
      </c>
      <c r="J136" s="3" t="inlineStr">
        <is>
          <t>Cái</t>
        </is>
      </c>
      <c r="K136" s="5" t="n">
        <v>269000</v>
      </c>
      <c r="L136" s="5" t="n">
        <v>317000</v>
      </c>
      <c r="M136" s="6" t="n">
        <v>390000</v>
      </c>
      <c r="N136" s="5" t="n"/>
      <c r="O136" s="5">
        <f>IF(AND(ISNUMBER(N136),ISNUMBER(M136)),N136-M136,"")</f>
        <v/>
      </c>
      <c r="P136" s="7">
        <f>IF(AND(ISNUMBER(N136),ISNUMBER(M136),M136&gt;0),(N136-M136)/M136,"")</f>
        <v/>
      </c>
      <c r="Q136" s="3">
        <f>IF(P136="","",IF(P136&lt;-0.02,"🔴 Bán phá giá sàn",IF(P136&gt;0.05,"🔵 Bán cao hơn","🟢 Đúng giá sàn TMĐT")))</f>
        <v/>
      </c>
      <c r="R136" s="3" t="n"/>
      <c r="S136" s="4" t="n"/>
      <c r="T136" s="4" t="n"/>
    </row>
    <row r="137">
      <c r="A137" s="3" t="n">
        <v>136</v>
      </c>
      <c r="B137" s="3" t="inlineStr">
        <is>
          <t>DL001</t>
        </is>
      </c>
      <c r="C137" s="4" t="inlineStr">
        <is>
          <t>Điện nước Nhật (Shop) HCM</t>
        </is>
      </c>
      <c r="D137" s="3" t="inlineStr">
        <is>
          <t>HCM</t>
        </is>
      </c>
      <c r="E137" s="3" t="inlineStr">
        <is>
          <t>BẢO TRÂM</t>
        </is>
      </c>
      <c r="F137" s="3" t="inlineStr">
        <is>
          <t>Shopee</t>
        </is>
      </c>
      <c r="G13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7" s="3" t="inlineStr">
        <is>
          <t>KBL-06210</t>
        </is>
      </c>
      <c r="I137" s="4" t="inlineStr">
        <is>
          <t>Mũi khoan bê tông 2 cạnh KBL-06*210</t>
        </is>
      </c>
      <c r="J137" s="3" t="inlineStr">
        <is>
          <t>Cái</t>
        </is>
      </c>
      <c r="K137" s="5" t="n">
        <v>269000</v>
      </c>
      <c r="L137" s="5" t="n">
        <v>317000</v>
      </c>
      <c r="M137" s="6" t="n">
        <v>390000</v>
      </c>
      <c r="N137" s="5" t="n"/>
      <c r="O137" s="5">
        <f>IF(AND(ISNUMBER(N137),ISNUMBER(M137)),N137-M137,"")</f>
        <v/>
      </c>
      <c r="P137" s="7">
        <f>IF(AND(ISNUMBER(N137),ISNUMBER(M137),M137&gt;0),(N137-M137)/M137,"")</f>
        <v/>
      </c>
      <c r="Q137" s="3">
        <f>IF(P137="","",IF(P137&lt;-0.02,"🔴 Bán phá giá sàn",IF(P137&gt;0.05,"🔵 Bán cao hơn","🟢 Đúng giá sàn TMĐT")))</f>
        <v/>
      </c>
      <c r="R137" s="3" t="n"/>
      <c r="S137" s="4" t="n"/>
      <c r="T137" s="4" t="n"/>
    </row>
    <row r="138">
      <c r="A138" s="3" t="n">
        <v>137</v>
      </c>
      <c r="B138" s="3" t="inlineStr">
        <is>
          <t>DL001</t>
        </is>
      </c>
      <c r="C138" s="4" t="inlineStr">
        <is>
          <t>Điện nước Nhật (Shop) HCM</t>
        </is>
      </c>
      <c r="D138" s="3" t="inlineStr">
        <is>
          <t>HCM</t>
        </is>
      </c>
      <c r="E138" s="3" t="inlineStr">
        <is>
          <t>BẢO TRÂM</t>
        </is>
      </c>
      <c r="F138" s="3" t="inlineStr">
        <is>
          <t>Shopee</t>
        </is>
      </c>
      <c r="G13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8" s="3" t="inlineStr">
        <is>
          <t>KBL-08210</t>
        </is>
      </c>
      <c r="I138" s="4" t="inlineStr">
        <is>
          <t>Mũi khoan bê tông 2 cạnh KBL-08*210</t>
        </is>
      </c>
      <c r="J138" s="3" t="inlineStr">
        <is>
          <t>Cái</t>
        </is>
      </c>
      <c r="K138" s="5" t="n">
        <v>269000</v>
      </c>
      <c r="L138" s="5" t="n">
        <v>317000</v>
      </c>
      <c r="M138" s="6" t="n">
        <v>390000</v>
      </c>
      <c r="N138" s="5" t="n"/>
      <c r="O138" s="5">
        <f>IF(AND(ISNUMBER(N138),ISNUMBER(M138)),N138-M138,"")</f>
        <v/>
      </c>
      <c r="P138" s="7">
        <f>IF(AND(ISNUMBER(N138),ISNUMBER(M138),M138&gt;0),(N138-M138)/M138,"")</f>
        <v/>
      </c>
      <c r="Q138" s="3">
        <f>IF(P138="","",IF(P138&lt;-0.02,"🔴 Bán phá giá sàn",IF(P138&gt;0.05,"🔵 Bán cao hơn","🟢 Đúng giá sàn TMĐT")))</f>
        <v/>
      </c>
      <c r="R138" s="3" t="n"/>
      <c r="S138" s="4" t="n"/>
      <c r="T138" s="4" t="n"/>
    </row>
    <row r="139">
      <c r="A139" s="3" t="n">
        <v>138</v>
      </c>
      <c r="B139" s="3" t="inlineStr">
        <is>
          <t>DL001</t>
        </is>
      </c>
      <c r="C139" s="4" t="inlineStr">
        <is>
          <t>Điện nước Nhật (Shop) HCM</t>
        </is>
      </c>
      <c r="D139" s="3" t="inlineStr">
        <is>
          <t>HCM</t>
        </is>
      </c>
      <c r="E139" s="3" t="inlineStr">
        <is>
          <t>BẢO TRÂM</t>
        </is>
      </c>
      <c r="F139" s="3" t="inlineStr">
        <is>
          <t>Shopee</t>
        </is>
      </c>
      <c r="G13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39" s="3" t="inlineStr">
        <is>
          <t>KBL-08260</t>
        </is>
      </c>
      <c r="I139" s="4" t="inlineStr">
        <is>
          <t>Mũi khoan bê tông 2 cạnh KBL-08*260</t>
        </is>
      </c>
      <c r="J139" s="3" t="inlineStr">
        <is>
          <t>Cái</t>
        </is>
      </c>
      <c r="K139" s="5" t="n">
        <v>269000</v>
      </c>
      <c r="L139" s="5" t="n">
        <v>317000</v>
      </c>
      <c r="M139" s="6" t="n">
        <v>390000</v>
      </c>
      <c r="N139" s="5" t="n"/>
      <c r="O139" s="5">
        <f>IF(AND(ISNUMBER(N139),ISNUMBER(M139)),N139-M139,"")</f>
        <v/>
      </c>
      <c r="P139" s="7">
        <f>IF(AND(ISNUMBER(N139),ISNUMBER(M139),M139&gt;0),(N139-M139)/M139,"")</f>
        <v/>
      </c>
      <c r="Q139" s="3">
        <f>IF(P139="","",IF(P139&lt;-0.02,"🔴 Bán phá giá sàn",IF(P139&gt;0.05,"🔵 Bán cao hơn","🟢 Đúng giá sàn TMĐT")))</f>
        <v/>
      </c>
      <c r="R139" s="3" t="n"/>
      <c r="S139" s="4" t="n"/>
      <c r="T139" s="4" t="n"/>
    </row>
    <row r="140">
      <c r="A140" s="3" t="n">
        <v>139</v>
      </c>
      <c r="B140" s="3" t="inlineStr">
        <is>
          <t>DL001</t>
        </is>
      </c>
      <c r="C140" s="4" t="inlineStr">
        <is>
          <t>Điện nước Nhật (Shop) HCM</t>
        </is>
      </c>
      <c r="D140" s="3" t="inlineStr">
        <is>
          <t>HCM</t>
        </is>
      </c>
      <c r="E140" s="3" t="inlineStr">
        <is>
          <t>BẢO TRÂM</t>
        </is>
      </c>
      <c r="F140" s="3" t="inlineStr">
        <is>
          <t>Shopee</t>
        </is>
      </c>
      <c r="G14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0" s="3" t="inlineStr">
        <is>
          <t>KBL-12260</t>
        </is>
      </c>
      <c r="I140" s="4" t="inlineStr">
        <is>
          <t>Mũi khoan bê tông 2 cạnh KBL-12*260</t>
        </is>
      </c>
      <c r="J140" s="3" t="inlineStr">
        <is>
          <t>Cái</t>
        </is>
      </c>
      <c r="K140" s="5" t="n">
        <v>269000</v>
      </c>
      <c r="L140" s="5" t="n">
        <v>317000</v>
      </c>
      <c r="M140" s="6" t="n">
        <v>390000</v>
      </c>
      <c r="N140" s="5" t="n"/>
      <c r="O140" s="5">
        <f>IF(AND(ISNUMBER(N140),ISNUMBER(M140)),N140-M140,"")</f>
        <v/>
      </c>
      <c r="P140" s="7">
        <f>IF(AND(ISNUMBER(N140),ISNUMBER(M140),M140&gt;0),(N140-M140)/M140,"")</f>
        <v/>
      </c>
      <c r="Q140" s="3">
        <f>IF(P140="","",IF(P140&lt;-0.02,"🔴 Bán phá giá sàn",IF(P140&gt;0.05,"🔵 Bán cao hơn","🟢 Đúng giá sàn TMĐT")))</f>
        <v/>
      </c>
      <c r="R140" s="3" t="n"/>
      <c r="S140" s="4" t="n"/>
      <c r="T140" s="4" t="n"/>
    </row>
    <row r="141">
      <c r="A141" s="3" t="n">
        <v>140</v>
      </c>
      <c r="B141" s="3" t="inlineStr">
        <is>
          <t>DL001</t>
        </is>
      </c>
      <c r="C141" s="4" t="inlineStr">
        <is>
          <t>Điện nước Nhật (Shop) HCM</t>
        </is>
      </c>
      <c r="D141" s="3" t="inlineStr">
        <is>
          <t>HCM</t>
        </is>
      </c>
      <c r="E141" s="3" t="inlineStr">
        <is>
          <t>BẢO TRÂM</t>
        </is>
      </c>
      <c r="F141" s="3" t="inlineStr">
        <is>
          <t>Shopee</t>
        </is>
      </c>
      <c r="G14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1" s="3" t="inlineStr">
        <is>
          <t>KBL4-06160</t>
        </is>
      </c>
      <c r="I141" s="4" t="inlineStr">
        <is>
          <t>Mũi khoan bê tông 4 cạnh KBL4-06*160</t>
        </is>
      </c>
      <c r="J141" s="3" t="inlineStr">
        <is>
          <t>Cái</t>
        </is>
      </c>
      <c r="K141" s="5" t="n">
        <v>24000</v>
      </c>
      <c r="L141" s="5" t="n">
        <v>29000</v>
      </c>
      <c r="M141" s="6" t="n">
        <v>37000</v>
      </c>
      <c r="N141" s="5" t="n"/>
      <c r="O141" s="5">
        <f>IF(AND(ISNUMBER(N141),ISNUMBER(M141)),N141-M141,"")</f>
        <v/>
      </c>
      <c r="P141" s="7">
        <f>IF(AND(ISNUMBER(N141),ISNUMBER(M141),M141&gt;0),(N141-M141)/M141,"")</f>
        <v/>
      </c>
      <c r="Q141" s="3">
        <f>IF(P141="","",IF(P141&lt;-0.02,"🔴 Bán phá giá sàn",IF(P141&gt;0.05,"🔵 Bán cao hơn","🟢 Đúng giá sàn TMĐT")))</f>
        <v/>
      </c>
      <c r="R141" s="3" t="n"/>
      <c r="S141" s="4" t="n"/>
      <c r="T141" s="4" t="n"/>
    </row>
    <row r="142">
      <c r="A142" s="3" t="n">
        <v>141</v>
      </c>
      <c r="B142" s="3" t="inlineStr">
        <is>
          <t>DL001</t>
        </is>
      </c>
      <c r="C142" s="4" t="inlineStr">
        <is>
          <t>Điện nước Nhật (Shop) HCM</t>
        </is>
      </c>
      <c r="D142" s="3" t="inlineStr">
        <is>
          <t>HCM</t>
        </is>
      </c>
      <c r="E142" s="3" t="inlineStr">
        <is>
          <t>BẢO TRÂM</t>
        </is>
      </c>
      <c r="F142" s="3" t="inlineStr">
        <is>
          <t>Shopee</t>
        </is>
      </c>
      <c r="G14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2" s="3" t="inlineStr">
        <is>
          <t>KBL4-08160</t>
        </is>
      </c>
      <c r="I142" s="4" t="inlineStr">
        <is>
          <t>Mũi khoan bê tông 4 cạnh KBL4-08*160</t>
        </is>
      </c>
      <c r="J142" s="3" t="inlineStr">
        <is>
          <t>Cái</t>
        </is>
      </c>
      <c r="K142" s="5" t="n">
        <v>27000</v>
      </c>
      <c r="L142" s="5" t="n">
        <v>33000</v>
      </c>
      <c r="M142" s="6" t="n">
        <v>42000</v>
      </c>
      <c r="N142" s="5" t="n"/>
      <c r="O142" s="5">
        <f>IF(AND(ISNUMBER(N142),ISNUMBER(M142)),N142-M142,"")</f>
        <v/>
      </c>
      <c r="P142" s="7">
        <f>IF(AND(ISNUMBER(N142),ISNUMBER(M142),M142&gt;0),(N142-M142)/M142,"")</f>
        <v/>
      </c>
      <c r="Q142" s="3">
        <f>IF(P142="","",IF(P142&lt;-0.02,"🔴 Bán phá giá sàn",IF(P142&gt;0.05,"🔵 Bán cao hơn","🟢 Đúng giá sàn TMĐT")))</f>
        <v/>
      </c>
      <c r="R142" s="3" t="n"/>
      <c r="S142" s="4" t="n"/>
      <c r="T142" s="4" t="n"/>
    </row>
    <row r="143">
      <c r="A143" s="3" t="n">
        <v>142</v>
      </c>
      <c r="B143" s="3" t="inlineStr">
        <is>
          <t>DL001</t>
        </is>
      </c>
      <c r="C143" s="4" t="inlineStr">
        <is>
          <t>Điện nước Nhật (Shop) HCM</t>
        </is>
      </c>
      <c r="D143" s="3" t="inlineStr">
        <is>
          <t>HCM</t>
        </is>
      </c>
      <c r="E143" s="3" t="inlineStr">
        <is>
          <t>BẢO TRÂM</t>
        </is>
      </c>
      <c r="F143" s="3" t="inlineStr">
        <is>
          <t>Shopee</t>
        </is>
      </c>
      <c r="G14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3" s="3" t="inlineStr">
        <is>
          <t>KBL4-10160</t>
        </is>
      </c>
      <c r="I143" s="4" t="inlineStr">
        <is>
          <t>Mũi khoan bê tông 4 cạnh KBL4-10*160</t>
        </is>
      </c>
      <c r="J143" s="3" t="inlineStr">
        <is>
          <t>Cái</t>
        </is>
      </c>
      <c r="K143" s="5" t="n">
        <v>30000</v>
      </c>
      <c r="L143" s="5" t="n">
        <v>37000</v>
      </c>
      <c r="M143" s="6" t="n">
        <v>47000</v>
      </c>
      <c r="N143" s="5" t="n"/>
      <c r="O143" s="5">
        <f>IF(AND(ISNUMBER(N143),ISNUMBER(M143)),N143-M143,"")</f>
        <v/>
      </c>
      <c r="P143" s="7">
        <f>IF(AND(ISNUMBER(N143),ISNUMBER(M143),M143&gt;0),(N143-M143)/M143,"")</f>
        <v/>
      </c>
      <c r="Q143" s="3">
        <f>IF(P143="","",IF(P143&lt;-0.02,"🔴 Bán phá giá sàn",IF(P143&gt;0.05,"🔵 Bán cao hơn","🟢 Đúng giá sàn TMĐT")))</f>
        <v/>
      </c>
      <c r="R143" s="3" t="n"/>
      <c r="S143" s="4" t="n"/>
      <c r="T143" s="4" t="n"/>
    </row>
    <row r="144">
      <c r="A144" s="3" t="n">
        <v>143</v>
      </c>
      <c r="B144" s="3" t="inlineStr">
        <is>
          <t>DL001</t>
        </is>
      </c>
      <c r="C144" s="4" t="inlineStr">
        <is>
          <t>Điện nước Nhật (Shop) HCM</t>
        </is>
      </c>
      <c r="D144" s="3" t="inlineStr">
        <is>
          <t>HCM</t>
        </is>
      </c>
      <c r="E144" s="3" t="inlineStr">
        <is>
          <t>BẢO TRÂM</t>
        </is>
      </c>
      <c r="F144" s="3" t="inlineStr">
        <is>
          <t>Shopee</t>
        </is>
      </c>
      <c r="G14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4" s="3" t="inlineStr">
        <is>
          <t>KBL4-12160</t>
        </is>
      </c>
      <c r="I144" s="4" t="inlineStr">
        <is>
          <t>Mũi khoan bê tông 4 cạnh KBL4-12*160</t>
        </is>
      </c>
      <c r="J144" s="3" t="inlineStr">
        <is>
          <t>Cái</t>
        </is>
      </c>
      <c r="K144" s="5" t="n">
        <v>33000</v>
      </c>
      <c r="L144" s="5" t="n">
        <v>40000</v>
      </c>
      <c r="M144" s="6" t="n">
        <v>51000</v>
      </c>
      <c r="N144" s="5" t="n"/>
      <c r="O144" s="5">
        <f>IF(AND(ISNUMBER(N144),ISNUMBER(M144)),N144-M144,"")</f>
        <v/>
      </c>
      <c r="P144" s="7">
        <f>IF(AND(ISNUMBER(N144),ISNUMBER(M144),M144&gt;0),(N144-M144)/M144,"")</f>
        <v/>
      </c>
      <c r="Q144" s="3">
        <f>IF(P144="","",IF(P144&lt;-0.02,"🔴 Bán phá giá sàn",IF(P144&gt;0.05,"🔵 Bán cao hơn","🟢 Đúng giá sàn TMĐT")))</f>
        <v/>
      </c>
      <c r="R144" s="3" t="n"/>
      <c r="S144" s="4" t="n"/>
      <c r="T144" s="4" t="n"/>
    </row>
    <row r="145">
      <c r="A145" s="3" t="n">
        <v>144</v>
      </c>
      <c r="B145" s="3" t="inlineStr">
        <is>
          <t>DL001</t>
        </is>
      </c>
      <c r="C145" s="4" t="inlineStr">
        <is>
          <t>Điện nước Nhật (Shop) HCM</t>
        </is>
      </c>
      <c r="D145" s="3" t="inlineStr">
        <is>
          <t>HCM</t>
        </is>
      </c>
      <c r="E145" s="3" t="inlineStr">
        <is>
          <t>BẢO TRÂM</t>
        </is>
      </c>
      <c r="F145" s="3" t="inlineStr">
        <is>
          <t>Shopee</t>
        </is>
      </c>
      <c r="G14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5" s="3" t="inlineStr">
        <is>
          <t>KBL2-06160</t>
        </is>
      </c>
      <c r="I145" s="4" t="inlineStr">
        <is>
          <t>Mũi khoan bê tông gài 2 cạnh KBL2-06*160</t>
        </is>
      </c>
      <c r="J145" s="3" t="inlineStr">
        <is>
          <t>Cái</t>
        </is>
      </c>
      <c r="K145" s="5" t="n">
        <v>23000</v>
      </c>
      <c r="L145" s="5" t="n">
        <v>28000</v>
      </c>
      <c r="M145" s="6" t="n">
        <v>36000</v>
      </c>
      <c r="N145" s="5" t="n"/>
      <c r="O145" s="5">
        <f>IF(AND(ISNUMBER(N145),ISNUMBER(M145)),N145-M145,"")</f>
        <v/>
      </c>
      <c r="P145" s="7">
        <f>IF(AND(ISNUMBER(N145),ISNUMBER(M145),M145&gt;0),(N145-M145)/M145,"")</f>
        <v/>
      </c>
      <c r="Q145" s="3">
        <f>IF(P145="","",IF(P145&lt;-0.02,"🔴 Bán phá giá sàn",IF(P145&gt;0.05,"🔵 Bán cao hơn","🟢 Đúng giá sàn TMĐT")))</f>
        <v/>
      </c>
      <c r="R145" s="3" t="n"/>
      <c r="S145" s="4" t="n"/>
      <c r="T145" s="4" t="n"/>
    </row>
    <row r="146">
      <c r="A146" s="3" t="n">
        <v>145</v>
      </c>
      <c r="B146" s="3" t="inlineStr">
        <is>
          <t>DL001</t>
        </is>
      </c>
      <c r="C146" s="4" t="inlineStr">
        <is>
          <t>Điện nước Nhật (Shop) HCM</t>
        </is>
      </c>
      <c r="D146" s="3" t="inlineStr">
        <is>
          <t>HCM</t>
        </is>
      </c>
      <c r="E146" s="3" t="inlineStr">
        <is>
          <t>BẢO TRÂM</t>
        </is>
      </c>
      <c r="F146" s="3" t="inlineStr">
        <is>
          <t>Shopee</t>
        </is>
      </c>
      <c r="G14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6" s="3" t="inlineStr">
        <is>
          <t>KBL2-08160</t>
        </is>
      </c>
      <c r="I146" s="4" t="inlineStr">
        <is>
          <t>Mũi khoan bê tông gài 2 cạnh KBL2-08*160</t>
        </is>
      </c>
      <c r="J146" s="3" t="inlineStr">
        <is>
          <t>Cái</t>
        </is>
      </c>
      <c r="K146" s="5" t="n">
        <v>25000</v>
      </c>
      <c r="L146" s="5" t="n">
        <v>31000</v>
      </c>
      <c r="M146" s="6" t="n">
        <v>39000</v>
      </c>
      <c r="N146" s="5" t="n"/>
      <c r="O146" s="5">
        <f>IF(AND(ISNUMBER(N146),ISNUMBER(M146)),N146-M146,"")</f>
        <v/>
      </c>
      <c r="P146" s="7">
        <f>IF(AND(ISNUMBER(N146),ISNUMBER(M146),M146&gt;0),(N146-M146)/M146,"")</f>
        <v/>
      </c>
      <c r="Q146" s="3">
        <f>IF(P146="","",IF(P146&lt;-0.02,"🔴 Bán phá giá sàn",IF(P146&gt;0.05,"🔵 Bán cao hơn","🟢 Đúng giá sàn TMĐT")))</f>
        <v/>
      </c>
      <c r="R146" s="3" t="n"/>
      <c r="S146" s="4" t="n"/>
      <c r="T146" s="4" t="n"/>
    </row>
    <row r="147">
      <c r="A147" s="3" t="n">
        <v>146</v>
      </c>
      <c r="B147" s="3" t="inlineStr">
        <is>
          <t>DL001</t>
        </is>
      </c>
      <c r="C147" s="4" t="inlineStr">
        <is>
          <t>Điện nước Nhật (Shop) HCM</t>
        </is>
      </c>
      <c r="D147" s="3" t="inlineStr">
        <is>
          <t>HCM</t>
        </is>
      </c>
      <c r="E147" s="3" t="inlineStr">
        <is>
          <t>BẢO TRÂM</t>
        </is>
      </c>
      <c r="F147" s="3" t="inlineStr">
        <is>
          <t>Shopee</t>
        </is>
      </c>
      <c r="G14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7" s="3" t="inlineStr">
        <is>
          <t>KBL2-10160</t>
        </is>
      </c>
      <c r="I147" s="4" t="inlineStr">
        <is>
          <t>Mũi khoan bê tông gài 2 cạnh KBL2-10*160</t>
        </is>
      </c>
      <c r="J147" s="3" t="inlineStr">
        <is>
          <t>Cái</t>
        </is>
      </c>
      <c r="K147" s="5" t="n">
        <v>25000</v>
      </c>
      <c r="L147" s="5" t="n">
        <v>31000</v>
      </c>
      <c r="M147" s="6" t="n">
        <v>39000</v>
      </c>
      <c r="N147" s="5" t="n"/>
      <c r="O147" s="5">
        <f>IF(AND(ISNUMBER(N147),ISNUMBER(M147)),N147-M147,"")</f>
        <v/>
      </c>
      <c r="P147" s="7">
        <f>IF(AND(ISNUMBER(N147),ISNUMBER(M147),M147&gt;0),(N147-M147)/M147,"")</f>
        <v/>
      </c>
      <c r="Q147" s="3">
        <f>IF(P147="","",IF(P147&lt;-0.02,"🔴 Bán phá giá sàn",IF(P147&gt;0.05,"🔵 Bán cao hơn","🟢 Đúng giá sàn TMĐT")))</f>
        <v/>
      </c>
      <c r="R147" s="3" t="n"/>
      <c r="S147" s="4" t="n"/>
      <c r="T147" s="4" t="n"/>
    </row>
    <row r="148">
      <c r="A148" s="3" t="n">
        <v>147</v>
      </c>
      <c r="B148" s="3" t="inlineStr">
        <is>
          <t>DL001</t>
        </is>
      </c>
      <c r="C148" s="4" t="inlineStr">
        <is>
          <t>Điện nước Nhật (Shop) HCM</t>
        </is>
      </c>
      <c r="D148" s="3" t="inlineStr">
        <is>
          <t>HCM</t>
        </is>
      </c>
      <c r="E148" s="3" t="inlineStr">
        <is>
          <t>BẢO TRÂM</t>
        </is>
      </c>
      <c r="F148" s="3" t="inlineStr">
        <is>
          <t>Shopee</t>
        </is>
      </c>
      <c r="G14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8" s="3" t="inlineStr">
        <is>
          <t>KBL2-12160</t>
        </is>
      </c>
      <c r="I148" s="4" t="inlineStr">
        <is>
          <t>Mũi khoan bê tông gài 2 cạnh KBL2-12*160</t>
        </is>
      </c>
      <c r="J148" s="3" t="inlineStr">
        <is>
          <t>Cái</t>
        </is>
      </c>
      <c r="K148" s="5" t="n">
        <v>28000</v>
      </c>
      <c r="L148" s="5" t="n">
        <v>34000</v>
      </c>
      <c r="M148" s="6" t="n">
        <v>43000</v>
      </c>
      <c r="N148" s="5" t="n"/>
      <c r="O148" s="5">
        <f>IF(AND(ISNUMBER(N148),ISNUMBER(M148)),N148-M148,"")</f>
        <v/>
      </c>
      <c r="P148" s="7">
        <f>IF(AND(ISNUMBER(N148),ISNUMBER(M148),M148&gt;0),(N148-M148)/M148,"")</f>
        <v/>
      </c>
      <c r="Q148" s="3">
        <f>IF(P148="","",IF(P148&lt;-0.02,"🔴 Bán phá giá sàn",IF(P148&gt;0.05,"🔵 Bán cao hơn","🟢 Đúng giá sàn TMĐT")))</f>
        <v/>
      </c>
      <c r="R148" s="3" t="n"/>
      <c r="S148" s="4" t="n"/>
      <c r="T148" s="4" t="n"/>
    </row>
    <row r="149">
      <c r="A149" s="3" t="n">
        <v>148</v>
      </c>
      <c r="B149" s="3" t="inlineStr">
        <is>
          <t>DL001</t>
        </is>
      </c>
      <c r="C149" s="4" t="inlineStr">
        <is>
          <t>Điện nước Nhật (Shop) HCM</t>
        </is>
      </c>
      <c r="D149" s="3" t="inlineStr">
        <is>
          <t>HCM</t>
        </is>
      </c>
      <c r="E149" s="3" t="inlineStr">
        <is>
          <t>BẢO TRÂM</t>
        </is>
      </c>
      <c r="F149" s="3" t="inlineStr">
        <is>
          <t>Shopee</t>
        </is>
      </c>
      <c r="G14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49" s="3" t="inlineStr">
        <is>
          <t>KBL2-14160</t>
        </is>
      </c>
      <c r="I149" s="4" t="inlineStr">
        <is>
          <t>Mũi khoan bê tông gài 2 cạnh KBL2-14*160</t>
        </is>
      </c>
      <c r="J149" s="3" t="inlineStr">
        <is>
          <t>Cái</t>
        </is>
      </c>
      <c r="K149" s="5" t="n">
        <v>42000</v>
      </c>
      <c r="L149" s="5" t="n">
        <v>51000</v>
      </c>
      <c r="M149" s="6" t="n">
        <v>65000</v>
      </c>
      <c r="N149" s="5" t="n"/>
      <c r="O149" s="5">
        <f>IF(AND(ISNUMBER(N149),ISNUMBER(M149)),N149-M149,"")</f>
        <v/>
      </c>
      <c r="P149" s="7">
        <f>IF(AND(ISNUMBER(N149),ISNUMBER(M149),M149&gt;0),(N149-M149)/M149,"")</f>
        <v/>
      </c>
      <c r="Q149" s="3">
        <f>IF(P149="","",IF(P149&lt;-0.02,"🔴 Bán phá giá sàn",IF(P149&gt;0.05,"🔵 Bán cao hơn","🟢 Đúng giá sàn TMĐT")))</f>
        <v/>
      </c>
      <c r="R149" s="3" t="n"/>
      <c r="S149" s="4" t="n"/>
      <c r="T149" s="4" t="n"/>
    </row>
    <row r="150">
      <c r="A150" s="3" t="n">
        <v>149</v>
      </c>
      <c r="B150" s="3" t="inlineStr">
        <is>
          <t>DL001</t>
        </is>
      </c>
      <c r="C150" s="4" t="inlineStr">
        <is>
          <t>Điện nước Nhật (Shop) HCM</t>
        </is>
      </c>
      <c r="D150" s="3" t="inlineStr">
        <is>
          <t>HCM</t>
        </is>
      </c>
      <c r="E150" s="3" t="inlineStr">
        <is>
          <t>BẢO TRÂM</t>
        </is>
      </c>
      <c r="F150" s="3" t="inlineStr">
        <is>
          <t>Shopee</t>
        </is>
      </c>
      <c r="G15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0" s="3" t="inlineStr">
        <is>
          <t>KBL2-16160</t>
        </is>
      </c>
      <c r="I150" s="4" t="inlineStr">
        <is>
          <t>Mũi khoan bê tông gài 2 cạnh KBL2-16*160</t>
        </is>
      </c>
      <c r="J150" s="3" t="inlineStr">
        <is>
          <t>Cái</t>
        </is>
      </c>
      <c r="K150" s="5" t="n">
        <v>49000</v>
      </c>
      <c r="L150" s="5" t="n">
        <v>60000</v>
      </c>
      <c r="M150" s="6" t="n">
        <v>76000</v>
      </c>
      <c r="N150" s="5" t="n"/>
      <c r="O150" s="5">
        <f>IF(AND(ISNUMBER(N150),ISNUMBER(M150)),N150-M150,"")</f>
        <v/>
      </c>
      <c r="P150" s="7">
        <f>IF(AND(ISNUMBER(N150),ISNUMBER(M150),M150&gt;0),(N150-M150)/M150,"")</f>
        <v/>
      </c>
      <c r="Q150" s="3">
        <f>IF(P150="","",IF(P150&lt;-0.02,"🔴 Bán phá giá sàn",IF(P150&gt;0.05,"🔵 Bán cao hơn","🟢 Đúng giá sàn TMĐT")))</f>
        <v/>
      </c>
      <c r="R150" s="3" t="n"/>
      <c r="S150" s="4" t="n"/>
      <c r="T150" s="4" t="n"/>
    </row>
    <row r="151">
      <c r="A151" s="3" t="n">
        <v>150</v>
      </c>
      <c r="B151" s="3" t="inlineStr">
        <is>
          <t>DL001</t>
        </is>
      </c>
      <c r="C151" s="4" t="inlineStr">
        <is>
          <t>Điện nước Nhật (Shop) HCM</t>
        </is>
      </c>
      <c r="D151" s="3" t="inlineStr">
        <is>
          <t>HCM</t>
        </is>
      </c>
      <c r="E151" s="3" t="inlineStr">
        <is>
          <t>BẢO TRÂM</t>
        </is>
      </c>
      <c r="F151" s="3" t="inlineStr">
        <is>
          <t>Shopee</t>
        </is>
      </c>
      <c r="G15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1" s="3" t="inlineStr">
        <is>
          <t>KBL4-14160</t>
        </is>
      </c>
      <c r="I151" s="4" t="inlineStr">
        <is>
          <t>Mũi khoan bê tông gài 4 cạnh KBL4-14*160</t>
        </is>
      </c>
      <c r="J151" s="3" t="inlineStr">
        <is>
          <t>Cái</t>
        </is>
      </c>
      <c r="K151" s="5" t="n">
        <v>51000</v>
      </c>
      <c r="L151" s="5" t="n">
        <v>62000</v>
      </c>
      <c r="M151" s="6" t="n">
        <v>79000</v>
      </c>
      <c r="N151" s="5" t="n"/>
      <c r="O151" s="5">
        <f>IF(AND(ISNUMBER(N151),ISNUMBER(M151)),N151-M151,"")</f>
        <v/>
      </c>
      <c r="P151" s="7">
        <f>IF(AND(ISNUMBER(N151),ISNUMBER(M151),M151&gt;0),(N151-M151)/M151,"")</f>
        <v/>
      </c>
      <c r="Q151" s="3">
        <f>IF(P151="","",IF(P151&lt;-0.02,"🔴 Bán phá giá sàn",IF(P151&gt;0.05,"🔵 Bán cao hơn","🟢 Đúng giá sàn TMĐT")))</f>
        <v/>
      </c>
      <c r="R151" s="3" t="n"/>
      <c r="S151" s="4" t="n"/>
      <c r="T151" s="4" t="n"/>
    </row>
    <row r="152">
      <c r="A152" s="3" t="n">
        <v>151</v>
      </c>
      <c r="B152" s="3" t="inlineStr">
        <is>
          <t>DL001</t>
        </is>
      </c>
      <c r="C152" s="4" t="inlineStr">
        <is>
          <t>Điện nước Nhật (Shop) HCM</t>
        </is>
      </c>
      <c r="D152" s="3" t="inlineStr">
        <is>
          <t>HCM</t>
        </is>
      </c>
      <c r="E152" s="3" t="inlineStr">
        <is>
          <t>BẢO TRÂM</t>
        </is>
      </c>
      <c r="F152" s="3" t="inlineStr">
        <is>
          <t>Shopee</t>
        </is>
      </c>
      <c r="G15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2" s="3" t="inlineStr">
        <is>
          <t>KBL4-16160</t>
        </is>
      </c>
      <c r="I152" s="4" t="inlineStr">
        <is>
          <t>Mũi khoan bê tông gài 4 cạnh KBL4-16*160</t>
        </is>
      </c>
      <c r="J152" s="3" t="inlineStr">
        <is>
          <t>Cái</t>
        </is>
      </c>
      <c r="K152" s="5" t="n">
        <v>59000</v>
      </c>
      <c r="L152" s="5" t="n">
        <v>72000</v>
      </c>
      <c r="M152" s="6" t="n">
        <v>92000</v>
      </c>
      <c r="N152" s="5" t="n"/>
      <c r="O152" s="5">
        <f>IF(AND(ISNUMBER(N152),ISNUMBER(M152)),N152-M152,"")</f>
        <v/>
      </c>
      <c r="P152" s="7">
        <f>IF(AND(ISNUMBER(N152),ISNUMBER(M152),M152&gt;0),(N152-M152)/M152,"")</f>
        <v/>
      </c>
      <c r="Q152" s="3">
        <f>IF(P152="","",IF(P152&lt;-0.02,"🔴 Bán phá giá sàn",IF(P152&gt;0.05,"🔵 Bán cao hơn","🟢 Đúng giá sàn TMĐT")))</f>
        <v/>
      </c>
      <c r="R152" s="3" t="n"/>
      <c r="S152" s="4" t="n"/>
      <c r="T152" s="4" t="n"/>
    </row>
    <row r="153">
      <c r="A153" s="3" t="n">
        <v>152</v>
      </c>
      <c r="B153" s="3" t="inlineStr">
        <is>
          <t>DL001</t>
        </is>
      </c>
      <c r="C153" s="4" t="inlineStr">
        <is>
          <t>Điện nước Nhật (Shop) HCM</t>
        </is>
      </c>
      <c r="D153" s="3" t="inlineStr">
        <is>
          <t>HCM</t>
        </is>
      </c>
      <c r="E153" s="3" t="inlineStr">
        <is>
          <t>BẢO TRÂM</t>
        </is>
      </c>
      <c r="F153" s="3" t="inlineStr">
        <is>
          <t>Shopee</t>
        </is>
      </c>
      <c r="G15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3" s="3" t="inlineStr">
        <is>
          <t>KBL2-08310</t>
        </is>
      </c>
      <c r="I153" s="4" t="inlineStr">
        <is>
          <t>Mũi khoan bê tông gài xuyên tường 2 cạnh KBL2-08*310</t>
        </is>
      </c>
      <c r="J153" s="3" t="inlineStr">
        <is>
          <t>Cái</t>
        </is>
      </c>
      <c r="K153" s="5" t="n">
        <v>40000</v>
      </c>
      <c r="L153" s="5" t="n">
        <v>49000</v>
      </c>
      <c r="M153" s="6" t="n">
        <v>62000</v>
      </c>
      <c r="N153" s="5" t="n"/>
      <c r="O153" s="5">
        <f>IF(AND(ISNUMBER(N153),ISNUMBER(M153)),N153-M153,"")</f>
        <v/>
      </c>
      <c r="P153" s="7">
        <f>IF(AND(ISNUMBER(N153),ISNUMBER(M153),M153&gt;0),(N153-M153)/M153,"")</f>
        <v/>
      </c>
      <c r="Q153" s="3">
        <f>IF(P153="","",IF(P153&lt;-0.02,"🔴 Bán phá giá sàn",IF(P153&gt;0.05,"🔵 Bán cao hơn","🟢 Đúng giá sàn TMĐT")))</f>
        <v/>
      </c>
      <c r="R153" s="3" t="n"/>
      <c r="S153" s="4" t="n"/>
      <c r="T153" s="4" t="n"/>
    </row>
    <row r="154">
      <c r="A154" s="3" t="n">
        <v>153</v>
      </c>
      <c r="B154" s="3" t="inlineStr">
        <is>
          <t>DL001</t>
        </is>
      </c>
      <c r="C154" s="4" t="inlineStr">
        <is>
          <t>Điện nước Nhật (Shop) HCM</t>
        </is>
      </c>
      <c r="D154" s="3" t="inlineStr">
        <is>
          <t>HCM</t>
        </is>
      </c>
      <c r="E154" s="3" t="inlineStr">
        <is>
          <t>BẢO TRÂM</t>
        </is>
      </c>
      <c r="F154" s="3" t="inlineStr">
        <is>
          <t>Shopee</t>
        </is>
      </c>
      <c r="G15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4" s="3" t="inlineStr">
        <is>
          <t>KBL2-10310</t>
        </is>
      </c>
      <c r="I154" s="4" t="inlineStr">
        <is>
          <t>Mũi khoan bê tông gài xuyên tường 2 cạnh KBL2-10*310</t>
        </is>
      </c>
      <c r="J154" s="3" t="inlineStr">
        <is>
          <t>Cái</t>
        </is>
      </c>
      <c r="K154" s="5" t="n">
        <v>44000</v>
      </c>
      <c r="L154" s="5" t="n">
        <v>54000</v>
      </c>
      <c r="M154" s="6" t="n">
        <v>68000</v>
      </c>
      <c r="N154" s="5" t="n"/>
      <c r="O154" s="5">
        <f>IF(AND(ISNUMBER(N154),ISNUMBER(M154)),N154-M154,"")</f>
        <v/>
      </c>
      <c r="P154" s="7">
        <f>IF(AND(ISNUMBER(N154),ISNUMBER(M154),M154&gt;0),(N154-M154)/M154,"")</f>
        <v/>
      </c>
      <c r="Q154" s="3">
        <f>IF(P154="","",IF(P154&lt;-0.02,"🔴 Bán phá giá sàn",IF(P154&gt;0.05,"🔵 Bán cao hơn","🟢 Đúng giá sàn TMĐT")))</f>
        <v/>
      </c>
      <c r="R154" s="3" t="n"/>
      <c r="S154" s="4" t="n"/>
      <c r="T154" s="4" t="n"/>
    </row>
    <row r="155">
      <c r="A155" s="3" t="n">
        <v>154</v>
      </c>
      <c r="B155" s="3" t="inlineStr">
        <is>
          <t>DL001</t>
        </is>
      </c>
      <c r="C155" s="4" t="inlineStr">
        <is>
          <t>Điện nước Nhật (Shop) HCM</t>
        </is>
      </c>
      <c r="D155" s="3" t="inlineStr">
        <is>
          <t>HCM</t>
        </is>
      </c>
      <c r="E155" s="3" t="inlineStr">
        <is>
          <t>BẢO TRÂM</t>
        </is>
      </c>
      <c r="F155" s="3" t="inlineStr">
        <is>
          <t>Shopee</t>
        </is>
      </c>
      <c r="G15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5" s="3" t="inlineStr">
        <is>
          <t>KBL2-12310</t>
        </is>
      </c>
      <c r="I155" s="4" t="inlineStr">
        <is>
          <t>Mũi khoan bê tông gài xuyên tường 2 cạnh KBL2-12*310</t>
        </is>
      </c>
      <c r="J155" s="3" t="inlineStr">
        <is>
          <t>Cái</t>
        </is>
      </c>
      <c r="K155" s="5" t="n">
        <v>45000</v>
      </c>
      <c r="L155" s="5" t="n">
        <v>55000</v>
      </c>
      <c r="M155" s="6" t="n">
        <v>70000</v>
      </c>
      <c r="N155" s="5" t="n"/>
      <c r="O155" s="5">
        <f>IF(AND(ISNUMBER(N155),ISNUMBER(M155)),N155-M155,"")</f>
        <v/>
      </c>
      <c r="P155" s="7">
        <f>IF(AND(ISNUMBER(N155),ISNUMBER(M155),M155&gt;0),(N155-M155)/M155,"")</f>
        <v/>
      </c>
      <c r="Q155" s="3">
        <f>IF(P155="","",IF(P155&lt;-0.02,"🔴 Bán phá giá sàn",IF(P155&gt;0.05,"🔵 Bán cao hơn","🟢 Đúng giá sàn TMĐT")))</f>
        <v/>
      </c>
      <c r="R155" s="3" t="n"/>
      <c r="S155" s="4" t="n"/>
      <c r="T155" s="4" t="n"/>
    </row>
    <row r="156">
      <c r="A156" s="3" t="n">
        <v>155</v>
      </c>
      <c r="B156" s="3" t="inlineStr">
        <is>
          <t>DL001</t>
        </is>
      </c>
      <c r="C156" s="4" t="inlineStr">
        <is>
          <t>Điện nước Nhật (Shop) HCM</t>
        </is>
      </c>
      <c r="D156" s="3" t="inlineStr">
        <is>
          <t>HCM</t>
        </is>
      </c>
      <c r="E156" s="3" t="inlineStr">
        <is>
          <t>BẢO TRÂM</t>
        </is>
      </c>
      <c r="F156" s="3" t="inlineStr">
        <is>
          <t>Shopee</t>
        </is>
      </c>
      <c r="G15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6" s="3" t="inlineStr">
        <is>
          <t>KBL2-14310</t>
        </is>
      </c>
      <c r="I156" s="4" t="inlineStr">
        <is>
          <t>Mũi khoan bê tông gài xuyên tường 2 cạnh KBL2-14*310</t>
        </is>
      </c>
      <c r="J156" s="3" t="inlineStr">
        <is>
          <t>Cái</t>
        </is>
      </c>
      <c r="K156" s="5" t="n">
        <v>53000</v>
      </c>
      <c r="L156" s="5" t="n">
        <v>65000</v>
      </c>
      <c r="M156" s="6" t="n">
        <v>82000</v>
      </c>
      <c r="N156" s="5" t="n"/>
      <c r="O156" s="5">
        <f>IF(AND(ISNUMBER(N156),ISNUMBER(M156)),N156-M156,"")</f>
        <v/>
      </c>
      <c r="P156" s="7">
        <f>IF(AND(ISNUMBER(N156),ISNUMBER(M156),M156&gt;0),(N156-M156)/M156,"")</f>
        <v/>
      </c>
      <c r="Q156" s="3">
        <f>IF(P156="","",IF(P156&lt;-0.02,"🔴 Bán phá giá sàn",IF(P156&gt;0.05,"🔵 Bán cao hơn","🟢 Đúng giá sàn TMĐT")))</f>
        <v/>
      </c>
      <c r="R156" s="3" t="n"/>
      <c r="S156" s="4" t="n"/>
      <c r="T156" s="4" t="n"/>
    </row>
    <row r="157">
      <c r="A157" s="3" t="n">
        <v>156</v>
      </c>
      <c r="B157" s="3" t="inlineStr">
        <is>
          <t>DL001</t>
        </is>
      </c>
      <c r="C157" s="4" t="inlineStr">
        <is>
          <t>Điện nước Nhật (Shop) HCM</t>
        </is>
      </c>
      <c r="D157" s="3" t="inlineStr">
        <is>
          <t>HCM</t>
        </is>
      </c>
      <c r="E157" s="3" t="inlineStr">
        <is>
          <t>BẢO TRÂM</t>
        </is>
      </c>
      <c r="F157" s="3" t="inlineStr">
        <is>
          <t>Shopee</t>
        </is>
      </c>
      <c r="G15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7" s="3" t="inlineStr">
        <is>
          <t>KBL2-16310</t>
        </is>
      </c>
      <c r="I157" s="4" t="inlineStr">
        <is>
          <t>Mũi khoan bê tông gài xuyên tường 2 cạnh KBL2-16*310</t>
        </is>
      </c>
      <c r="J157" s="3" t="inlineStr">
        <is>
          <t>Cái</t>
        </is>
      </c>
      <c r="K157" s="5" t="n">
        <v>67000</v>
      </c>
      <c r="L157" s="5" t="n">
        <v>82000</v>
      </c>
      <c r="M157" s="6" t="n">
        <v>104000</v>
      </c>
      <c r="N157" s="5" t="n"/>
      <c r="O157" s="5">
        <f>IF(AND(ISNUMBER(N157),ISNUMBER(M157)),N157-M157,"")</f>
        <v/>
      </c>
      <c r="P157" s="7">
        <f>IF(AND(ISNUMBER(N157),ISNUMBER(M157),M157&gt;0),(N157-M157)/M157,"")</f>
        <v/>
      </c>
      <c r="Q157" s="3">
        <f>IF(P157="","",IF(P157&lt;-0.02,"🔴 Bán phá giá sàn",IF(P157&gt;0.05,"🔵 Bán cao hơn","🟢 Đúng giá sàn TMĐT")))</f>
        <v/>
      </c>
      <c r="R157" s="3" t="n"/>
      <c r="S157" s="4" t="n"/>
      <c r="T157" s="4" t="n"/>
    </row>
    <row r="158">
      <c r="A158" s="3" t="n">
        <v>157</v>
      </c>
      <c r="B158" s="3" t="inlineStr">
        <is>
          <t>DL001</t>
        </is>
      </c>
      <c r="C158" s="4" t="inlineStr">
        <is>
          <t>Điện nước Nhật (Shop) HCM</t>
        </is>
      </c>
      <c r="D158" s="3" t="inlineStr">
        <is>
          <t>HCM</t>
        </is>
      </c>
      <c r="E158" s="3" t="inlineStr">
        <is>
          <t>BẢO TRÂM</t>
        </is>
      </c>
      <c r="F158" s="3" t="inlineStr">
        <is>
          <t>Shopee</t>
        </is>
      </c>
      <c r="G15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8" s="3" t="inlineStr">
        <is>
          <t>KBL2-18310</t>
        </is>
      </c>
      <c r="I158" s="4" t="inlineStr">
        <is>
          <t>Mũi khoan bê tông gài xuyên tường 2 cạnh KBL2-18*310</t>
        </is>
      </c>
      <c r="J158" s="3" t="inlineStr">
        <is>
          <t>Cái</t>
        </is>
      </c>
      <c r="K158" s="5" t="n">
        <v>84000</v>
      </c>
      <c r="L158" s="5" t="n">
        <v>102000</v>
      </c>
      <c r="M158" s="6" t="n">
        <v>130000</v>
      </c>
      <c r="N158" s="5" t="n"/>
      <c r="O158" s="5">
        <f>IF(AND(ISNUMBER(N158),ISNUMBER(M158)),N158-M158,"")</f>
        <v/>
      </c>
      <c r="P158" s="7">
        <f>IF(AND(ISNUMBER(N158),ISNUMBER(M158),M158&gt;0),(N158-M158)/M158,"")</f>
        <v/>
      </c>
      <c r="Q158" s="3">
        <f>IF(P158="","",IF(P158&lt;-0.02,"🔴 Bán phá giá sàn",IF(P158&gt;0.05,"🔵 Bán cao hơn","🟢 Đúng giá sàn TMĐT")))</f>
        <v/>
      </c>
      <c r="R158" s="3" t="n"/>
      <c r="S158" s="4" t="n"/>
      <c r="T158" s="4" t="n"/>
    </row>
    <row r="159">
      <c r="A159" s="3" t="n">
        <v>158</v>
      </c>
      <c r="B159" s="3" t="inlineStr">
        <is>
          <t>DL001</t>
        </is>
      </c>
      <c r="C159" s="4" t="inlineStr">
        <is>
          <t>Điện nước Nhật (Shop) HCM</t>
        </is>
      </c>
      <c r="D159" s="3" t="inlineStr">
        <is>
          <t>HCM</t>
        </is>
      </c>
      <c r="E159" s="3" t="inlineStr">
        <is>
          <t>BẢO TRÂM</t>
        </is>
      </c>
      <c r="F159" s="3" t="inlineStr">
        <is>
          <t>Shopee</t>
        </is>
      </c>
      <c r="G15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59" s="3" t="inlineStr">
        <is>
          <t>KBL2-20310</t>
        </is>
      </c>
      <c r="I159" s="4" t="inlineStr">
        <is>
          <t>Mũi khoan bê tông gài xuyên tường 2 cạnh KBL2-20*310</t>
        </is>
      </c>
      <c r="J159" s="3" t="inlineStr">
        <is>
          <t>Cái</t>
        </is>
      </c>
      <c r="K159" s="5" t="n">
        <v>98000</v>
      </c>
      <c r="L159" s="5" t="n">
        <v>120000</v>
      </c>
      <c r="M159" s="6" t="n">
        <v>152000</v>
      </c>
      <c r="N159" s="5" t="n"/>
      <c r="O159" s="5">
        <f>IF(AND(ISNUMBER(N159),ISNUMBER(M159)),N159-M159,"")</f>
        <v/>
      </c>
      <c r="P159" s="7">
        <f>IF(AND(ISNUMBER(N159),ISNUMBER(M159),M159&gt;0),(N159-M159)/M159,"")</f>
        <v/>
      </c>
      <c r="Q159" s="3">
        <f>IF(P159="","",IF(P159&lt;-0.02,"🔴 Bán phá giá sàn",IF(P159&gt;0.05,"🔵 Bán cao hơn","🟢 Đúng giá sàn TMĐT")))</f>
        <v/>
      </c>
      <c r="R159" s="3" t="n"/>
      <c r="S159" s="4" t="n"/>
      <c r="T159" s="4" t="n"/>
    </row>
    <row r="160">
      <c r="A160" s="3" t="n">
        <v>159</v>
      </c>
      <c r="B160" s="3" t="inlineStr">
        <is>
          <t>DL001</t>
        </is>
      </c>
      <c r="C160" s="4" t="inlineStr">
        <is>
          <t>Điện nước Nhật (Shop) HCM</t>
        </is>
      </c>
      <c r="D160" s="3" t="inlineStr">
        <is>
          <t>HCM</t>
        </is>
      </c>
      <c r="E160" s="3" t="inlineStr">
        <is>
          <t>BẢO TRÂM</t>
        </is>
      </c>
      <c r="F160" s="3" t="inlineStr">
        <is>
          <t>Shopee</t>
        </is>
      </c>
      <c r="G16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0" s="3" t="inlineStr">
        <is>
          <t>KBL2-22310</t>
        </is>
      </c>
      <c r="I160" s="4" t="inlineStr">
        <is>
          <t>Mũi khoan bê tông gài xuyên tường 2 cạnh KBL2-22*310</t>
        </is>
      </c>
      <c r="J160" s="3" t="inlineStr">
        <is>
          <t>Cái</t>
        </is>
      </c>
      <c r="K160" s="5" t="n">
        <v>120000</v>
      </c>
      <c r="L160" s="5" t="n">
        <v>146000</v>
      </c>
      <c r="M160" s="6" t="n">
        <v>186000</v>
      </c>
      <c r="N160" s="5" t="n"/>
      <c r="O160" s="5">
        <f>IF(AND(ISNUMBER(N160),ISNUMBER(M160)),N160-M160,"")</f>
        <v/>
      </c>
      <c r="P160" s="7">
        <f>IF(AND(ISNUMBER(N160),ISNUMBER(M160),M160&gt;0),(N160-M160)/M160,"")</f>
        <v/>
      </c>
      <c r="Q160" s="3">
        <f>IF(P160="","",IF(P160&lt;-0.02,"🔴 Bán phá giá sàn",IF(P160&gt;0.05,"🔵 Bán cao hơn","🟢 Đúng giá sàn TMĐT")))</f>
        <v/>
      </c>
      <c r="R160" s="3" t="n"/>
      <c r="S160" s="4" t="n"/>
      <c r="T160" s="4" t="n"/>
    </row>
    <row r="161">
      <c r="A161" s="3" t="n">
        <v>160</v>
      </c>
      <c r="B161" s="3" t="inlineStr">
        <is>
          <t>DL001</t>
        </is>
      </c>
      <c r="C161" s="4" t="inlineStr">
        <is>
          <t>Điện nước Nhật (Shop) HCM</t>
        </is>
      </c>
      <c r="D161" s="3" t="inlineStr">
        <is>
          <t>HCM</t>
        </is>
      </c>
      <c r="E161" s="3" t="inlineStr">
        <is>
          <t>BẢO TRÂM</t>
        </is>
      </c>
      <c r="F161" s="3" t="inlineStr">
        <is>
          <t>Shopee</t>
        </is>
      </c>
      <c r="G16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1" s="3" t="inlineStr">
        <is>
          <t>KBL2-3.5110</t>
        </is>
      </c>
      <c r="I161" s="4" t="inlineStr">
        <is>
          <t>Mũi khoan bê tông không tắc kê KBL2-3.5*110</t>
        </is>
      </c>
      <c r="J161" s="3" t="inlineStr">
        <is>
          <t>Cái</t>
        </is>
      </c>
      <c r="K161" s="5" t="n">
        <v>23000</v>
      </c>
      <c r="L161" s="5" t="n">
        <v>29000</v>
      </c>
      <c r="M161" s="6" t="n">
        <v>38000</v>
      </c>
      <c r="N161" s="5" t="n"/>
      <c r="O161" s="5">
        <f>IF(AND(ISNUMBER(N161),ISNUMBER(M161)),N161-M161,"")</f>
        <v/>
      </c>
      <c r="P161" s="7">
        <f>IF(AND(ISNUMBER(N161),ISNUMBER(M161),M161&gt;0),(N161-M161)/M161,"")</f>
        <v/>
      </c>
      <c r="Q161" s="3">
        <f>IF(P161="","",IF(P161&lt;-0.02,"🔴 Bán phá giá sàn",IF(P161&gt;0.05,"🔵 Bán cao hơn","🟢 Đúng giá sàn TMĐT")))</f>
        <v/>
      </c>
      <c r="R161" s="3" t="n"/>
      <c r="S161" s="4" t="n"/>
      <c r="T161" s="4" t="n"/>
    </row>
    <row r="162">
      <c r="A162" s="3" t="n">
        <v>161</v>
      </c>
      <c r="B162" s="3" t="inlineStr">
        <is>
          <t>DL001</t>
        </is>
      </c>
      <c r="C162" s="4" t="inlineStr">
        <is>
          <t>Điện nước Nhật (Shop) HCM</t>
        </is>
      </c>
      <c r="D162" s="3" t="inlineStr">
        <is>
          <t>HCM</t>
        </is>
      </c>
      <c r="E162" s="3" t="inlineStr">
        <is>
          <t>BẢO TRÂM</t>
        </is>
      </c>
      <c r="F162" s="3" t="inlineStr">
        <is>
          <t>Shopee</t>
        </is>
      </c>
      <c r="G16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2" s="3" t="inlineStr">
        <is>
          <t>KBK-06</t>
        </is>
      </c>
      <c r="I162" s="4" t="inlineStr">
        <is>
          <t>Mũi khoan đá KBK-06</t>
        </is>
      </c>
      <c r="J162" s="3" t="inlineStr">
        <is>
          <t>Cái</t>
        </is>
      </c>
      <c r="K162" s="5" t="n">
        <v>22000</v>
      </c>
      <c r="L162" s="5" t="n">
        <v>27000</v>
      </c>
      <c r="M162" s="6" t="n">
        <v>35000</v>
      </c>
      <c r="N162" s="5" t="n"/>
      <c r="O162" s="5">
        <f>IF(AND(ISNUMBER(N162),ISNUMBER(M162)),N162-M162,"")</f>
        <v/>
      </c>
      <c r="P162" s="7">
        <f>IF(AND(ISNUMBER(N162),ISNUMBER(M162),M162&gt;0),(N162-M162)/M162,"")</f>
        <v/>
      </c>
      <c r="Q162" s="3">
        <f>IF(P162="","",IF(P162&lt;-0.02,"🔴 Bán phá giá sàn",IF(P162&gt;0.05,"🔵 Bán cao hơn","🟢 Đúng giá sàn TMĐT")))</f>
        <v/>
      </c>
      <c r="R162" s="3" t="n"/>
      <c r="S162" s="4" t="n"/>
      <c r="T162" s="4" t="n"/>
    </row>
    <row r="163">
      <c r="A163" s="3" t="n">
        <v>162</v>
      </c>
      <c r="B163" s="3" t="inlineStr">
        <is>
          <t>DL001</t>
        </is>
      </c>
      <c r="C163" s="4" t="inlineStr">
        <is>
          <t>Điện nước Nhật (Shop) HCM</t>
        </is>
      </c>
      <c r="D163" s="3" t="inlineStr">
        <is>
          <t>HCM</t>
        </is>
      </c>
      <c r="E163" s="3" t="inlineStr">
        <is>
          <t>BẢO TRÂM</t>
        </is>
      </c>
      <c r="F163" s="3" t="inlineStr">
        <is>
          <t>Shopee</t>
        </is>
      </c>
      <c r="G16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3" s="3" t="inlineStr">
        <is>
          <t>KBK-08</t>
        </is>
      </c>
      <c r="I163" s="4" t="inlineStr">
        <is>
          <t>Mũi khoan đá KBK-08</t>
        </is>
      </c>
      <c r="J163" s="3" t="inlineStr">
        <is>
          <t>Cái</t>
        </is>
      </c>
      <c r="K163" s="5" t="n">
        <v>25000</v>
      </c>
      <c r="L163" s="5" t="n">
        <v>31000</v>
      </c>
      <c r="M163" s="6" t="n">
        <v>40000</v>
      </c>
      <c r="N163" s="5" t="n"/>
      <c r="O163" s="5">
        <f>IF(AND(ISNUMBER(N163),ISNUMBER(M163)),N163-M163,"")</f>
        <v/>
      </c>
      <c r="P163" s="7">
        <f>IF(AND(ISNUMBER(N163),ISNUMBER(M163),M163&gt;0),(N163-M163)/M163,"")</f>
        <v/>
      </c>
      <c r="Q163" s="3">
        <f>IF(P163="","",IF(P163&lt;-0.02,"🔴 Bán phá giá sàn",IF(P163&gt;0.05,"🔵 Bán cao hơn","🟢 Đúng giá sàn TMĐT")))</f>
        <v/>
      </c>
      <c r="R163" s="3" t="n"/>
      <c r="S163" s="4" t="n"/>
      <c r="T163" s="4" t="n"/>
    </row>
    <row r="164">
      <c r="A164" s="3" t="n">
        <v>163</v>
      </c>
      <c r="B164" s="3" t="inlineStr">
        <is>
          <t>DL001</t>
        </is>
      </c>
      <c r="C164" s="4" t="inlineStr">
        <is>
          <t>Điện nước Nhật (Shop) HCM</t>
        </is>
      </c>
      <c r="D164" s="3" t="inlineStr">
        <is>
          <t>HCM</t>
        </is>
      </c>
      <c r="E164" s="3" t="inlineStr">
        <is>
          <t>BẢO TRÂM</t>
        </is>
      </c>
      <c r="F164" s="3" t="inlineStr">
        <is>
          <t>Shopee</t>
        </is>
      </c>
      <c r="G16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4" s="3" t="inlineStr">
        <is>
          <t>KBK-10</t>
        </is>
      </c>
      <c r="I164" s="4" t="inlineStr">
        <is>
          <t>Mũi khoan đá KBK-10</t>
        </is>
      </c>
      <c r="J164" s="3" t="inlineStr">
        <is>
          <t>Cái</t>
        </is>
      </c>
      <c r="K164" s="5" t="n">
        <v>32000</v>
      </c>
      <c r="L164" s="5" t="n">
        <v>40000</v>
      </c>
      <c r="M164" s="6" t="n">
        <v>51000</v>
      </c>
      <c r="N164" s="5" t="n"/>
      <c r="O164" s="5">
        <f>IF(AND(ISNUMBER(N164),ISNUMBER(M164)),N164-M164,"")</f>
        <v/>
      </c>
      <c r="P164" s="7">
        <f>IF(AND(ISNUMBER(N164),ISNUMBER(M164),M164&gt;0),(N164-M164)/M164,"")</f>
        <v/>
      </c>
      <c r="Q164" s="3">
        <f>IF(P164="","",IF(P164&lt;-0.02,"🔴 Bán phá giá sàn",IF(P164&gt;0.05,"🔵 Bán cao hơn","🟢 Đúng giá sàn TMĐT")))</f>
        <v/>
      </c>
      <c r="R164" s="3" t="n"/>
      <c r="S164" s="4" t="n"/>
      <c r="T164" s="4" t="n"/>
    </row>
    <row r="165">
      <c r="A165" s="3" t="n">
        <v>164</v>
      </c>
      <c r="B165" s="3" t="inlineStr">
        <is>
          <t>DL001</t>
        </is>
      </c>
      <c r="C165" s="4" t="inlineStr">
        <is>
          <t>Điện nước Nhật (Shop) HCM</t>
        </is>
      </c>
      <c r="D165" s="3" t="inlineStr">
        <is>
          <t>HCM</t>
        </is>
      </c>
      <c r="E165" s="3" t="inlineStr">
        <is>
          <t>BẢO TRÂM</t>
        </is>
      </c>
      <c r="F165" s="3" t="inlineStr">
        <is>
          <t>Shopee</t>
        </is>
      </c>
      <c r="G16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5" s="3" t="inlineStr">
        <is>
          <t>KBK-16</t>
        </is>
      </c>
      <c r="I165" s="4" t="inlineStr">
        <is>
          <t>Mũi khoan đá KBK-16</t>
        </is>
      </c>
      <c r="J165" s="3" t="inlineStr">
        <is>
          <t>Cái</t>
        </is>
      </c>
      <c r="K165" s="5" t="n">
        <v>48000</v>
      </c>
      <c r="L165" s="5" t="n">
        <v>60000</v>
      </c>
      <c r="M165" s="6" t="n">
        <v>77000</v>
      </c>
      <c r="N165" s="5" t="n"/>
      <c r="O165" s="5">
        <f>IF(AND(ISNUMBER(N165),ISNUMBER(M165)),N165-M165,"")</f>
        <v/>
      </c>
      <c r="P165" s="7">
        <f>IF(AND(ISNUMBER(N165),ISNUMBER(M165),M165&gt;0),(N165-M165)/M165,"")</f>
        <v/>
      </c>
      <c r="Q165" s="3">
        <f>IF(P165="","",IF(P165&lt;-0.02,"🔴 Bán phá giá sàn",IF(P165&gt;0.05,"🔵 Bán cao hơn","🟢 Đúng giá sàn TMĐT")))</f>
        <v/>
      </c>
      <c r="R165" s="3" t="n"/>
      <c r="S165" s="4" t="n"/>
      <c r="T165" s="4" t="n"/>
    </row>
    <row r="166">
      <c r="A166" s="3" t="n">
        <v>165</v>
      </c>
      <c r="B166" s="3" t="inlineStr">
        <is>
          <t>DL001</t>
        </is>
      </c>
      <c r="C166" s="4" t="inlineStr">
        <is>
          <t>Điện nước Nhật (Shop) HCM</t>
        </is>
      </c>
      <c r="D166" s="3" t="inlineStr">
        <is>
          <t>HCM</t>
        </is>
      </c>
      <c r="E166" s="3" t="inlineStr">
        <is>
          <t>BẢO TRÂM</t>
        </is>
      </c>
      <c r="F166" s="3" t="inlineStr">
        <is>
          <t>Shopee</t>
        </is>
      </c>
      <c r="G16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6" s="3" t="inlineStr">
        <is>
          <t>KBK-18</t>
        </is>
      </c>
      <c r="I166" s="4" t="inlineStr">
        <is>
          <t>Mũi khoan đá KBK-18</t>
        </is>
      </c>
      <c r="J166" s="3" t="inlineStr">
        <is>
          <t>Cái</t>
        </is>
      </c>
      <c r="K166" s="5" t="n">
        <v>57000</v>
      </c>
      <c r="L166" s="5" t="n">
        <v>71000</v>
      </c>
      <c r="M166" s="6" t="n">
        <v>91000</v>
      </c>
      <c r="N166" s="5" t="n"/>
      <c r="O166" s="5">
        <f>IF(AND(ISNUMBER(N166),ISNUMBER(M166)),N166-M166,"")</f>
        <v/>
      </c>
      <c r="P166" s="7">
        <f>IF(AND(ISNUMBER(N166),ISNUMBER(M166),M166&gt;0),(N166-M166)/M166,"")</f>
        <v/>
      </c>
      <c r="Q166" s="3">
        <f>IF(P166="","",IF(P166&lt;-0.02,"🔴 Bán phá giá sàn",IF(P166&gt;0.05,"🔵 Bán cao hơn","🟢 Đúng giá sàn TMĐT")))</f>
        <v/>
      </c>
      <c r="R166" s="3" t="n"/>
      <c r="S166" s="4" t="n"/>
      <c r="T166" s="4" t="n"/>
    </row>
    <row r="167">
      <c r="A167" s="3" t="n">
        <v>166</v>
      </c>
      <c r="B167" s="3" t="inlineStr">
        <is>
          <t>DL001</t>
        </is>
      </c>
      <c r="C167" s="4" t="inlineStr">
        <is>
          <t>Điện nước Nhật (Shop) HCM</t>
        </is>
      </c>
      <c r="D167" s="3" t="inlineStr">
        <is>
          <t>HCM</t>
        </is>
      </c>
      <c r="E167" s="3" t="inlineStr">
        <is>
          <t>BẢO TRÂM</t>
        </is>
      </c>
      <c r="F167" s="3" t="inlineStr">
        <is>
          <t>Shopee</t>
        </is>
      </c>
      <c r="G16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7" s="3" t="inlineStr">
        <is>
          <t>KBK-21</t>
        </is>
      </c>
      <c r="I167" s="4" t="inlineStr">
        <is>
          <t>Mũi khoan đá KBK-21</t>
        </is>
      </c>
      <c r="J167" s="3" t="inlineStr">
        <is>
          <t>Cái</t>
        </is>
      </c>
      <c r="K167" s="5" t="n">
        <v>64000</v>
      </c>
      <c r="L167" s="5" t="n">
        <v>79000</v>
      </c>
      <c r="M167" s="6" t="n">
        <v>102000</v>
      </c>
      <c r="N167" s="5" t="n"/>
      <c r="O167" s="5">
        <f>IF(AND(ISNUMBER(N167),ISNUMBER(M167)),N167-M167,"")</f>
        <v/>
      </c>
      <c r="P167" s="7">
        <f>IF(AND(ISNUMBER(N167),ISNUMBER(M167),M167&gt;0),(N167-M167)/M167,"")</f>
        <v/>
      </c>
      <c r="Q167" s="3">
        <f>IF(P167="","",IF(P167&lt;-0.02,"🔴 Bán phá giá sàn",IF(P167&gt;0.05,"🔵 Bán cao hơn","🟢 Đúng giá sàn TMĐT")))</f>
        <v/>
      </c>
      <c r="R167" s="3" t="n"/>
      <c r="S167" s="4" t="n"/>
      <c r="T167" s="4" t="n"/>
    </row>
    <row r="168">
      <c r="A168" s="3" t="n">
        <v>167</v>
      </c>
      <c r="B168" s="3" t="inlineStr">
        <is>
          <t>DL001</t>
        </is>
      </c>
      <c r="C168" s="4" t="inlineStr">
        <is>
          <t>Điện nước Nhật (Shop) HCM</t>
        </is>
      </c>
      <c r="D168" s="3" t="inlineStr">
        <is>
          <t>HCM</t>
        </is>
      </c>
      <c r="E168" s="3" t="inlineStr">
        <is>
          <t>BẢO TRÂM</t>
        </is>
      </c>
      <c r="F168" s="3" t="inlineStr">
        <is>
          <t>Shopee</t>
        </is>
      </c>
      <c r="G16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8" s="3" t="inlineStr">
        <is>
          <t>KBK-25</t>
        </is>
      </c>
      <c r="I168" s="4" t="inlineStr">
        <is>
          <t>Mũi khoan đá KBK-25</t>
        </is>
      </c>
      <c r="J168" s="3" t="inlineStr">
        <is>
          <t>Cái</t>
        </is>
      </c>
      <c r="K168" s="5" t="n">
        <v>77000</v>
      </c>
      <c r="L168" s="5" t="n">
        <v>95000</v>
      </c>
      <c r="M168" s="6" t="n">
        <v>123000</v>
      </c>
      <c r="N168" s="5" t="n"/>
      <c r="O168" s="5">
        <f>IF(AND(ISNUMBER(N168),ISNUMBER(M168)),N168-M168,"")</f>
        <v/>
      </c>
      <c r="P168" s="7">
        <f>IF(AND(ISNUMBER(N168),ISNUMBER(M168),M168&gt;0),(N168-M168)/M168,"")</f>
        <v/>
      </c>
      <c r="Q168" s="3">
        <f>IF(P168="","",IF(P168&lt;-0.02,"🔴 Bán phá giá sàn",IF(P168&gt;0.05,"🔵 Bán cao hơn","🟢 Đúng giá sàn TMĐT")))</f>
        <v/>
      </c>
      <c r="R168" s="3" t="n"/>
      <c r="S168" s="4" t="n"/>
      <c r="T168" s="4" t="n"/>
    </row>
    <row r="169">
      <c r="A169" s="3" t="n">
        <v>168</v>
      </c>
      <c r="B169" s="3" t="inlineStr">
        <is>
          <t>DL001</t>
        </is>
      </c>
      <c r="C169" s="4" t="inlineStr">
        <is>
          <t>Điện nước Nhật (Shop) HCM</t>
        </is>
      </c>
      <c r="D169" s="3" t="inlineStr">
        <is>
          <t>HCM</t>
        </is>
      </c>
      <c r="E169" s="3" t="inlineStr">
        <is>
          <t>BẢO TRÂM</t>
        </is>
      </c>
      <c r="F169" s="3" t="inlineStr">
        <is>
          <t>Shopee</t>
        </is>
      </c>
      <c r="G16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69" s="3" t="inlineStr">
        <is>
          <t>KBK-27</t>
        </is>
      </c>
      <c r="I169" s="4" t="inlineStr">
        <is>
          <t>Mũi khoan đá KBK-27</t>
        </is>
      </c>
      <c r="J169" s="3" t="inlineStr">
        <is>
          <t>Cái</t>
        </is>
      </c>
      <c r="K169" s="5" t="n">
        <v>84000</v>
      </c>
      <c r="L169" s="5" t="n">
        <v>104000</v>
      </c>
      <c r="M169" s="6" t="n">
        <v>134000</v>
      </c>
      <c r="N169" s="5" t="n"/>
      <c r="O169" s="5">
        <f>IF(AND(ISNUMBER(N169),ISNUMBER(M169)),N169-M169,"")</f>
        <v/>
      </c>
      <c r="P169" s="7">
        <f>IF(AND(ISNUMBER(N169),ISNUMBER(M169),M169&gt;0),(N169-M169)/M169,"")</f>
        <v/>
      </c>
      <c r="Q169" s="3">
        <f>IF(P169="","",IF(P169&lt;-0.02,"🔴 Bán phá giá sàn",IF(P169&gt;0.05,"🔵 Bán cao hơn","🟢 Đúng giá sàn TMĐT")))</f>
        <v/>
      </c>
      <c r="R169" s="3" t="n"/>
      <c r="S169" s="4" t="n"/>
      <c r="T169" s="4" t="n"/>
    </row>
    <row r="170">
      <c r="A170" s="3" t="n">
        <v>169</v>
      </c>
      <c r="B170" s="3" t="inlineStr">
        <is>
          <t>DL001</t>
        </is>
      </c>
      <c r="C170" s="4" t="inlineStr">
        <is>
          <t>Điện nước Nhật (Shop) HCM</t>
        </is>
      </c>
      <c r="D170" s="3" t="inlineStr">
        <is>
          <t>HCM</t>
        </is>
      </c>
      <c r="E170" s="3" t="inlineStr">
        <is>
          <t>BẢO TRÂM</t>
        </is>
      </c>
      <c r="F170" s="3" t="inlineStr">
        <is>
          <t>Shopee</t>
        </is>
      </c>
      <c r="G17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0" s="3" t="inlineStr">
        <is>
          <t>KBK-30</t>
        </is>
      </c>
      <c r="I170" s="4" t="inlineStr">
        <is>
          <t>Mũi khoan đá KBK-30</t>
        </is>
      </c>
      <c r="J170" s="3" t="inlineStr">
        <is>
          <t>Cái</t>
        </is>
      </c>
      <c r="K170" s="5" t="n">
        <v>91000</v>
      </c>
      <c r="L170" s="5" t="n">
        <v>113000</v>
      </c>
      <c r="M170" s="6" t="n">
        <v>146000</v>
      </c>
      <c r="N170" s="5" t="n"/>
      <c r="O170" s="5">
        <f>IF(AND(ISNUMBER(N170),ISNUMBER(M170)),N170-M170,"")</f>
        <v/>
      </c>
      <c r="P170" s="7">
        <f>IF(AND(ISNUMBER(N170),ISNUMBER(M170),M170&gt;0),(N170-M170)/M170,"")</f>
        <v/>
      </c>
      <c r="Q170" s="3">
        <f>IF(P170="","",IF(P170&lt;-0.02,"🔴 Bán phá giá sàn",IF(P170&gt;0.05,"🔵 Bán cao hơn","🟢 Đúng giá sàn TMĐT")))</f>
        <v/>
      </c>
      <c r="R170" s="3" t="n"/>
      <c r="S170" s="4" t="n"/>
      <c r="T170" s="4" t="n"/>
    </row>
    <row r="171">
      <c r="A171" s="3" t="n">
        <v>170</v>
      </c>
      <c r="B171" s="3" t="inlineStr">
        <is>
          <t>DL001</t>
        </is>
      </c>
      <c r="C171" s="4" t="inlineStr">
        <is>
          <t>Điện nước Nhật (Shop) HCM</t>
        </is>
      </c>
      <c r="D171" s="3" t="inlineStr">
        <is>
          <t>HCM</t>
        </is>
      </c>
      <c r="E171" s="3" t="inlineStr">
        <is>
          <t>BẢO TRÂM</t>
        </is>
      </c>
      <c r="F171" s="3" t="inlineStr">
        <is>
          <t>Shopee</t>
        </is>
      </c>
      <c r="G17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1" s="3" t="inlineStr">
        <is>
          <t>KBK-32</t>
        </is>
      </c>
      <c r="I171" s="4" t="inlineStr">
        <is>
          <t>Mũi khoan đá KBK-32</t>
        </is>
      </c>
      <c r="J171" s="3" t="inlineStr">
        <is>
          <t>Cái</t>
        </is>
      </c>
      <c r="K171" s="5" t="n">
        <v>96000</v>
      </c>
      <c r="L171" s="5" t="n">
        <v>119000</v>
      </c>
      <c r="M171" s="6" t="n">
        <v>154000</v>
      </c>
      <c r="N171" s="5" t="n"/>
      <c r="O171" s="5">
        <f>IF(AND(ISNUMBER(N171),ISNUMBER(M171)),N171-M171,"")</f>
        <v/>
      </c>
      <c r="P171" s="7">
        <f>IF(AND(ISNUMBER(N171),ISNUMBER(M171),M171&gt;0),(N171-M171)/M171,"")</f>
        <v/>
      </c>
      <c r="Q171" s="3">
        <f>IF(P171="","",IF(P171&lt;-0.02,"🔴 Bán phá giá sàn",IF(P171&gt;0.05,"🔵 Bán cao hơn","🟢 Đúng giá sàn TMĐT")))</f>
        <v/>
      </c>
      <c r="R171" s="3" t="n"/>
      <c r="S171" s="4" t="n"/>
      <c r="T171" s="4" t="n"/>
    </row>
    <row r="172">
      <c r="A172" s="3" t="n">
        <v>171</v>
      </c>
      <c r="B172" s="3" t="inlineStr">
        <is>
          <t>DL001</t>
        </is>
      </c>
      <c r="C172" s="4" t="inlineStr">
        <is>
          <t>Điện nước Nhật (Shop) HCM</t>
        </is>
      </c>
      <c r="D172" s="3" t="inlineStr">
        <is>
          <t>HCM</t>
        </is>
      </c>
      <c r="E172" s="3" t="inlineStr">
        <is>
          <t>BẢO TRÂM</t>
        </is>
      </c>
      <c r="F172" s="3" t="inlineStr">
        <is>
          <t>Shopee</t>
        </is>
      </c>
      <c r="G17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2" s="3" t="inlineStr">
        <is>
          <t>KBK-35</t>
        </is>
      </c>
      <c r="I172" s="4" t="inlineStr">
        <is>
          <t>Mũi khoan đá KBK-35</t>
        </is>
      </c>
      <c r="J172" s="3" t="inlineStr">
        <is>
          <t>Cái</t>
        </is>
      </c>
      <c r="K172" s="5" t="n">
        <v>104000</v>
      </c>
      <c r="L172" s="5" t="n">
        <v>129000</v>
      </c>
      <c r="M172" s="6" t="n">
        <v>166000</v>
      </c>
      <c r="N172" s="5" t="n"/>
      <c r="O172" s="5">
        <f>IF(AND(ISNUMBER(N172),ISNUMBER(M172)),N172-M172,"")</f>
        <v/>
      </c>
      <c r="P172" s="7">
        <f>IF(AND(ISNUMBER(N172),ISNUMBER(M172),M172&gt;0),(N172-M172)/M172,"")</f>
        <v/>
      </c>
      <c r="Q172" s="3">
        <f>IF(P172="","",IF(P172&lt;-0.02,"🔴 Bán phá giá sàn",IF(P172&gt;0.05,"🔵 Bán cao hơn","🟢 Đúng giá sàn TMĐT")))</f>
        <v/>
      </c>
      <c r="R172" s="3" t="n"/>
      <c r="S172" s="4" t="n"/>
      <c r="T172" s="4" t="n"/>
    </row>
    <row r="173">
      <c r="A173" s="3" t="n">
        <v>172</v>
      </c>
      <c r="B173" s="3" t="inlineStr">
        <is>
          <t>DL001</t>
        </is>
      </c>
      <c r="C173" s="4" t="inlineStr">
        <is>
          <t>Điện nước Nhật (Shop) HCM</t>
        </is>
      </c>
      <c r="D173" s="3" t="inlineStr">
        <is>
          <t>HCM</t>
        </is>
      </c>
      <c r="E173" s="3" t="inlineStr">
        <is>
          <t>BẢO TRÂM</t>
        </is>
      </c>
      <c r="F173" s="3" t="inlineStr">
        <is>
          <t>Shopee</t>
        </is>
      </c>
      <c r="G17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3" s="3" t="inlineStr">
        <is>
          <t>KBH2E-06150</t>
        </is>
      </c>
      <c r="I173" s="4" t="inlineStr">
        <is>
          <t>Mũi khoan ĐN lục giác 2 cạnh KBH2E-06*150</t>
        </is>
      </c>
      <c r="J173" s="3" t="inlineStr">
        <is>
          <t>Cái</t>
        </is>
      </c>
      <c r="K173" s="5" t="n">
        <v>31000</v>
      </c>
      <c r="L173" s="5" t="n">
        <v>39000</v>
      </c>
      <c r="M173" s="6" t="n">
        <v>50000</v>
      </c>
      <c r="N173" s="5" t="n"/>
      <c r="O173" s="5">
        <f>IF(AND(ISNUMBER(N173),ISNUMBER(M173)),N173-M173,"")</f>
        <v/>
      </c>
      <c r="P173" s="7">
        <f>IF(AND(ISNUMBER(N173),ISNUMBER(M173),M173&gt;0),(N173-M173)/M173,"")</f>
        <v/>
      </c>
      <c r="Q173" s="3">
        <f>IF(P173="","",IF(P173&lt;-0.02,"🔴 Bán phá giá sàn",IF(P173&gt;0.05,"🔵 Bán cao hơn","🟢 Đúng giá sàn TMĐT")))</f>
        <v/>
      </c>
      <c r="R173" s="3" t="n"/>
      <c r="S173" s="4" t="n"/>
      <c r="T173" s="4" t="n"/>
    </row>
    <row r="174">
      <c r="A174" s="3" t="n">
        <v>173</v>
      </c>
      <c r="B174" s="3" t="inlineStr">
        <is>
          <t>DL001</t>
        </is>
      </c>
      <c r="C174" s="4" t="inlineStr">
        <is>
          <t>Điện nước Nhật (Shop) HCM</t>
        </is>
      </c>
      <c r="D174" s="3" t="inlineStr">
        <is>
          <t>HCM</t>
        </is>
      </c>
      <c r="E174" s="3" t="inlineStr">
        <is>
          <t>BẢO TRÂM</t>
        </is>
      </c>
      <c r="F174" s="3" t="inlineStr">
        <is>
          <t>Shopee</t>
        </is>
      </c>
      <c r="G17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4" s="3" t="inlineStr">
        <is>
          <t>KBH2F-0395</t>
        </is>
      </c>
      <c r="I174" s="4" t="inlineStr">
        <is>
          <t>Mũi khoan ĐN lục giác 2 cạnh KBH2F-03*95</t>
        </is>
      </c>
      <c r="J174" s="3" t="inlineStr">
        <is>
          <t>Cái</t>
        </is>
      </c>
      <c r="K174" s="5" t="n">
        <v>26000</v>
      </c>
      <c r="L174" s="5" t="n">
        <v>32000</v>
      </c>
      <c r="M174" s="6" t="n">
        <v>42000</v>
      </c>
      <c r="N174" s="5" t="n"/>
      <c r="O174" s="5">
        <f>IF(AND(ISNUMBER(N174),ISNUMBER(M174)),N174-M174,"")</f>
        <v/>
      </c>
      <c r="P174" s="7">
        <f>IF(AND(ISNUMBER(N174),ISNUMBER(M174),M174&gt;0),(N174-M174)/M174,"")</f>
        <v/>
      </c>
      <c r="Q174" s="3">
        <f>IF(P174="","",IF(P174&lt;-0.02,"🔴 Bán phá giá sàn",IF(P174&gt;0.05,"🔵 Bán cao hơn","🟢 Đúng giá sàn TMĐT")))</f>
        <v/>
      </c>
      <c r="R174" s="3" t="n"/>
      <c r="S174" s="4" t="n"/>
      <c r="T174" s="4" t="n"/>
    </row>
    <row r="175">
      <c r="A175" s="3" t="n">
        <v>174</v>
      </c>
      <c r="B175" s="3" t="inlineStr">
        <is>
          <t>DL001</t>
        </is>
      </c>
      <c r="C175" s="4" t="inlineStr">
        <is>
          <t>Điện nước Nhật (Shop) HCM</t>
        </is>
      </c>
      <c r="D175" s="3" t="inlineStr">
        <is>
          <t>HCM</t>
        </is>
      </c>
      <c r="E175" s="3" t="inlineStr">
        <is>
          <t>BẢO TRÂM</t>
        </is>
      </c>
      <c r="F175" s="3" t="inlineStr">
        <is>
          <t>Shopee</t>
        </is>
      </c>
      <c r="G17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5" s="3" t="inlineStr">
        <is>
          <t>KBH2F-0495</t>
        </is>
      </c>
      <c r="I175" s="4" t="inlineStr">
        <is>
          <t>Mũi khoan ĐN lục giác 2 cạnh KBH2F-04*95</t>
        </is>
      </c>
      <c r="J175" s="3" t="inlineStr">
        <is>
          <t>Cái</t>
        </is>
      </c>
      <c r="K175" s="5" t="n">
        <v>26000</v>
      </c>
      <c r="L175" s="5" t="n">
        <v>32000</v>
      </c>
      <c r="M175" s="6" t="n">
        <v>42000</v>
      </c>
      <c r="N175" s="5" t="n"/>
      <c r="O175" s="5">
        <f>IF(AND(ISNUMBER(N175),ISNUMBER(M175)),N175-M175,"")</f>
        <v/>
      </c>
      <c r="P175" s="7">
        <f>IF(AND(ISNUMBER(N175),ISNUMBER(M175),M175&gt;0),(N175-M175)/M175,"")</f>
        <v/>
      </c>
      <c r="Q175" s="3">
        <f>IF(P175="","",IF(P175&lt;-0.02,"🔴 Bán phá giá sàn",IF(P175&gt;0.05,"🔵 Bán cao hơn","🟢 Đúng giá sàn TMĐT")))</f>
        <v/>
      </c>
      <c r="R175" s="3" t="n"/>
      <c r="S175" s="4" t="n"/>
      <c r="T175" s="4" t="n"/>
    </row>
    <row r="176">
      <c r="A176" s="3" t="n">
        <v>175</v>
      </c>
      <c r="B176" s="3" t="inlineStr">
        <is>
          <t>DL001</t>
        </is>
      </c>
      <c r="C176" s="4" t="inlineStr">
        <is>
          <t>Điện nước Nhật (Shop) HCM</t>
        </is>
      </c>
      <c r="D176" s="3" t="inlineStr">
        <is>
          <t>HCM</t>
        </is>
      </c>
      <c r="E176" s="3" t="inlineStr">
        <is>
          <t>BẢO TRÂM</t>
        </is>
      </c>
      <c r="F176" s="3" t="inlineStr">
        <is>
          <t>Shopee</t>
        </is>
      </c>
      <c r="G17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6" s="3" t="inlineStr">
        <is>
          <t>KBH2F-0595</t>
        </is>
      </c>
      <c r="I176" s="4" t="inlineStr">
        <is>
          <t>Mũi khoan ĐN lục giác 2 cạnh KBH2F-05*95</t>
        </is>
      </c>
      <c r="J176" s="3" t="inlineStr">
        <is>
          <t>Cái</t>
        </is>
      </c>
      <c r="K176" s="5" t="n">
        <v>26000</v>
      </c>
      <c r="L176" s="5" t="n">
        <v>32000</v>
      </c>
      <c r="M176" s="6" t="n">
        <v>42000</v>
      </c>
      <c r="N176" s="5" t="n"/>
      <c r="O176" s="5">
        <f>IF(AND(ISNUMBER(N176),ISNUMBER(M176)),N176-M176,"")</f>
        <v/>
      </c>
      <c r="P176" s="7">
        <f>IF(AND(ISNUMBER(N176),ISNUMBER(M176),M176&gt;0),(N176-M176)/M176,"")</f>
        <v/>
      </c>
      <c r="Q176" s="3">
        <f>IF(P176="","",IF(P176&lt;-0.02,"🔴 Bán phá giá sàn",IF(P176&gt;0.05,"🔵 Bán cao hơn","🟢 Đúng giá sàn TMĐT")))</f>
        <v/>
      </c>
      <c r="R176" s="3" t="n"/>
      <c r="S176" s="4" t="n"/>
      <c r="T176" s="4" t="n"/>
    </row>
    <row r="177">
      <c r="A177" s="3" t="n">
        <v>176</v>
      </c>
      <c r="B177" s="3" t="inlineStr">
        <is>
          <t>DL001</t>
        </is>
      </c>
      <c r="C177" s="4" t="inlineStr">
        <is>
          <t>Điện nước Nhật (Shop) HCM</t>
        </is>
      </c>
      <c r="D177" s="3" t="inlineStr">
        <is>
          <t>HCM</t>
        </is>
      </c>
      <c r="E177" s="3" t="inlineStr">
        <is>
          <t>BẢO TRÂM</t>
        </is>
      </c>
      <c r="F177" s="3" t="inlineStr">
        <is>
          <t>Shopee</t>
        </is>
      </c>
      <c r="G17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7" s="3" t="inlineStr">
        <is>
          <t>KBH2F-0695</t>
        </is>
      </c>
      <c r="I177" s="4" t="inlineStr">
        <is>
          <t>Mũi khoan ĐN lục giác 2 cạnh KBH2F-06*95</t>
        </is>
      </c>
      <c r="J177" s="3" t="inlineStr">
        <is>
          <t>Cái</t>
        </is>
      </c>
      <c r="K177" s="5" t="n">
        <v>26000</v>
      </c>
      <c r="L177" s="5" t="n">
        <v>32000</v>
      </c>
      <c r="M177" s="6" t="n">
        <v>42000</v>
      </c>
      <c r="N177" s="5" t="n"/>
      <c r="O177" s="5">
        <f>IF(AND(ISNUMBER(N177),ISNUMBER(M177)),N177-M177,"")</f>
        <v/>
      </c>
      <c r="P177" s="7">
        <f>IF(AND(ISNUMBER(N177),ISNUMBER(M177),M177&gt;0),(N177-M177)/M177,"")</f>
        <v/>
      </c>
      <c r="Q177" s="3">
        <f>IF(P177="","",IF(P177&lt;-0.02,"🔴 Bán phá giá sàn",IF(P177&gt;0.05,"🔵 Bán cao hơn","🟢 Đúng giá sàn TMĐT")))</f>
        <v/>
      </c>
      <c r="R177" s="3" t="n"/>
      <c r="S177" s="4" t="n"/>
      <c r="T177" s="4" t="n"/>
    </row>
    <row r="178">
      <c r="A178" s="3" t="n">
        <v>177</v>
      </c>
      <c r="B178" s="3" t="inlineStr">
        <is>
          <t>DL001</t>
        </is>
      </c>
      <c r="C178" s="4" t="inlineStr">
        <is>
          <t>Điện nước Nhật (Shop) HCM</t>
        </is>
      </c>
      <c r="D178" s="3" t="inlineStr">
        <is>
          <t>HCM</t>
        </is>
      </c>
      <c r="E178" s="3" t="inlineStr">
        <is>
          <t>BẢO TRÂM</t>
        </is>
      </c>
      <c r="F178" s="3" t="inlineStr">
        <is>
          <t>Shopee</t>
        </is>
      </c>
      <c r="G17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8" s="3" t="inlineStr">
        <is>
          <t>KBH2F-0895</t>
        </is>
      </c>
      <c r="I178" s="4" t="inlineStr">
        <is>
          <t>Mũi khoan ĐN lục giác 2 cạnh KBH2F-08*95</t>
        </is>
      </c>
      <c r="J178" s="3" t="inlineStr">
        <is>
          <t>Cái</t>
        </is>
      </c>
      <c r="K178" s="5" t="n">
        <v>33000</v>
      </c>
      <c r="L178" s="5" t="n">
        <v>41000</v>
      </c>
      <c r="M178" s="6" t="n">
        <v>53000</v>
      </c>
      <c r="N178" s="5" t="n"/>
      <c r="O178" s="5">
        <f>IF(AND(ISNUMBER(N178),ISNUMBER(M178)),N178-M178,"")</f>
        <v/>
      </c>
      <c r="P178" s="7">
        <f>IF(AND(ISNUMBER(N178),ISNUMBER(M178),M178&gt;0),(N178-M178)/M178,"")</f>
        <v/>
      </c>
      <c r="Q178" s="3">
        <f>IF(P178="","",IF(P178&lt;-0.02,"🔴 Bán phá giá sàn",IF(P178&gt;0.05,"🔵 Bán cao hơn","🟢 Đúng giá sàn TMĐT")))</f>
        <v/>
      </c>
      <c r="R178" s="3" t="n"/>
      <c r="S178" s="4" t="n"/>
      <c r="T178" s="4" t="n"/>
    </row>
    <row r="179">
      <c r="A179" s="3" t="n">
        <v>178</v>
      </c>
      <c r="B179" s="3" t="inlineStr">
        <is>
          <t>DL001</t>
        </is>
      </c>
      <c r="C179" s="4" t="inlineStr">
        <is>
          <t>Điện nước Nhật (Shop) HCM</t>
        </is>
      </c>
      <c r="D179" s="3" t="inlineStr">
        <is>
          <t>HCM</t>
        </is>
      </c>
      <c r="E179" s="3" t="inlineStr">
        <is>
          <t>BẢO TRÂM</t>
        </is>
      </c>
      <c r="F179" s="3" t="inlineStr">
        <is>
          <t>Shopee</t>
        </is>
      </c>
      <c r="G17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79" s="3" t="inlineStr">
        <is>
          <t>KBH4S-08117</t>
        </is>
      </c>
      <c r="I179" s="4" t="inlineStr">
        <is>
          <t>Mũi khoan ĐN lục giác 4 cạnh KBH4S-08*117</t>
        </is>
      </c>
      <c r="J179" s="3" t="inlineStr">
        <is>
          <t>Cái</t>
        </is>
      </c>
      <c r="K179" s="5" t="n">
        <v>32000</v>
      </c>
      <c r="L179" s="5" t="n">
        <v>40000</v>
      </c>
      <c r="M179" s="6" t="n">
        <v>51000</v>
      </c>
      <c r="N179" s="5" t="n"/>
      <c r="O179" s="5">
        <f>IF(AND(ISNUMBER(N179),ISNUMBER(M179)),N179-M179,"")</f>
        <v/>
      </c>
      <c r="P179" s="7">
        <f>IF(AND(ISNUMBER(N179),ISNUMBER(M179),M179&gt;0),(N179-M179)/M179,"")</f>
        <v/>
      </c>
      <c r="Q179" s="3">
        <f>IF(P179="","",IF(P179&lt;-0.02,"🔴 Bán phá giá sàn",IF(P179&gt;0.05,"🔵 Bán cao hơn","🟢 Đúng giá sàn TMĐT")))</f>
        <v/>
      </c>
      <c r="R179" s="3" t="n"/>
      <c r="S179" s="4" t="n"/>
      <c r="T179" s="4" t="n"/>
    </row>
    <row r="180">
      <c r="A180" s="3" t="n">
        <v>179</v>
      </c>
      <c r="B180" s="3" t="inlineStr">
        <is>
          <t>DL001</t>
        </is>
      </c>
      <c r="C180" s="4" t="inlineStr">
        <is>
          <t>Điện nước Nhật (Shop) HCM</t>
        </is>
      </c>
      <c r="D180" s="3" t="inlineStr">
        <is>
          <t>HCM</t>
        </is>
      </c>
      <c r="E180" s="3" t="inlineStr">
        <is>
          <t>BẢO TRÂM</t>
        </is>
      </c>
      <c r="F180" s="3" t="inlineStr">
        <is>
          <t>Shopee</t>
        </is>
      </c>
      <c r="G18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0" s="3" t="inlineStr">
        <is>
          <t>KBH4S-10123</t>
        </is>
      </c>
      <c r="I180" s="4" t="inlineStr">
        <is>
          <t>Mũi khoan ĐN lục giác 4 cạnh KBH4S-10*123</t>
        </is>
      </c>
      <c r="J180" s="3" t="inlineStr">
        <is>
          <t>Cái</t>
        </is>
      </c>
      <c r="K180" s="5" t="n">
        <v>40000</v>
      </c>
      <c r="L180" s="5" t="n">
        <v>50000</v>
      </c>
      <c r="M180" s="6" t="n">
        <v>64000</v>
      </c>
      <c r="N180" s="5" t="n"/>
      <c r="O180" s="5">
        <f>IF(AND(ISNUMBER(N180),ISNUMBER(M180)),N180-M180,"")</f>
        <v/>
      </c>
      <c r="P180" s="7">
        <f>IF(AND(ISNUMBER(N180),ISNUMBER(M180),M180&gt;0),(N180-M180)/M180,"")</f>
        <v/>
      </c>
      <c r="Q180" s="3">
        <f>IF(P180="","",IF(P180&lt;-0.02,"🔴 Bán phá giá sàn",IF(P180&gt;0.05,"🔵 Bán cao hơn","🟢 Đúng giá sàn TMĐT")))</f>
        <v/>
      </c>
      <c r="R180" s="3" t="n"/>
      <c r="S180" s="4" t="n"/>
      <c r="T180" s="4" t="n"/>
    </row>
    <row r="181">
      <c r="A181" s="3" t="n">
        <v>180</v>
      </c>
      <c r="B181" s="3" t="inlineStr">
        <is>
          <t>DL001</t>
        </is>
      </c>
      <c r="C181" s="4" t="inlineStr">
        <is>
          <t>Điện nước Nhật (Shop) HCM</t>
        </is>
      </c>
      <c r="D181" s="3" t="inlineStr">
        <is>
          <t>HCM</t>
        </is>
      </c>
      <c r="E181" s="3" t="inlineStr">
        <is>
          <t>BẢO TRÂM</t>
        </is>
      </c>
      <c r="F181" s="3" t="inlineStr">
        <is>
          <t>Shopee</t>
        </is>
      </c>
      <c r="G18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1" s="3" t="inlineStr">
        <is>
          <t>KBH4S-12123</t>
        </is>
      </c>
      <c r="I181" s="4" t="inlineStr">
        <is>
          <t>Mũi khoan ĐN lục giác 4 cạnh KBH4S-12*123</t>
        </is>
      </c>
      <c r="J181" s="3" t="inlineStr">
        <is>
          <t>Cái</t>
        </is>
      </c>
      <c r="K181" s="5" t="n">
        <v>48000</v>
      </c>
      <c r="L181" s="5" t="n">
        <v>60000</v>
      </c>
      <c r="M181" s="6" t="n">
        <v>77000</v>
      </c>
      <c r="N181" s="5" t="n"/>
      <c r="O181" s="5">
        <f>IF(AND(ISNUMBER(N181),ISNUMBER(M181)),N181-M181,"")</f>
        <v/>
      </c>
      <c r="P181" s="7">
        <f>IF(AND(ISNUMBER(N181),ISNUMBER(M181),M181&gt;0),(N181-M181)/M181,"")</f>
        <v/>
      </c>
      <c r="Q181" s="3">
        <f>IF(P181="","",IF(P181&lt;-0.02,"🔴 Bán phá giá sàn",IF(P181&gt;0.05,"🔵 Bán cao hơn","🟢 Đúng giá sàn TMĐT")))</f>
        <v/>
      </c>
      <c r="R181" s="3" t="n"/>
      <c r="S181" s="4" t="n"/>
      <c r="T181" s="4" t="n"/>
    </row>
    <row r="182">
      <c r="A182" s="3" t="n">
        <v>181</v>
      </c>
      <c r="B182" s="3" t="inlineStr">
        <is>
          <t>DL001</t>
        </is>
      </c>
      <c r="C182" s="4" t="inlineStr">
        <is>
          <t>Điện nước Nhật (Shop) HCM</t>
        </is>
      </c>
      <c r="D182" s="3" t="inlineStr">
        <is>
          <t>HCM</t>
        </is>
      </c>
      <c r="E182" s="3" t="inlineStr">
        <is>
          <t>BẢO TRÂM</t>
        </is>
      </c>
      <c r="F182" s="3" t="inlineStr">
        <is>
          <t>Shopee</t>
        </is>
      </c>
      <c r="G18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2" s="3" t="inlineStr">
        <is>
          <t>KBH4S-3.592</t>
        </is>
      </c>
      <c r="I182" s="4" t="inlineStr">
        <is>
          <t>Mũi khoan ĐN lục giác 4 cạnh KBH4S-3.5*92</t>
        </is>
      </c>
      <c r="J182" s="3" t="inlineStr">
        <is>
          <t>Cái</t>
        </is>
      </c>
      <c r="K182" s="5" t="n">
        <v>23000</v>
      </c>
      <c r="L182" s="5" t="n">
        <v>29000</v>
      </c>
      <c r="M182" s="6" t="n">
        <v>37000</v>
      </c>
      <c r="N182" s="5" t="n"/>
      <c r="O182" s="5">
        <f>IF(AND(ISNUMBER(N182),ISNUMBER(M182)),N182-M182,"")</f>
        <v/>
      </c>
      <c r="P182" s="7">
        <f>IF(AND(ISNUMBER(N182),ISNUMBER(M182),M182&gt;0),(N182-M182)/M182,"")</f>
        <v/>
      </c>
      <c r="Q182" s="3">
        <f>IF(P182="","",IF(P182&lt;-0.02,"🔴 Bán phá giá sàn",IF(P182&gt;0.05,"🔵 Bán cao hơn","🟢 Đúng giá sàn TMĐT")))</f>
        <v/>
      </c>
      <c r="R182" s="3" t="n"/>
      <c r="S182" s="4" t="n"/>
      <c r="T182" s="4" t="n"/>
    </row>
    <row r="183">
      <c r="A183" s="3" t="n">
        <v>182</v>
      </c>
      <c r="B183" s="3" t="inlineStr">
        <is>
          <t>DL001</t>
        </is>
      </c>
      <c r="C183" s="4" t="inlineStr">
        <is>
          <t>Điện nước Nhật (Shop) HCM</t>
        </is>
      </c>
      <c r="D183" s="3" t="inlineStr">
        <is>
          <t>HCM</t>
        </is>
      </c>
      <c r="E183" s="3" t="inlineStr">
        <is>
          <t>BẢO TRÂM</t>
        </is>
      </c>
      <c r="F183" s="3" t="inlineStr">
        <is>
          <t>Shopee</t>
        </is>
      </c>
      <c r="G18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3" s="3" t="inlineStr">
        <is>
          <t>KBX1-08200</t>
        </is>
      </c>
      <c r="I183" s="4" t="inlineStr">
        <is>
          <t>Mũi khoan gỗ chuôi lục KBX1-08*200</t>
        </is>
      </c>
      <c r="J183" s="3" t="inlineStr">
        <is>
          <t>Cái</t>
        </is>
      </c>
      <c r="K183" s="5" t="n">
        <v>39000</v>
      </c>
      <c r="L183" s="5" t="n">
        <v>48000</v>
      </c>
      <c r="M183" s="6" t="n">
        <v>62000</v>
      </c>
      <c r="N183" s="5" t="n"/>
      <c r="O183" s="5">
        <f>IF(AND(ISNUMBER(N183),ISNUMBER(M183)),N183-M183,"")</f>
        <v/>
      </c>
      <c r="P183" s="7">
        <f>IF(AND(ISNUMBER(N183),ISNUMBER(M183),M183&gt;0),(N183-M183)/M183,"")</f>
        <v/>
      </c>
      <c r="Q183" s="3">
        <f>IF(P183="","",IF(P183&lt;-0.02,"🔴 Bán phá giá sàn",IF(P183&gt;0.05,"🔵 Bán cao hơn","🟢 Đúng giá sàn TMĐT")))</f>
        <v/>
      </c>
      <c r="R183" s="3" t="n"/>
      <c r="S183" s="4" t="n"/>
      <c r="T183" s="4" t="n"/>
    </row>
    <row r="184">
      <c r="A184" s="3" t="n">
        <v>183</v>
      </c>
      <c r="B184" s="3" t="inlineStr">
        <is>
          <t>DL001</t>
        </is>
      </c>
      <c r="C184" s="4" t="inlineStr">
        <is>
          <t>Điện nước Nhật (Shop) HCM</t>
        </is>
      </c>
      <c r="D184" s="3" t="inlineStr">
        <is>
          <t>HCM</t>
        </is>
      </c>
      <c r="E184" s="3" t="inlineStr">
        <is>
          <t>BẢO TRÂM</t>
        </is>
      </c>
      <c r="F184" s="3" t="inlineStr">
        <is>
          <t>Shopee</t>
        </is>
      </c>
      <c r="G18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4" s="3" t="inlineStr">
        <is>
          <t>KBX1-12200</t>
        </is>
      </c>
      <c r="I184" s="4" t="inlineStr">
        <is>
          <t>Mũi khoan gỗ chuôi lục KBX1-12*200</t>
        </is>
      </c>
      <c r="J184" s="3" t="inlineStr">
        <is>
          <t>Cái</t>
        </is>
      </c>
      <c r="K184" s="5" t="n">
        <v>50000</v>
      </c>
      <c r="L184" s="5" t="n">
        <v>62000</v>
      </c>
      <c r="M184" s="6" t="n">
        <v>80000</v>
      </c>
      <c r="N184" s="5" t="n"/>
      <c r="O184" s="5">
        <f>IF(AND(ISNUMBER(N184),ISNUMBER(M184)),N184-M184,"")</f>
        <v/>
      </c>
      <c r="P184" s="7">
        <f>IF(AND(ISNUMBER(N184),ISNUMBER(M184),M184&gt;0),(N184-M184)/M184,"")</f>
        <v/>
      </c>
      <c r="Q184" s="3">
        <f>IF(P184="","",IF(P184&lt;-0.02,"🔴 Bán phá giá sàn",IF(P184&gt;0.05,"🔵 Bán cao hơn","🟢 Đúng giá sàn TMĐT")))</f>
        <v/>
      </c>
      <c r="R184" s="3" t="n"/>
      <c r="S184" s="4" t="n"/>
      <c r="T184" s="4" t="n"/>
    </row>
    <row r="185">
      <c r="A185" s="3" t="n">
        <v>184</v>
      </c>
      <c r="B185" s="3" t="inlineStr">
        <is>
          <t>DL001</t>
        </is>
      </c>
      <c r="C185" s="4" t="inlineStr">
        <is>
          <t>Điện nước Nhật (Shop) HCM</t>
        </is>
      </c>
      <c r="D185" s="3" t="inlineStr">
        <is>
          <t>HCM</t>
        </is>
      </c>
      <c r="E185" s="3" t="inlineStr">
        <is>
          <t>BẢO TRÂM</t>
        </is>
      </c>
      <c r="F185" s="3" t="inlineStr">
        <is>
          <t>Shopee</t>
        </is>
      </c>
      <c r="G18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5" s="3" t="inlineStr"/>
      <c r="I185" s="4" t="inlineStr">
        <is>
          <t>Mũi khoan tường không tắc kê KBLJ - 03*100</t>
        </is>
      </c>
      <c r="J185" s="3" t="inlineStr">
        <is>
          <t>Cái</t>
        </is>
      </c>
      <c r="K185" s="5" t="n">
        <v>269000</v>
      </c>
      <c r="L185" s="5" t="n">
        <v>317000</v>
      </c>
      <c r="M185" s="6" t="n">
        <v>390000</v>
      </c>
      <c r="N185" s="5" t="n"/>
      <c r="O185" s="5">
        <f>IF(AND(ISNUMBER(N185),ISNUMBER(M185)),N185-M185,"")</f>
        <v/>
      </c>
      <c r="P185" s="7">
        <f>IF(AND(ISNUMBER(N185),ISNUMBER(M185),M185&gt;0),(N185-M185)/M185,"")</f>
        <v/>
      </c>
      <c r="Q185" s="3">
        <f>IF(P185="","",IF(P185&lt;-0.02,"🔴 Bán phá giá sàn",IF(P185&gt;0.05,"🔵 Bán cao hơn","🟢 Đúng giá sàn TMĐT")))</f>
        <v/>
      </c>
      <c r="R185" s="3" t="n"/>
      <c r="S185" s="4" t="n"/>
      <c r="T185" s="4" t="n"/>
    </row>
    <row r="186">
      <c r="A186" s="3" t="n">
        <v>185</v>
      </c>
      <c r="B186" s="3" t="inlineStr">
        <is>
          <t>DL001</t>
        </is>
      </c>
      <c r="C186" s="4" t="inlineStr">
        <is>
          <t>Điện nước Nhật (Shop) HCM</t>
        </is>
      </c>
      <c r="D186" s="3" t="inlineStr">
        <is>
          <t>HCM</t>
        </is>
      </c>
      <c r="E186" s="3" t="inlineStr">
        <is>
          <t>BẢO TRÂM</t>
        </is>
      </c>
      <c r="F186" s="3" t="inlineStr">
        <is>
          <t>Shopee</t>
        </is>
      </c>
      <c r="G18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6" s="3" t="inlineStr"/>
      <c r="I186" s="4" t="inlineStr">
        <is>
          <t>Mũi khoan tường không tắc kê KBLJ - 03.2*100</t>
        </is>
      </c>
      <c r="J186" s="3" t="inlineStr">
        <is>
          <t>Cái</t>
        </is>
      </c>
      <c r="K186" s="5" t="n">
        <v>269000</v>
      </c>
      <c r="L186" s="5" t="n">
        <v>317000</v>
      </c>
      <c r="M186" s="6" t="n">
        <v>390000</v>
      </c>
      <c r="N186" s="5" t="n"/>
      <c r="O186" s="5">
        <f>IF(AND(ISNUMBER(N186),ISNUMBER(M186)),N186-M186,"")</f>
        <v/>
      </c>
      <c r="P186" s="7">
        <f>IF(AND(ISNUMBER(N186),ISNUMBER(M186),M186&gt;0),(N186-M186)/M186,"")</f>
        <v/>
      </c>
      <c r="Q186" s="3">
        <f>IF(P186="","",IF(P186&lt;-0.02,"🔴 Bán phá giá sàn",IF(P186&gt;0.05,"🔵 Bán cao hơn","🟢 Đúng giá sàn TMĐT")))</f>
        <v/>
      </c>
      <c r="R186" s="3" t="n"/>
      <c r="S186" s="4" t="n"/>
      <c r="T186" s="4" t="n"/>
    </row>
    <row r="187">
      <c r="A187" s="3" t="n">
        <v>186</v>
      </c>
      <c r="B187" s="3" t="inlineStr">
        <is>
          <t>DL001</t>
        </is>
      </c>
      <c r="C187" s="4" t="inlineStr">
        <is>
          <t>Điện nước Nhật (Shop) HCM</t>
        </is>
      </c>
      <c r="D187" s="3" t="inlineStr">
        <is>
          <t>HCM</t>
        </is>
      </c>
      <c r="E187" s="3" t="inlineStr">
        <is>
          <t>BẢO TRÂM</t>
        </is>
      </c>
      <c r="F187" s="3" t="inlineStr">
        <is>
          <t>Shopee</t>
        </is>
      </c>
      <c r="G18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7" s="3" t="inlineStr"/>
      <c r="I187" s="4" t="inlineStr">
        <is>
          <t>Mũi khoan tường không tắc kê KBLJ - 03.5*100</t>
        </is>
      </c>
      <c r="J187" s="3" t="inlineStr">
        <is>
          <t>Cái</t>
        </is>
      </c>
      <c r="K187" s="5" t="n">
        <v>269000</v>
      </c>
      <c r="L187" s="5" t="n">
        <v>317000</v>
      </c>
      <c r="M187" s="6" t="n">
        <v>390000</v>
      </c>
      <c r="N187" s="5" t="n"/>
      <c r="O187" s="5">
        <f>IF(AND(ISNUMBER(N187),ISNUMBER(M187)),N187-M187,"")</f>
        <v/>
      </c>
      <c r="P187" s="7">
        <f>IF(AND(ISNUMBER(N187),ISNUMBER(M187),M187&gt;0),(N187-M187)/M187,"")</f>
        <v/>
      </c>
      <c r="Q187" s="3">
        <f>IF(P187="","",IF(P187&lt;-0.02,"🔴 Bán phá giá sàn",IF(P187&gt;0.05,"🔵 Bán cao hơn","🟢 Đúng giá sàn TMĐT")))</f>
        <v/>
      </c>
      <c r="R187" s="3" t="n"/>
      <c r="S187" s="4" t="n"/>
      <c r="T187" s="4" t="n"/>
    </row>
    <row r="188">
      <c r="A188" s="3" t="n">
        <v>187</v>
      </c>
      <c r="B188" s="3" t="inlineStr">
        <is>
          <t>DL001</t>
        </is>
      </c>
      <c r="C188" s="4" t="inlineStr">
        <is>
          <t>Điện nước Nhật (Shop) HCM</t>
        </is>
      </c>
      <c r="D188" s="3" t="inlineStr">
        <is>
          <t>HCM</t>
        </is>
      </c>
      <c r="E188" s="3" t="inlineStr">
        <is>
          <t>BẢO TRÂM</t>
        </is>
      </c>
      <c r="F188" s="3" t="inlineStr">
        <is>
          <t>Shopee</t>
        </is>
      </c>
      <c r="G18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8" s="3" t="inlineStr"/>
      <c r="I188" s="4" t="inlineStr">
        <is>
          <t>Mũi khoan tường không tắc kê KBLJ - 04*100</t>
        </is>
      </c>
      <c r="J188" s="3" t="inlineStr">
        <is>
          <t>Cái</t>
        </is>
      </c>
      <c r="K188" s="5" t="n">
        <v>269000</v>
      </c>
      <c r="L188" s="5" t="n">
        <v>317000</v>
      </c>
      <c r="M188" s="6" t="n">
        <v>390000</v>
      </c>
      <c r="N188" s="5" t="n"/>
      <c r="O188" s="5">
        <f>IF(AND(ISNUMBER(N188),ISNUMBER(M188)),N188-M188,"")</f>
        <v/>
      </c>
      <c r="P188" s="7">
        <f>IF(AND(ISNUMBER(N188),ISNUMBER(M188),M188&gt;0),(N188-M188)/M188,"")</f>
        <v/>
      </c>
      <c r="Q188" s="3">
        <f>IF(P188="","",IF(P188&lt;-0.02,"🔴 Bán phá giá sàn",IF(P188&gt;0.05,"🔵 Bán cao hơn","🟢 Đúng giá sàn TMĐT")))</f>
        <v/>
      </c>
      <c r="R188" s="3" t="n"/>
      <c r="S188" s="4" t="n"/>
      <c r="T188" s="4" t="n"/>
    </row>
    <row r="189">
      <c r="A189" s="3" t="n">
        <v>188</v>
      </c>
      <c r="B189" s="3" t="inlineStr">
        <is>
          <t>DL001</t>
        </is>
      </c>
      <c r="C189" s="4" t="inlineStr">
        <is>
          <t>Điện nước Nhật (Shop) HCM</t>
        </is>
      </c>
      <c r="D189" s="3" t="inlineStr">
        <is>
          <t>HCM</t>
        </is>
      </c>
      <c r="E189" s="3" t="inlineStr">
        <is>
          <t>BẢO TRÂM</t>
        </is>
      </c>
      <c r="F189" s="3" t="inlineStr">
        <is>
          <t>Shopee</t>
        </is>
      </c>
      <c r="G18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89" s="3" t="inlineStr"/>
      <c r="I189" s="4" t="inlineStr">
        <is>
          <t>Mũi khoan tường không tắc kê KBLJ - 04.2*100</t>
        </is>
      </c>
      <c r="J189" s="3" t="inlineStr">
        <is>
          <t>Cái</t>
        </is>
      </c>
      <c r="K189" s="5" t="n">
        <v>269000</v>
      </c>
      <c r="L189" s="5" t="n">
        <v>317000</v>
      </c>
      <c r="M189" s="6" t="n">
        <v>390000</v>
      </c>
      <c r="N189" s="5" t="n"/>
      <c r="O189" s="5">
        <f>IF(AND(ISNUMBER(N189),ISNUMBER(M189)),N189-M189,"")</f>
        <v/>
      </c>
      <c r="P189" s="7">
        <f>IF(AND(ISNUMBER(N189),ISNUMBER(M189),M189&gt;0),(N189-M189)/M189,"")</f>
        <v/>
      </c>
      <c r="Q189" s="3">
        <f>IF(P189="","",IF(P189&lt;-0.02,"🔴 Bán phá giá sàn",IF(P189&gt;0.05,"🔵 Bán cao hơn","🟢 Đúng giá sàn TMĐT")))</f>
        <v/>
      </c>
      <c r="R189" s="3" t="n"/>
      <c r="S189" s="4" t="n"/>
      <c r="T189" s="4" t="n"/>
    </row>
    <row r="190">
      <c r="A190" s="3" t="n">
        <v>189</v>
      </c>
      <c r="B190" s="3" t="inlineStr">
        <is>
          <t>DL001</t>
        </is>
      </c>
      <c r="C190" s="4" t="inlineStr">
        <is>
          <t>Điện nước Nhật (Shop) HCM</t>
        </is>
      </c>
      <c r="D190" s="3" t="inlineStr">
        <is>
          <t>HCM</t>
        </is>
      </c>
      <c r="E190" s="3" t="inlineStr">
        <is>
          <t>BẢO TRÂM</t>
        </is>
      </c>
      <c r="F190" s="3" t="inlineStr">
        <is>
          <t>Shopee</t>
        </is>
      </c>
      <c r="G19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0" s="3" t="inlineStr"/>
      <c r="I190" s="4" t="inlineStr">
        <is>
          <t>Mũi khoan tường không tắc kê KBLJ - 04.5*100</t>
        </is>
      </c>
      <c r="J190" s="3" t="inlineStr">
        <is>
          <t>Cái</t>
        </is>
      </c>
      <c r="K190" s="5" t="n">
        <v>269000</v>
      </c>
      <c r="L190" s="5" t="n">
        <v>317000</v>
      </c>
      <c r="M190" s="6" t="n">
        <v>390000</v>
      </c>
      <c r="N190" s="5" t="n"/>
      <c r="O190" s="5">
        <f>IF(AND(ISNUMBER(N190),ISNUMBER(M190)),N190-M190,"")</f>
        <v/>
      </c>
      <c r="P190" s="7">
        <f>IF(AND(ISNUMBER(N190),ISNUMBER(M190),M190&gt;0),(N190-M190)/M190,"")</f>
        <v/>
      </c>
      <c r="Q190" s="3">
        <f>IF(P190="","",IF(P190&lt;-0.02,"🔴 Bán phá giá sàn",IF(P190&gt;0.05,"🔵 Bán cao hơn","🟢 Đúng giá sàn TMĐT")))</f>
        <v/>
      </c>
      <c r="R190" s="3" t="n"/>
      <c r="S190" s="4" t="n"/>
      <c r="T190" s="4" t="n"/>
    </row>
    <row r="191">
      <c r="A191" s="3" t="n">
        <v>190</v>
      </c>
      <c r="B191" s="3" t="inlineStr">
        <is>
          <t>DL001</t>
        </is>
      </c>
      <c r="C191" s="4" t="inlineStr">
        <is>
          <t>Điện nước Nhật (Shop) HCM</t>
        </is>
      </c>
      <c r="D191" s="3" t="inlineStr">
        <is>
          <t>HCM</t>
        </is>
      </c>
      <c r="E191" s="3" t="inlineStr">
        <is>
          <t>BẢO TRÂM</t>
        </is>
      </c>
      <c r="F191" s="3" t="inlineStr">
        <is>
          <t>Shopee</t>
        </is>
      </c>
      <c r="G19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1" s="3" t="inlineStr"/>
      <c r="I191" s="4" t="inlineStr">
        <is>
          <t>Mũi khoan tường không tắc kê KBLJ - 05*100</t>
        </is>
      </c>
      <c r="J191" s="3" t="inlineStr">
        <is>
          <t>Cái</t>
        </is>
      </c>
      <c r="K191" s="5" t="n">
        <v>269000</v>
      </c>
      <c r="L191" s="5" t="n">
        <v>317000</v>
      </c>
      <c r="M191" s="6" t="n">
        <v>390000</v>
      </c>
      <c r="N191" s="5" t="n"/>
      <c r="O191" s="5">
        <f>IF(AND(ISNUMBER(N191),ISNUMBER(M191)),N191-M191,"")</f>
        <v/>
      </c>
      <c r="P191" s="7">
        <f>IF(AND(ISNUMBER(N191),ISNUMBER(M191),M191&gt;0),(N191-M191)/M191,"")</f>
        <v/>
      </c>
      <c r="Q191" s="3">
        <f>IF(P191="","",IF(P191&lt;-0.02,"🔴 Bán phá giá sàn",IF(P191&gt;0.05,"🔵 Bán cao hơn","🟢 Đúng giá sàn TMĐT")))</f>
        <v/>
      </c>
      <c r="R191" s="3" t="n"/>
      <c r="S191" s="4" t="n"/>
      <c r="T191" s="4" t="n"/>
    </row>
    <row r="192">
      <c r="A192" s="3" t="n">
        <v>191</v>
      </c>
      <c r="B192" s="3" t="inlineStr">
        <is>
          <t>DL001</t>
        </is>
      </c>
      <c r="C192" s="4" t="inlineStr">
        <is>
          <t>Điện nước Nhật (Shop) HCM</t>
        </is>
      </c>
      <c r="D192" s="3" t="inlineStr">
        <is>
          <t>HCM</t>
        </is>
      </c>
      <c r="E192" s="3" t="inlineStr">
        <is>
          <t>BẢO TRÂM</t>
        </is>
      </c>
      <c r="F192" s="3" t="inlineStr">
        <is>
          <t>Shopee</t>
        </is>
      </c>
      <c r="G19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2" s="3" t="inlineStr"/>
      <c r="I192" s="4" t="inlineStr">
        <is>
          <t>Mũi khoan tường không tắc kê KBLJ - 05.5*100</t>
        </is>
      </c>
      <c r="J192" s="3" t="inlineStr">
        <is>
          <t>Cái</t>
        </is>
      </c>
      <c r="K192" s="5" t="n">
        <v>269000</v>
      </c>
      <c r="L192" s="5" t="n">
        <v>317000</v>
      </c>
      <c r="M192" s="6" t="n">
        <v>390000</v>
      </c>
      <c r="N192" s="5" t="n"/>
      <c r="O192" s="5">
        <f>IF(AND(ISNUMBER(N192),ISNUMBER(M192)),N192-M192,"")</f>
        <v/>
      </c>
      <c r="P192" s="7">
        <f>IF(AND(ISNUMBER(N192),ISNUMBER(M192),M192&gt;0),(N192-M192)/M192,"")</f>
        <v/>
      </c>
      <c r="Q192" s="3">
        <f>IF(P192="","",IF(P192&lt;-0.02,"🔴 Bán phá giá sàn",IF(P192&gt;0.05,"🔵 Bán cao hơn","🟢 Đúng giá sàn TMĐT")))</f>
        <v/>
      </c>
      <c r="R192" s="3" t="n"/>
      <c r="S192" s="4" t="n"/>
      <c r="T192" s="4" t="n"/>
    </row>
    <row r="193">
      <c r="A193" s="3" t="n">
        <v>192</v>
      </c>
      <c r="B193" s="3" t="inlineStr">
        <is>
          <t>DL001</t>
        </is>
      </c>
      <c r="C193" s="4" t="inlineStr">
        <is>
          <t>Điện nước Nhật (Shop) HCM</t>
        </is>
      </c>
      <c r="D193" s="3" t="inlineStr">
        <is>
          <t>HCM</t>
        </is>
      </c>
      <c r="E193" s="3" t="inlineStr">
        <is>
          <t>BẢO TRÂM</t>
        </is>
      </c>
      <c r="F193" s="3" t="inlineStr">
        <is>
          <t>Shopee</t>
        </is>
      </c>
      <c r="G19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3" s="3" t="inlineStr"/>
      <c r="I193" s="4" t="inlineStr">
        <is>
          <t>Mũi khoan tường không tắc kê KBLJ - 06*125</t>
        </is>
      </c>
      <c r="J193" s="3" t="inlineStr">
        <is>
          <t>Cái</t>
        </is>
      </c>
      <c r="K193" s="5" t="n">
        <v>269000</v>
      </c>
      <c r="L193" s="5" t="n">
        <v>317000</v>
      </c>
      <c r="M193" s="6" t="n">
        <v>390000</v>
      </c>
      <c r="N193" s="5" t="n"/>
      <c r="O193" s="5">
        <f>IF(AND(ISNUMBER(N193),ISNUMBER(M193)),N193-M193,"")</f>
        <v/>
      </c>
      <c r="P193" s="7">
        <f>IF(AND(ISNUMBER(N193),ISNUMBER(M193),M193&gt;0),(N193-M193)/M193,"")</f>
        <v/>
      </c>
      <c r="Q193" s="3">
        <f>IF(P193="","",IF(P193&lt;-0.02,"🔴 Bán phá giá sàn",IF(P193&gt;0.05,"🔵 Bán cao hơn","🟢 Đúng giá sàn TMĐT")))</f>
        <v/>
      </c>
      <c r="R193" s="3" t="n"/>
      <c r="S193" s="4" t="n"/>
      <c r="T193" s="4" t="n"/>
    </row>
    <row r="194">
      <c r="A194" s="3" t="n">
        <v>193</v>
      </c>
      <c r="B194" s="3" t="inlineStr">
        <is>
          <t>DL001</t>
        </is>
      </c>
      <c r="C194" s="4" t="inlineStr">
        <is>
          <t>Điện nước Nhật (Shop) HCM</t>
        </is>
      </c>
      <c r="D194" s="3" t="inlineStr">
        <is>
          <t>HCM</t>
        </is>
      </c>
      <c r="E194" s="3" t="inlineStr">
        <is>
          <t>BẢO TRÂM</t>
        </is>
      </c>
      <c r="F194" s="3" t="inlineStr">
        <is>
          <t>Shopee</t>
        </is>
      </c>
      <c r="G19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4" s="3" t="inlineStr"/>
      <c r="I194" s="4" t="inlineStr">
        <is>
          <t>Mũi khoan tường không tắc kê KBLJ - 06.5*125</t>
        </is>
      </c>
      <c r="J194" s="3" t="inlineStr">
        <is>
          <t>Cái</t>
        </is>
      </c>
      <c r="K194" s="5" t="n">
        <v>269000</v>
      </c>
      <c r="L194" s="5" t="n">
        <v>317000</v>
      </c>
      <c r="M194" s="6" t="n">
        <v>390000</v>
      </c>
      <c r="N194" s="5" t="n"/>
      <c r="O194" s="5">
        <f>IF(AND(ISNUMBER(N194),ISNUMBER(M194)),N194-M194,"")</f>
        <v/>
      </c>
      <c r="P194" s="7">
        <f>IF(AND(ISNUMBER(N194),ISNUMBER(M194),M194&gt;0),(N194-M194)/M194,"")</f>
        <v/>
      </c>
      <c r="Q194" s="3">
        <f>IF(P194="","",IF(P194&lt;-0.02,"🔴 Bán phá giá sàn",IF(P194&gt;0.05,"🔵 Bán cao hơn","🟢 Đúng giá sàn TMĐT")))</f>
        <v/>
      </c>
      <c r="R194" s="3" t="n"/>
      <c r="S194" s="4" t="n"/>
      <c r="T194" s="4" t="n"/>
    </row>
    <row r="195">
      <c r="A195" s="3" t="n">
        <v>194</v>
      </c>
      <c r="B195" s="3" t="inlineStr">
        <is>
          <t>DL001</t>
        </is>
      </c>
      <c r="C195" s="4" t="inlineStr">
        <is>
          <t>Điện nước Nhật (Shop) HCM</t>
        </is>
      </c>
      <c r="D195" s="3" t="inlineStr">
        <is>
          <t>HCM</t>
        </is>
      </c>
      <c r="E195" s="3" t="inlineStr">
        <is>
          <t>BẢO TRÂM</t>
        </is>
      </c>
      <c r="F195" s="3" t="inlineStr">
        <is>
          <t>Shopee</t>
        </is>
      </c>
      <c r="G19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5" s="3" t="inlineStr"/>
      <c r="I195" s="4" t="inlineStr">
        <is>
          <t>Mũi khoan tường không tắc kê KBLJ - 07*125</t>
        </is>
      </c>
      <c r="J195" s="3" t="inlineStr">
        <is>
          <t>Cái</t>
        </is>
      </c>
      <c r="K195" s="5" t="n">
        <v>269000</v>
      </c>
      <c r="L195" s="5" t="n">
        <v>317000</v>
      </c>
      <c r="M195" s="6" t="n">
        <v>390000</v>
      </c>
      <c r="N195" s="5" t="n"/>
      <c r="O195" s="5">
        <f>IF(AND(ISNUMBER(N195),ISNUMBER(M195)),N195-M195,"")</f>
        <v/>
      </c>
      <c r="P195" s="7">
        <f>IF(AND(ISNUMBER(N195),ISNUMBER(M195),M195&gt;0),(N195-M195)/M195,"")</f>
        <v/>
      </c>
      <c r="Q195" s="3">
        <f>IF(P195="","",IF(P195&lt;-0.02,"🔴 Bán phá giá sàn",IF(P195&gt;0.05,"🔵 Bán cao hơn","🟢 Đúng giá sàn TMĐT")))</f>
        <v/>
      </c>
      <c r="R195" s="3" t="n"/>
      <c r="S195" s="4" t="n"/>
      <c r="T195" s="4" t="n"/>
    </row>
    <row r="196">
      <c r="A196" s="3" t="n">
        <v>195</v>
      </c>
      <c r="B196" s="3" t="inlineStr">
        <is>
          <t>DL001</t>
        </is>
      </c>
      <c r="C196" s="4" t="inlineStr">
        <is>
          <t>Điện nước Nhật (Shop) HCM</t>
        </is>
      </c>
      <c r="D196" s="3" t="inlineStr">
        <is>
          <t>HCM</t>
        </is>
      </c>
      <c r="E196" s="3" t="inlineStr">
        <is>
          <t>BẢO TRÂM</t>
        </is>
      </c>
      <c r="F196" s="3" t="inlineStr">
        <is>
          <t>Shopee</t>
        </is>
      </c>
      <c r="G19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6" s="3" t="inlineStr"/>
      <c r="I196" s="4" t="inlineStr">
        <is>
          <t>Mũi khoan tường không tắc kê KBLJ - 08*125</t>
        </is>
      </c>
      <c r="J196" s="3" t="inlineStr">
        <is>
          <t>Cái</t>
        </is>
      </c>
      <c r="K196" s="5" t="n">
        <v>269000</v>
      </c>
      <c r="L196" s="5" t="n">
        <v>317000</v>
      </c>
      <c r="M196" s="6" t="n">
        <v>390000</v>
      </c>
      <c r="N196" s="5" t="n"/>
      <c r="O196" s="5">
        <f>IF(AND(ISNUMBER(N196),ISNUMBER(M196)),N196-M196,"")</f>
        <v/>
      </c>
      <c r="P196" s="7">
        <f>IF(AND(ISNUMBER(N196),ISNUMBER(M196),M196&gt;0),(N196-M196)/M196,"")</f>
        <v/>
      </c>
      <c r="Q196" s="3">
        <f>IF(P196="","",IF(P196&lt;-0.02,"🔴 Bán phá giá sàn",IF(P196&gt;0.05,"🔵 Bán cao hơn","🟢 Đúng giá sàn TMĐT")))</f>
        <v/>
      </c>
      <c r="R196" s="3" t="n"/>
      <c r="S196" s="4" t="n"/>
      <c r="T196" s="4" t="n"/>
    </row>
    <row r="197">
      <c r="A197" s="3" t="n">
        <v>196</v>
      </c>
      <c r="B197" s="3" t="inlineStr">
        <is>
          <t>DL001</t>
        </is>
      </c>
      <c r="C197" s="4" t="inlineStr">
        <is>
          <t>Điện nước Nhật (Shop) HCM</t>
        </is>
      </c>
      <c r="D197" s="3" t="inlineStr">
        <is>
          <t>HCM</t>
        </is>
      </c>
      <c r="E197" s="3" t="inlineStr">
        <is>
          <t>BẢO TRÂM</t>
        </is>
      </c>
      <c r="F197" s="3" t="inlineStr">
        <is>
          <t>Shopee</t>
        </is>
      </c>
      <c r="G19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7" s="3" t="inlineStr"/>
      <c r="I197" s="4" t="inlineStr">
        <is>
          <t>Mũi khoan tường không tắc kê KBLJ - 10*148</t>
        </is>
      </c>
      <c r="J197" s="3" t="inlineStr">
        <is>
          <t>Cái</t>
        </is>
      </c>
      <c r="K197" s="5" t="n">
        <v>269000</v>
      </c>
      <c r="L197" s="5" t="n">
        <v>317000</v>
      </c>
      <c r="M197" s="6" t="n">
        <v>390000</v>
      </c>
      <c r="N197" s="5" t="n"/>
      <c r="O197" s="5">
        <f>IF(AND(ISNUMBER(N197),ISNUMBER(M197)),N197-M197,"")</f>
        <v/>
      </c>
      <c r="P197" s="7">
        <f>IF(AND(ISNUMBER(N197),ISNUMBER(M197),M197&gt;0),(N197-M197)/M197,"")</f>
        <v/>
      </c>
      <c r="Q197" s="3">
        <f>IF(P197="","",IF(P197&lt;-0.02,"🔴 Bán phá giá sàn",IF(P197&gt;0.05,"🔵 Bán cao hơn","🟢 Đúng giá sàn TMĐT")))</f>
        <v/>
      </c>
      <c r="R197" s="3" t="n"/>
      <c r="S197" s="4" t="n"/>
      <c r="T197" s="4" t="n"/>
    </row>
    <row r="198">
      <c r="A198" s="3" t="n">
        <v>197</v>
      </c>
      <c r="B198" s="3" t="inlineStr">
        <is>
          <t>DL001</t>
        </is>
      </c>
      <c r="C198" s="4" t="inlineStr">
        <is>
          <t>Điện nước Nhật (Shop) HCM</t>
        </is>
      </c>
      <c r="D198" s="3" t="inlineStr">
        <is>
          <t>HCM</t>
        </is>
      </c>
      <c r="E198" s="3" t="inlineStr">
        <is>
          <t>BẢO TRÂM</t>
        </is>
      </c>
      <c r="F198" s="3" t="inlineStr">
        <is>
          <t>Shopee</t>
        </is>
      </c>
      <c r="G19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8" s="3" t="inlineStr">
        <is>
          <t>KBT-0412</t>
        </is>
      </c>
      <c r="I198" s="4" t="inlineStr">
        <is>
          <t>Mũi khoan tháp M2 KBT-04*12</t>
        </is>
      </c>
      <c r="J198" s="3" t="inlineStr">
        <is>
          <t>Cái</t>
        </is>
      </c>
      <c r="K198" s="5" t="n">
        <v>88000</v>
      </c>
      <c r="L198" s="5" t="n">
        <v>109000</v>
      </c>
      <c r="M198" s="6" t="n">
        <v>141000</v>
      </c>
      <c r="N198" s="5" t="n"/>
      <c r="O198" s="5">
        <f>IF(AND(ISNUMBER(N198),ISNUMBER(M198)),N198-M198,"")</f>
        <v/>
      </c>
      <c r="P198" s="7">
        <f>IF(AND(ISNUMBER(N198),ISNUMBER(M198),M198&gt;0),(N198-M198)/M198,"")</f>
        <v/>
      </c>
      <c r="Q198" s="3">
        <f>IF(P198="","",IF(P198&lt;-0.02,"🔴 Bán phá giá sàn",IF(P198&gt;0.05,"🔵 Bán cao hơn","🟢 Đúng giá sàn TMĐT")))</f>
        <v/>
      </c>
      <c r="R198" s="3" t="n"/>
      <c r="S198" s="4" t="n"/>
      <c r="T198" s="4" t="n"/>
    </row>
    <row r="199">
      <c r="A199" s="3" t="n">
        <v>198</v>
      </c>
      <c r="B199" s="3" t="inlineStr">
        <is>
          <t>DL001</t>
        </is>
      </c>
      <c r="C199" s="4" t="inlineStr">
        <is>
          <t>Điện nước Nhật (Shop) HCM</t>
        </is>
      </c>
      <c r="D199" s="3" t="inlineStr">
        <is>
          <t>HCM</t>
        </is>
      </c>
      <c r="E199" s="3" t="inlineStr">
        <is>
          <t>BẢO TRÂM</t>
        </is>
      </c>
      <c r="F199" s="3" t="inlineStr">
        <is>
          <t>Shopee</t>
        </is>
      </c>
      <c r="G19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199" s="3" t="inlineStr">
        <is>
          <t>KBT-0420</t>
        </is>
      </c>
      <c r="I199" s="4" t="inlineStr">
        <is>
          <t>Mũi khoan tháp M2 KBT-04*20</t>
        </is>
      </c>
      <c r="J199" s="3" t="inlineStr">
        <is>
          <t>Cái</t>
        </is>
      </c>
      <c r="K199" s="5" t="n">
        <v>170000</v>
      </c>
      <c r="L199" s="5" t="n">
        <v>211000</v>
      </c>
      <c r="M199" s="6" t="n">
        <v>272000</v>
      </c>
      <c r="N199" s="5" t="n"/>
      <c r="O199" s="5">
        <f>IF(AND(ISNUMBER(N199),ISNUMBER(M199)),N199-M199,"")</f>
        <v/>
      </c>
      <c r="P199" s="7">
        <f>IF(AND(ISNUMBER(N199),ISNUMBER(M199),M199&gt;0),(N199-M199)/M199,"")</f>
        <v/>
      </c>
      <c r="Q199" s="3">
        <f>IF(P199="","",IF(P199&lt;-0.02,"🔴 Bán phá giá sàn",IF(P199&gt;0.05,"🔵 Bán cao hơn","🟢 Đúng giá sàn TMĐT")))</f>
        <v/>
      </c>
      <c r="R199" s="3" t="n"/>
      <c r="S199" s="4" t="n"/>
      <c r="T199" s="4" t="n"/>
    </row>
    <row r="200">
      <c r="A200" s="3" t="n">
        <v>199</v>
      </c>
      <c r="B200" s="3" t="inlineStr">
        <is>
          <t>DL001</t>
        </is>
      </c>
      <c r="C200" s="4" t="inlineStr">
        <is>
          <t>Điện nước Nhật (Shop) HCM</t>
        </is>
      </c>
      <c r="D200" s="3" t="inlineStr">
        <is>
          <t>HCM</t>
        </is>
      </c>
      <c r="E200" s="3" t="inlineStr">
        <is>
          <t>BẢO TRÂM</t>
        </is>
      </c>
      <c r="F200" s="3" t="inlineStr">
        <is>
          <t>Shopee</t>
        </is>
      </c>
      <c r="G20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0" s="3" t="inlineStr">
        <is>
          <t>KBT-0432</t>
        </is>
      </c>
      <c r="I200" s="4" t="inlineStr">
        <is>
          <t>Mũi khoan tháp M2 KBT-04*32</t>
        </is>
      </c>
      <c r="J200" s="3" t="inlineStr">
        <is>
          <t>Cái</t>
        </is>
      </c>
      <c r="K200" s="5" t="n">
        <v>319000</v>
      </c>
      <c r="L200" s="5" t="n">
        <v>395000</v>
      </c>
      <c r="M200" s="6" t="n">
        <v>510000</v>
      </c>
      <c r="N200" s="5" t="n"/>
      <c r="O200" s="5">
        <f>IF(AND(ISNUMBER(N200),ISNUMBER(M200)),N200-M200,"")</f>
        <v/>
      </c>
      <c r="P200" s="7">
        <f>IF(AND(ISNUMBER(N200),ISNUMBER(M200),M200&gt;0),(N200-M200)/M200,"")</f>
        <v/>
      </c>
      <c r="Q200" s="3">
        <f>IF(P200="","",IF(P200&lt;-0.02,"🔴 Bán phá giá sàn",IF(P200&gt;0.05,"🔵 Bán cao hơn","🟢 Đúng giá sàn TMĐT")))</f>
        <v/>
      </c>
      <c r="R200" s="3" t="n"/>
      <c r="S200" s="4" t="n"/>
      <c r="T200" s="4" t="n"/>
    </row>
    <row r="201">
      <c r="A201" s="3" t="n">
        <v>200</v>
      </c>
      <c r="B201" s="3" t="inlineStr">
        <is>
          <t>DL001</t>
        </is>
      </c>
      <c r="C201" s="4" t="inlineStr">
        <is>
          <t>Điện nước Nhật (Shop) HCM</t>
        </is>
      </c>
      <c r="D201" s="3" t="inlineStr">
        <is>
          <t>HCM</t>
        </is>
      </c>
      <c r="E201" s="3" t="inlineStr">
        <is>
          <t>BẢO TRÂM</t>
        </is>
      </c>
      <c r="F201" s="3" t="inlineStr">
        <is>
          <t>Shopee</t>
        </is>
      </c>
      <c r="G20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1" s="3" t="inlineStr">
        <is>
          <t>KBY1-045</t>
        </is>
      </c>
      <c r="I201" s="4" t="inlineStr">
        <is>
          <t>Mũi khoan thép KBY1-045</t>
        </is>
      </c>
      <c r="J201" s="3" t="inlineStr">
        <is>
          <t>Cái</t>
        </is>
      </c>
      <c r="K201" s="5" t="n">
        <v>14000</v>
      </c>
      <c r="L201" s="5" t="n">
        <v>17000</v>
      </c>
      <c r="M201" s="6" t="n">
        <v>22000</v>
      </c>
      <c r="N201" s="5" t="n"/>
      <c r="O201" s="5">
        <f>IF(AND(ISNUMBER(N201),ISNUMBER(M201)),N201-M201,"")</f>
        <v/>
      </c>
      <c r="P201" s="7">
        <f>IF(AND(ISNUMBER(N201),ISNUMBER(M201),M201&gt;0),(N201-M201)/M201,"")</f>
        <v/>
      </c>
      <c r="Q201" s="3">
        <f>IF(P201="","",IF(P201&lt;-0.02,"🔴 Bán phá giá sàn",IF(P201&gt;0.05,"🔵 Bán cao hơn","🟢 Đúng giá sàn TMĐT")))</f>
        <v/>
      </c>
      <c r="R201" s="3" t="n"/>
      <c r="S201" s="4" t="n"/>
      <c r="T201" s="4" t="n"/>
    </row>
    <row r="202">
      <c r="A202" s="3" t="n">
        <v>201</v>
      </c>
      <c r="B202" s="3" t="inlineStr">
        <is>
          <t>DL001</t>
        </is>
      </c>
      <c r="C202" s="4" t="inlineStr">
        <is>
          <t>Điện nước Nhật (Shop) HCM</t>
        </is>
      </c>
      <c r="D202" s="3" t="inlineStr">
        <is>
          <t>HCM</t>
        </is>
      </c>
      <c r="E202" s="3" t="inlineStr">
        <is>
          <t>BẢO TRÂM</t>
        </is>
      </c>
      <c r="F202" s="3" t="inlineStr">
        <is>
          <t>Shopee</t>
        </is>
      </c>
      <c r="G20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2" s="3" t="inlineStr">
        <is>
          <t>KBX2-15</t>
        </is>
      </c>
      <c r="I202" s="4" t="inlineStr">
        <is>
          <t>Mũi khoét gỗ KBX2-15</t>
        </is>
      </c>
      <c r="J202" s="3" t="inlineStr">
        <is>
          <t>Cái</t>
        </is>
      </c>
      <c r="K202" s="5" t="n">
        <v>59000</v>
      </c>
      <c r="L202" s="5" t="n">
        <v>70000</v>
      </c>
      <c r="M202" s="6" t="n">
        <v>86000</v>
      </c>
      <c r="N202" s="5" t="n"/>
      <c r="O202" s="5">
        <f>IF(AND(ISNUMBER(N202),ISNUMBER(M202)),N202-M202,"")</f>
        <v/>
      </c>
      <c r="P202" s="7">
        <f>IF(AND(ISNUMBER(N202),ISNUMBER(M202),M202&gt;0),(N202-M202)/M202,"")</f>
        <v/>
      </c>
      <c r="Q202" s="3">
        <f>IF(P202="","",IF(P202&lt;-0.02,"🔴 Bán phá giá sàn",IF(P202&gt;0.05,"🔵 Bán cao hơn","🟢 Đúng giá sàn TMĐT")))</f>
        <v/>
      </c>
      <c r="R202" s="3" t="n"/>
      <c r="S202" s="4" t="n"/>
      <c r="T202" s="4" t="n"/>
    </row>
    <row r="203">
      <c r="A203" s="3" t="n">
        <v>202</v>
      </c>
      <c r="B203" s="3" t="inlineStr">
        <is>
          <t>DL001</t>
        </is>
      </c>
      <c r="C203" s="4" t="inlineStr">
        <is>
          <t>Điện nước Nhật (Shop) HCM</t>
        </is>
      </c>
      <c r="D203" s="3" t="inlineStr">
        <is>
          <t>HCM</t>
        </is>
      </c>
      <c r="E203" s="3" t="inlineStr">
        <is>
          <t>BẢO TRÂM</t>
        </is>
      </c>
      <c r="F203" s="3" t="inlineStr">
        <is>
          <t>Shopee</t>
        </is>
      </c>
      <c r="G20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3" s="3" t="inlineStr">
        <is>
          <t>KBX2-16</t>
        </is>
      </c>
      <c r="I203" s="4" t="inlineStr">
        <is>
          <t>Mũi khoét gỗ KBX2-16</t>
        </is>
      </c>
      <c r="J203" s="3" t="inlineStr">
        <is>
          <t>Cái</t>
        </is>
      </c>
      <c r="K203" s="5" t="n">
        <v>59000</v>
      </c>
      <c r="L203" s="5" t="n">
        <v>70000</v>
      </c>
      <c r="M203" s="6" t="n">
        <v>86000</v>
      </c>
      <c r="N203" s="5" t="n"/>
      <c r="O203" s="5">
        <f>IF(AND(ISNUMBER(N203),ISNUMBER(M203)),N203-M203,"")</f>
        <v/>
      </c>
      <c r="P203" s="7">
        <f>IF(AND(ISNUMBER(N203),ISNUMBER(M203),M203&gt;0),(N203-M203)/M203,"")</f>
        <v/>
      </c>
      <c r="Q203" s="3">
        <f>IF(P203="","",IF(P203&lt;-0.02,"🔴 Bán phá giá sàn",IF(P203&gt;0.05,"🔵 Bán cao hơn","🟢 Đúng giá sàn TMĐT")))</f>
        <v/>
      </c>
      <c r="R203" s="3" t="n"/>
      <c r="S203" s="4" t="n"/>
      <c r="T203" s="4" t="n"/>
    </row>
    <row r="204">
      <c r="A204" s="3" t="n">
        <v>203</v>
      </c>
      <c r="B204" s="3" t="inlineStr">
        <is>
          <t>DL001</t>
        </is>
      </c>
      <c r="C204" s="4" t="inlineStr">
        <is>
          <t>Điện nước Nhật (Shop) HCM</t>
        </is>
      </c>
      <c r="D204" s="3" t="inlineStr">
        <is>
          <t>HCM</t>
        </is>
      </c>
      <c r="E204" s="3" t="inlineStr">
        <is>
          <t>BẢO TRÂM</t>
        </is>
      </c>
      <c r="F204" s="3" t="inlineStr">
        <is>
          <t>Shopee</t>
        </is>
      </c>
      <c r="G20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4" s="3" t="inlineStr">
        <is>
          <t>KBX2-18</t>
        </is>
      </c>
      <c r="I204" s="4" t="inlineStr">
        <is>
          <t>Mũi khoét gỗ KBX2-18</t>
        </is>
      </c>
      <c r="J204" s="3" t="inlineStr">
        <is>
          <t>Cái</t>
        </is>
      </c>
      <c r="K204" s="5" t="n">
        <v>59000</v>
      </c>
      <c r="L204" s="5" t="n">
        <v>70000</v>
      </c>
      <c r="M204" s="6" t="n">
        <v>86000</v>
      </c>
      <c r="N204" s="5" t="n"/>
      <c r="O204" s="5">
        <f>IF(AND(ISNUMBER(N204),ISNUMBER(M204)),N204-M204,"")</f>
        <v/>
      </c>
      <c r="P204" s="7">
        <f>IF(AND(ISNUMBER(N204),ISNUMBER(M204),M204&gt;0),(N204-M204)/M204,"")</f>
        <v/>
      </c>
      <c r="Q204" s="3">
        <f>IF(P204="","",IF(P204&lt;-0.02,"🔴 Bán phá giá sàn",IF(P204&gt;0.05,"🔵 Bán cao hơn","🟢 Đúng giá sàn TMĐT")))</f>
        <v/>
      </c>
      <c r="R204" s="3" t="n"/>
      <c r="S204" s="4" t="n"/>
      <c r="T204" s="4" t="n"/>
    </row>
    <row r="205">
      <c r="A205" s="3" t="n">
        <v>204</v>
      </c>
      <c r="B205" s="3" t="inlineStr">
        <is>
          <t>DL001</t>
        </is>
      </c>
      <c r="C205" s="4" t="inlineStr">
        <is>
          <t>Điện nước Nhật (Shop) HCM</t>
        </is>
      </c>
      <c r="D205" s="3" t="inlineStr">
        <is>
          <t>HCM</t>
        </is>
      </c>
      <c r="E205" s="3" t="inlineStr">
        <is>
          <t>BẢO TRÂM</t>
        </is>
      </c>
      <c r="F205" s="3" t="inlineStr">
        <is>
          <t>Shopee</t>
        </is>
      </c>
      <c r="G20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5" s="3" t="inlineStr">
        <is>
          <t>KBX2-20</t>
        </is>
      </c>
      <c r="I205" s="4" t="inlineStr">
        <is>
          <t>Mũi khoét gỗ KBX2-20</t>
        </is>
      </c>
      <c r="J205" s="3" t="inlineStr">
        <is>
          <t>Cái</t>
        </is>
      </c>
      <c r="K205" s="5" t="n">
        <v>67000</v>
      </c>
      <c r="L205" s="5" t="n">
        <v>79000</v>
      </c>
      <c r="M205" s="6" t="n">
        <v>97000</v>
      </c>
      <c r="N205" s="5" t="n"/>
      <c r="O205" s="5">
        <f>IF(AND(ISNUMBER(N205),ISNUMBER(M205)),N205-M205,"")</f>
        <v/>
      </c>
      <c r="P205" s="7">
        <f>IF(AND(ISNUMBER(N205),ISNUMBER(M205),M205&gt;0),(N205-M205)/M205,"")</f>
        <v/>
      </c>
      <c r="Q205" s="3">
        <f>IF(P205="","",IF(P205&lt;-0.02,"🔴 Bán phá giá sàn",IF(P205&gt;0.05,"🔵 Bán cao hơn","🟢 Đúng giá sàn TMĐT")))</f>
        <v/>
      </c>
      <c r="R205" s="3" t="n"/>
      <c r="S205" s="4" t="n"/>
      <c r="T205" s="4" t="n"/>
    </row>
    <row r="206">
      <c r="A206" s="3" t="n">
        <v>205</v>
      </c>
      <c r="B206" s="3" t="inlineStr">
        <is>
          <t>DL001</t>
        </is>
      </c>
      <c r="C206" s="4" t="inlineStr">
        <is>
          <t>Điện nước Nhật (Shop) HCM</t>
        </is>
      </c>
      <c r="D206" s="3" t="inlineStr">
        <is>
          <t>HCM</t>
        </is>
      </c>
      <c r="E206" s="3" t="inlineStr">
        <is>
          <t>BẢO TRÂM</t>
        </is>
      </c>
      <c r="F206" s="3" t="inlineStr">
        <is>
          <t>Shopee</t>
        </is>
      </c>
      <c r="G20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6" s="3" t="inlineStr">
        <is>
          <t>KBX2-27</t>
        </is>
      </c>
      <c r="I206" s="4" t="inlineStr">
        <is>
          <t>Mũi khoét gỗ KBX2-27</t>
        </is>
      </c>
      <c r="J206" s="3" t="inlineStr">
        <is>
          <t>Cái</t>
        </is>
      </c>
      <c r="K206" s="5" t="n">
        <v>92000</v>
      </c>
      <c r="L206" s="5" t="n">
        <v>108000</v>
      </c>
      <c r="M206" s="6" t="n">
        <v>133000</v>
      </c>
      <c r="N206" s="5" t="n"/>
      <c r="O206" s="5">
        <f>IF(AND(ISNUMBER(N206),ISNUMBER(M206)),N206-M206,"")</f>
        <v/>
      </c>
      <c r="P206" s="7">
        <f>IF(AND(ISNUMBER(N206),ISNUMBER(M206),M206&gt;0),(N206-M206)/M206,"")</f>
        <v/>
      </c>
      <c r="Q206" s="3">
        <f>IF(P206="","",IF(P206&lt;-0.02,"🔴 Bán phá giá sàn",IF(P206&gt;0.05,"🔵 Bán cao hơn","🟢 Đúng giá sàn TMĐT")))</f>
        <v/>
      </c>
      <c r="R206" s="3" t="n"/>
      <c r="S206" s="4" t="n"/>
      <c r="T206" s="4" t="n"/>
    </row>
    <row r="207">
      <c r="A207" s="3" t="n">
        <v>206</v>
      </c>
      <c r="B207" s="3" t="inlineStr">
        <is>
          <t>DL001</t>
        </is>
      </c>
      <c r="C207" s="4" t="inlineStr">
        <is>
          <t>Điện nước Nhật (Shop) HCM</t>
        </is>
      </c>
      <c r="D207" s="3" t="inlineStr">
        <is>
          <t>HCM</t>
        </is>
      </c>
      <c r="E207" s="3" t="inlineStr">
        <is>
          <t>BẢO TRÂM</t>
        </is>
      </c>
      <c r="F207" s="3" t="inlineStr">
        <is>
          <t>Shopee</t>
        </is>
      </c>
      <c r="G20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7" s="3" t="inlineStr">
        <is>
          <t>KBX2-50</t>
        </is>
      </c>
      <c r="I207" s="4" t="inlineStr">
        <is>
          <t>Mũi khoét gỗ KBX2-50</t>
        </is>
      </c>
      <c r="J207" s="3" t="inlineStr">
        <is>
          <t>Cái</t>
        </is>
      </c>
      <c r="K207" s="5" t="n">
        <v>164000</v>
      </c>
      <c r="L207" s="5" t="n">
        <v>194000</v>
      </c>
      <c r="M207" s="6" t="n">
        <v>238000</v>
      </c>
      <c r="N207" s="5" t="n"/>
      <c r="O207" s="5">
        <f>IF(AND(ISNUMBER(N207),ISNUMBER(M207)),N207-M207,"")</f>
        <v/>
      </c>
      <c r="P207" s="7">
        <f>IF(AND(ISNUMBER(N207),ISNUMBER(M207),M207&gt;0),(N207-M207)/M207,"")</f>
        <v/>
      </c>
      <c r="Q207" s="3">
        <f>IF(P207="","",IF(P207&lt;-0.02,"🔴 Bán phá giá sàn",IF(P207&gt;0.05,"🔵 Bán cao hơn","🟢 Đúng giá sàn TMĐT")))</f>
        <v/>
      </c>
      <c r="R207" s="3" t="n"/>
      <c r="S207" s="4" t="n"/>
      <c r="T207" s="4" t="n"/>
    </row>
    <row r="208">
      <c r="A208" s="3" t="n">
        <v>207</v>
      </c>
      <c r="B208" s="3" t="inlineStr">
        <is>
          <t>DL001</t>
        </is>
      </c>
      <c r="C208" s="4" t="inlineStr">
        <is>
          <t>Điện nước Nhật (Shop) HCM</t>
        </is>
      </c>
      <c r="D208" s="3" t="inlineStr">
        <is>
          <t>HCM</t>
        </is>
      </c>
      <c r="E208" s="3" t="inlineStr">
        <is>
          <t>BẢO TRÂM</t>
        </is>
      </c>
      <c r="F208" s="3" t="inlineStr">
        <is>
          <t>Shopee</t>
        </is>
      </c>
      <c r="G20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8" s="3" t="inlineStr">
        <is>
          <t>KBX2-60</t>
        </is>
      </c>
      <c r="I208" s="4" t="inlineStr">
        <is>
          <t>Mũi khoét gỗ KBX2-60</t>
        </is>
      </c>
      <c r="J208" s="3" t="inlineStr">
        <is>
          <t>Cái</t>
        </is>
      </c>
      <c r="K208" s="5" t="n">
        <v>191000</v>
      </c>
      <c r="L208" s="5" t="n">
        <v>225000</v>
      </c>
      <c r="M208" s="6" t="n">
        <v>277000</v>
      </c>
      <c r="N208" s="5" t="n"/>
      <c r="O208" s="5">
        <f>IF(AND(ISNUMBER(N208),ISNUMBER(M208)),N208-M208,"")</f>
        <v/>
      </c>
      <c r="P208" s="7">
        <f>IF(AND(ISNUMBER(N208),ISNUMBER(M208),M208&gt;0),(N208-M208)/M208,"")</f>
        <v/>
      </c>
      <c r="Q208" s="3">
        <f>IF(P208="","",IF(P208&lt;-0.02,"🔴 Bán phá giá sàn",IF(P208&gt;0.05,"🔵 Bán cao hơn","🟢 Đúng giá sàn TMĐT")))</f>
        <v/>
      </c>
      <c r="R208" s="3" t="n"/>
      <c r="S208" s="4" t="n"/>
      <c r="T208" s="4" t="n"/>
    </row>
    <row r="209">
      <c r="A209" s="3" t="n">
        <v>208</v>
      </c>
      <c r="B209" s="3" t="inlineStr">
        <is>
          <t>DL001</t>
        </is>
      </c>
      <c r="C209" s="4" t="inlineStr">
        <is>
          <t>Điện nước Nhật (Shop) HCM</t>
        </is>
      </c>
      <c r="D209" s="3" t="inlineStr">
        <is>
          <t>HCM</t>
        </is>
      </c>
      <c r="E209" s="3" t="inlineStr">
        <is>
          <t>BẢO TRÂM</t>
        </is>
      </c>
      <c r="F209" s="3" t="inlineStr">
        <is>
          <t>Shopee</t>
        </is>
      </c>
      <c r="G20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09" s="3" t="inlineStr">
        <is>
          <t>R1-26/25</t>
        </is>
      </c>
      <c r="I209" s="4" t="inlineStr">
        <is>
          <t>Mũi khoét hợp kim BlueBird R1-26/25</t>
        </is>
      </c>
      <c r="J209" s="3" t="inlineStr">
        <is>
          <t>Cái</t>
        </is>
      </c>
      <c r="K209" s="5" t="n">
        <v>97000</v>
      </c>
      <c r="L209" s="5" t="n">
        <v>118000</v>
      </c>
      <c r="M209" s="6" t="n">
        <v>150000</v>
      </c>
      <c r="N209" s="5" t="n"/>
      <c r="O209" s="5">
        <f>IF(AND(ISNUMBER(N209),ISNUMBER(M209)),N209-M209,"")</f>
        <v/>
      </c>
      <c r="P209" s="7">
        <f>IF(AND(ISNUMBER(N209),ISNUMBER(M209),M209&gt;0),(N209-M209)/M209,"")</f>
        <v/>
      </c>
      <c r="Q209" s="3">
        <f>IF(P209="","",IF(P209&lt;-0.02,"🔴 Bán phá giá sàn",IF(P209&gt;0.05,"🔵 Bán cao hơn","🟢 Đúng giá sàn TMĐT")))</f>
        <v/>
      </c>
      <c r="R209" s="3" t="n"/>
      <c r="S209" s="4" t="n"/>
      <c r="T209" s="4" t="n"/>
    </row>
    <row r="210">
      <c r="A210" s="3" t="n">
        <v>209</v>
      </c>
      <c r="B210" s="3" t="inlineStr">
        <is>
          <t>DL001</t>
        </is>
      </c>
      <c r="C210" s="4" t="inlineStr">
        <is>
          <t>Điện nước Nhật (Shop) HCM</t>
        </is>
      </c>
      <c r="D210" s="3" t="inlineStr">
        <is>
          <t>HCM</t>
        </is>
      </c>
      <c r="E210" s="3" t="inlineStr">
        <is>
          <t>BẢO TRÂM</t>
        </is>
      </c>
      <c r="F210" s="3" t="inlineStr">
        <is>
          <t>Shopee</t>
        </is>
      </c>
      <c r="G21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0" s="3" t="inlineStr">
        <is>
          <t>R1-35/25</t>
        </is>
      </c>
      <c r="I210" s="4" t="inlineStr">
        <is>
          <t>Mũi khoét hợp kim BlueBird R1-35/25</t>
        </is>
      </c>
      <c r="J210" s="3" t="inlineStr">
        <is>
          <t>Cái</t>
        </is>
      </c>
      <c r="K210" s="5" t="n">
        <v>129000</v>
      </c>
      <c r="L210" s="5" t="n">
        <v>157000</v>
      </c>
      <c r="M210" s="6" t="n">
        <v>200000</v>
      </c>
      <c r="N210" s="5" t="n"/>
      <c r="O210" s="5">
        <f>IF(AND(ISNUMBER(N210),ISNUMBER(M210)),N210-M210,"")</f>
        <v/>
      </c>
      <c r="P210" s="7">
        <f>IF(AND(ISNUMBER(N210),ISNUMBER(M210),M210&gt;0),(N210-M210)/M210,"")</f>
        <v/>
      </c>
      <c r="Q210" s="3">
        <f>IF(P210="","",IF(P210&lt;-0.02,"🔴 Bán phá giá sàn",IF(P210&gt;0.05,"🔵 Bán cao hơn","🟢 Đúng giá sàn TMĐT")))</f>
        <v/>
      </c>
      <c r="R210" s="3" t="n"/>
      <c r="S210" s="4" t="n"/>
      <c r="T210" s="4" t="n"/>
    </row>
    <row r="211">
      <c r="A211" s="3" t="n">
        <v>210</v>
      </c>
      <c r="B211" s="3" t="inlineStr">
        <is>
          <t>DL001</t>
        </is>
      </c>
      <c r="C211" s="4" t="inlineStr">
        <is>
          <t>Điện nước Nhật (Shop) HCM</t>
        </is>
      </c>
      <c r="D211" s="3" t="inlineStr">
        <is>
          <t>HCM</t>
        </is>
      </c>
      <c r="E211" s="3" t="inlineStr">
        <is>
          <t>BẢO TRÂM</t>
        </is>
      </c>
      <c r="F211" s="3" t="inlineStr">
        <is>
          <t>Shopee</t>
        </is>
      </c>
      <c r="G21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1" s="3" t="inlineStr">
        <is>
          <t>R1-38/25</t>
        </is>
      </c>
      <c r="I211" s="4" t="inlineStr">
        <is>
          <t>Mũi khoét hợp kim Bluebird R1-38/25</t>
        </is>
      </c>
      <c r="J211" s="3" t="inlineStr">
        <is>
          <t>Cái</t>
        </is>
      </c>
      <c r="K211" s="5" t="n">
        <v>140000</v>
      </c>
      <c r="L211" s="5" t="n">
        <v>171000</v>
      </c>
      <c r="M211" s="6" t="n">
        <v>217000</v>
      </c>
      <c r="N211" s="5" t="n"/>
      <c r="O211" s="5">
        <f>IF(AND(ISNUMBER(N211),ISNUMBER(M211)),N211-M211,"")</f>
        <v/>
      </c>
      <c r="P211" s="7">
        <f>IF(AND(ISNUMBER(N211),ISNUMBER(M211),M211&gt;0),(N211-M211)/M211,"")</f>
        <v/>
      </c>
      <c r="Q211" s="3">
        <f>IF(P211="","",IF(P211&lt;-0.02,"🔴 Bán phá giá sàn",IF(P211&gt;0.05,"🔵 Bán cao hơn","🟢 Đúng giá sàn TMĐT")))</f>
        <v/>
      </c>
      <c r="R211" s="3" t="n"/>
      <c r="S211" s="4" t="n"/>
      <c r="T211" s="4" t="n"/>
    </row>
    <row r="212">
      <c r="A212" s="3" t="n">
        <v>211</v>
      </c>
      <c r="B212" s="3" t="inlineStr">
        <is>
          <t>DL001</t>
        </is>
      </c>
      <c r="C212" s="4" t="inlineStr">
        <is>
          <t>Điện nước Nhật (Shop) HCM</t>
        </is>
      </c>
      <c r="D212" s="3" t="inlineStr">
        <is>
          <t>HCM</t>
        </is>
      </c>
      <c r="E212" s="3" t="inlineStr">
        <is>
          <t>BẢO TRÂM</t>
        </is>
      </c>
      <c r="F212" s="3" t="inlineStr">
        <is>
          <t>Shopee</t>
        </is>
      </c>
      <c r="G21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2" s="3" t="inlineStr">
        <is>
          <t>R1-42/25</t>
        </is>
      </c>
      <c r="I212" s="4" t="inlineStr">
        <is>
          <t>Mũi khoét hợp kim Bluebird R1-42/25</t>
        </is>
      </c>
      <c r="J212" s="3" t="inlineStr">
        <is>
          <t>Cái</t>
        </is>
      </c>
      <c r="K212" s="5" t="n">
        <v>153000</v>
      </c>
      <c r="L212" s="5" t="n">
        <v>187000</v>
      </c>
      <c r="M212" s="6" t="n">
        <v>237000</v>
      </c>
      <c r="N212" s="5" t="n"/>
      <c r="O212" s="5">
        <f>IF(AND(ISNUMBER(N212),ISNUMBER(M212)),N212-M212,"")</f>
        <v/>
      </c>
      <c r="P212" s="7">
        <f>IF(AND(ISNUMBER(N212),ISNUMBER(M212),M212&gt;0),(N212-M212)/M212,"")</f>
        <v/>
      </c>
      <c r="Q212" s="3">
        <f>IF(P212="","",IF(P212&lt;-0.02,"🔴 Bán phá giá sàn",IF(P212&gt;0.05,"🔵 Bán cao hơn","🟢 Đúng giá sàn TMĐT")))</f>
        <v/>
      </c>
      <c r="R212" s="3" t="n"/>
      <c r="S212" s="4" t="n"/>
      <c r="T212" s="4" t="n"/>
    </row>
    <row r="213">
      <c r="A213" s="3" t="n">
        <v>212</v>
      </c>
      <c r="B213" s="3" t="inlineStr">
        <is>
          <t>DL001</t>
        </is>
      </c>
      <c r="C213" s="4" t="inlineStr">
        <is>
          <t>Điện nước Nhật (Shop) HCM</t>
        </is>
      </c>
      <c r="D213" s="3" t="inlineStr">
        <is>
          <t>HCM</t>
        </is>
      </c>
      <c r="E213" s="3" t="inlineStr">
        <is>
          <t>BẢO TRÂM</t>
        </is>
      </c>
      <c r="F213" s="3" t="inlineStr">
        <is>
          <t>Shopee</t>
        </is>
      </c>
      <c r="G21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3" s="3" t="inlineStr">
        <is>
          <t>R1-45/25</t>
        </is>
      </c>
      <c r="I213" s="4" t="inlineStr">
        <is>
          <t>Mũi khoét hợp kim BlueBird R1-45/25</t>
        </is>
      </c>
      <c r="J213" s="3" t="inlineStr">
        <is>
          <t>Cái</t>
        </is>
      </c>
      <c r="K213" s="5" t="n">
        <v>162000</v>
      </c>
      <c r="L213" s="5" t="n">
        <v>198000</v>
      </c>
      <c r="M213" s="6" t="n">
        <v>251000</v>
      </c>
      <c r="N213" s="5" t="n"/>
      <c r="O213" s="5">
        <f>IF(AND(ISNUMBER(N213),ISNUMBER(M213)),N213-M213,"")</f>
        <v/>
      </c>
      <c r="P213" s="7">
        <f>IF(AND(ISNUMBER(N213),ISNUMBER(M213),M213&gt;0),(N213-M213)/M213,"")</f>
        <v/>
      </c>
      <c r="Q213" s="3">
        <f>IF(P213="","",IF(P213&lt;-0.02,"🔴 Bán phá giá sàn",IF(P213&gt;0.05,"🔵 Bán cao hơn","🟢 Đúng giá sàn TMĐT")))</f>
        <v/>
      </c>
      <c r="R213" s="3" t="n"/>
      <c r="S213" s="4" t="n"/>
      <c r="T213" s="4" t="n"/>
    </row>
    <row r="214">
      <c r="A214" s="3" t="n">
        <v>213</v>
      </c>
      <c r="B214" s="3" t="inlineStr">
        <is>
          <t>DL001</t>
        </is>
      </c>
      <c r="C214" s="4" t="inlineStr">
        <is>
          <t>Điện nước Nhật (Shop) HCM</t>
        </is>
      </c>
      <c r="D214" s="3" t="inlineStr">
        <is>
          <t>HCM</t>
        </is>
      </c>
      <c r="E214" s="3" t="inlineStr">
        <is>
          <t>BẢO TRÂM</t>
        </is>
      </c>
      <c r="F214" s="3" t="inlineStr">
        <is>
          <t>Shopee</t>
        </is>
      </c>
      <c r="G21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4" s="3" t="inlineStr">
        <is>
          <t>R1-16/25</t>
        </is>
      </c>
      <c r="I214" s="4" t="inlineStr">
        <is>
          <t>Mũi khoét hợp kim Kingblue R1-16/25</t>
        </is>
      </c>
      <c r="J214" s="3" t="inlineStr">
        <is>
          <t>Cái</t>
        </is>
      </c>
      <c r="K214" s="5" t="n">
        <v>59000</v>
      </c>
      <c r="L214" s="5" t="n">
        <v>72000</v>
      </c>
      <c r="M214" s="6" t="n">
        <v>92000</v>
      </c>
      <c r="N214" s="5" t="n"/>
      <c r="O214" s="5">
        <f>IF(AND(ISNUMBER(N214),ISNUMBER(M214)),N214-M214,"")</f>
        <v/>
      </c>
      <c r="P214" s="7">
        <f>IF(AND(ISNUMBER(N214),ISNUMBER(M214),M214&gt;0),(N214-M214)/M214,"")</f>
        <v/>
      </c>
      <c r="Q214" s="3">
        <f>IF(P214="","",IF(P214&lt;-0.02,"🔴 Bán phá giá sàn",IF(P214&gt;0.05,"🔵 Bán cao hơn","🟢 Đúng giá sàn TMĐT")))</f>
        <v/>
      </c>
      <c r="R214" s="3" t="n"/>
      <c r="S214" s="4" t="n"/>
      <c r="T214" s="4" t="n"/>
    </row>
    <row r="215">
      <c r="A215" s="3" t="n">
        <v>214</v>
      </c>
      <c r="B215" s="3" t="inlineStr">
        <is>
          <t>DL001</t>
        </is>
      </c>
      <c r="C215" s="4" t="inlineStr">
        <is>
          <t>Điện nước Nhật (Shop) HCM</t>
        </is>
      </c>
      <c r="D215" s="3" t="inlineStr">
        <is>
          <t>HCM</t>
        </is>
      </c>
      <c r="E215" s="3" t="inlineStr">
        <is>
          <t>BẢO TRÂM</t>
        </is>
      </c>
      <c r="F215" s="3" t="inlineStr">
        <is>
          <t>Shopee</t>
        </is>
      </c>
      <c r="G21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5" s="3" t="inlineStr">
        <is>
          <t>R1-21/25</t>
        </is>
      </c>
      <c r="I215" s="4" t="inlineStr">
        <is>
          <t>Mũi khoét hợp kim Kingblue R1-21/25</t>
        </is>
      </c>
      <c r="J215" s="3" t="inlineStr">
        <is>
          <t>Cái</t>
        </is>
      </c>
      <c r="K215" s="5" t="n">
        <v>77000</v>
      </c>
      <c r="L215" s="5" t="n">
        <v>94000</v>
      </c>
      <c r="M215" s="6" t="n">
        <v>119000</v>
      </c>
      <c r="N215" s="5" t="n"/>
      <c r="O215" s="5">
        <f>IF(AND(ISNUMBER(N215),ISNUMBER(M215)),N215-M215,"")</f>
        <v/>
      </c>
      <c r="P215" s="7">
        <f>IF(AND(ISNUMBER(N215),ISNUMBER(M215),M215&gt;0),(N215-M215)/M215,"")</f>
        <v/>
      </c>
      <c r="Q215" s="3">
        <f>IF(P215="","",IF(P215&lt;-0.02,"🔴 Bán phá giá sàn",IF(P215&gt;0.05,"🔵 Bán cao hơn","🟢 Đúng giá sàn TMĐT")))</f>
        <v/>
      </c>
      <c r="R215" s="3" t="n"/>
      <c r="S215" s="4" t="n"/>
      <c r="T215" s="4" t="n"/>
    </row>
    <row r="216">
      <c r="A216" s="3" t="n">
        <v>215</v>
      </c>
      <c r="B216" s="3" t="inlineStr">
        <is>
          <t>DL001</t>
        </is>
      </c>
      <c r="C216" s="4" t="inlineStr">
        <is>
          <t>Điện nước Nhật (Shop) HCM</t>
        </is>
      </c>
      <c r="D216" s="3" t="inlineStr">
        <is>
          <t>HCM</t>
        </is>
      </c>
      <c r="E216" s="3" t="inlineStr">
        <is>
          <t>BẢO TRÂM</t>
        </is>
      </c>
      <c r="F216" s="3" t="inlineStr">
        <is>
          <t>Shopee</t>
        </is>
      </c>
      <c r="G21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6" s="3" t="inlineStr">
        <is>
          <t>R1-22/25</t>
        </is>
      </c>
      <c r="I216" s="4" t="inlineStr">
        <is>
          <t>Mũi khoét hợp kim Kingblue R1-22/25</t>
        </is>
      </c>
      <c r="J216" s="3" t="inlineStr">
        <is>
          <t>Cái</t>
        </is>
      </c>
      <c r="K216" s="5" t="n">
        <v>82000</v>
      </c>
      <c r="L216" s="5" t="n">
        <v>100000</v>
      </c>
      <c r="M216" s="6" t="n">
        <v>127000</v>
      </c>
      <c r="N216" s="5" t="n"/>
      <c r="O216" s="5">
        <f>IF(AND(ISNUMBER(N216),ISNUMBER(M216)),N216-M216,"")</f>
        <v/>
      </c>
      <c r="P216" s="7">
        <f>IF(AND(ISNUMBER(N216),ISNUMBER(M216),M216&gt;0),(N216-M216)/M216,"")</f>
        <v/>
      </c>
      <c r="Q216" s="3">
        <f>IF(P216="","",IF(P216&lt;-0.02,"🔴 Bán phá giá sàn",IF(P216&gt;0.05,"🔵 Bán cao hơn","🟢 Đúng giá sàn TMĐT")))</f>
        <v/>
      </c>
      <c r="R216" s="3" t="n"/>
      <c r="S216" s="4" t="n"/>
      <c r="T216" s="4" t="n"/>
    </row>
    <row r="217">
      <c r="A217" s="3" t="n">
        <v>216</v>
      </c>
      <c r="B217" s="3" t="inlineStr">
        <is>
          <t>DL001</t>
        </is>
      </c>
      <c r="C217" s="4" t="inlineStr">
        <is>
          <t>Điện nước Nhật (Shop) HCM</t>
        </is>
      </c>
      <c r="D217" s="3" t="inlineStr">
        <is>
          <t>HCM</t>
        </is>
      </c>
      <c r="E217" s="3" t="inlineStr">
        <is>
          <t>BẢO TRÂM</t>
        </is>
      </c>
      <c r="F217" s="3" t="inlineStr">
        <is>
          <t>Shopee</t>
        </is>
      </c>
      <c r="G21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7" s="3" t="inlineStr">
        <is>
          <t>R1-25/25</t>
        </is>
      </c>
      <c r="I217" s="4" t="inlineStr">
        <is>
          <t>Mũi khoét hợp kim Kingblue R1-25/25</t>
        </is>
      </c>
      <c r="J217" s="3" t="inlineStr">
        <is>
          <t>Cái</t>
        </is>
      </c>
      <c r="K217" s="5" t="n">
        <v>91000</v>
      </c>
      <c r="L217" s="5" t="n">
        <v>111000</v>
      </c>
      <c r="M217" s="6" t="n">
        <v>141000</v>
      </c>
      <c r="N217" s="5" t="n"/>
      <c r="O217" s="5">
        <f>IF(AND(ISNUMBER(N217),ISNUMBER(M217)),N217-M217,"")</f>
        <v/>
      </c>
      <c r="P217" s="7">
        <f>IF(AND(ISNUMBER(N217),ISNUMBER(M217),M217&gt;0),(N217-M217)/M217,"")</f>
        <v/>
      </c>
      <c r="Q217" s="3">
        <f>IF(P217="","",IF(P217&lt;-0.02,"🔴 Bán phá giá sàn",IF(P217&gt;0.05,"🔵 Bán cao hơn","🟢 Đúng giá sàn TMĐT")))</f>
        <v/>
      </c>
      <c r="R217" s="3" t="n"/>
      <c r="S217" s="4" t="n"/>
      <c r="T217" s="4" t="n"/>
    </row>
    <row r="218">
      <c r="A218" s="3" t="n">
        <v>217</v>
      </c>
      <c r="B218" s="3" t="inlineStr">
        <is>
          <t>DL001</t>
        </is>
      </c>
      <c r="C218" s="4" t="inlineStr">
        <is>
          <t>Điện nước Nhật (Shop) HCM</t>
        </is>
      </c>
      <c r="D218" s="3" t="inlineStr">
        <is>
          <t>HCM</t>
        </is>
      </c>
      <c r="E218" s="3" t="inlineStr">
        <is>
          <t>BẢO TRÂM</t>
        </is>
      </c>
      <c r="F218" s="3" t="inlineStr">
        <is>
          <t>Shopee</t>
        </is>
      </c>
      <c r="G21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8" s="3" t="inlineStr">
        <is>
          <t>R1-32/25</t>
        </is>
      </c>
      <c r="I218" s="4" t="inlineStr">
        <is>
          <t>Mũi khoét hợp kim Kingblue R1-32/25</t>
        </is>
      </c>
      <c r="J218" s="3" t="inlineStr">
        <is>
          <t>Cái</t>
        </is>
      </c>
      <c r="K218" s="5" t="n">
        <v>116000</v>
      </c>
      <c r="L218" s="5" t="n">
        <v>142000</v>
      </c>
      <c r="M218" s="6" t="n">
        <v>180000</v>
      </c>
      <c r="N218" s="5" t="n"/>
      <c r="O218" s="5">
        <f>IF(AND(ISNUMBER(N218),ISNUMBER(M218)),N218-M218,"")</f>
        <v/>
      </c>
      <c r="P218" s="7">
        <f>IF(AND(ISNUMBER(N218),ISNUMBER(M218),M218&gt;0),(N218-M218)/M218,"")</f>
        <v/>
      </c>
      <c r="Q218" s="3">
        <f>IF(P218="","",IF(P218&lt;-0.02,"🔴 Bán phá giá sàn",IF(P218&gt;0.05,"🔵 Bán cao hơn","🟢 Đúng giá sàn TMĐT")))</f>
        <v/>
      </c>
      <c r="R218" s="3" t="n"/>
      <c r="S218" s="4" t="n"/>
      <c r="T218" s="4" t="n"/>
    </row>
    <row r="219">
      <c r="A219" s="3" t="n">
        <v>218</v>
      </c>
      <c r="B219" s="3" t="inlineStr">
        <is>
          <t>DL001</t>
        </is>
      </c>
      <c r="C219" s="4" t="inlineStr">
        <is>
          <t>Điện nước Nhật (Shop) HCM</t>
        </is>
      </c>
      <c r="D219" s="3" t="inlineStr">
        <is>
          <t>HCM</t>
        </is>
      </c>
      <c r="E219" s="3" t="inlineStr">
        <is>
          <t>BẢO TRÂM</t>
        </is>
      </c>
      <c r="F219" s="3" t="inlineStr">
        <is>
          <t>Shopee</t>
        </is>
      </c>
      <c r="G21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19" s="3" t="inlineStr">
        <is>
          <t>R2-16mm</t>
        </is>
      </c>
      <c r="I219" s="4" t="inlineStr">
        <is>
          <t>Mũi khoét kim loại KingBlue R2-16mm</t>
        </is>
      </c>
      <c r="J219" s="3" t="inlineStr">
        <is>
          <t>Cái</t>
        </is>
      </c>
      <c r="K219" s="5" t="n">
        <v>29000</v>
      </c>
      <c r="L219" s="5" t="n">
        <v>35000</v>
      </c>
      <c r="M219" s="6" t="n">
        <v>45000</v>
      </c>
      <c r="N219" s="5" t="n"/>
      <c r="O219" s="5">
        <f>IF(AND(ISNUMBER(N219),ISNUMBER(M219)),N219-M219,"")</f>
        <v/>
      </c>
      <c r="P219" s="7">
        <f>IF(AND(ISNUMBER(N219),ISNUMBER(M219),M219&gt;0),(N219-M219)/M219,"")</f>
        <v/>
      </c>
      <c r="Q219" s="3">
        <f>IF(P219="","",IF(P219&lt;-0.02,"🔴 Bán phá giá sàn",IF(P219&gt;0.05,"🔵 Bán cao hơn","🟢 Đúng giá sàn TMĐT")))</f>
        <v/>
      </c>
      <c r="R219" s="3" t="n"/>
      <c r="S219" s="4" t="n"/>
      <c r="T219" s="4" t="n"/>
    </row>
    <row r="220">
      <c r="A220" s="3" t="n">
        <v>219</v>
      </c>
      <c r="B220" s="3" t="inlineStr">
        <is>
          <t>DL001</t>
        </is>
      </c>
      <c r="C220" s="4" t="inlineStr">
        <is>
          <t>Điện nước Nhật (Shop) HCM</t>
        </is>
      </c>
      <c r="D220" s="3" t="inlineStr">
        <is>
          <t>HCM</t>
        </is>
      </c>
      <c r="E220" s="3" t="inlineStr">
        <is>
          <t>BẢO TRÂM</t>
        </is>
      </c>
      <c r="F220" s="3" t="inlineStr">
        <is>
          <t>Shopee</t>
        </is>
      </c>
      <c r="G22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0" s="3" t="inlineStr">
        <is>
          <t>R2-18mm</t>
        </is>
      </c>
      <c r="I220" s="4" t="inlineStr">
        <is>
          <t>Mũi khoét kim loại KingBlue R2-18mm</t>
        </is>
      </c>
      <c r="J220" s="3" t="inlineStr">
        <is>
          <t>Cái</t>
        </is>
      </c>
      <c r="K220" s="5" t="n">
        <v>35000</v>
      </c>
      <c r="L220" s="5" t="n">
        <v>43000</v>
      </c>
      <c r="M220" s="6" t="n">
        <v>54000</v>
      </c>
      <c r="N220" s="5" t="n"/>
      <c r="O220" s="5">
        <f>IF(AND(ISNUMBER(N220),ISNUMBER(M220)),N220-M220,"")</f>
        <v/>
      </c>
      <c r="P220" s="7">
        <f>IF(AND(ISNUMBER(N220),ISNUMBER(M220),M220&gt;0),(N220-M220)/M220,"")</f>
        <v/>
      </c>
      <c r="Q220" s="3">
        <f>IF(P220="","",IF(P220&lt;-0.02,"🔴 Bán phá giá sàn",IF(P220&gt;0.05,"🔵 Bán cao hơn","🟢 Đúng giá sàn TMĐT")))</f>
        <v/>
      </c>
      <c r="R220" s="3" t="n"/>
      <c r="S220" s="4" t="n"/>
      <c r="T220" s="4" t="n"/>
    </row>
    <row r="221">
      <c r="A221" s="3" t="n">
        <v>220</v>
      </c>
      <c r="B221" s="3" t="inlineStr">
        <is>
          <t>DL001</t>
        </is>
      </c>
      <c r="C221" s="4" t="inlineStr">
        <is>
          <t>Điện nước Nhật (Shop) HCM</t>
        </is>
      </c>
      <c r="D221" s="3" t="inlineStr">
        <is>
          <t>HCM</t>
        </is>
      </c>
      <c r="E221" s="3" t="inlineStr">
        <is>
          <t>BẢO TRÂM</t>
        </is>
      </c>
      <c r="F221" s="3" t="inlineStr">
        <is>
          <t>Shopee</t>
        </is>
      </c>
      <c r="G22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1" s="3" t="inlineStr">
        <is>
          <t>R2-20mm</t>
        </is>
      </c>
      <c r="I221" s="4" t="inlineStr">
        <is>
          <t>Mũi khoét kim loại KingBlue R2-20mm</t>
        </is>
      </c>
      <c r="J221" s="3" t="inlineStr">
        <is>
          <t>Cái</t>
        </is>
      </c>
      <c r="K221" s="5" t="n">
        <v>40000</v>
      </c>
      <c r="L221" s="5" t="n">
        <v>49000</v>
      </c>
      <c r="M221" s="6" t="n">
        <v>62000</v>
      </c>
      <c r="N221" s="5" t="n"/>
      <c r="O221" s="5">
        <f>IF(AND(ISNUMBER(N221),ISNUMBER(M221)),N221-M221,"")</f>
        <v/>
      </c>
      <c r="P221" s="7">
        <f>IF(AND(ISNUMBER(N221),ISNUMBER(M221),M221&gt;0),(N221-M221)/M221,"")</f>
        <v/>
      </c>
      <c r="Q221" s="3">
        <f>IF(P221="","",IF(P221&lt;-0.02,"🔴 Bán phá giá sàn",IF(P221&gt;0.05,"🔵 Bán cao hơn","🟢 Đúng giá sàn TMĐT")))</f>
        <v/>
      </c>
      <c r="R221" s="3" t="n"/>
      <c r="S221" s="4" t="n"/>
      <c r="T221" s="4" t="n"/>
    </row>
    <row r="222">
      <c r="A222" s="3" t="n">
        <v>221</v>
      </c>
      <c r="B222" s="3" t="inlineStr">
        <is>
          <t>DL001</t>
        </is>
      </c>
      <c r="C222" s="4" t="inlineStr">
        <is>
          <t>Điện nước Nhật (Shop) HCM</t>
        </is>
      </c>
      <c r="D222" s="3" t="inlineStr">
        <is>
          <t>HCM</t>
        </is>
      </c>
      <c r="E222" s="3" t="inlineStr">
        <is>
          <t>BẢO TRÂM</t>
        </is>
      </c>
      <c r="F222" s="3" t="inlineStr">
        <is>
          <t>Shopee</t>
        </is>
      </c>
      <c r="G22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2" s="3" t="inlineStr">
        <is>
          <t>R2-22mm</t>
        </is>
      </c>
      <c r="I222" s="4" t="inlineStr">
        <is>
          <t>Mũi khoét kim loại KingBlue R2-22mm</t>
        </is>
      </c>
      <c r="J222" s="3" t="inlineStr">
        <is>
          <t>Cái</t>
        </is>
      </c>
      <c r="K222" s="5" t="n">
        <v>45000</v>
      </c>
      <c r="L222" s="5" t="n">
        <v>55000</v>
      </c>
      <c r="M222" s="6" t="n">
        <v>70000</v>
      </c>
      <c r="N222" s="5" t="n"/>
      <c r="O222" s="5">
        <f>IF(AND(ISNUMBER(N222),ISNUMBER(M222)),N222-M222,"")</f>
        <v/>
      </c>
      <c r="P222" s="7">
        <f>IF(AND(ISNUMBER(N222),ISNUMBER(M222),M222&gt;0),(N222-M222)/M222,"")</f>
        <v/>
      </c>
      <c r="Q222" s="3">
        <f>IF(P222="","",IF(P222&lt;-0.02,"🔴 Bán phá giá sàn",IF(P222&gt;0.05,"🔵 Bán cao hơn","🟢 Đúng giá sàn TMĐT")))</f>
        <v/>
      </c>
      <c r="R222" s="3" t="n"/>
      <c r="S222" s="4" t="n"/>
      <c r="T222" s="4" t="n"/>
    </row>
    <row r="223">
      <c r="A223" s="3" t="n">
        <v>222</v>
      </c>
      <c r="B223" s="3" t="inlineStr">
        <is>
          <t>DL001</t>
        </is>
      </c>
      <c r="C223" s="4" t="inlineStr">
        <is>
          <t>Điện nước Nhật (Shop) HCM</t>
        </is>
      </c>
      <c r="D223" s="3" t="inlineStr">
        <is>
          <t>HCM</t>
        </is>
      </c>
      <c r="E223" s="3" t="inlineStr">
        <is>
          <t>BẢO TRÂM</t>
        </is>
      </c>
      <c r="F223" s="3" t="inlineStr">
        <is>
          <t>Shopee</t>
        </is>
      </c>
      <c r="G22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3" s="3" t="inlineStr">
        <is>
          <t>R2-23mm</t>
        </is>
      </c>
      <c r="I223" s="4" t="inlineStr">
        <is>
          <t>Mũi khoét kim loại KingBlue R2-23mm</t>
        </is>
      </c>
      <c r="J223" s="3" t="inlineStr">
        <is>
          <t>Cái</t>
        </is>
      </c>
      <c r="K223" s="5" t="n">
        <v>47000</v>
      </c>
      <c r="L223" s="5" t="n">
        <v>57000</v>
      </c>
      <c r="M223" s="6" t="n">
        <v>73000</v>
      </c>
      <c r="N223" s="5" t="n"/>
      <c r="O223" s="5">
        <f>IF(AND(ISNUMBER(N223),ISNUMBER(M223)),N223-M223,"")</f>
        <v/>
      </c>
      <c r="P223" s="7">
        <f>IF(AND(ISNUMBER(N223),ISNUMBER(M223),M223&gt;0),(N223-M223)/M223,"")</f>
        <v/>
      </c>
      <c r="Q223" s="3">
        <f>IF(P223="","",IF(P223&lt;-0.02,"🔴 Bán phá giá sàn",IF(P223&gt;0.05,"🔵 Bán cao hơn","🟢 Đúng giá sàn TMĐT")))</f>
        <v/>
      </c>
      <c r="R223" s="3" t="n"/>
      <c r="S223" s="4" t="n"/>
      <c r="T223" s="4" t="n"/>
    </row>
    <row r="224">
      <c r="A224" s="3" t="n">
        <v>223</v>
      </c>
      <c r="B224" s="3" t="inlineStr">
        <is>
          <t>DL001</t>
        </is>
      </c>
      <c r="C224" s="4" t="inlineStr">
        <is>
          <t>Điện nước Nhật (Shop) HCM</t>
        </is>
      </c>
      <c r="D224" s="3" t="inlineStr">
        <is>
          <t>HCM</t>
        </is>
      </c>
      <c r="E224" s="3" t="inlineStr">
        <is>
          <t>BẢO TRÂM</t>
        </is>
      </c>
      <c r="F224" s="3" t="inlineStr">
        <is>
          <t>Shopee</t>
        </is>
      </c>
      <c r="G22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4" s="3" t="inlineStr">
        <is>
          <t>R2-25mm</t>
        </is>
      </c>
      <c r="I224" s="4" t="inlineStr">
        <is>
          <t>Mũi khoét kim loại KingBlue R2-25mm</t>
        </is>
      </c>
      <c r="J224" s="3" t="inlineStr">
        <is>
          <t>Cái</t>
        </is>
      </c>
      <c r="K224" s="5" t="n">
        <v>49000</v>
      </c>
      <c r="L224" s="5" t="n">
        <v>60000</v>
      </c>
      <c r="M224" s="6" t="n">
        <v>76000</v>
      </c>
      <c r="N224" s="5" t="n"/>
      <c r="O224" s="5">
        <f>IF(AND(ISNUMBER(N224),ISNUMBER(M224)),N224-M224,"")</f>
        <v/>
      </c>
      <c r="P224" s="7">
        <f>IF(AND(ISNUMBER(N224),ISNUMBER(M224),M224&gt;0),(N224-M224)/M224,"")</f>
        <v/>
      </c>
      <c r="Q224" s="3">
        <f>IF(P224="","",IF(P224&lt;-0.02,"🔴 Bán phá giá sàn",IF(P224&gt;0.05,"🔵 Bán cao hơn","🟢 Đúng giá sàn TMĐT")))</f>
        <v/>
      </c>
      <c r="R224" s="3" t="n"/>
      <c r="S224" s="4" t="n"/>
      <c r="T224" s="4" t="n"/>
    </row>
    <row r="225">
      <c r="A225" s="3" t="n">
        <v>224</v>
      </c>
      <c r="B225" s="3" t="inlineStr">
        <is>
          <t>DL001</t>
        </is>
      </c>
      <c r="C225" s="4" t="inlineStr">
        <is>
          <t>Điện nước Nhật (Shop) HCM</t>
        </is>
      </c>
      <c r="D225" s="3" t="inlineStr">
        <is>
          <t>HCM</t>
        </is>
      </c>
      <c r="E225" s="3" t="inlineStr">
        <is>
          <t>BẢO TRÂM</t>
        </is>
      </c>
      <c r="F225" s="3" t="inlineStr">
        <is>
          <t>Shopee</t>
        </is>
      </c>
      <c r="G22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5" s="3" t="inlineStr">
        <is>
          <t>R2-32mm</t>
        </is>
      </c>
      <c r="I225" s="4" t="inlineStr">
        <is>
          <t>Mũi khoét kim loại KingBlue R2-32mm</t>
        </is>
      </c>
      <c r="J225" s="3" t="inlineStr">
        <is>
          <t>Cái</t>
        </is>
      </c>
      <c r="K225" s="5" t="n">
        <v>66000</v>
      </c>
      <c r="L225" s="5" t="n">
        <v>80000</v>
      </c>
      <c r="M225" s="6" t="n">
        <v>102000</v>
      </c>
      <c r="N225" s="5" t="n"/>
      <c r="O225" s="5">
        <f>IF(AND(ISNUMBER(N225),ISNUMBER(M225)),N225-M225,"")</f>
        <v/>
      </c>
      <c r="P225" s="7">
        <f>IF(AND(ISNUMBER(N225),ISNUMBER(M225),M225&gt;0),(N225-M225)/M225,"")</f>
        <v/>
      </c>
      <c r="Q225" s="3">
        <f>IF(P225="","",IF(P225&lt;-0.02,"🔴 Bán phá giá sàn",IF(P225&gt;0.05,"🔵 Bán cao hơn","🟢 Đúng giá sàn TMĐT")))</f>
        <v/>
      </c>
      <c r="R225" s="3" t="n"/>
      <c r="S225" s="4" t="n"/>
      <c r="T225" s="4" t="n"/>
    </row>
    <row r="226">
      <c r="A226" s="3" t="n">
        <v>225</v>
      </c>
      <c r="B226" s="3" t="inlineStr">
        <is>
          <t>DL001</t>
        </is>
      </c>
      <c r="C226" s="4" t="inlineStr">
        <is>
          <t>Điện nước Nhật (Shop) HCM</t>
        </is>
      </c>
      <c r="D226" s="3" t="inlineStr">
        <is>
          <t>HCM</t>
        </is>
      </c>
      <c r="E226" s="3" t="inlineStr">
        <is>
          <t>BẢO TRÂM</t>
        </is>
      </c>
      <c r="F226" s="3" t="inlineStr">
        <is>
          <t>Shopee</t>
        </is>
      </c>
      <c r="G22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6" s="3" t="inlineStr">
        <is>
          <t>R2-40mm</t>
        </is>
      </c>
      <c r="I226" s="4" t="inlineStr">
        <is>
          <t>Mũi khoét kim loại KingBlue R2-40mm</t>
        </is>
      </c>
      <c r="J226" s="3" t="inlineStr">
        <is>
          <t>Cái</t>
        </is>
      </c>
      <c r="K226" s="5" t="n">
        <v>79000</v>
      </c>
      <c r="L226" s="5" t="n">
        <v>97000</v>
      </c>
      <c r="M226" s="6" t="n">
        <v>123000</v>
      </c>
      <c r="N226" s="5" t="n"/>
      <c r="O226" s="5">
        <f>IF(AND(ISNUMBER(N226),ISNUMBER(M226)),N226-M226,"")</f>
        <v/>
      </c>
      <c r="P226" s="7">
        <f>IF(AND(ISNUMBER(N226),ISNUMBER(M226),M226&gt;0),(N226-M226)/M226,"")</f>
        <v/>
      </c>
      <c r="Q226" s="3">
        <f>IF(P226="","",IF(P226&lt;-0.02,"🔴 Bán phá giá sàn",IF(P226&gt;0.05,"🔵 Bán cao hơn","🟢 Đúng giá sàn TMĐT")))</f>
        <v/>
      </c>
      <c r="R226" s="3" t="n"/>
      <c r="S226" s="4" t="n"/>
      <c r="T226" s="4" t="n"/>
    </row>
    <row r="227">
      <c r="A227" s="3" t="n">
        <v>226</v>
      </c>
      <c r="B227" s="3" t="inlineStr">
        <is>
          <t>DL001</t>
        </is>
      </c>
      <c r="C227" s="4" t="inlineStr">
        <is>
          <t>Điện nước Nhật (Shop) HCM</t>
        </is>
      </c>
      <c r="D227" s="3" t="inlineStr">
        <is>
          <t>HCM</t>
        </is>
      </c>
      <c r="E227" s="3" t="inlineStr">
        <is>
          <t>BẢO TRÂM</t>
        </is>
      </c>
      <c r="F227" s="3" t="inlineStr">
        <is>
          <t>Shopee</t>
        </is>
      </c>
      <c r="G22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7" s="3" t="inlineStr">
        <is>
          <t>R2-60mm</t>
        </is>
      </c>
      <c r="I227" s="4" t="inlineStr">
        <is>
          <t>Mũi khoét kim loại KingBlue R2-60mm</t>
        </is>
      </c>
      <c r="J227" s="3" t="inlineStr">
        <is>
          <t>Cái</t>
        </is>
      </c>
      <c r="K227" s="5" t="n">
        <v>124000</v>
      </c>
      <c r="L227" s="5" t="n">
        <v>151000</v>
      </c>
      <c r="M227" s="6" t="n">
        <v>192000</v>
      </c>
      <c r="N227" s="5" t="n"/>
      <c r="O227" s="5">
        <f>IF(AND(ISNUMBER(N227),ISNUMBER(M227)),N227-M227,"")</f>
        <v/>
      </c>
      <c r="P227" s="7">
        <f>IF(AND(ISNUMBER(N227),ISNUMBER(M227),M227&gt;0),(N227-M227)/M227,"")</f>
        <v/>
      </c>
      <c r="Q227" s="3">
        <f>IF(P227="","",IF(P227&lt;-0.02,"🔴 Bán phá giá sàn",IF(P227&gt;0.05,"🔵 Bán cao hơn","🟢 Đúng giá sàn TMĐT")))</f>
        <v/>
      </c>
      <c r="R227" s="3" t="n"/>
      <c r="S227" s="4" t="n"/>
      <c r="T227" s="4" t="n"/>
    </row>
    <row r="228">
      <c r="A228" s="3" t="n">
        <v>227</v>
      </c>
      <c r="B228" s="3" t="inlineStr">
        <is>
          <t>DL001</t>
        </is>
      </c>
      <c r="C228" s="4" t="inlineStr">
        <is>
          <t>Điện nước Nhật (Shop) HCM</t>
        </is>
      </c>
      <c r="D228" s="3" t="inlineStr">
        <is>
          <t>HCM</t>
        </is>
      </c>
      <c r="E228" s="3" t="inlineStr">
        <is>
          <t>BẢO TRÂM</t>
        </is>
      </c>
      <c r="F228" s="3" t="inlineStr">
        <is>
          <t>Shopee</t>
        </is>
      </c>
      <c r="G22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8" s="3" t="inlineStr">
        <is>
          <t>KB-HF01</t>
        </is>
      </c>
      <c r="I228" s="4" t="inlineStr">
        <is>
          <t>Quạt cầm tay mini (màu be) KB-HF01</t>
        </is>
      </c>
      <c r="J228" s="3" t="inlineStr">
        <is>
          <t>Cái</t>
        </is>
      </c>
      <c r="K228" s="5" t="n">
        <v>290000</v>
      </c>
      <c r="L228" s="5" t="n">
        <v>325000</v>
      </c>
      <c r="M228" s="6" t="n">
        <v>377000</v>
      </c>
      <c r="N228" s="5" t="n"/>
      <c r="O228" s="5">
        <f>IF(AND(ISNUMBER(N228),ISNUMBER(M228)),N228-M228,"")</f>
        <v/>
      </c>
      <c r="P228" s="7">
        <f>IF(AND(ISNUMBER(N228),ISNUMBER(M228),M228&gt;0),(N228-M228)/M228,"")</f>
        <v/>
      </c>
      <c r="Q228" s="3">
        <f>IF(P228="","",IF(P228&lt;-0.02,"🔴 Bán phá giá sàn",IF(P228&gt;0.05,"🔵 Bán cao hơn","🟢 Đúng giá sàn TMĐT")))</f>
        <v/>
      </c>
      <c r="R228" s="3" t="n"/>
      <c r="S228" s="4" t="n"/>
      <c r="T228" s="4" t="n"/>
    </row>
    <row r="229">
      <c r="A229" s="3" t="n">
        <v>228</v>
      </c>
      <c r="B229" s="3" t="inlineStr">
        <is>
          <t>DL001</t>
        </is>
      </c>
      <c r="C229" s="4" t="inlineStr">
        <is>
          <t>Điện nước Nhật (Shop) HCM</t>
        </is>
      </c>
      <c r="D229" s="3" t="inlineStr">
        <is>
          <t>HCM</t>
        </is>
      </c>
      <c r="E229" s="3" t="inlineStr">
        <is>
          <t>BẢO TRÂM</t>
        </is>
      </c>
      <c r="F229" s="3" t="inlineStr">
        <is>
          <t>Shopee</t>
        </is>
      </c>
      <c r="G22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29" s="3" t="inlineStr">
        <is>
          <t>KB-HF03</t>
        </is>
      </c>
      <c r="I229" s="4" t="inlineStr">
        <is>
          <t>Quạt cầm tay mini (màu hồng) KB-HF03</t>
        </is>
      </c>
      <c r="J229" s="3" t="inlineStr">
        <is>
          <t>Cái</t>
        </is>
      </c>
      <c r="K229" s="5" t="n">
        <v>290000</v>
      </c>
      <c r="L229" s="5" t="n">
        <v>325000</v>
      </c>
      <c r="M229" s="6" t="n">
        <v>377000</v>
      </c>
      <c r="N229" s="5" t="n"/>
      <c r="O229" s="5">
        <f>IF(AND(ISNUMBER(N229),ISNUMBER(M229)),N229-M229,"")</f>
        <v/>
      </c>
      <c r="P229" s="7">
        <f>IF(AND(ISNUMBER(N229),ISNUMBER(M229),M229&gt;0),(N229-M229)/M229,"")</f>
        <v/>
      </c>
      <c r="Q229" s="3">
        <f>IF(P229="","",IF(P229&lt;-0.02,"🔴 Bán phá giá sàn",IF(P229&gt;0.05,"🔵 Bán cao hơn","🟢 Đúng giá sàn TMĐT")))</f>
        <v/>
      </c>
      <c r="R229" s="3" t="n"/>
      <c r="S229" s="4" t="n"/>
      <c r="T229" s="4" t="n"/>
    </row>
    <row r="230">
      <c r="A230" s="3" t="n">
        <v>229</v>
      </c>
      <c r="B230" s="3" t="inlineStr">
        <is>
          <t>DL001</t>
        </is>
      </c>
      <c r="C230" s="4" t="inlineStr">
        <is>
          <t>Điện nước Nhật (Shop) HCM</t>
        </is>
      </c>
      <c r="D230" s="3" t="inlineStr">
        <is>
          <t>HCM</t>
        </is>
      </c>
      <c r="E230" s="3" t="inlineStr">
        <is>
          <t>BẢO TRÂM</t>
        </is>
      </c>
      <c r="F230" s="3" t="inlineStr">
        <is>
          <t>Shopee</t>
        </is>
      </c>
      <c r="G23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0" s="3" t="inlineStr">
        <is>
          <t>KB-HF02</t>
        </is>
      </c>
      <c r="I230" s="4" t="inlineStr">
        <is>
          <t>Quạt cầm tay mini (màu xám) KB-HF02</t>
        </is>
      </c>
      <c r="J230" s="3" t="inlineStr">
        <is>
          <t>Cái</t>
        </is>
      </c>
      <c r="K230" s="5" t="n">
        <v>290000</v>
      </c>
      <c r="L230" s="5" t="n">
        <v>325000</v>
      </c>
      <c r="M230" s="6" t="n">
        <v>377000</v>
      </c>
      <c r="N230" s="5" t="n"/>
      <c r="O230" s="5">
        <f>IF(AND(ISNUMBER(N230),ISNUMBER(M230)),N230-M230,"")</f>
        <v/>
      </c>
      <c r="P230" s="7">
        <f>IF(AND(ISNUMBER(N230),ISNUMBER(M230),M230&gt;0),(N230-M230)/M230,"")</f>
        <v/>
      </c>
      <c r="Q230" s="3">
        <f>IF(P230="","",IF(P230&lt;-0.02,"🔴 Bán phá giá sàn",IF(P230&gt;0.05,"🔵 Bán cao hơn","🟢 Đúng giá sàn TMĐT")))</f>
        <v/>
      </c>
      <c r="R230" s="3" t="n"/>
      <c r="S230" s="4" t="n"/>
      <c r="T230" s="4" t="n"/>
    </row>
    <row r="231">
      <c r="A231" s="3" t="n">
        <v>230</v>
      </c>
      <c r="B231" s="3" t="inlineStr">
        <is>
          <t>DL001</t>
        </is>
      </c>
      <c r="C231" s="4" t="inlineStr">
        <is>
          <t>Điện nước Nhật (Shop) HCM</t>
        </is>
      </c>
      <c r="D231" s="3" t="inlineStr">
        <is>
          <t>HCM</t>
        </is>
      </c>
      <c r="E231" s="3" t="inlineStr">
        <is>
          <t>BẢO TRÂM</t>
        </is>
      </c>
      <c r="F231" s="3" t="inlineStr">
        <is>
          <t>Shopee</t>
        </is>
      </c>
      <c r="G23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1" s="3" t="inlineStr">
        <is>
          <t>KB848G</t>
        </is>
      </c>
      <c r="I231" s="4" t="inlineStr">
        <is>
          <t>Siết tôn King Blue KB8*48G</t>
        </is>
      </c>
      <c r="J231" s="3" t="inlineStr">
        <is>
          <t>Cái</t>
        </is>
      </c>
      <c r="K231" s="5" t="n">
        <v>7500</v>
      </c>
      <c r="L231" s="5" t="n">
        <v>10000</v>
      </c>
      <c r="M231" s="6" t="n">
        <v>13000</v>
      </c>
      <c r="N231" s="5" t="n"/>
      <c r="O231" s="5">
        <f>IF(AND(ISNUMBER(N231),ISNUMBER(M231)),N231-M231,"")</f>
        <v/>
      </c>
      <c r="P231" s="7">
        <f>IF(AND(ISNUMBER(N231),ISNUMBER(M231),M231&gt;0),(N231-M231)/M231,"")</f>
        <v/>
      </c>
      <c r="Q231" s="3">
        <f>IF(P231="","",IF(P231&lt;-0.02,"🔴 Bán phá giá sàn",IF(P231&gt;0.05,"🔵 Bán cao hơn","🟢 Đúng giá sàn TMĐT")))</f>
        <v/>
      </c>
      <c r="R231" s="3" t="n"/>
      <c r="S231" s="4" t="n"/>
      <c r="T231" s="4" t="n"/>
    </row>
    <row r="232">
      <c r="A232" s="3" t="n">
        <v>231</v>
      </c>
      <c r="B232" s="3" t="inlineStr">
        <is>
          <t>DL001</t>
        </is>
      </c>
      <c r="C232" s="4" t="inlineStr">
        <is>
          <t>Điện nước Nhật (Shop) HCM</t>
        </is>
      </c>
      <c r="D232" s="3" t="inlineStr">
        <is>
          <t>HCM</t>
        </is>
      </c>
      <c r="E232" s="3" t="inlineStr">
        <is>
          <t>BẢO TRÂM</t>
        </is>
      </c>
      <c r="F232" s="3" t="inlineStr">
        <is>
          <t>Shopee</t>
        </is>
      </c>
      <c r="G23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2" s="3" t="inlineStr">
        <is>
          <t>ST08x42V</t>
        </is>
      </c>
      <c r="I232" s="4" t="inlineStr">
        <is>
          <t>Siết tôn King Blue ST08x42V</t>
        </is>
      </c>
      <c r="J232" s="3" t="inlineStr">
        <is>
          <t>Vỉ</t>
        </is>
      </c>
      <c r="K232" s="5" t="n">
        <v>22000</v>
      </c>
      <c r="L232" s="5" t="n">
        <v>28000</v>
      </c>
      <c r="M232" s="6" t="n">
        <v>36000</v>
      </c>
      <c r="N232" s="5" t="n"/>
      <c r="O232" s="5">
        <f>IF(AND(ISNUMBER(N232),ISNUMBER(M232)),N232-M232,"")</f>
        <v/>
      </c>
      <c r="P232" s="7">
        <f>IF(AND(ISNUMBER(N232),ISNUMBER(M232),M232&gt;0),(N232-M232)/M232,"")</f>
        <v/>
      </c>
      <c r="Q232" s="3">
        <f>IF(P232="","",IF(P232&lt;-0.02,"🔴 Bán phá giá sàn",IF(P232&gt;0.05,"🔵 Bán cao hơn","🟢 Đúng giá sàn TMĐT")))</f>
        <v/>
      </c>
      <c r="R232" s="3" t="n"/>
      <c r="S232" s="4" t="n"/>
      <c r="T232" s="4" t="n"/>
    </row>
    <row r="233">
      <c r="A233" s="3" t="n">
        <v>232</v>
      </c>
      <c r="B233" s="3" t="inlineStr">
        <is>
          <t>DL001</t>
        </is>
      </c>
      <c r="C233" s="4" t="inlineStr">
        <is>
          <t>Điện nước Nhật (Shop) HCM</t>
        </is>
      </c>
      <c r="D233" s="3" t="inlineStr">
        <is>
          <t>HCM</t>
        </is>
      </c>
      <c r="E233" s="3" t="inlineStr">
        <is>
          <t>BẢO TRÂM</t>
        </is>
      </c>
      <c r="F233" s="3" t="inlineStr">
        <is>
          <t>Shopee</t>
        </is>
      </c>
      <c r="G23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3" s="3" t="inlineStr">
        <is>
          <t>ST08x65G</t>
        </is>
      </c>
      <c r="I233" s="4" t="inlineStr">
        <is>
          <t>Siết tôn KingBlue ST08x65G</t>
        </is>
      </c>
      <c r="J233" s="3" t="inlineStr">
        <is>
          <t>Cái</t>
        </is>
      </c>
      <c r="K233" s="5" t="n">
        <v>8500</v>
      </c>
      <c r="L233" s="5" t="n">
        <v>11000</v>
      </c>
      <c r="M233" s="6" t="n">
        <v>14000</v>
      </c>
      <c r="N233" s="5" t="n"/>
      <c r="O233" s="5">
        <f>IF(AND(ISNUMBER(N233),ISNUMBER(M233)),N233-M233,"")</f>
        <v/>
      </c>
      <c r="P233" s="7">
        <f>IF(AND(ISNUMBER(N233),ISNUMBER(M233),M233&gt;0),(N233-M233)/M233,"")</f>
        <v/>
      </c>
      <c r="Q233" s="3">
        <f>IF(P233="","",IF(P233&lt;-0.02,"🔴 Bán phá giá sàn",IF(P233&gt;0.05,"🔵 Bán cao hơn","🟢 Đúng giá sàn TMĐT")))</f>
        <v/>
      </c>
      <c r="R233" s="3" t="n"/>
      <c r="S233" s="4" t="n"/>
      <c r="T233" s="4" t="n"/>
    </row>
    <row r="234">
      <c r="A234" s="3" t="n">
        <v>233</v>
      </c>
      <c r="B234" s="3" t="inlineStr">
        <is>
          <t>DL001</t>
        </is>
      </c>
      <c r="C234" s="4" t="inlineStr">
        <is>
          <t>Điện nước Nhật (Shop) HCM</t>
        </is>
      </c>
      <c r="D234" s="3" t="inlineStr">
        <is>
          <t>HCM</t>
        </is>
      </c>
      <c r="E234" s="3" t="inlineStr">
        <is>
          <t>BẢO TRÂM</t>
        </is>
      </c>
      <c r="F234" s="3" t="inlineStr">
        <is>
          <t>Shopee</t>
        </is>
      </c>
      <c r="G23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4" s="3" t="inlineStr">
        <is>
          <t>ST10x65G</t>
        </is>
      </c>
      <c r="I234" s="4" t="inlineStr">
        <is>
          <t>Siết tôn KingBlue ST10x65G</t>
        </is>
      </c>
      <c r="J234" s="3" t="inlineStr">
        <is>
          <t>Cái</t>
        </is>
      </c>
      <c r="K234" s="5" t="n">
        <v>9000</v>
      </c>
      <c r="L234" s="5" t="n">
        <v>11000</v>
      </c>
      <c r="M234" s="6" t="n">
        <v>15000</v>
      </c>
      <c r="N234" s="5" t="n"/>
      <c r="O234" s="5">
        <f>IF(AND(ISNUMBER(N234),ISNUMBER(M234)),N234-M234,"")</f>
        <v/>
      </c>
      <c r="P234" s="7">
        <f>IF(AND(ISNUMBER(N234),ISNUMBER(M234),M234&gt;0),(N234-M234)/M234,"")</f>
        <v/>
      </c>
      <c r="Q234" s="3">
        <f>IF(P234="","",IF(P234&lt;-0.02,"🔴 Bán phá giá sàn",IF(P234&gt;0.05,"🔵 Bán cao hơn","🟢 Đúng giá sàn TMĐT")))</f>
        <v/>
      </c>
      <c r="R234" s="3" t="n"/>
      <c r="S234" s="4" t="n"/>
      <c r="T234" s="4" t="n"/>
    </row>
    <row r="235">
      <c r="A235" s="3" t="n">
        <v>234</v>
      </c>
      <c r="B235" s="3" t="inlineStr">
        <is>
          <t>DL001</t>
        </is>
      </c>
      <c r="C235" s="4" t="inlineStr">
        <is>
          <t>Điện nước Nhật (Shop) HCM</t>
        </is>
      </c>
      <c r="D235" s="3" t="inlineStr">
        <is>
          <t>HCM</t>
        </is>
      </c>
      <c r="E235" s="3" t="inlineStr">
        <is>
          <t>BẢO TRÂM</t>
        </is>
      </c>
      <c r="F235" s="3" t="inlineStr">
        <is>
          <t>Shopee</t>
        </is>
      </c>
      <c r="G23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5" s="3" t="inlineStr">
        <is>
          <t>ST12x65G</t>
        </is>
      </c>
      <c r="I235" s="4" t="inlineStr">
        <is>
          <t>Siết tôn KingBlue ST12x65G</t>
        </is>
      </c>
      <c r="J235" s="3" t="inlineStr">
        <is>
          <t>Cái</t>
        </is>
      </c>
      <c r="K235" s="5" t="n">
        <v>11000</v>
      </c>
      <c r="L235" s="5" t="n">
        <v>14000</v>
      </c>
      <c r="M235" s="6" t="n">
        <v>18000</v>
      </c>
      <c r="N235" s="5" t="n"/>
      <c r="O235" s="5">
        <f>IF(AND(ISNUMBER(N235),ISNUMBER(M235)),N235-M235,"")</f>
        <v/>
      </c>
      <c r="P235" s="7">
        <f>IF(AND(ISNUMBER(N235),ISNUMBER(M235),M235&gt;0),(N235-M235)/M235,"")</f>
        <v/>
      </c>
      <c r="Q235" s="3">
        <f>IF(P235="","",IF(P235&lt;-0.02,"🔴 Bán phá giá sàn",IF(P235&gt;0.05,"🔵 Bán cao hơn","🟢 Đúng giá sàn TMĐT")))</f>
        <v/>
      </c>
      <c r="R235" s="3" t="n"/>
      <c r="S235" s="4" t="n"/>
      <c r="T235" s="4" t="n"/>
    </row>
    <row r="236">
      <c r="A236" s="3" t="n">
        <v>235</v>
      </c>
      <c r="B236" s="3" t="inlineStr">
        <is>
          <t>DL001</t>
        </is>
      </c>
      <c r="C236" s="4" t="inlineStr">
        <is>
          <t>Điện nước Nhật (Shop) HCM</t>
        </is>
      </c>
      <c r="D236" s="3" t="inlineStr">
        <is>
          <t>HCM</t>
        </is>
      </c>
      <c r="E236" s="3" t="inlineStr">
        <is>
          <t>BẢO TRÂM</t>
        </is>
      </c>
      <c r="F236" s="3" t="inlineStr">
        <is>
          <t>Shopee</t>
        </is>
      </c>
      <c r="G23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6" s="3" t="inlineStr">
        <is>
          <t>ST13x65G</t>
        </is>
      </c>
      <c r="I236" s="4" t="inlineStr">
        <is>
          <t>Siết tôn KingBlue ST13x65G</t>
        </is>
      </c>
      <c r="J236" s="3" t="inlineStr">
        <is>
          <t>Cái</t>
        </is>
      </c>
      <c r="K236" s="5" t="n">
        <v>13500</v>
      </c>
      <c r="L236" s="5" t="n">
        <v>17000</v>
      </c>
      <c r="M236" s="6" t="n">
        <v>22000</v>
      </c>
      <c r="N236" s="5" t="n"/>
      <c r="O236" s="5">
        <f>IF(AND(ISNUMBER(N236),ISNUMBER(M236)),N236-M236,"")</f>
        <v/>
      </c>
      <c r="P236" s="7">
        <f>IF(AND(ISNUMBER(N236),ISNUMBER(M236),M236&gt;0),(N236-M236)/M236,"")</f>
        <v/>
      </c>
      <c r="Q236" s="3">
        <f>IF(P236="","",IF(P236&lt;-0.02,"🔴 Bán phá giá sàn",IF(P236&gt;0.05,"🔵 Bán cao hơn","🟢 Đúng giá sàn TMĐT")))</f>
        <v/>
      </c>
      <c r="R236" s="3" t="n"/>
      <c r="S236" s="4" t="n"/>
      <c r="T236" s="4" t="n"/>
    </row>
    <row r="237">
      <c r="A237" s="3" t="n">
        <v>236</v>
      </c>
      <c r="B237" s="3" t="inlineStr">
        <is>
          <t>DL001</t>
        </is>
      </c>
      <c r="C237" s="4" t="inlineStr">
        <is>
          <t>Điện nước Nhật (Shop) HCM</t>
        </is>
      </c>
      <c r="D237" s="3" t="inlineStr">
        <is>
          <t>HCM</t>
        </is>
      </c>
      <c r="E237" s="3" t="inlineStr">
        <is>
          <t>BẢO TRÂM</t>
        </is>
      </c>
      <c r="F237" s="3" t="inlineStr">
        <is>
          <t>Shopee</t>
        </is>
      </c>
      <c r="G23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7" s="3" t="inlineStr">
        <is>
          <t>ST14x65G</t>
        </is>
      </c>
      <c r="I237" s="4" t="inlineStr">
        <is>
          <t>Siết tôn KingBlue ST14x65G</t>
        </is>
      </c>
      <c r="J237" s="3" t="inlineStr">
        <is>
          <t>Cái</t>
        </is>
      </c>
      <c r="K237" s="5" t="n">
        <v>13500</v>
      </c>
      <c r="L237" s="5" t="n">
        <v>17000</v>
      </c>
      <c r="M237" s="6" t="n">
        <v>22000</v>
      </c>
      <c r="N237" s="5" t="n"/>
      <c r="O237" s="5">
        <f>IF(AND(ISNUMBER(N237),ISNUMBER(M237)),N237-M237,"")</f>
        <v/>
      </c>
      <c r="P237" s="7">
        <f>IF(AND(ISNUMBER(N237),ISNUMBER(M237),M237&gt;0),(N237-M237)/M237,"")</f>
        <v/>
      </c>
      <c r="Q237" s="3">
        <f>IF(P237="","",IF(P237&lt;-0.02,"🔴 Bán phá giá sàn",IF(P237&gt;0.05,"🔵 Bán cao hơn","🟢 Đúng giá sàn TMĐT")))</f>
        <v/>
      </c>
      <c r="R237" s="3" t="n"/>
      <c r="S237" s="4" t="n"/>
      <c r="T237" s="4" t="n"/>
    </row>
    <row r="238">
      <c r="A238" s="3" t="n">
        <v>237</v>
      </c>
      <c r="B238" s="3" t="inlineStr">
        <is>
          <t>DL001</t>
        </is>
      </c>
      <c r="C238" s="4" t="inlineStr">
        <is>
          <t>Điện nước Nhật (Shop) HCM</t>
        </is>
      </c>
      <c r="D238" s="3" t="inlineStr">
        <is>
          <t>HCM</t>
        </is>
      </c>
      <c r="E238" s="3" t="inlineStr">
        <is>
          <t>BẢO TRÂM</t>
        </is>
      </c>
      <c r="F238" s="3" t="inlineStr">
        <is>
          <t>Shopee</t>
        </is>
      </c>
      <c r="G23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8" s="3" t="inlineStr">
        <is>
          <t>KBO-W71</t>
        </is>
      </c>
      <c r="I238" s="4" t="inlineStr">
        <is>
          <t>Súng phun sơn KBO-W71</t>
        </is>
      </c>
      <c r="J238" s="3" t="inlineStr">
        <is>
          <t>Cái</t>
        </is>
      </c>
      <c r="K238" s="5" t="n">
        <v>317000</v>
      </c>
      <c r="L238" s="5" t="n">
        <v>374000</v>
      </c>
      <c r="M238" s="6" t="n">
        <v>460000</v>
      </c>
      <c r="N238" s="5" t="n"/>
      <c r="O238" s="5">
        <f>IF(AND(ISNUMBER(N238),ISNUMBER(M238)),N238-M238,"")</f>
        <v/>
      </c>
      <c r="P238" s="7">
        <f>IF(AND(ISNUMBER(N238),ISNUMBER(M238),M238&gt;0),(N238-M238)/M238,"")</f>
        <v/>
      </c>
      <c r="Q238" s="3">
        <f>IF(P238="","",IF(P238&lt;-0.02,"🔴 Bán phá giá sàn",IF(P238&gt;0.05,"🔵 Bán cao hơn","🟢 Đúng giá sàn TMĐT")))</f>
        <v/>
      </c>
      <c r="R238" s="3" t="n"/>
      <c r="S238" s="4" t="n"/>
      <c r="T238" s="4" t="n"/>
    </row>
    <row r="239">
      <c r="A239" s="3" t="n">
        <v>238</v>
      </c>
      <c r="B239" s="3" t="inlineStr">
        <is>
          <t>DL001</t>
        </is>
      </c>
      <c r="C239" s="4" t="inlineStr">
        <is>
          <t>Điện nước Nhật (Shop) HCM</t>
        </is>
      </c>
      <c r="D239" s="3" t="inlineStr">
        <is>
          <t>HCM</t>
        </is>
      </c>
      <c r="E239" s="3" t="inlineStr">
        <is>
          <t>BẢO TRÂM</t>
        </is>
      </c>
      <c r="F239" s="3" t="inlineStr">
        <is>
          <t>Shopee</t>
        </is>
      </c>
      <c r="G23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39" s="3" t="inlineStr">
        <is>
          <t>KVS2-6100</t>
        </is>
      </c>
      <c r="I239" s="4" t="inlineStr">
        <is>
          <t>Tuốc nơ vít 2 đầu KVS2-6*100</t>
        </is>
      </c>
      <c r="J239" s="3" t="inlineStr">
        <is>
          <t>Cái</t>
        </is>
      </c>
      <c r="K239" s="5" t="n">
        <v>33000</v>
      </c>
      <c r="L239" s="5" t="n">
        <v>39000</v>
      </c>
      <c r="M239" s="6" t="n">
        <v>48000</v>
      </c>
      <c r="N239" s="5" t="n"/>
      <c r="O239" s="5">
        <f>IF(AND(ISNUMBER(N239),ISNUMBER(M239)),N239-M239,"")</f>
        <v/>
      </c>
      <c r="P239" s="7">
        <f>IF(AND(ISNUMBER(N239),ISNUMBER(M239),M239&gt;0),(N239-M239)/M239,"")</f>
        <v/>
      </c>
      <c r="Q239" s="3">
        <f>IF(P239="","",IF(P239&lt;-0.02,"🔴 Bán phá giá sàn",IF(P239&gt;0.05,"🔵 Bán cao hơn","🟢 Đúng giá sàn TMĐT")))</f>
        <v/>
      </c>
      <c r="R239" s="3" t="n"/>
      <c r="S239" s="4" t="n"/>
      <c r="T239" s="4" t="n"/>
    </row>
    <row r="240">
      <c r="A240" s="3" t="n">
        <v>239</v>
      </c>
      <c r="B240" s="3" t="inlineStr">
        <is>
          <t>DL001</t>
        </is>
      </c>
      <c r="C240" s="4" t="inlineStr">
        <is>
          <t>Điện nước Nhật (Shop) HCM</t>
        </is>
      </c>
      <c r="D240" s="3" t="inlineStr">
        <is>
          <t>HCM</t>
        </is>
      </c>
      <c r="E240" s="3" t="inlineStr">
        <is>
          <t>BẢO TRÂM</t>
        </is>
      </c>
      <c r="F240" s="3" t="inlineStr">
        <is>
          <t>Shopee</t>
        </is>
      </c>
      <c r="G24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0" s="3" t="inlineStr">
        <is>
          <t>KVS2-6150</t>
        </is>
      </c>
      <c r="I240" s="4" t="inlineStr">
        <is>
          <t>Tuốc nơ vít 2 đầu KVS2-6*150</t>
        </is>
      </c>
      <c r="J240" s="3" t="inlineStr">
        <is>
          <t>Cái</t>
        </is>
      </c>
      <c r="K240" s="5" t="n">
        <v>37000</v>
      </c>
      <c r="L240" s="5" t="n">
        <v>44000</v>
      </c>
      <c r="M240" s="6" t="n">
        <v>54000</v>
      </c>
      <c r="N240" s="5" t="n"/>
      <c r="O240" s="5">
        <f>IF(AND(ISNUMBER(N240),ISNUMBER(M240)),N240-M240,"")</f>
        <v/>
      </c>
      <c r="P240" s="7">
        <f>IF(AND(ISNUMBER(N240),ISNUMBER(M240),M240&gt;0),(N240-M240)/M240,"")</f>
        <v/>
      </c>
      <c r="Q240" s="3">
        <f>IF(P240="","",IF(P240&lt;-0.02,"🔴 Bán phá giá sàn",IF(P240&gt;0.05,"🔵 Bán cao hơn","🟢 Đúng giá sàn TMĐT")))</f>
        <v/>
      </c>
      <c r="R240" s="3" t="n"/>
      <c r="S240" s="4" t="n"/>
      <c r="T240" s="4" t="n"/>
    </row>
    <row r="241">
      <c r="A241" s="3" t="n">
        <v>240</v>
      </c>
      <c r="B241" s="3" t="inlineStr">
        <is>
          <t>DL001</t>
        </is>
      </c>
      <c r="C241" s="4" t="inlineStr">
        <is>
          <t>Điện nước Nhật (Shop) HCM</t>
        </is>
      </c>
      <c r="D241" s="3" t="inlineStr">
        <is>
          <t>HCM</t>
        </is>
      </c>
      <c r="E241" s="3" t="inlineStr">
        <is>
          <t>BẢO TRÂM</t>
        </is>
      </c>
      <c r="F241" s="3" t="inlineStr">
        <is>
          <t>Shopee</t>
        </is>
      </c>
      <c r="G24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1" s="3" t="inlineStr">
        <is>
          <t>KVS2-6200</t>
        </is>
      </c>
      <c r="I241" s="4" t="inlineStr">
        <is>
          <t>Tuốc nơ vít 2 đầu KVS2-6*200</t>
        </is>
      </c>
      <c r="J241" s="3" t="inlineStr">
        <is>
          <t>Cái</t>
        </is>
      </c>
      <c r="K241" s="5" t="n">
        <v>44000</v>
      </c>
      <c r="L241" s="5" t="n">
        <v>52000</v>
      </c>
      <c r="M241" s="6" t="n">
        <v>64000</v>
      </c>
      <c r="N241" s="5" t="n"/>
      <c r="O241" s="5">
        <f>IF(AND(ISNUMBER(N241),ISNUMBER(M241)),N241-M241,"")</f>
        <v/>
      </c>
      <c r="P241" s="7">
        <f>IF(AND(ISNUMBER(N241),ISNUMBER(M241),M241&gt;0),(N241-M241)/M241,"")</f>
        <v/>
      </c>
      <c r="Q241" s="3">
        <f>IF(P241="","",IF(P241&lt;-0.02,"🔴 Bán phá giá sàn",IF(P241&gt;0.05,"🔵 Bán cao hơn","🟢 Đúng giá sàn TMĐT")))</f>
        <v/>
      </c>
      <c r="R241" s="3" t="n"/>
      <c r="S241" s="4" t="n"/>
      <c r="T241" s="4" t="n"/>
    </row>
    <row r="242">
      <c r="A242" s="3" t="n">
        <v>241</v>
      </c>
      <c r="B242" s="3" t="inlineStr">
        <is>
          <t>DL001</t>
        </is>
      </c>
      <c r="C242" s="4" t="inlineStr">
        <is>
          <t>Điện nước Nhật (Shop) HCM</t>
        </is>
      </c>
      <c r="D242" s="3" t="inlineStr">
        <is>
          <t>HCM</t>
        </is>
      </c>
      <c r="E242" s="3" t="inlineStr">
        <is>
          <t>BẢO TRÂM</t>
        </is>
      </c>
      <c r="F242" s="3" t="inlineStr">
        <is>
          <t>Shopee</t>
        </is>
      </c>
      <c r="G24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2" s="3" t="inlineStr">
        <is>
          <t>KV3-6150</t>
        </is>
      </c>
      <c r="I242" s="4" t="inlineStr">
        <is>
          <t>Tuốc nơ vít 2 đầu tịnh tiến KV3-6*150</t>
        </is>
      </c>
      <c r="J242" s="3" t="inlineStr">
        <is>
          <t>Cái</t>
        </is>
      </c>
      <c r="K242" s="5" t="n">
        <v>51000</v>
      </c>
      <c r="L242" s="5" t="n">
        <v>60000</v>
      </c>
      <c r="M242" s="6" t="n">
        <v>74000</v>
      </c>
      <c r="N242" s="5" t="n"/>
      <c r="O242" s="5">
        <f>IF(AND(ISNUMBER(N242),ISNUMBER(M242)),N242-M242,"")</f>
        <v/>
      </c>
      <c r="P242" s="7">
        <f>IF(AND(ISNUMBER(N242),ISNUMBER(M242),M242&gt;0),(N242-M242)/M242,"")</f>
        <v/>
      </c>
      <c r="Q242" s="3">
        <f>IF(P242="","",IF(P242&lt;-0.02,"🔴 Bán phá giá sàn",IF(P242&gt;0.05,"🔵 Bán cao hơn","🟢 Đúng giá sàn TMĐT")))</f>
        <v/>
      </c>
      <c r="R242" s="3" t="n"/>
      <c r="S242" s="4" t="n"/>
      <c r="T242" s="4" t="n"/>
    </row>
    <row r="243">
      <c r="A243" s="3" t="n">
        <v>242</v>
      </c>
      <c r="B243" s="3" t="inlineStr">
        <is>
          <t>DL001</t>
        </is>
      </c>
      <c r="C243" s="4" t="inlineStr">
        <is>
          <t>Điện nước Nhật (Shop) HCM</t>
        </is>
      </c>
      <c r="D243" s="3" t="inlineStr">
        <is>
          <t>HCM</t>
        </is>
      </c>
      <c r="E243" s="3" t="inlineStr">
        <is>
          <t>BẢO TRÂM</t>
        </is>
      </c>
      <c r="F243" s="3" t="inlineStr">
        <is>
          <t>Shopee</t>
        </is>
      </c>
      <c r="G24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3" s="3" t="inlineStr">
        <is>
          <t>KV4-638</t>
        </is>
      </c>
      <c r="I243" s="4" t="inlineStr">
        <is>
          <t>Tuốc nơ vít tự động 3 chức năng S2 KV4-6*38</t>
        </is>
      </c>
      <c r="J243" s="3" t="inlineStr">
        <is>
          <t>Cái</t>
        </is>
      </c>
      <c r="K243" s="5" t="n">
        <v>68000</v>
      </c>
      <c r="L243" s="5" t="n">
        <v>80000</v>
      </c>
      <c r="M243" s="6" t="n">
        <v>99000</v>
      </c>
      <c r="N243" s="5" t="n"/>
      <c r="O243" s="5">
        <f>IF(AND(ISNUMBER(N243),ISNUMBER(M243)),N243-M243,"")</f>
        <v/>
      </c>
      <c r="P243" s="7">
        <f>IF(AND(ISNUMBER(N243),ISNUMBER(M243),M243&gt;0),(N243-M243)/M243,"")</f>
        <v/>
      </c>
      <c r="Q243" s="3">
        <f>IF(P243="","",IF(P243&lt;-0.02,"🔴 Bán phá giá sàn",IF(P243&gt;0.05,"🔵 Bán cao hơn","🟢 Đúng giá sàn TMĐT")))</f>
        <v/>
      </c>
      <c r="R243" s="3" t="n"/>
      <c r="S243" s="4" t="n"/>
      <c r="T243" s="4" t="n"/>
    </row>
    <row r="244">
      <c r="A244" s="3" t="n">
        <v>243</v>
      </c>
      <c r="B244" s="3" t="inlineStr">
        <is>
          <t>DL001</t>
        </is>
      </c>
      <c r="C244" s="4" t="inlineStr">
        <is>
          <t>Điện nước Nhật (Shop) HCM</t>
        </is>
      </c>
      <c r="D244" s="3" t="inlineStr">
        <is>
          <t>HCM</t>
        </is>
      </c>
      <c r="E244" s="3" t="inlineStr">
        <is>
          <t>BẢO TRÂM</t>
        </is>
      </c>
      <c r="F244" s="3" t="inlineStr">
        <is>
          <t>Shopee</t>
        </is>
      </c>
      <c r="G24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4" s="3" t="inlineStr">
        <is>
          <t>KHD4212</t>
        </is>
      </c>
      <c r="I244" s="4" t="inlineStr">
        <is>
          <t>Thùng đựng đồ nghề kèm phụ kiện KHD4212 NEW</t>
        </is>
      </c>
      <c r="J244" s="3" t="inlineStr">
        <is>
          <t>Cái</t>
        </is>
      </c>
      <c r="K244" s="5" t="n">
        <v>1996</v>
      </c>
      <c r="L244" s="5" t="n">
        <v>539000</v>
      </c>
      <c r="M244" s="6" t="n">
        <v>615000</v>
      </c>
      <c r="N244" s="5" t="n"/>
      <c r="O244" s="5">
        <f>IF(AND(ISNUMBER(N244),ISNUMBER(M244)),N244-M244,"")</f>
        <v/>
      </c>
      <c r="P244" s="7">
        <f>IF(AND(ISNUMBER(N244),ISNUMBER(M244),M244&gt;0),(N244-M244)/M244,"")</f>
        <v/>
      </c>
      <c r="Q244" s="3">
        <f>IF(P244="","",IF(P244&lt;-0.02,"🔴 Bán phá giá sàn",IF(P244&gt;0.05,"🔵 Bán cao hơn","🟢 Đúng giá sàn TMĐT")))</f>
        <v/>
      </c>
      <c r="R244" s="3" t="n"/>
      <c r="S244" s="4" t="n"/>
      <c r="T244" s="4" t="n"/>
    </row>
    <row r="245">
      <c r="A245" s="3" t="n">
        <v>244</v>
      </c>
      <c r="B245" s="3" t="inlineStr">
        <is>
          <t>DL001</t>
        </is>
      </c>
      <c r="C245" s="4" t="inlineStr">
        <is>
          <t>Điện nước Nhật (Shop) HCM</t>
        </is>
      </c>
      <c r="D245" s="3" t="inlineStr">
        <is>
          <t>HCM</t>
        </is>
      </c>
      <c r="E245" s="3" t="inlineStr">
        <is>
          <t>BẢO TRÂM</t>
        </is>
      </c>
      <c r="F245" s="3" t="inlineStr">
        <is>
          <t>Shopee</t>
        </is>
      </c>
      <c r="G24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5" s="3" t="inlineStr">
        <is>
          <t>KHD20</t>
        </is>
      </c>
      <c r="I245" s="4" t="inlineStr">
        <is>
          <t>Thùng đựng đồ nghề KHD20</t>
        </is>
      </c>
      <c r="J245" s="3" t="inlineStr">
        <is>
          <t>Cái</t>
        </is>
      </c>
      <c r="K245" s="5" t="n">
        <v>396000</v>
      </c>
      <c r="L245" s="5" t="n">
        <v>452000</v>
      </c>
      <c r="M245" s="6" t="n">
        <v>535000</v>
      </c>
      <c r="N245" s="5" t="n"/>
      <c r="O245" s="5">
        <f>IF(AND(ISNUMBER(N245),ISNUMBER(M245)),N245-M245,"")</f>
        <v/>
      </c>
      <c r="P245" s="7">
        <f>IF(AND(ISNUMBER(N245),ISNUMBER(M245),M245&gt;0),(N245-M245)/M245,"")</f>
        <v/>
      </c>
      <c r="Q245" s="3">
        <f>IF(P245="","",IF(P245&lt;-0.02,"🔴 Bán phá giá sàn",IF(P245&gt;0.05,"🔵 Bán cao hơn","🟢 Đúng giá sàn TMĐT")))</f>
        <v/>
      </c>
      <c r="R245" s="3" t="n"/>
      <c r="S245" s="4" t="n"/>
      <c r="T245" s="4" t="n"/>
    </row>
    <row r="246">
      <c r="A246" s="3" t="n">
        <v>245</v>
      </c>
      <c r="B246" s="3" t="inlineStr">
        <is>
          <t>DL001</t>
        </is>
      </c>
      <c r="C246" s="4" t="inlineStr">
        <is>
          <t>Điện nước Nhật (Shop) HCM</t>
        </is>
      </c>
      <c r="D246" s="3" t="inlineStr">
        <is>
          <t>HCM</t>
        </is>
      </c>
      <c r="E246" s="3" t="inlineStr">
        <is>
          <t>BẢO TRÂM</t>
        </is>
      </c>
      <c r="F246" s="3" t="inlineStr">
        <is>
          <t>Shopee</t>
        </is>
      </c>
      <c r="G24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6" s="3" t="inlineStr">
        <is>
          <t>KHD4216</t>
        </is>
      </c>
      <c r="I246" s="4" t="inlineStr">
        <is>
          <t>Thùng đựng đồ nghề KHD4216</t>
        </is>
      </c>
      <c r="J246" s="3" t="inlineStr">
        <is>
          <t>Cái</t>
        </is>
      </c>
      <c r="K246" s="5" t="n">
        <v>2065</v>
      </c>
      <c r="L246" s="5" t="n">
        <v>484000</v>
      </c>
      <c r="M246" s="6" t="n">
        <v>552000</v>
      </c>
      <c r="N246" s="5" t="n"/>
      <c r="O246" s="5">
        <f>IF(AND(ISNUMBER(N246),ISNUMBER(M246)),N246-M246,"")</f>
        <v/>
      </c>
      <c r="P246" s="7">
        <f>IF(AND(ISNUMBER(N246),ISNUMBER(M246),M246&gt;0),(N246-M246)/M246,"")</f>
        <v/>
      </c>
      <c r="Q246" s="3">
        <f>IF(P246="","",IF(P246&lt;-0.02,"🔴 Bán phá giá sàn",IF(P246&gt;0.05,"🔵 Bán cao hơn","🟢 Đúng giá sàn TMĐT")))</f>
        <v/>
      </c>
      <c r="R246" s="3" t="n"/>
      <c r="S246" s="4" t="n"/>
      <c r="T246" s="4" t="n"/>
    </row>
    <row r="247">
      <c r="A247" s="3" t="n">
        <v>246</v>
      </c>
      <c r="B247" s="3" t="inlineStr">
        <is>
          <t>DL001</t>
        </is>
      </c>
      <c r="C247" s="4" t="inlineStr">
        <is>
          <t>Điện nước Nhật (Shop) HCM</t>
        </is>
      </c>
      <c r="D247" s="3" t="inlineStr">
        <is>
          <t>HCM</t>
        </is>
      </c>
      <c r="E247" s="3" t="inlineStr">
        <is>
          <t>BẢO TRÂM</t>
        </is>
      </c>
      <c r="F247" s="3" t="inlineStr">
        <is>
          <t>Shopee</t>
        </is>
      </c>
      <c r="G24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7" s="3" t="inlineStr">
        <is>
          <t>KHD4233</t>
        </is>
      </c>
      <c r="I247" s="4" t="inlineStr">
        <is>
          <t>Thùng đựng đồ nghề KHD4233</t>
        </is>
      </c>
      <c r="J247" s="3" t="inlineStr">
        <is>
          <t>Cái</t>
        </is>
      </c>
      <c r="K247" s="5" t="n">
        <v>269000</v>
      </c>
      <c r="L247" s="5" t="n">
        <v>317000</v>
      </c>
      <c r="M247" s="6" t="n">
        <v>390000</v>
      </c>
      <c r="N247" s="5" t="n"/>
      <c r="O247" s="5">
        <f>IF(AND(ISNUMBER(N247),ISNUMBER(M247)),N247-M247,"")</f>
        <v/>
      </c>
      <c r="P247" s="7">
        <f>IF(AND(ISNUMBER(N247),ISNUMBER(M247),M247&gt;0),(N247-M247)/M247,"")</f>
        <v/>
      </c>
      <c r="Q247" s="3">
        <f>IF(P247="","",IF(P247&lt;-0.02,"🔴 Bán phá giá sàn",IF(P247&gt;0.05,"🔵 Bán cao hơn","🟢 Đúng giá sàn TMĐT")))</f>
        <v/>
      </c>
      <c r="R247" s="3" t="n"/>
      <c r="S247" s="4" t="n"/>
      <c r="T247" s="4" t="n"/>
    </row>
    <row r="248">
      <c r="A248" s="3" t="n">
        <v>247</v>
      </c>
      <c r="B248" s="3" t="inlineStr">
        <is>
          <t>DL001</t>
        </is>
      </c>
      <c r="C248" s="4" t="inlineStr">
        <is>
          <t>Điện nước Nhật (Shop) HCM</t>
        </is>
      </c>
      <c r="D248" s="3" t="inlineStr">
        <is>
          <t>HCM</t>
        </is>
      </c>
      <c r="E248" s="3" t="inlineStr">
        <is>
          <t>BẢO TRÂM</t>
        </is>
      </c>
      <c r="F248" s="3" t="inlineStr">
        <is>
          <t>Shopee</t>
        </is>
      </c>
      <c r="G24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8" s="3" t="inlineStr">
        <is>
          <t>MC-30.16</t>
        </is>
      </c>
      <c r="I248" s="4" t="inlineStr">
        <is>
          <t>Thước Cuộn MC-30.16</t>
        </is>
      </c>
      <c r="J248" s="3" t="inlineStr">
        <is>
          <t>Cái</t>
        </is>
      </c>
      <c r="K248" s="5" t="n">
        <v>37000</v>
      </c>
      <c r="L248" s="5" t="n">
        <v>44000</v>
      </c>
      <c r="M248" s="6" t="n">
        <v>54000</v>
      </c>
      <c r="N248" s="5" t="n"/>
      <c r="O248" s="5">
        <f>IF(AND(ISNUMBER(N248),ISNUMBER(M248)),N248-M248,"")</f>
        <v/>
      </c>
      <c r="P248" s="7">
        <f>IF(AND(ISNUMBER(N248),ISNUMBER(M248),M248&gt;0),(N248-M248)/M248,"")</f>
        <v/>
      </c>
      <c r="Q248" s="3">
        <f>IF(P248="","",IF(P248&lt;-0.02,"🔴 Bán phá giá sàn",IF(P248&gt;0.05,"🔵 Bán cao hơn","🟢 Đúng giá sàn TMĐT")))</f>
        <v/>
      </c>
      <c r="R248" s="3" t="n"/>
      <c r="S248" s="4" t="n"/>
      <c r="T248" s="4" t="n"/>
    </row>
    <row r="249">
      <c r="A249" s="3" t="n">
        <v>248</v>
      </c>
      <c r="B249" s="3" t="inlineStr">
        <is>
          <t>DL001</t>
        </is>
      </c>
      <c r="C249" s="4" t="inlineStr">
        <is>
          <t>Điện nước Nhật (Shop) HCM</t>
        </is>
      </c>
      <c r="D249" s="3" t="inlineStr">
        <is>
          <t>HCM</t>
        </is>
      </c>
      <c r="E249" s="3" t="inlineStr">
        <is>
          <t>BẢO TRÂM</t>
        </is>
      </c>
      <c r="F249" s="3" t="inlineStr">
        <is>
          <t>Shopee</t>
        </is>
      </c>
      <c r="G249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49" s="3" t="inlineStr">
        <is>
          <t>MD-50.25</t>
        </is>
      </c>
      <c r="I249" s="4" t="inlineStr">
        <is>
          <t>Thước Cuộn tự hãm MD-50.25</t>
        </is>
      </c>
      <c r="J249" s="3" t="inlineStr">
        <is>
          <t>Cái</t>
        </is>
      </c>
      <c r="K249" s="5" t="n">
        <v>64000</v>
      </c>
      <c r="L249" s="5" t="n">
        <v>76000</v>
      </c>
      <c r="M249" s="6" t="n">
        <v>93000</v>
      </c>
      <c r="N249" s="5" t="n"/>
      <c r="O249" s="5">
        <f>IF(AND(ISNUMBER(N249),ISNUMBER(M249)),N249-M249,"")</f>
        <v/>
      </c>
      <c r="P249" s="7">
        <f>IF(AND(ISNUMBER(N249),ISNUMBER(M249),M249&gt;0),(N249-M249)/M249,"")</f>
        <v/>
      </c>
      <c r="Q249" s="3">
        <f>IF(P249="","",IF(P249&lt;-0.02,"🔴 Bán phá giá sàn",IF(P249&gt;0.05,"🔵 Bán cao hơn","🟢 Đúng giá sàn TMĐT")))</f>
        <v/>
      </c>
      <c r="R249" s="3" t="n"/>
      <c r="S249" s="4" t="n"/>
      <c r="T249" s="4" t="n"/>
    </row>
    <row r="250">
      <c r="A250" s="3" t="n">
        <v>249</v>
      </c>
      <c r="B250" s="3" t="inlineStr">
        <is>
          <t>DL001</t>
        </is>
      </c>
      <c r="C250" s="4" t="inlineStr">
        <is>
          <t>Điện nước Nhật (Shop) HCM</t>
        </is>
      </c>
      <c r="D250" s="3" t="inlineStr">
        <is>
          <t>HCM</t>
        </is>
      </c>
      <c r="E250" s="3" t="inlineStr">
        <is>
          <t>BẢO TRÂM</t>
        </is>
      </c>
      <c r="F250" s="3" t="inlineStr">
        <is>
          <t>Shopee</t>
        </is>
      </c>
      <c r="G250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0" s="3" t="inlineStr">
        <is>
          <t>MD-80.25</t>
        </is>
      </c>
      <c r="I250" s="4" t="inlineStr">
        <is>
          <t>Thước Cuộn tự hãm MD-80.25</t>
        </is>
      </c>
      <c r="J250" s="3" t="inlineStr">
        <is>
          <t>Cái</t>
        </is>
      </c>
      <c r="K250" s="5" t="n">
        <v>81000</v>
      </c>
      <c r="L250" s="5" t="n">
        <v>96000</v>
      </c>
      <c r="M250" s="6" t="n">
        <v>118000</v>
      </c>
      <c r="N250" s="5" t="n"/>
      <c r="O250" s="5">
        <f>IF(AND(ISNUMBER(N250),ISNUMBER(M250)),N250-M250,"")</f>
        <v/>
      </c>
      <c r="P250" s="7">
        <f>IF(AND(ISNUMBER(N250),ISNUMBER(M250),M250&gt;0),(N250-M250)/M250,"")</f>
        <v/>
      </c>
      <c r="Q250" s="3">
        <f>IF(P250="","",IF(P250&lt;-0.02,"🔴 Bán phá giá sàn",IF(P250&gt;0.05,"🔵 Bán cao hơn","🟢 Đúng giá sàn TMĐT")))</f>
        <v/>
      </c>
      <c r="R250" s="3" t="n"/>
      <c r="S250" s="4" t="n"/>
      <c r="T250" s="4" t="n"/>
    </row>
    <row r="251">
      <c r="A251" s="3" t="n">
        <v>250</v>
      </c>
      <c r="B251" s="3" t="inlineStr">
        <is>
          <t>DL001</t>
        </is>
      </c>
      <c r="C251" s="4" t="inlineStr">
        <is>
          <t>Điện nước Nhật (Shop) HCM</t>
        </is>
      </c>
      <c r="D251" s="3" t="inlineStr">
        <is>
          <t>HCM</t>
        </is>
      </c>
      <c r="E251" s="3" t="inlineStr">
        <is>
          <t>BẢO TRÂM</t>
        </is>
      </c>
      <c r="F251" s="3" t="inlineStr">
        <is>
          <t>Shopee</t>
        </is>
      </c>
      <c r="G251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1" s="3" t="inlineStr">
        <is>
          <t>LA-50.19</t>
        </is>
      </c>
      <c r="I251" s="4" t="inlineStr">
        <is>
          <t>Thước kéo LA-50.19 (new)</t>
        </is>
      </c>
      <c r="J251" s="3" t="inlineStr">
        <is>
          <t>Cái</t>
        </is>
      </c>
      <c r="K251" s="5" t="n">
        <v>29000</v>
      </c>
      <c r="L251" s="5" t="n">
        <v>34000</v>
      </c>
      <c r="M251" s="6" t="n">
        <v>42000</v>
      </c>
      <c r="N251" s="5" t="n"/>
      <c r="O251" s="5">
        <f>IF(AND(ISNUMBER(N251),ISNUMBER(M251)),N251-M251,"")</f>
        <v/>
      </c>
      <c r="P251" s="7">
        <f>IF(AND(ISNUMBER(N251),ISNUMBER(M251),M251&gt;0),(N251-M251)/M251,"")</f>
        <v/>
      </c>
      <c r="Q251" s="3">
        <f>IF(P251="","",IF(P251&lt;-0.02,"🔴 Bán phá giá sàn",IF(P251&gt;0.05,"🔵 Bán cao hơn","🟢 Đúng giá sàn TMĐT")))</f>
        <v/>
      </c>
      <c r="R251" s="3" t="n"/>
      <c r="S251" s="4" t="n"/>
      <c r="T251" s="4" t="n"/>
    </row>
    <row r="252">
      <c r="A252" s="3" t="n">
        <v>251</v>
      </c>
      <c r="B252" s="3" t="inlineStr">
        <is>
          <t>DL001</t>
        </is>
      </c>
      <c r="C252" s="4" t="inlineStr">
        <is>
          <t>Điện nước Nhật (Shop) HCM</t>
        </is>
      </c>
      <c r="D252" s="3" t="inlineStr">
        <is>
          <t>HCM</t>
        </is>
      </c>
      <c r="E252" s="3" t="inlineStr">
        <is>
          <t>BẢO TRÂM</t>
        </is>
      </c>
      <c r="F252" s="3" t="inlineStr">
        <is>
          <t>Shopee</t>
        </is>
      </c>
      <c r="G25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2" s="3" t="inlineStr">
        <is>
          <t>LC-20.13</t>
        </is>
      </c>
      <c r="I252" s="4" t="inlineStr">
        <is>
          <t>Thước kéo LC-20.13</t>
        </is>
      </c>
      <c r="J252" s="3" t="inlineStr">
        <is>
          <t>Cái</t>
        </is>
      </c>
      <c r="K252" s="5" t="n">
        <v>25000</v>
      </c>
      <c r="L252" s="5" t="n">
        <v>29000</v>
      </c>
      <c r="M252" s="6" t="n">
        <v>36000</v>
      </c>
      <c r="N252" s="5" t="n"/>
      <c r="O252" s="5">
        <f>IF(AND(ISNUMBER(N252),ISNUMBER(M252)),N252-M252,"")</f>
        <v/>
      </c>
      <c r="P252" s="7">
        <f>IF(AND(ISNUMBER(N252),ISNUMBER(M252),M252&gt;0),(N252-M252)/M252,"")</f>
        <v/>
      </c>
      <c r="Q252" s="3">
        <f>IF(P252="","",IF(P252&lt;-0.02,"🔴 Bán phá giá sàn",IF(P252&gt;0.05,"🔵 Bán cao hơn","🟢 Đúng giá sàn TMĐT")))</f>
        <v/>
      </c>
      <c r="R252" s="3" t="n"/>
      <c r="S252" s="4" t="n"/>
      <c r="T252" s="4" t="n"/>
    </row>
    <row r="253">
      <c r="A253" s="3" t="n">
        <v>252</v>
      </c>
      <c r="B253" s="3" t="inlineStr">
        <is>
          <t>DL001</t>
        </is>
      </c>
      <c r="C253" s="4" t="inlineStr">
        <is>
          <t>Điện nước Nhật (Shop) HCM</t>
        </is>
      </c>
      <c r="D253" s="3" t="inlineStr">
        <is>
          <t>HCM</t>
        </is>
      </c>
      <c r="E253" s="3" t="inlineStr">
        <is>
          <t>BẢO TRÂM</t>
        </is>
      </c>
      <c r="F253" s="3" t="inlineStr">
        <is>
          <t>Shopee</t>
        </is>
      </c>
      <c r="G253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3" s="3" t="inlineStr">
        <is>
          <t>KTT-25A</t>
        </is>
      </c>
      <c r="I253" s="4" t="inlineStr">
        <is>
          <t>Thước thủy KTT-25A</t>
        </is>
      </c>
      <c r="J253" s="3" t="inlineStr">
        <is>
          <t>Cái</t>
        </is>
      </c>
      <c r="K253" s="5" t="n">
        <v>35000</v>
      </c>
      <c r="L253" s="5" t="n">
        <v>41000</v>
      </c>
      <c r="M253" s="6" t="n">
        <v>51000</v>
      </c>
      <c r="N253" s="5" t="n"/>
      <c r="O253" s="5">
        <f>IF(AND(ISNUMBER(N253),ISNUMBER(M253)),N253-M253,"")</f>
        <v/>
      </c>
      <c r="P253" s="7">
        <f>IF(AND(ISNUMBER(N253),ISNUMBER(M253),M253&gt;0),(N253-M253)/M253,"")</f>
        <v/>
      </c>
      <c r="Q253" s="3">
        <f>IF(P253="","",IF(P253&lt;-0.02,"🔴 Bán phá giá sàn",IF(P253&gt;0.05,"🔵 Bán cao hơn","🟢 Đúng giá sàn TMĐT")))</f>
        <v/>
      </c>
      <c r="R253" s="3" t="n"/>
      <c r="S253" s="4" t="n"/>
      <c r="T253" s="4" t="n"/>
    </row>
    <row r="254">
      <c r="A254" s="3" t="n">
        <v>253</v>
      </c>
      <c r="B254" s="3" t="inlineStr">
        <is>
          <t>DL001</t>
        </is>
      </c>
      <c r="C254" s="4" t="inlineStr">
        <is>
          <t>Điện nước Nhật (Shop) HCM</t>
        </is>
      </c>
      <c r="D254" s="3" t="inlineStr">
        <is>
          <t>HCM</t>
        </is>
      </c>
      <c r="E254" s="3" t="inlineStr">
        <is>
          <t>BẢO TRÂM</t>
        </is>
      </c>
      <c r="F254" s="3" t="inlineStr">
        <is>
          <t>Shopee</t>
        </is>
      </c>
      <c r="G254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4" s="3" t="inlineStr">
        <is>
          <t>KFJ-432</t>
        </is>
      </c>
      <c r="I254" s="4" t="inlineStr">
        <is>
          <t>Vít bê tông không dùng tắc kê KFJ-432</t>
        </is>
      </c>
      <c r="J254" s="3" t="inlineStr">
        <is>
          <t>Hộp</t>
        </is>
      </c>
      <c r="K254" s="5" t="n">
        <v>81000</v>
      </c>
      <c r="L254" s="5" t="n">
        <v>101000</v>
      </c>
      <c r="M254" s="6" t="n">
        <v>130000</v>
      </c>
      <c r="N254" s="5" t="n"/>
      <c r="O254" s="5">
        <f>IF(AND(ISNUMBER(N254),ISNUMBER(M254)),N254-M254,"")</f>
        <v/>
      </c>
      <c r="P254" s="7">
        <f>IF(AND(ISNUMBER(N254),ISNUMBER(M254),M254&gt;0),(N254-M254)/M254,"")</f>
        <v/>
      </c>
      <c r="Q254" s="3">
        <f>IF(P254="","",IF(P254&lt;-0.02,"🔴 Bán phá giá sàn",IF(P254&gt;0.05,"🔵 Bán cao hơn","🟢 Đúng giá sàn TMĐT")))</f>
        <v/>
      </c>
      <c r="R254" s="3" t="n"/>
      <c r="S254" s="4" t="n"/>
      <c r="T254" s="4" t="n"/>
    </row>
    <row r="255">
      <c r="A255" s="3" t="n">
        <v>254</v>
      </c>
      <c r="B255" s="3" t="inlineStr">
        <is>
          <t>DL001</t>
        </is>
      </c>
      <c r="C255" s="4" t="inlineStr">
        <is>
          <t>Điện nước Nhật (Shop) HCM</t>
        </is>
      </c>
      <c r="D255" s="3" t="inlineStr">
        <is>
          <t>HCM</t>
        </is>
      </c>
      <c r="E255" s="3" t="inlineStr">
        <is>
          <t>BẢO TRÂM</t>
        </is>
      </c>
      <c r="F255" s="3" t="inlineStr">
        <is>
          <t>Shopee</t>
        </is>
      </c>
      <c r="G255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5" s="3" t="inlineStr">
        <is>
          <t>KFJ-438</t>
        </is>
      </c>
      <c r="I255" s="4" t="inlineStr">
        <is>
          <t>Vít bê tông không dùng tắc kê KFJ-438</t>
        </is>
      </c>
      <c r="J255" s="3" t="inlineStr">
        <is>
          <t>Hộp</t>
        </is>
      </c>
      <c r="K255" s="5" t="n">
        <v>81000</v>
      </c>
      <c r="L255" s="5" t="n">
        <v>101000</v>
      </c>
      <c r="M255" s="6" t="n">
        <v>130000</v>
      </c>
      <c r="N255" s="5" t="n"/>
      <c r="O255" s="5">
        <f>IF(AND(ISNUMBER(N255),ISNUMBER(M255)),N255-M255,"")</f>
        <v/>
      </c>
      <c r="P255" s="7">
        <f>IF(AND(ISNUMBER(N255),ISNUMBER(M255),M255&gt;0),(N255-M255)/M255,"")</f>
        <v/>
      </c>
      <c r="Q255" s="3">
        <f>IF(P255="","",IF(P255&lt;-0.02,"🔴 Bán phá giá sàn",IF(P255&gt;0.05,"🔵 Bán cao hơn","🟢 Đúng giá sàn TMĐT")))</f>
        <v/>
      </c>
      <c r="R255" s="3" t="n"/>
      <c r="S255" s="4" t="n"/>
      <c r="T255" s="4" t="n"/>
    </row>
    <row r="256">
      <c r="A256" s="3" t="n">
        <v>255</v>
      </c>
      <c r="B256" s="3" t="inlineStr">
        <is>
          <t>DL001</t>
        </is>
      </c>
      <c r="C256" s="4" t="inlineStr">
        <is>
          <t>Điện nước Nhật (Shop) HCM</t>
        </is>
      </c>
      <c r="D256" s="3" t="inlineStr">
        <is>
          <t>HCM</t>
        </is>
      </c>
      <c r="E256" s="3" t="inlineStr">
        <is>
          <t>BẢO TRÂM</t>
        </is>
      </c>
      <c r="F256" s="3" t="inlineStr">
        <is>
          <t>Shopee</t>
        </is>
      </c>
      <c r="G256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6" s="3" t="inlineStr">
        <is>
          <t>KFJ-445</t>
        </is>
      </c>
      <c r="I256" s="4" t="inlineStr">
        <is>
          <t>Vít bê tông không dùng tắc kê KFJ-445</t>
        </is>
      </c>
      <c r="J256" s="3" t="inlineStr">
        <is>
          <t>Hộp</t>
        </is>
      </c>
      <c r="K256" s="5" t="n">
        <v>81000</v>
      </c>
      <c r="L256" s="5" t="n">
        <v>101000</v>
      </c>
      <c r="M256" s="6" t="n">
        <v>130000</v>
      </c>
      <c r="N256" s="5" t="n"/>
      <c r="O256" s="5">
        <f>IF(AND(ISNUMBER(N256),ISNUMBER(M256)),N256-M256,"")</f>
        <v/>
      </c>
      <c r="P256" s="7">
        <f>IF(AND(ISNUMBER(N256),ISNUMBER(M256),M256&gt;0),(N256-M256)/M256,"")</f>
        <v/>
      </c>
      <c r="Q256" s="3">
        <f>IF(P256="","",IF(P256&lt;-0.02,"🔴 Bán phá giá sàn",IF(P256&gt;0.05,"🔵 Bán cao hơn","🟢 Đúng giá sàn TMĐT")))</f>
        <v/>
      </c>
      <c r="R256" s="3" t="n"/>
      <c r="S256" s="4" t="n"/>
      <c r="T256" s="4" t="n"/>
    </row>
    <row r="257">
      <c r="A257" s="3" t="n">
        <v>256</v>
      </c>
      <c r="B257" s="3" t="inlineStr">
        <is>
          <t>DL001</t>
        </is>
      </c>
      <c r="C257" s="4" t="inlineStr">
        <is>
          <t>Điện nước Nhật (Shop) HCM</t>
        </is>
      </c>
      <c r="D257" s="3" t="inlineStr">
        <is>
          <t>HCM</t>
        </is>
      </c>
      <c r="E257" s="3" t="inlineStr">
        <is>
          <t>BẢO TRÂM</t>
        </is>
      </c>
      <c r="F257" s="3" t="inlineStr">
        <is>
          <t>Shopee</t>
        </is>
      </c>
      <c r="G257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7" s="3" t="inlineStr">
        <is>
          <t>KFJ-535</t>
        </is>
      </c>
      <c r="I257" s="4" t="inlineStr">
        <is>
          <t>Vít bê tông không dùng tắc kê KFJ-535</t>
        </is>
      </c>
      <c r="J257" s="3" t="inlineStr">
        <is>
          <t>Hộp</t>
        </is>
      </c>
      <c r="K257" s="5" t="n">
        <v>81000</v>
      </c>
      <c r="L257" s="5" t="n">
        <v>101000</v>
      </c>
      <c r="M257" s="6" t="n">
        <v>130000</v>
      </c>
      <c r="N257" s="5" t="n"/>
      <c r="O257" s="5">
        <f>IF(AND(ISNUMBER(N257),ISNUMBER(M257)),N257-M257,"")</f>
        <v/>
      </c>
      <c r="P257" s="7">
        <f>IF(AND(ISNUMBER(N257),ISNUMBER(M257),M257&gt;0),(N257-M257)/M257,"")</f>
        <v/>
      </c>
      <c r="Q257" s="3">
        <f>IF(P257="","",IF(P257&lt;-0.02,"🔴 Bán phá giá sàn",IF(P257&gt;0.05,"🔵 Bán cao hơn","🟢 Đúng giá sàn TMĐT")))</f>
        <v/>
      </c>
      <c r="R257" s="3" t="n"/>
      <c r="S257" s="4" t="n"/>
      <c r="T257" s="4" t="n"/>
    </row>
    <row r="258">
      <c r="A258" s="3" t="n">
        <v>257</v>
      </c>
      <c r="B258" s="3" t="inlineStr">
        <is>
          <t>DL001</t>
        </is>
      </c>
      <c r="C258" s="4" t="inlineStr">
        <is>
          <t>Điện nước Nhật (Shop) HCM</t>
        </is>
      </c>
      <c r="D258" s="3" t="inlineStr">
        <is>
          <t>HCM</t>
        </is>
      </c>
      <c r="E258" s="3" t="inlineStr">
        <is>
          <t>BẢO TRÂM</t>
        </is>
      </c>
      <c r="F258" s="3" t="inlineStr">
        <is>
          <t>Shopee</t>
        </is>
      </c>
      <c r="G258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58" s="3" t="inlineStr">
        <is>
          <t>KFJ-545</t>
        </is>
      </c>
      <c r="I258" s="4" t="inlineStr">
        <is>
          <t>Vít bê tông không dùng tắc kê KFJ-545</t>
        </is>
      </c>
      <c r="J258" s="3" t="inlineStr">
        <is>
          <t>Hộp</t>
        </is>
      </c>
      <c r="K258" s="5" t="n">
        <v>81000</v>
      </c>
      <c r="L258" s="5" t="n">
        <v>101000</v>
      </c>
      <c r="M258" s="6" t="n">
        <v>130000</v>
      </c>
      <c r="N258" s="5" t="n"/>
      <c r="O258" s="5">
        <f>IF(AND(ISNUMBER(N258),ISNUMBER(M258)),N258-M258,"")</f>
        <v/>
      </c>
      <c r="P258" s="7">
        <f>IF(AND(ISNUMBER(N258),ISNUMBER(M258),M258&gt;0),(N258-M258)/M258,"")</f>
        <v/>
      </c>
      <c r="Q258" s="3">
        <f>IF(P258="","",IF(P258&lt;-0.02,"🔴 Bán phá giá sàn",IF(P258&gt;0.05,"🔵 Bán cao hơn","🟢 Đúng giá sàn TMĐT")))</f>
        <v/>
      </c>
      <c r="R258" s="3" t="n"/>
      <c r="S258" s="4" t="n"/>
      <c r="T258" s="4" t="n"/>
    </row>
    <row r="259">
      <c r="A259" s="3" t="n">
        <v>258</v>
      </c>
      <c r="B259" s="3" t="inlineStr">
        <is>
          <t>DL002</t>
        </is>
      </c>
      <c r="C259" s="4" t="inlineStr">
        <is>
          <t>Nguyễn Hoàng Phú</t>
        </is>
      </c>
      <c r="D259" s="3" t="inlineStr">
        <is>
          <t>HCM</t>
        </is>
      </c>
      <c r="E259" s="3" t="inlineStr">
        <is>
          <t>BẢO TRÂM</t>
        </is>
      </c>
      <c r="F259" s="3" t="inlineStr">
        <is>
          <t>Shopee</t>
        </is>
      </c>
      <c r="G259" s="4" t="inlineStr">
        <is>
          <t>SHOPEE: https://s.shopee.vn/3qNt1d78Ij TIKTOK: LAZADA: WEBSITE BÁN HÀNG:</t>
        </is>
      </c>
      <c r="H259" s="3" t="inlineStr">
        <is>
          <t>T9100E</t>
        </is>
      </c>
      <c r="I259" s="4" t="inlineStr">
        <is>
          <t>Bộ đầu hoa thị T9100E</t>
        </is>
      </c>
      <c r="J259" s="3" t="inlineStr">
        <is>
          <t>Bộ</t>
        </is>
      </c>
      <c r="K259" s="5" t="n">
        <v>86000</v>
      </c>
      <c r="L259" s="5" t="n">
        <v>108000</v>
      </c>
      <c r="M259" s="6" t="n">
        <v>142000</v>
      </c>
      <c r="N259" s="5" t="n"/>
      <c r="O259" s="5">
        <f>IF(AND(ISNUMBER(N259),ISNUMBER(M259)),N259-M259,"")</f>
        <v/>
      </c>
      <c r="P259" s="7">
        <f>IF(AND(ISNUMBER(N259),ISNUMBER(M259),M259&gt;0),(N259-M259)/M259,"")</f>
        <v/>
      </c>
      <c r="Q259" s="3">
        <f>IF(P259="","",IF(P259&lt;-0.02,"🔴 Bán phá giá sàn",IF(P259&gt;0.05,"🔵 Bán cao hơn","🟢 Đúng giá sàn TMĐT")))</f>
        <v/>
      </c>
      <c r="R259" s="3" t="n"/>
      <c r="S259" s="4" t="n"/>
      <c r="T259" s="4" t="n"/>
    </row>
    <row r="260">
      <c r="A260" s="3" t="n">
        <v>259</v>
      </c>
      <c r="B260" s="3" t="inlineStr">
        <is>
          <t>DL002</t>
        </is>
      </c>
      <c r="C260" s="4" t="inlineStr">
        <is>
          <t>Nguyễn Hoàng Phú</t>
        </is>
      </c>
      <c r="D260" s="3" t="inlineStr">
        <is>
          <t>HCM</t>
        </is>
      </c>
      <c r="E260" s="3" t="inlineStr">
        <is>
          <t>BẢO TRÂM</t>
        </is>
      </c>
      <c r="F260" s="3" t="inlineStr">
        <is>
          <t>Shopee</t>
        </is>
      </c>
      <c r="G260" s="4" t="inlineStr">
        <is>
          <t>SHOPEE: https://s.shopee.vn/3qNt1d78Ij TIKTOK: LAZADA: WEBSITE BÁN HÀNG:</t>
        </is>
      </c>
      <c r="H260" s="3" t="inlineStr">
        <is>
          <t>L8100E</t>
        </is>
      </c>
      <c r="I260" s="4" t="inlineStr">
        <is>
          <t>Bộ đầu lục giác L8100E</t>
        </is>
      </c>
      <c r="J260" s="3" t="inlineStr">
        <is>
          <t>Bộ</t>
        </is>
      </c>
      <c r="K260" s="5" t="n">
        <v>86000</v>
      </c>
      <c r="L260" s="5" t="n">
        <v>108000</v>
      </c>
      <c r="M260" s="6" t="n">
        <v>142000</v>
      </c>
      <c r="N260" s="5" t="n"/>
      <c r="O260" s="5">
        <f>IF(AND(ISNUMBER(N260),ISNUMBER(M260)),N260-M260,"")</f>
        <v/>
      </c>
      <c r="P260" s="7">
        <f>IF(AND(ISNUMBER(N260),ISNUMBER(M260),M260&gt;0),(N260-M260)/M260,"")</f>
        <v/>
      </c>
      <c r="Q260" s="3">
        <f>IF(P260="","",IF(P260&lt;-0.02,"🔴 Bán phá giá sàn",IF(P260&gt;0.05,"🔵 Bán cao hơn","🟢 Đúng giá sàn TMĐT")))</f>
        <v/>
      </c>
      <c r="R260" s="3" t="n"/>
      <c r="S260" s="4" t="n"/>
      <c r="T260" s="4" t="n"/>
    </row>
    <row r="261">
      <c r="A261" s="3" t="n">
        <v>260</v>
      </c>
      <c r="B261" s="3" t="inlineStr">
        <is>
          <t>DL002</t>
        </is>
      </c>
      <c r="C261" s="4" t="inlineStr">
        <is>
          <t>Nguyễn Hoàng Phú</t>
        </is>
      </c>
      <c r="D261" s="3" t="inlineStr">
        <is>
          <t>HCM</t>
        </is>
      </c>
      <c r="E261" s="3" t="inlineStr">
        <is>
          <t>BẢO TRÂM</t>
        </is>
      </c>
      <c r="F261" s="3" t="inlineStr">
        <is>
          <t>Shopee</t>
        </is>
      </c>
      <c r="G261" s="4" t="inlineStr">
        <is>
          <t>SHOPEE: https://s.shopee.vn/3qNt1d78Ij TIKTOK: LAZADA: WEBSITE BÁN HÀNG:</t>
        </is>
      </c>
      <c r="H261" s="3" t="inlineStr">
        <is>
          <t>KBYT6</t>
        </is>
      </c>
      <c r="I261" s="4" t="inlineStr">
        <is>
          <t>Bộ lấy ốc gãy KingBlue KBYT6</t>
        </is>
      </c>
      <c r="J261" s="3" t="inlineStr">
        <is>
          <t>Bộ</t>
        </is>
      </c>
      <c r="K261" s="5" t="n">
        <v>68000</v>
      </c>
      <c r="L261" s="5" t="n">
        <v>80000</v>
      </c>
      <c r="M261" s="6" t="n">
        <v>99000</v>
      </c>
      <c r="N261" s="5" t="n"/>
      <c r="O261" s="5">
        <f>IF(AND(ISNUMBER(N261),ISNUMBER(M261)),N261-M261,"")</f>
        <v/>
      </c>
      <c r="P261" s="7">
        <f>IF(AND(ISNUMBER(N261),ISNUMBER(M261),M261&gt;0),(N261-M261)/M261,"")</f>
        <v/>
      </c>
      <c r="Q261" s="3">
        <f>IF(P261="","",IF(P261&lt;-0.02,"🔴 Bán phá giá sàn",IF(P261&gt;0.05,"🔵 Bán cao hơn","🟢 Đúng giá sàn TMĐT")))</f>
        <v/>
      </c>
      <c r="R261" s="3" t="n"/>
      <c r="S261" s="4" t="n"/>
      <c r="T261" s="4" t="n"/>
    </row>
    <row r="262">
      <c r="A262" s="3" t="n">
        <v>261</v>
      </c>
      <c r="B262" s="3" t="inlineStr">
        <is>
          <t>DL002</t>
        </is>
      </c>
      <c r="C262" s="4" t="inlineStr">
        <is>
          <t>Nguyễn Hoàng Phú</t>
        </is>
      </c>
      <c r="D262" s="3" t="inlineStr">
        <is>
          <t>HCM</t>
        </is>
      </c>
      <c r="E262" s="3" t="inlineStr">
        <is>
          <t>BẢO TRÂM</t>
        </is>
      </c>
      <c r="F262" s="3" t="inlineStr">
        <is>
          <t>Shopee</t>
        </is>
      </c>
      <c r="G262" s="4" t="inlineStr">
        <is>
          <t>SHOPEE: https://s.shopee.vn/3qNt1d78Ij TIKTOK: LAZADA: WEBSITE BÁN HÀNG:</t>
        </is>
      </c>
      <c r="H262" s="3" t="inlineStr">
        <is>
          <t>KL-008</t>
        </is>
      </c>
      <c r="I262" s="4" t="inlineStr">
        <is>
          <t>Bộ lục giác gập KL-008</t>
        </is>
      </c>
      <c r="J262" s="3" t="inlineStr">
        <is>
          <t>Cái</t>
        </is>
      </c>
      <c r="K262" s="5" t="n">
        <v>269000</v>
      </c>
      <c r="L262" s="5" t="n">
        <v>317000</v>
      </c>
      <c r="M262" s="6" t="n">
        <v>390000</v>
      </c>
      <c r="N262" s="5" t="n"/>
      <c r="O262" s="5">
        <f>IF(AND(ISNUMBER(N262),ISNUMBER(M262)),N262-M262,"")</f>
        <v/>
      </c>
      <c r="P262" s="7">
        <f>IF(AND(ISNUMBER(N262),ISNUMBER(M262),M262&gt;0),(N262-M262)/M262,"")</f>
        <v/>
      </c>
      <c r="Q262" s="3">
        <f>IF(P262="","",IF(P262&lt;-0.02,"🔴 Bán phá giá sàn",IF(P262&gt;0.05,"🔵 Bán cao hơn","🟢 Đúng giá sàn TMĐT")))</f>
        <v/>
      </c>
      <c r="R262" s="3" t="n"/>
      <c r="S262" s="4" t="n"/>
      <c r="T262" s="4" t="n"/>
    </row>
    <row r="263">
      <c r="A263" s="3" t="n">
        <v>262</v>
      </c>
      <c r="B263" s="3" t="inlineStr">
        <is>
          <t>DL002</t>
        </is>
      </c>
      <c r="C263" s="4" t="inlineStr">
        <is>
          <t>Nguyễn Hoàng Phú</t>
        </is>
      </c>
      <c r="D263" s="3" t="inlineStr">
        <is>
          <t>HCM</t>
        </is>
      </c>
      <c r="E263" s="3" t="inlineStr">
        <is>
          <t>BẢO TRÂM</t>
        </is>
      </c>
      <c r="F263" s="3" t="inlineStr">
        <is>
          <t>Shopee</t>
        </is>
      </c>
      <c r="G263" s="4" t="inlineStr">
        <is>
          <t>SHOPEE: https://s.shopee.vn/3qNt1d78Ij TIKTOK: LAZADA: WEBSITE BÁN HÀNG:</t>
        </is>
      </c>
      <c r="H263" s="3" t="inlineStr">
        <is>
          <t>KL018</t>
        </is>
      </c>
      <c r="I263" s="4" t="inlineStr">
        <is>
          <t>Bộ lục giác KL018</t>
        </is>
      </c>
      <c r="J263" s="3" t="inlineStr">
        <is>
          <t>Cái</t>
        </is>
      </c>
      <c r="K263" s="5" t="n">
        <v>269000</v>
      </c>
      <c r="L263" s="5" t="n">
        <v>317000</v>
      </c>
      <c r="M263" s="6" t="n">
        <v>390000</v>
      </c>
      <c r="N263" s="5" t="n"/>
      <c r="O263" s="5">
        <f>IF(AND(ISNUMBER(N263),ISNUMBER(M263)),N263-M263,"")</f>
        <v/>
      </c>
      <c r="P263" s="7">
        <f>IF(AND(ISNUMBER(N263),ISNUMBER(M263),M263&gt;0),(N263-M263)/M263,"")</f>
        <v/>
      </c>
      <c r="Q263" s="3">
        <f>IF(P263="","",IF(P263&lt;-0.02,"🔴 Bán phá giá sàn",IF(P263&gt;0.05,"🔵 Bán cao hơn","🟢 Đúng giá sàn TMĐT")))</f>
        <v/>
      </c>
      <c r="R263" s="3" t="n"/>
      <c r="S263" s="4" t="n"/>
      <c r="T263" s="4" t="n"/>
    </row>
    <row r="264">
      <c r="A264" s="3" t="n">
        <v>263</v>
      </c>
      <c r="B264" s="3" t="inlineStr">
        <is>
          <t>DL002</t>
        </is>
      </c>
      <c r="C264" s="4" t="inlineStr">
        <is>
          <t>Nguyễn Hoàng Phú</t>
        </is>
      </c>
      <c r="D264" s="3" t="inlineStr">
        <is>
          <t>HCM</t>
        </is>
      </c>
      <c r="E264" s="3" t="inlineStr">
        <is>
          <t>BẢO TRÂM</t>
        </is>
      </c>
      <c r="F264" s="3" t="inlineStr">
        <is>
          <t>Shopee</t>
        </is>
      </c>
      <c r="G264" s="4" t="inlineStr">
        <is>
          <t>SHOPEE: https://s.shopee.vn/3qNt1d78Ij TIKTOK: LAZADA: WEBSITE BÁN HÀNG:</t>
        </is>
      </c>
      <c r="H264" s="3" t="inlineStr">
        <is>
          <t>KL5-09</t>
        </is>
      </c>
      <c r="I264" s="4" t="inlineStr">
        <is>
          <t>Bộ lục giác KL5-09 ( đầu bi)</t>
        </is>
      </c>
      <c r="J264" s="3" t="inlineStr">
        <is>
          <t>Cái</t>
        </is>
      </c>
      <c r="K264" s="5" t="n">
        <v>269000</v>
      </c>
      <c r="L264" s="5" t="n">
        <v>317000</v>
      </c>
      <c r="M264" s="6" t="n">
        <v>390000</v>
      </c>
      <c r="N264" s="5" t="n"/>
      <c r="O264" s="5">
        <f>IF(AND(ISNUMBER(N264),ISNUMBER(M264)),N264-M264,"")</f>
        <v/>
      </c>
      <c r="P264" s="7">
        <f>IF(AND(ISNUMBER(N264),ISNUMBER(M264),M264&gt;0),(N264-M264)/M264,"")</f>
        <v/>
      </c>
      <c r="Q264" s="3">
        <f>IF(P264="","",IF(P264&lt;-0.02,"🔴 Bán phá giá sàn",IF(P264&gt;0.05,"🔵 Bán cao hơn","🟢 Đúng giá sàn TMĐT")))</f>
        <v/>
      </c>
      <c r="R264" s="3" t="n"/>
      <c r="S264" s="4" t="n"/>
      <c r="T264" s="4" t="n"/>
    </row>
    <row r="265">
      <c r="A265" s="3" t="n">
        <v>264</v>
      </c>
      <c r="B265" s="3" t="inlineStr">
        <is>
          <t>DL002</t>
        </is>
      </c>
      <c r="C265" s="4" t="inlineStr">
        <is>
          <t>Nguyễn Hoàng Phú</t>
        </is>
      </c>
      <c r="D265" s="3" t="inlineStr">
        <is>
          <t>HCM</t>
        </is>
      </c>
      <c r="E265" s="3" t="inlineStr">
        <is>
          <t>BẢO TRÂM</t>
        </is>
      </c>
      <c r="F265" s="3" t="inlineStr">
        <is>
          <t>Shopee</t>
        </is>
      </c>
      <c r="G265" s="4" t="inlineStr">
        <is>
          <t>SHOPEE: https://s.shopee.vn/3qNt1d78Ij TIKTOK: LAZADA: WEBSITE BÁN HÀNG:</t>
        </is>
      </c>
      <c r="H265" s="3" t="inlineStr">
        <is>
          <t>KB20QE1</t>
        </is>
      </c>
      <c r="I265" s="4" t="inlineStr">
        <is>
          <t>Bộ Máy Khoan 3 Chức Năng 20V KB20QE1</t>
        </is>
      </c>
      <c r="J265" s="3" t="inlineStr">
        <is>
          <t>Bộ</t>
        </is>
      </c>
      <c r="K265" s="5" t="n">
        <v>3060000</v>
      </c>
      <c r="L265" s="5" t="n">
        <v>3360000</v>
      </c>
      <c r="M265" s="6" t="n">
        <v>3820000</v>
      </c>
      <c r="N265" s="5" t="n"/>
      <c r="O265" s="5">
        <f>IF(AND(ISNUMBER(N265),ISNUMBER(M265)),N265-M265,"")</f>
        <v/>
      </c>
      <c r="P265" s="7">
        <f>IF(AND(ISNUMBER(N265),ISNUMBER(M265),M265&gt;0),(N265-M265)/M265,"")</f>
        <v/>
      </c>
      <c r="Q265" s="3">
        <f>IF(P265="","",IF(P265&lt;-0.02,"🔴 Bán phá giá sàn",IF(P265&gt;0.05,"🔵 Bán cao hơn","🟢 Đúng giá sàn TMĐT")))</f>
        <v/>
      </c>
      <c r="R265" s="3" t="n"/>
      <c r="S265" s="4" t="n"/>
      <c r="T265" s="4" t="n"/>
    </row>
    <row r="266">
      <c r="A266" s="3" t="n">
        <v>265</v>
      </c>
      <c r="B266" s="3" t="inlineStr">
        <is>
          <t>DL002</t>
        </is>
      </c>
      <c r="C266" s="4" t="inlineStr">
        <is>
          <t>Nguyễn Hoàng Phú</t>
        </is>
      </c>
      <c r="D266" s="3" t="inlineStr">
        <is>
          <t>HCM</t>
        </is>
      </c>
      <c r="E266" s="3" t="inlineStr">
        <is>
          <t>BẢO TRÂM</t>
        </is>
      </c>
      <c r="F266" s="3" t="inlineStr">
        <is>
          <t>Shopee</t>
        </is>
      </c>
      <c r="G266" s="4" t="inlineStr">
        <is>
          <t>SHOPEE: https://s.shopee.vn/3qNt1d78Ij TIKTOK: LAZADA: WEBSITE BÁN HÀNG:</t>
        </is>
      </c>
      <c r="H266" s="3" t="inlineStr">
        <is>
          <t>KBY2-B10</t>
        </is>
      </c>
      <c r="I266" s="4" t="inlineStr">
        <is>
          <t>Bộ mũi khoan inox Kingblue KBY2-B10</t>
        </is>
      </c>
      <c r="J266" s="3" t="inlineStr">
        <is>
          <t>Bộ</t>
        </is>
      </c>
      <c r="K266" s="5" t="n">
        <v>329000</v>
      </c>
      <c r="L266" s="5" t="n">
        <v>408000</v>
      </c>
      <c r="M266" s="6" t="n">
        <v>526000</v>
      </c>
      <c r="N266" s="5" t="n"/>
      <c r="O266" s="5">
        <f>IF(AND(ISNUMBER(N266),ISNUMBER(M266)),N266-M266,"")</f>
        <v/>
      </c>
      <c r="P266" s="7">
        <f>IF(AND(ISNUMBER(N266),ISNUMBER(M266),M266&gt;0),(N266-M266)/M266,"")</f>
        <v/>
      </c>
      <c r="Q266" s="3">
        <f>IF(P266="","",IF(P266&lt;-0.02,"🔴 Bán phá giá sàn",IF(P266&gt;0.05,"🔵 Bán cao hơn","🟢 Đúng giá sàn TMĐT")))</f>
        <v/>
      </c>
      <c r="R266" s="3" t="n"/>
      <c r="S266" s="4" t="n"/>
      <c r="T266" s="4" t="n"/>
    </row>
    <row r="267">
      <c r="A267" s="3" t="n">
        <v>266</v>
      </c>
      <c r="B267" s="3" t="inlineStr">
        <is>
          <t>DL002</t>
        </is>
      </c>
      <c r="C267" s="4" t="inlineStr">
        <is>
          <t>Nguyễn Hoàng Phú</t>
        </is>
      </c>
      <c r="D267" s="3" t="inlineStr">
        <is>
          <t>HCM</t>
        </is>
      </c>
      <c r="E267" s="3" t="inlineStr">
        <is>
          <t>BẢO TRÂM</t>
        </is>
      </c>
      <c r="F267" s="3" t="inlineStr">
        <is>
          <t>Shopee</t>
        </is>
      </c>
      <c r="G267" s="4" t="inlineStr">
        <is>
          <t>SHOPEE: https://s.shopee.vn/3qNt1d78Ij TIKTOK: LAZADA: WEBSITE BÁN HÀNG:</t>
        </is>
      </c>
      <c r="H267" s="3" t="inlineStr">
        <is>
          <t>KBY1-B13</t>
        </is>
      </c>
      <c r="I267" s="4" t="inlineStr">
        <is>
          <t>Bộ mũi khoan thép Kingblue KBY1-B13</t>
        </is>
      </c>
      <c r="J267" s="3" t="inlineStr">
        <is>
          <t>Bộ</t>
        </is>
      </c>
      <c r="K267" s="5" t="n">
        <v>199000</v>
      </c>
      <c r="L267" s="5" t="n">
        <v>247000</v>
      </c>
      <c r="M267" s="6" t="n">
        <v>318000</v>
      </c>
      <c r="N267" s="5" t="n"/>
      <c r="O267" s="5">
        <f>IF(AND(ISNUMBER(N267),ISNUMBER(M267)),N267-M267,"")</f>
        <v/>
      </c>
      <c r="P267" s="7">
        <f>IF(AND(ISNUMBER(N267),ISNUMBER(M267),M267&gt;0),(N267-M267)/M267,"")</f>
        <v/>
      </c>
      <c r="Q267" s="3">
        <f>IF(P267="","",IF(P267&lt;-0.02,"🔴 Bán phá giá sàn",IF(P267&gt;0.05,"🔵 Bán cao hơn","🟢 Đúng giá sàn TMĐT")))</f>
        <v/>
      </c>
      <c r="R267" s="3" t="n"/>
      <c r="S267" s="4" t="n"/>
      <c r="T267" s="4" t="n"/>
    </row>
    <row r="268">
      <c r="A268" s="3" t="n">
        <v>267</v>
      </c>
      <c r="B268" s="3" t="inlineStr">
        <is>
          <t>DL002</t>
        </is>
      </c>
      <c r="C268" s="4" t="inlineStr">
        <is>
          <t>Nguyễn Hoàng Phú</t>
        </is>
      </c>
      <c r="D268" s="3" t="inlineStr">
        <is>
          <t>HCM</t>
        </is>
      </c>
      <c r="E268" s="3" t="inlineStr">
        <is>
          <t>BẢO TRÂM</t>
        </is>
      </c>
      <c r="F268" s="3" t="inlineStr">
        <is>
          <t>Shopee</t>
        </is>
      </c>
      <c r="G268" s="4" t="inlineStr">
        <is>
          <t>SHOPEE: https://s.shopee.vn/3qNt1d78Ij TIKTOK: LAZADA: WEBSITE BÁN HÀNG:</t>
        </is>
      </c>
      <c r="H268" s="3" t="inlineStr">
        <is>
          <t>KIC140</t>
        </is>
      </c>
      <c r="I268" s="4" t="inlineStr">
        <is>
          <t>Bút thử điện KIC140</t>
        </is>
      </c>
      <c r="J268" s="3" t="inlineStr">
        <is>
          <t>Cái</t>
        </is>
      </c>
      <c r="K268" s="5" t="n">
        <v>14000</v>
      </c>
      <c r="L268" s="5" t="n">
        <v>16000</v>
      </c>
      <c r="M268" s="6" t="n">
        <v>20000</v>
      </c>
      <c r="N268" s="5" t="n"/>
      <c r="O268" s="5">
        <f>IF(AND(ISNUMBER(N268),ISNUMBER(M268)),N268-M268,"")</f>
        <v/>
      </c>
      <c r="P268" s="7">
        <f>IF(AND(ISNUMBER(N268),ISNUMBER(M268),M268&gt;0),(N268-M268)/M268,"")</f>
        <v/>
      </c>
      <c r="Q268" s="3">
        <f>IF(P268="","",IF(P268&lt;-0.02,"🔴 Bán phá giá sàn",IF(P268&gt;0.05,"🔵 Bán cao hơn","🟢 Đúng giá sàn TMĐT")))</f>
        <v/>
      </c>
      <c r="R268" s="3" t="n"/>
      <c r="S268" s="4" t="n"/>
      <c r="T268" s="4" t="n"/>
    </row>
    <row r="269">
      <c r="A269" s="3" t="n">
        <v>268</v>
      </c>
      <c r="B269" s="3" t="inlineStr">
        <is>
          <t>DL002</t>
        </is>
      </c>
      <c r="C269" s="4" t="inlineStr">
        <is>
          <t>Nguyễn Hoàng Phú</t>
        </is>
      </c>
      <c r="D269" s="3" t="inlineStr">
        <is>
          <t>HCM</t>
        </is>
      </c>
      <c r="E269" s="3" t="inlineStr">
        <is>
          <t>BẢO TRÂM</t>
        </is>
      </c>
      <c r="F269" s="3" t="inlineStr">
        <is>
          <t>Shopee</t>
        </is>
      </c>
      <c r="G269" s="4" t="inlineStr">
        <is>
          <t>SHOPEE: https://s.shopee.vn/3qNt1d78Ij TIKTOK: LAZADA: WEBSITE BÁN HÀNG:</t>
        </is>
      </c>
      <c r="H269" s="3" t="inlineStr">
        <is>
          <t>KB-ST18</t>
        </is>
      </c>
      <c r="I269" s="4" t="inlineStr">
        <is>
          <t>Công cụ đóng đinh bán tự động KB-ST18</t>
        </is>
      </c>
      <c r="J269" s="3" t="inlineStr">
        <is>
          <t>Cái</t>
        </is>
      </c>
      <c r="K269" s="5" t="n">
        <v>242000</v>
      </c>
      <c r="L269" s="5" t="n">
        <v>286000</v>
      </c>
      <c r="M269" s="6" t="n">
        <v>351000</v>
      </c>
      <c r="N269" s="5" t="n"/>
      <c r="O269" s="5">
        <f>IF(AND(ISNUMBER(N269),ISNUMBER(M269)),N269-M269,"")</f>
        <v/>
      </c>
      <c r="P269" s="7">
        <f>IF(AND(ISNUMBER(N269),ISNUMBER(M269),M269&gt;0),(N269-M269)/M269,"")</f>
        <v/>
      </c>
      <c r="Q269" s="3">
        <f>IF(P269="","",IF(P269&lt;-0.02,"🔴 Bán phá giá sàn",IF(P269&gt;0.05,"🔵 Bán cao hơn","🟢 Đúng giá sàn TMĐT")))</f>
        <v/>
      </c>
      <c r="R269" s="3" t="n"/>
      <c r="S269" s="4" t="n"/>
      <c r="T269" s="4" t="n"/>
    </row>
    <row r="270">
      <c r="A270" s="3" t="n">
        <v>269</v>
      </c>
      <c r="B270" s="3" t="inlineStr">
        <is>
          <t>DL002</t>
        </is>
      </c>
      <c r="C270" s="4" t="inlineStr">
        <is>
          <t>Nguyễn Hoàng Phú</t>
        </is>
      </c>
      <c r="D270" s="3" t="inlineStr">
        <is>
          <t>HCM</t>
        </is>
      </c>
      <c r="E270" s="3" t="inlineStr">
        <is>
          <t>BẢO TRÂM</t>
        </is>
      </c>
      <c r="F270" s="3" t="inlineStr">
        <is>
          <t>Shopee</t>
        </is>
      </c>
      <c r="G270" s="4" t="inlineStr">
        <is>
          <t>SHOPEE: https://s.shopee.vn/3qNt1d78Ij TIKTOK: LAZADA: WEBSITE BÁN HÀNG:</t>
        </is>
      </c>
      <c r="H270" s="3" t="inlineStr">
        <is>
          <t>KH2-08</t>
        </is>
      </c>
      <c r="I270" s="4" t="inlineStr">
        <is>
          <t>Cờ lê vòng miệng thép KH2-08</t>
        </is>
      </c>
      <c r="J270" s="3" t="inlineStr">
        <is>
          <t>Cái</t>
        </is>
      </c>
      <c r="K270" s="5" t="n">
        <v>26000</v>
      </c>
      <c r="L270" s="5" t="n">
        <v>31000</v>
      </c>
      <c r="M270" s="6" t="n">
        <v>38000</v>
      </c>
      <c r="N270" s="5" t="n"/>
      <c r="O270" s="5">
        <f>IF(AND(ISNUMBER(N270),ISNUMBER(M270)),N270-M270,"")</f>
        <v/>
      </c>
      <c r="P270" s="7">
        <f>IF(AND(ISNUMBER(N270),ISNUMBER(M270),M270&gt;0),(N270-M270)/M270,"")</f>
        <v/>
      </c>
      <c r="Q270" s="3">
        <f>IF(P270="","",IF(P270&lt;-0.02,"🔴 Bán phá giá sàn",IF(P270&gt;0.05,"🔵 Bán cao hơn","🟢 Đúng giá sàn TMĐT")))</f>
        <v/>
      </c>
      <c r="R270" s="3" t="n"/>
      <c r="S270" s="4" t="n"/>
      <c r="T270" s="4" t="n"/>
    </row>
    <row r="271">
      <c r="A271" s="3" t="n">
        <v>270</v>
      </c>
      <c r="B271" s="3" t="inlineStr">
        <is>
          <t>DL002</t>
        </is>
      </c>
      <c r="C271" s="4" t="inlineStr">
        <is>
          <t>Nguyễn Hoàng Phú</t>
        </is>
      </c>
      <c r="D271" s="3" t="inlineStr">
        <is>
          <t>HCM</t>
        </is>
      </c>
      <c r="E271" s="3" t="inlineStr">
        <is>
          <t>BẢO TRÂM</t>
        </is>
      </c>
      <c r="F271" s="3" t="inlineStr">
        <is>
          <t>Shopee</t>
        </is>
      </c>
      <c r="G271" s="4" t="inlineStr">
        <is>
          <t>SHOPEE: https://s.shopee.vn/3qNt1d78Ij TIKTOK: LAZADA: WEBSITE BÁN HÀNG:</t>
        </is>
      </c>
      <c r="H271" s="3" t="inlineStr">
        <is>
          <t>KH2-10</t>
        </is>
      </c>
      <c r="I271" s="4" t="inlineStr">
        <is>
          <t>Cờ lê vòng miệng thép KH2-10</t>
        </is>
      </c>
      <c r="J271" s="3" t="inlineStr">
        <is>
          <t>Cái</t>
        </is>
      </c>
      <c r="K271" s="5" t="n">
        <v>30000</v>
      </c>
      <c r="L271" s="5" t="n">
        <v>36000</v>
      </c>
      <c r="M271" s="6" t="n">
        <v>44000</v>
      </c>
      <c r="N271" s="5" t="n"/>
      <c r="O271" s="5">
        <f>IF(AND(ISNUMBER(N271),ISNUMBER(M271)),N271-M271,"")</f>
        <v/>
      </c>
      <c r="P271" s="7">
        <f>IF(AND(ISNUMBER(N271),ISNUMBER(M271),M271&gt;0),(N271-M271)/M271,"")</f>
        <v/>
      </c>
      <c r="Q271" s="3">
        <f>IF(P271="","",IF(P271&lt;-0.02,"🔴 Bán phá giá sàn",IF(P271&gt;0.05,"🔵 Bán cao hơn","🟢 Đúng giá sàn TMĐT")))</f>
        <v/>
      </c>
      <c r="R271" s="3" t="n"/>
      <c r="S271" s="4" t="n"/>
      <c r="T271" s="4" t="n"/>
    </row>
    <row r="272">
      <c r="A272" s="3" t="n">
        <v>271</v>
      </c>
      <c r="B272" s="3" t="inlineStr">
        <is>
          <t>DL002</t>
        </is>
      </c>
      <c r="C272" s="4" t="inlineStr">
        <is>
          <t>Nguyễn Hoàng Phú</t>
        </is>
      </c>
      <c r="D272" s="3" t="inlineStr">
        <is>
          <t>HCM</t>
        </is>
      </c>
      <c r="E272" s="3" t="inlineStr">
        <is>
          <t>BẢO TRÂM</t>
        </is>
      </c>
      <c r="F272" s="3" t="inlineStr">
        <is>
          <t>Shopee</t>
        </is>
      </c>
      <c r="G272" s="4" t="inlineStr">
        <is>
          <t>SHOPEE: https://s.shopee.vn/3qNt1d78Ij TIKTOK: LAZADA: WEBSITE BÁN HÀNG:</t>
        </is>
      </c>
      <c r="H272" s="3" t="inlineStr">
        <is>
          <t>KH2-12</t>
        </is>
      </c>
      <c r="I272" s="4" t="inlineStr">
        <is>
          <t>Cờ lê vòng miệng thép KH2-12</t>
        </is>
      </c>
      <c r="J272" s="3" t="inlineStr">
        <is>
          <t>Cái</t>
        </is>
      </c>
      <c r="K272" s="5" t="n">
        <v>34000</v>
      </c>
      <c r="L272" s="5" t="n">
        <v>40000</v>
      </c>
      <c r="M272" s="6" t="n">
        <v>49000</v>
      </c>
      <c r="N272" s="5" t="n"/>
      <c r="O272" s="5">
        <f>IF(AND(ISNUMBER(N272),ISNUMBER(M272)),N272-M272,"")</f>
        <v/>
      </c>
      <c r="P272" s="7">
        <f>IF(AND(ISNUMBER(N272),ISNUMBER(M272),M272&gt;0),(N272-M272)/M272,"")</f>
        <v/>
      </c>
      <c r="Q272" s="3">
        <f>IF(P272="","",IF(P272&lt;-0.02,"🔴 Bán phá giá sàn",IF(P272&gt;0.05,"🔵 Bán cao hơn","🟢 Đúng giá sàn TMĐT")))</f>
        <v/>
      </c>
      <c r="R272" s="3" t="n"/>
      <c r="S272" s="4" t="n"/>
      <c r="T272" s="4" t="n"/>
    </row>
    <row r="273">
      <c r="A273" s="3" t="n">
        <v>272</v>
      </c>
      <c r="B273" s="3" t="inlineStr">
        <is>
          <t>DL002</t>
        </is>
      </c>
      <c r="C273" s="4" t="inlineStr">
        <is>
          <t>Nguyễn Hoàng Phú</t>
        </is>
      </c>
      <c r="D273" s="3" t="inlineStr">
        <is>
          <t>HCM</t>
        </is>
      </c>
      <c r="E273" s="3" t="inlineStr">
        <is>
          <t>BẢO TRÂM</t>
        </is>
      </c>
      <c r="F273" s="3" t="inlineStr">
        <is>
          <t>Shopee</t>
        </is>
      </c>
      <c r="G273" s="4" t="inlineStr">
        <is>
          <t>SHOPEE: https://s.shopee.vn/3qNt1d78Ij TIKTOK: LAZADA: WEBSITE BÁN HÀNG:</t>
        </is>
      </c>
      <c r="H273" s="3" t="inlineStr">
        <is>
          <t>KH2-13</t>
        </is>
      </c>
      <c r="I273" s="4" t="inlineStr">
        <is>
          <t>Cờ lê vòng miệng thép KH2-13</t>
        </is>
      </c>
      <c r="J273" s="3" t="inlineStr">
        <is>
          <t>Cái</t>
        </is>
      </c>
      <c r="K273" s="5" t="n">
        <v>35000</v>
      </c>
      <c r="L273" s="5" t="n">
        <v>41000</v>
      </c>
      <c r="M273" s="6" t="n">
        <v>51000</v>
      </c>
      <c r="N273" s="5" t="n"/>
      <c r="O273" s="5">
        <f>IF(AND(ISNUMBER(N273),ISNUMBER(M273)),N273-M273,"")</f>
        <v/>
      </c>
      <c r="P273" s="7">
        <f>IF(AND(ISNUMBER(N273),ISNUMBER(M273),M273&gt;0),(N273-M273)/M273,"")</f>
        <v/>
      </c>
      <c r="Q273" s="3">
        <f>IF(P273="","",IF(P273&lt;-0.02,"🔴 Bán phá giá sàn",IF(P273&gt;0.05,"🔵 Bán cao hơn","🟢 Đúng giá sàn TMĐT")))</f>
        <v/>
      </c>
      <c r="R273" s="3" t="n"/>
      <c r="S273" s="4" t="n"/>
      <c r="T273" s="4" t="n"/>
    </row>
    <row r="274">
      <c r="A274" s="3" t="n">
        <v>273</v>
      </c>
      <c r="B274" s="3" t="inlineStr">
        <is>
          <t>DL002</t>
        </is>
      </c>
      <c r="C274" s="4" t="inlineStr">
        <is>
          <t>Nguyễn Hoàng Phú</t>
        </is>
      </c>
      <c r="D274" s="3" t="inlineStr">
        <is>
          <t>HCM</t>
        </is>
      </c>
      <c r="E274" s="3" t="inlineStr">
        <is>
          <t>BẢO TRÂM</t>
        </is>
      </c>
      <c r="F274" s="3" t="inlineStr">
        <is>
          <t>Shopee</t>
        </is>
      </c>
      <c r="G274" s="4" t="inlineStr">
        <is>
          <t>SHOPEE: https://s.shopee.vn/3qNt1d78Ij TIKTOK: LAZADA: WEBSITE BÁN HÀNG:</t>
        </is>
      </c>
      <c r="H274" s="3" t="inlineStr">
        <is>
          <t>KH2-14</t>
        </is>
      </c>
      <c r="I274" s="4" t="inlineStr">
        <is>
          <t>Cờ lê vòng miệng thép KH2-14</t>
        </is>
      </c>
      <c r="J274" s="3" t="inlineStr">
        <is>
          <t>Cái</t>
        </is>
      </c>
      <c r="K274" s="5" t="n">
        <v>42000</v>
      </c>
      <c r="L274" s="5" t="n">
        <v>50000</v>
      </c>
      <c r="M274" s="6" t="n">
        <v>61000</v>
      </c>
      <c r="N274" s="5" t="n"/>
      <c r="O274" s="5">
        <f>IF(AND(ISNUMBER(N274),ISNUMBER(M274)),N274-M274,"")</f>
        <v/>
      </c>
      <c r="P274" s="7">
        <f>IF(AND(ISNUMBER(N274),ISNUMBER(M274),M274&gt;0),(N274-M274)/M274,"")</f>
        <v/>
      </c>
      <c r="Q274" s="3">
        <f>IF(P274="","",IF(P274&lt;-0.02,"🔴 Bán phá giá sàn",IF(P274&gt;0.05,"🔵 Bán cao hơn","🟢 Đúng giá sàn TMĐT")))</f>
        <v/>
      </c>
      <c r="R274" s="3" t="n"/>
      <c r="S274" s="4" t="n"/>
      <c r="T274" s="4" t="n"/>
    </row>
    <row r="275">
      <c r="A275" s="3" t="n">
        <v>274</v>
      </c>
      <c r="B275" s="3" t="inlineStr">
        <is>
          <t>DL002</t>
        </is>
      </c>
      <c r="C275" s="4" t="inlineStr">
        <is>
          <t>Nguyễn Hoàng Phú</t>
        </is>
      </c>
      <c r="D275" s="3" t="inlineStr">
        <is>
          <t>HCM</t>
        </is>
      </c>
      <c r="E275" s="3" t="inlineStr">
        <is>
          <t>BẢO TRÂM</t>
        </is>
      </c>
      <c r="F275" s="3" t="inlineStr">
        <is>
          <t>Shopee</t>
        </is>
      </c>
      <c r="G275" s="4" t="inlineStr">
        <is>
          <t>SHOPEE: https://s.shopee.vn/3qNt1d78Ij TIKTOK: LAZADA: WEBSITE BÁN HÀNG:</t>
        </is>
      </c>
      <c r="H275" s="3" t="inlineStr">
        <is>
          <t>KH2-17</t>
        </is>
      </c>
      <c r="I275" s="4" t="inlineStr">
        <is>
          <t>Cờ lê vòng miệng thép KH2-17</t>
        </is>
      </c>
      <c r="J275" s="3" t="inlineStr">
        <is>
          <t>Cái</t>
        </is>
      </c>
      <c r="K275" s="5" t="n">
        <v>48000</v>
      </c>
      <c r="L275" s="5" t="n">
        <v>57000</v>
      </c>
      <c r="M275" s="6" t="n">
        <v>70000</v>
      </c>
      <c r="N275" s="5" t="n"/>
      <c r="O275" s="5">
        <f>IF(AND(ISNUMBER(N275),ISNUMBER(M275)),N275-M275,"")</f>
        <v/>
      </c>
      <c r="P275" s="7">
        <f>IF(AND(ISNUMBER(N275),ISNUMBER(M275),M275&gt;0),(N275-M275)/M275,"")</f>
        <v/>
      </c>
      <c r="Q275" s="3">
        <f>IF(P275="","",IF(P275&lt;-0.02,"🔴 Bán phá giá sàn",IF(P275&gt;0.05,"🔵 Bán cao hơn","🟢 Đúng giá sàn TMĐT")))</f>
        <v/>
      </c>
      <c r="R275" s="3" t="n"/>
      <c r="S275" s="4" t="n"/>
      <c r="T275" s="4" t="n"/>
    </row>
    <row r="276">
      <c r="A276" s="3" t="n">
        <v>275</v>
      </c>
      <c r="B276" s="3" t="inlineStr">
        <is>
          <t>DL002</t>
        </is>
      </c>
      <c r="C276" s="4" t="inlineStr">
        <is>
          <t>Nguyễn Hoàng Phú</t>
        </is>
      </c>
      <c r="D276" s="3" t="inlineStr">
        <is>
          <t>HCM</t>
        </is>
      </c>
      <c r="E276" s="3" t="inlineStr">
        <is>
          <t>BẢO TRÂM</t>
        </is>
      </c>
      <c r="F276" s="3" t="inlineStr">
        <is>
          <t>Shopee</t>
        </is>
      </c>
      <c r="G276" s="4" t="inlineStr">
        <is>
          <t>SHOPEE: https://s.shopee.vn/3qNt1d78Ij TIKTOK: LAZADA: WEBSITE BÁN HÀNG:</t>
        </is>
      </c>
      <c r="H276" s="3" t="inlineStr">
        <is>
          <t>ES250</t>
        </is>
      </c>
      <c r="I276" s="4" t="inlineStr">
        <is>
          <t>Cưa gấp KingBlue ES250</t>
        </is>
      </c>
      <c r="J276" s="3" t="inlineStr">
        <is>
          <t>Cái</t>
        </is>
      </c>
      <c r="K276" s="5" t="n">
        <v>185000</v>
      </c>
      <c r="L276" s="5" t="n">
        <v>218000</v>
      </c>
      <c r="M276" s="6" t="n">
        <v>268000</v>
      </c>
      <c r="N276" s="5" t="n"/>
      <c r="O276" s="5">
        <f>IF(AND(ISNUMBER(N276),ISNUMBER(M276)),N276-M276,"")</f>
        <v/>
      </c>
      <c r="P276" s="7">
        <f>IF(AND(ISNUMBER(N276),ISNUMBER(M276),M276&gt;0),(N276-M276)/M276,"")</f>
        <v/>
      </c>
      <c r="Q276" s="3">
        <f>IF(P276="","",IF(P276&lt;-0.02,"🔴 Bán phá giá sàn",IF(P276&gt;0.05,"🔵 Bán cao hơn","🟢 Đúng giá sàn TMĐT")))</f>
        <v/>
      </c>
      <c r="R276" s="3" t="n"/>
      <c r="S276" s="4" t="n"/>
      <c r="T276" s="4" t="n"/>
    </row>
    <row r="277">
      <c r="A277" s="3" t="n">
        <v>276</v>
      </c>
      <c r="B277" s="3" t="inlineStr">
        <is>
          <t>DL002</t>
        </is>
      </c>
      <c r="C277" s="4" t="inlineStr">
        <is>
          <t>Nguyễn Hoàng Phú</t>
        </is>
      </c>
      <c r="D277" s="3" t="inlineStr">
        <is>
          <t>HCM</t>
        </is>
      </c>
      <c r="E277" s="3" t="inlineStr">
        <is>
          <t>BẢO TRÂM</t>
        </is>
      </c>
      <c r="F277" s="3" t="inlineStr">
        <is>
          <t>Shopee</t>
        </is>
      </c>
      <c r="G277" s="4" t="inlineStr">
        <is>
          <t>SHOPEE: https://s.shopee.vn/3qNt1d78Ij TIKTOK: LAZADA: WEBSITE BÁN HÀNG:</t>
        </is>
      </c>
      <c r="H277" s="3" t="inlineStr">
        <is>
          <t>M1-110x5R</t>
        </is>
      </c>
      <c r="I277" s="4" t="inlineStr">
        <is>
          <t>Chén mài Kingblue M1-110x5R (vàng)</t>
        </is>
      </c>
      <c r="J277" s="3" t="inlineStr">
        <is>
          <t>Cái</t>
        </is>
      </c>
      <c r="K277" s="5" t="n">
        <v>77000</v>
      </c>
      <c r="L277" s="5" t="n">
        <v>91000</v>
      </c>
      <c r="M277" s="6" t="n">
        <v>112000</v>
      </c>
      <c r="N277" s="5" t="n"/>
      <c r="O277" s="5">
        <f>IF(AND(ISNUMBER(N277),ISNUMBER(M277)),N277-M277,"")</f>
        <v/>
      </c>
      <c r="P277" s="7">
        <f>IF(AND(ISNUMBER(N277),ISNUMBER(M277),M277&gt;0),(N277-M277)/M277,"")</f>
        <v/>
      </c>
      <c r="Q277" s="3">
        <f>IF(P277="","",IF(P277&lt;-0.02,"🔴 Bán phá giá sàn",IF(P277&gt;0.05,"🔵 Bán cao hơn","🟢 Đúng giá sàn TMĐT")))</f>
        <v/>
      </c>
      <c r="R277" s="3" t="n"/>
      <c r="S277" s="4" t="n"/>
      <c r="T277" s="4" t="n"/>
    </row>
    <row r="278">
      <c r="A278" s="3" t="n">
        <v>277</v>
      </c>
      <c r="B278" s="3" t="inlineStr">
        <is>
          <t>DL002</t>
        </is>
      </c>
      <c r="C278" s="4" t="inlineStr">
        <is>
          <t>Nguyễn Hoàng Phú</t>
        </is>
      </c>
      <c r="D278" s="3" t="inlineStr">
        <is>
          <t>HCM</t>
        </is>
      </c>
      <c r="E278" s="3" t="inlineStr">
        <is>
          <t>BẢO TRÂM</t>
        </is>
      </c>
      <c r="F278" s="3" t="inlineStr">
        <is>
          <t>Shopee</t>
        </is>
      </c>
      <c r="G278" s="4" t="inlineStr">
        <is>
          <t>SHOPEE: https://s.shopee.vn/3qNt1d78Ij TIKTOK: LAZADA: WEBSITE BÁN HÀNG:</t>
        </is>
      </c>
      <c r="H278" s="3" t="inlineStr">
        <is>
          <t>KJH-04</t>
        </is>
      </c>
      <c r="I278" s="4" t="inlineStr">
        <is>
          <t>Dao rọc cáp đa năng KJH-04</t>
        </is>
      </c>
      <c r="J278" s="3" t="inlineStr">
        <is>
          <t>Cái</t>
        </is>
      </c>
      <c r="K278" s="5" t="n">
        <v>121000</v>
      </c>
      <c r="L278" s="5" t="n">
        <v>143000</v>
      </c>
      <c r="M278" s="6" t="n">
        <v>176000</v>
      </c>
      <c r="N278" s="5" t="n"/>
      <c r="O278" s="5">
        <f>IF(AND(ISNUMBER(N278),ISNUMBER(M278)),N278-M278,"")</f>
        <v/>
      </c>
      <c r="P278" s="7">
        <f>IF(AND(ISNUMBER(N278),ISNUMBER(M278),M278&gt;0),(N278-M278)/M278,"")</f>
        <v/>
      </c>
      <c r="Q278" s="3">
        <f>IF(P278="","",IF(P278&lt;-0.02,"🔴 Bán phá giá sàn",IF(P278&gt;0.05,"🔵 Bán cao hơn","🟢 Đúng giá sàn TMĐT")))</f>
        <v/>
      </c>
      <c r="R278" s="3" t="n"/>
      <c r="S278" s="4" t="n"/>
      <c r="T278" s="4" t="n"/>
    </row>
    <row r="279">
      <c r="A279" s="3" t="n">
        <v>278</v>
      </c>
      <c r="B279" s="3" t="inlineStr">
        <is>
          <t>DL002</t>
        </is>
      </c>
      <c r="C279" s="4" t="inlineStr">
        <is>
          <t>Nguyễn Hoàng Phú</t>
        </is>
      </c>
      <c r="D279" s="3" t="inlineStr">
        <is>
          <t>HCM</t>
        </is>
      </c>
      <c r="E279" s="3" t="inlineStr">
        <is>
          <t>BẢO TRÂM</t>
        </is>
      </c>
      <c r="F279" s="3" t="inlineStr">
        <is>
          <t>Shopee</t>
        </is>
      </c>
      <c r="G279" s="4" t="inlineStr">
        <is>
          <t>SHOPEE: https://s.shopee.vn/3qNt1d78Ij TIKTOK: LAZADA: WEBSITE BÁN HÀNG:</t>
        </is>
      </c>
      <c r="H279" s="3" t="inlineStr">
        <is>
          <t>K54M</t>
        </is>
      </c>
      <c r="I279" s="4" t="inlineStr">
        <is>
          <t>Dụng cụ khò gas mini K54M</t>
        </is>
      </c>
      <c r="J279" s="3" t="inlineStr">
        <is>
          <t>Cái</t>
        </is>
      </c>
      <c r="K279" s="5" t="n">
        <v>209000</v>
      </c>
      <c r="L279" s="5" t="n">
        <v>247000</v>
      </c>
      <c r="M279" s="6" t="n">
        <v>303000</v>
      </c>
      <c r="N279" s="5" t="n"/>
      <c r="O279" s="5">
        <f>IF(AND(ISNUMBER(N279),ISNUMBER(M279)),N279-M279,"")</f>
        <v/>
      </c>
      <c r="P279" s="7">
        <f>IF(AND(ISNUMBER(N279),ISNUMBER(M279),M279&gt;0),(N279-M279)/M279,"")</f>
        <v/>
      </c>
      <c r="Q279" s="3">
        <f>IF(P279="","",IF(P279&lt;-0.02,"🔴 Bán phá giá sàn",IF(P279&gt;0.05,"🔵 Bán cao hơn","🟢 Đúng giá sàn TMĐT")))</f>
        <v/>
      </c>
      <c r="R279" s="3" t="n"/>
      <c r="S279" s="4" t="n"/>
      <c r="T279" s="4" t="n"/>
    </row>
    <row r="280">
      <c r="A280" s="3" t="n">
        <v>279</v>
      </c>
      <c r="B280" s="3" t="inlineStr">
        <is>
          <t>DL002</t>
        </is>
      </c>
      <c r="C280" s="4" t="inlineStr">
        <is>
          <t>Nguyễn Hoàng Phú</t>
        </is>
      </c>
      <c r="D280" s="3" t="inlineStr">
        <is>
          <t>HCM</t>
        </is>
      </c>
      <c r="E280" s="3" t="inlineStr">
        <is>
          <t>BẢO TRÂM</t>
        </is>
      </c>
      <c r="F280" s="3" t="inlineStr">
        <is>
          <t>Shopee</t>
        </is>
      </c>
      <c r="G280" s="4" t="inlineStr">
        <is>
          <t>SHOPEE: https://s.shopee.vn/3qNt1d78Ij TIKTOK: LAZADA: WEBSITE BÁN HÀNG:</t>
        </is>
      </c>
      <c r="H280" s="3" t="inlineStr">
        <is>
          <t>D3-107x1.2</t>
        </is>
      </c>
      <c r="I280" s="4" t="inlineStr">
        <is>
          <t>Đá cắt sắt, inox KingBlue D3-107x1.2 xanh ( hộp sắt)</t>
        </is>
      </c>
      <c r="J280" s="3" t="inlineStr">
        <is>
          <t>Viên</t>
        </is>
      </c>
      <c r="K280" s="5" t="n">
        <v>4600</v>
      </c>
      <c r="L280" s="5" t="n">
        <v>5800</v>
      </c>
      <c r="M280" s="6" t="n">
        <v>7500</v>
      </c>
      <c r="N280" s="5" t="n"/>
      <c r="O280" s="5">
        <f>IF(AND(ISNUMBER(N280),ISNUMBER(M280)),N280-M280,"")</f>
        <v/>
      </c>
      <c r="P280" s="7">
        <f>IF(AND(ISNUMBER(N280),ISNUMBER(M280),M280&gt;0),(N280-M280)/M280,"")</f>
        <v/>
      </c>
      <c r="Q280" s="3">
        <f>IF(P280="","",IF(P280&lt;-0.02,"🔴 Bán phá giá sàn",IF(P280&gt;0.05,"🔵 Bán cao hơn","🟢 Đúng giá sàn TMĐT")))</f>
        <v/>
      </c>
      <c r="R280" s="3" t="n"/>
      <c r="S280" s="4" t="n"/>
      <c r="T280" s="4" t="n"/>
    </row>
    <row r="281">
      <c r="A281" s="3" t="n">
        <v>280</v>
      </c>
      <c r="B281" s="3" t="inlineStr">
        <is>
          <t>DL002</t>
        </is>
      </c>
      <c r="C281" s="4" t="inlineStr">
        <is>
          <t>Nguyễn Hoàng Phú</t>
        </is>
      </c>
      <c r="D281" s="3" t="inlineStr">
        <is>
          <t>HCM</t>
        </is>
      </c>
      <c r="E281" s="3" t="inlineStr">
        <is>
          <t>BẢO TRÂM</t>
        </is>
      </c>
      <c r="F281" s="3" t="inlineStr">
        <is>
          <t>Shopee</t>
        </is>
      </c>
      <c r="G281" s="4" t="inlineStr">
        <is>
          <t>SHOPEE: https://s.shopee.vn/3qNt1d78Ij TIKTOK: LAZADA: WEBSITE BÁN HÀNG:</t>
        </is>
      </c>
      <c r="H281" s="3" t="inlineStr">
        <is>
          <t>D4-107x1.2</t>
        </is>
      </c>
      <c r="I281" s="4" t="inlineStr">
        <is>
          <t>Đá cắt sắt, inox Kingblue D4-107x1.2 đỏ</t>
        </is>
      </c>
      <c r="J281" s="3" t="inlineStr">
        <is>
          <t>Viên</t>
        </is>
      </c>
      <c r="K281" s="5" t="n">
        <v>4200</v>
      </c>
      <c r="L281" s="5" t="n">
        <v>5300</v>
      </c>
      <c r="M281" s="6" t="n">
        <v>6900</v>
      </c>
      <c r="N281" s="5" t="n"/>
      <c r="O281" s="5">
        <f>IF(AND(ISNUMBER(N281),ISNUMBER(M281)),N281-M281,"")</f>
        <v/>
      </c>
      <c r="P281" s="7">
        <f>IF(AND(ISNUMBER(N281),ISNUMBER(M281),M281&gt;0),(N281-M281)/M281,"")</f>
        <v/>
      </c>
      <c r="Q281" s="3">
        <f>IF(P281="","",IF(P281&lt;-0.02,"🔴 Bán phá giá sàn",IF(P281&gt;0.05,"🔵 Bán cao hơn","🟢 Đúng giá sàn TMĐT")))</f>
        <v/>
      </c>
      <c r="R281" s="3" t="n"/>
      <c r="S281" s="4" t="n"/>
      <c r="T281" s="4" t="n"/>
    </row>
    <row r="282">
      <c r="A282" s="3" t="n">
        <v>281</v>
      </c>
      <c r="B282" s="3" t="inlineStr">
        <is>
          <t>DL002</t>
        </is>
      </c>
      <c r="C282" s="4" t="inlineStr">
        <is>
          <t>Nguyễn Hoàng Phú</t>
        </is>
      </c>
      <c r="D282" s="3" t="inlineStr">
        <is>
          <t>HCM</t>
        </is>
      </c>
      <c r="E282" s="3" t="inlineStr">
        <is>
          <t>BẢO TRÂM</t>
        </is>
      </c>
      <c r="F282" s="3" t="inlineStr">
        <is>
          <t>Shopee</t>
        </is>
      </c>
      <c r="G282" s="4" t="inlineStr">
        <is>
          <t>SHOPEE: https://s.shopee.vn/3qNt1d78Ij TIKTOK: LAZADA: WEBSITE BÁN HÀNG:</t>
        </is>
      </c>
      <c r="H282" s="3" t="inlineStr">
        <is>
          <t>D3-103x2.8</t>
        </is>
      </c>
      <c r="I282" s="4" t="inlineStr">
        <is>
          <t>Đá mài sắt, inox KingBlue D3-103x2.8</t>
        </is>
      </c>
      <c r="J282" s="3" t="inlineStr">
        <is>
          <t>Cái</t>
        </is>
      </c>
      <c r="K282" s="5" t="n">
        <v>9100</v>
      </c>
      <c r="L282" s="5" t="n">
        <v>11300</v>
      </c>
      <c r="M282" s="6" t="n">
        <v>14500</v>
      </c>
      <c r="N282" s="5" t="n"/>
      <c r="O282" s="5">
        <f>IF(AND(ISNUMBER(N282),ISNUMBER(M282)),N282-M282,"")</f>
        <v/>
      </c>
      <c r="P282" s="7">
        <f>IF(AND(ISNUMBER(N282),ISNUMBER(M282),M282&gt;0),(N282-M282)/M282,"")</f>
        <v/>
      </c>
      <c r="Q282" s="3">
        <f>IF(P282="","",IF(P282&lt;-0.02,"🔴 Bán phá giá sàn",IF(P282&gt;0.05,"🔵 Bán cao hơn","🟢 Đúng giá sàn TMĐT")))</f>
        <v/>
      </c>
      <c r="R282" s="3" t="n"/>
      <c r="S282" s="4" t="n"/>
      <c r="T282" s="4" t="n"/>
    </row>
    <row r="283">
      <c r="A283" s="3" t="n">
        <v>282</v>
      </c>
      <c r="B283" s="3" t="inlineStr">
        <is>
          <t>DL002</t>
        </is>
      </c>
      <c r="C283" s="4" t="inlineStr">
        <is>
          <t>Nguyễn Hoàng Phú</t>
        </is>
      </c>
      <c r="D283" s="3" t="inlineStr">
        <is>
          <t>HCM</t>
        </is>
      </c>
      <c r="E283" s="3" t="inlineStr">
        <is>
          <t>BẢO TRÂM</t>
        </is>
      </c>
      <c r="F283" s="3" t="inlineStr">
        <is>
          <t>Shopee</t>
        </is>
      </c>
      <c r="G283" s="4" t="inlineStr">
        <is>
          <t>SHOPEE: https://s.shopee.vn/3qNt1d78Ij TIKTOK: LAZADA: WEBSITE BÁN HÀNG:</t>
        </is>
      </c>
      <c r="H283" s="3" t="inlineStr">
        <is>
          <t>CM07</t>
        </is>
      </c>
      <c r="I283" s="4" t="inlineStr">
        <is>
          <t>Đầu chụp bulon KingBlue CM07</t>
        </is>
      </c>
      <c r="J283" s="3" t="inlineStr">
        <is>
          <t>Hộp</t>
        </is>
      </c>
      <c r="K283" s="5" t="n">
        <v>143000</v>
      </c>
      <c r="L283" s="5" t="n">
        <v>180000</v>
      </c>
      <c r="M283" s="6" t="n">
        <v>236000</v>
      </c>
      <c r="N283" s="5" t="n"/>
      <c r="O283" s="5">
        <f>IF(AND(ISNUMBER(N283),ISNUMBER(M283)),N283-M283,"")</f>
        <v/>
      </c>
      <c r="P283" s="7">
        <f>IF(AND(ISNUMBER(N283),ISNUMBER(M283),M283&gt;0),(N283-M283)/M283,"")</f>
        <v/>
      </c>
      <c r="Q283" s="3">
        <f>IF(P283="","",IF(P283&lt;-0.02,"🔴 Bán phá giá sàn",IF(P283&gt;0.05,"🔵 Bán cao hơn","🟢 Đúng giá sàn TMĐT")))</f>
        <v/>
      </c>
      <c r="R283" s="3" t="n"/>
      <c r="S283" s="4" t="n"/>
      <c r="T283" s="4" t="n"/>
    </row>
    <row r="284">
      <c r="A284" s="3" t="n">
        <v>283</v>
      </c>
      <c r="B284" s="3" t="inlineStr">
        <is>
          <t>DL002</t>
        </is>
      </c>
      <c r="C284" s="4" t="inlineStr">
        <is>
          <t>Nguyễn Hoàng Phú</t>
        </is>
      </c>
      <c r="D284" s="3" t="inlineStr">
        <is>
          <t>HCM</t>
        </is>
      </c>
      <c r="E284" s="3" t="inlineStr">
        <is>
          <t>BẢO TRÂM</t>
        </is>
      </c>
      <c r="F284" s="3" t="inlineStr">
        <is>
          <t>Shopee</t>
        </is>
      </c>
      <c r="G284" s="4" t="inlineStr">
        <is>
          <t>SHOPEE: https://s.shopee.vn/3qNt1d78Ij TIKTOK: LAZADA: WEBSITE BÁN HÀNG:</t>
        </is>
      </c>
      <c r="H284" s="3" t="inlineStr">
        <is>
          <t>CM08</t>
        </is>
      </c>
      <c r="I284" s="4" t="inlineStr">
        <is>
          <t>Đầu chụp bulon KingBlue CM08</t>
        </is>
      </c>
      <c r="J284" s="3" t="inlineStr">
        <is>
          <t>Hộp</t>
        </is>
      </c>
      <c r="K284" s="5" t="n">
        <v>154000</v>
      </c>
      <c r="L284" s="5" t="n">
        <v>194000</v>
      </c>
      <c r="M284" s="6" t="n">
        <v>254000</v>
      </c>
      <c r="N284" s="5" t="n"/>
      <c r="O284" s="5">
        <f>IF(AND(ISNUMBER(N284),ISNUMBER(M284)),N284-M284,"")</f>
        <v/>
      </c>
      <c r="P284" s="7">
        <f>IF(AND(ISNUMBER(N284),ISNUMBER(M284),M284&gt;0),(N284-M284)/M284,"")</f>
        <v/>
      </c>
      <c r="Q284" s="3">
        <f>IF(P284="","",IF(P284&lt;-0.02,"🔴 Bán phá giá sàn",IF(P284&gt;0.05,"🔵 Bán cao hơn","🟢 Đúng giá sàn TMĐT")))</f>
        <v/>
      </c>
      <c r="R284" s="3" t="n"/>
      <c r="S284" s="4" t="n"/>
      <c r="T284" s="4" t="n"/>
    </row>
    <row r="285">
      <c r="A285" s="3" t="n">
        <v>284</v>
      </c>
      <c r="B285" s="3" t="inlineStr">
        <is>
          <t>DL002</t>
        </is>
      </c>
      <c r="C285" s="4" t="inlineStr">
        <is>
          <t>Nguyễn Hoàng Phú</t>
        </is>
      </c>
      <c r="D285" s="3" t="inlineStr">
        <is>
          <t>HCM</t>
        </is>
      </c>
      <c r="E285" s="3" t="inlineStr">
        <is>
          <t>BẢO TRÂM</t>
        </is>
      </c>
      <c r="F285" s="3" t="inlineStr">
        <is>
          <t>Shopee</t>
        </is>
      </c>
      <c r="G285" s="4" t="inlineStr">
        <is>
          <t>SHOPEE: https://s.shopee.vn/3qNt1d78Ij TIKTOK: LAZADA: WEBSITE BÁN HÀNG:</t>
        </is>
      </c>
      <c r="H285" s="3" t="inlineStr">
        <is>
          <t>CM10</t>
        </is>
      </c>
      <c r="I285" s="4" t="inlineStr">
        <is>
          <t>Đầu chụp bulon KingBlue CM10</t>
        </is>
      </c>
      <c r="J285" s="3" t="inlineStr">
        <is>
          <t>Hộp</t>
        </is>
      </c>
      <c r="K285" s="5" t="n">
        <v>176000</v>
      </c>
      <c r="L285" s="5" t="n">
        <v>222000</v>
      </c>
      <c r="M285" s="6" t="n">
        <v>290000</v>
      </c>
      <c r="N285" s="5" t="n"/>
      <c r="O285" s="5">
        <f>IF(AND(ISNUMBER(N285),ISNUMBER(M285)),N285-M285,"")</f>
        <v/>
      </c>
      <c r="P285" s="7">
        <f>IF(AND(ISNUMBER(N285),ISNUMBER(M285),M285&gt;0),(N285-M285)/M285,"")</f>
        <v/>
      </c>
      <c r="Q285" s="3">
        <f>IF(P285="","",IF(P285&lt;-0.02,"🔴 Bán phá giá sàn",IF(P285&gt;0.05,"🔵 Bán cao hơn","🟢 Đúng giá sàn TMĐT")))</f>
        <v/>
      </c>
      <c r="R285" s="3" t="n"/>
      <c r="S285" s="4" t="n"/>
      <c r="T285" s="4" t="n"/>
    </row>
    <row r="286">
      <c r="A286" s="3" t="n">
        <v>285</v>
      </c>
      <c r="B286" s="3" t="inlineStr">
        <is>
          <t>DL002</t>
        </is>
      </c>
      <c r="C286" s="4" t="inlineStr">
        <is>
          <t>Nguyễn Hoàng Phú</t>
        </is>
      </c>
      <c r="D286" s="3" t="inlineStr">
        <is>
          <t>HCM</t>
        </is>
      </c>
      <c r="E286" s="3" t="inlineStr">
        <is>
          <t>BẢO TRÂM</t>
        </is>
      </c>
      <c r="F286" s="3" t="inlineStr">
        <is>
          <t>Shopee</t>
        </is>
      </c>
      <c r="G286" s="4" t="inlineStr">
        <is>
          <t>SHOPEE: https://s.shopee.vn/3qNt1d78Ij TIKTOK: LAZADA: WEBSITE BÁN HÀNG:</t>
        </is>
      </c>
      <c r="H286" s="3" t="inlineStr">
        <is>
          <t>CM12</t>
        </is>
      </c>
      <c r="I286" s="4" t="inlineStr">
        <is>
          <t>Đầu chụp bulon KingBlue CM12</t>
        </is>
      </c>
      <c r="J286" s="3" t="inlineStr">
        <is>
          <t>Hộp</t>
        </is>
      </c>
      <c r="K286" s="5" t="n">
        <v>99000</v>
      </c>
      <c r="L286" s="5" t="n">
        <v>125000</v>
      </c>
      <c r="M286" s="6" t="n">
        <v>163000</v>
      </c>
      <c r="N286" s="5" t="n"/>
      <c r="O286" s="5">
        <f>IF(AND(ISNUMBER(N286),ISNUMBER(M286)),N286-M286,"")</f>
        <v/>
      </c>
      <c r="P286" s="7">
        <f>IF(AND(ISNUMBER(N286),ISNUMBER(M286),M286&gt;0),(N286-M286)/M286,"")</f>
        <v/>
      </c>
      <c r="Q286" s="3">
        <f>IF(P286="","",IF(P286&lt;-0.02,"🔴 Bán phá giá sàn",IF(P286&gt;0.05,"🔵 Bán cao hơn","🟢 Đúng giá sàn TMĐT")))</f>
        <v/>
      </c>
      <c r="R286" s="3" t="n"/>
      <c r="S286" s="4" t="n"/>
      <c r="T286" s="4" t="n"/>
    </row>
    <row r="287">
      <c r="A287" s="3" t="n">
        <v>286</v>
      </c>
      <c r="B287" s="3" t="inlineStr">
        <is>
          <t>DL002</t>
        </is>
      </c>
      <c r="C287" s="4" t="inlineStr">
        <is>
          <t>Nguyễn Hoàng Phú</t>
        </is>
      </c>
      <c r="D287" s="3" t="inlineStr">
        <is>
          <t>HCM</t>
        </is>
      </c>
      <c r="E287" s="3" t="inlineStr">
        <is>
          <t>BẢO TRÂM</t>
        </is>
      </c>
      <c r="F287" s="3" t="inlineStr">
        <is>
          <t>Shopee</t>
        </is>
      </c>
      <c r="G287" s="4" t="inlineStr">
        <is>
          <t>SHOPEE: https://s.shopee.vn/3qNt1d78Ij TIKTOK: LAZADA: WEBSITE BÁN HÀNG:</t>
        </is>
      </c>
      <c r="H287" s="3" t="inlineStr">
        <is>
          <t>CM13</t>
        </is>
      </c>
      <c r="I287" s="4" t="inlineStr">
        <is>
          <t>Đầu chụp bulon KingBlue CM13</t>
        </is>
      </c>
      <c r="J287" s="3" t="inlineStr">
        <is>
          <t>Hộp</t>
        </is>
      </c>
      <c r="K287" s="5" t="n">
        <v>105000</v>
      </c>
      <c r="L287" s="5" t="n">
        <v>132000</v>
      </c>
      <c r="M287" s="6" t="n">
        <v>173000</v>
      </c>
      <c r="N287" s="5" t="n"/>
      <c r="O287" s="5">
        <f>IF(AND(ISNUMBER(N287),ISNUMBER(M287)),N287-M287,"")</f>
        <v/>
      </c>
      <c r="P287" s="7">
        <f>IF(AND(ISNUMBER(N287),ISNUMBER(M287),M287&gt;0),(N287-M287)/M287,"")</f>
        <v/>
      </c>
      <c r="Q287" s="3">
        <f>IF(P287="","",IF(P287&lt;-0.02,"🔴 Bán phá giá sàn",IF(P287&gt;0.05,"🔵 Bán cao hơn","🟢 Đúng giá sàn TMĐT")))</f>
        <v/>
      </c>
      <c r="R287" s="3" t="n"/>
      <c r="S287" s="4" t="n"/>
      <c r="T287" s="4" t="n"/>
    </row>
    <row r="288">
      <c r="A288" s="3" t="n">
        <v>287</v>
      </c>
      <c r="B288" s="3" t="inlineStr">
        <is>
          <t>DL002</t>
        </is>
      </c>
      <c r="C288" s="4" t="inlineStr">
        <is>
          <t>Nguyễn Hoàng Phú</t>
        </is>
      </c>
      <c r="D288" s="3" t="inlineStr">
        <is>
          <t>HCM</t>
        </is>
      </c>
      <c r="E288" s="3" t="inlineStr">
        <is>
          <t>BẢO TRÂM</t>
        </is>
      </c>
      <c r="F288" s="3" t="inlineStr">
        <is>
          <t>Shopee</t>
        </is>
      </c>
      <c r="G288" s="4" t="inlineStr">
        <is>
          <t>SHOPEE: https://s.shopee.vn/3qNt1d78Ij TIKTOK: LAZADA: WEBSITE BÁN HÀNG:</t>
        </is>
      </c>
      <c r="H288" s="3" t="inlineStr">
        <is>
          <t>CM14</t>
        </is>
      </c>
      <c r="I288" s="4" t="inlineStr">
        <is>
          <t>Đầu chụp bulon KingBlue CM14</t>
        </is>
      </c>
      <c r="J288" s="3" t="inlineStr">
        <is>
          <t>Hộp</t>
        </is>
      </c>
      <c r="K288" s="5" t="n">
        <v>105000</v>
      </c>
      <c r="L288" s="5" t="n">
        <v>132000</v>
      </c>
      <c r="M288" s="6" t="n">
        <v>173000</v>
      </c>
      <c r="N288" s="5" t="n"/>
      <c r="O288" s="5">
        <f>IF(AND(ISNUMBER(N288),ISNUMBER(M288)),N288-M288,"")</f>
        <v/>
      </c>
      <c r="P288" s="7">
        <f>IF(AND(ISNUMBER(N288),ISNUMBER(M288),M288&gt;0),(N288-M288)/M288,"")</f>
        <v/>
      </c>
      <c r="Q288" s="3">
        <f>IF(P288="","",IF(P288&lt;-0.02,"🔴 Bán phá giá sàn",IF(P288&gt;0.05,"🔵 Bán cao hơn","🟢 Đúng giá sàn TMĐT")))</f>
        <v/>
      </c>
      <c r="R288" s="3" t="n"/>
      <c r="S288" s="4" t="n"/>
      <c r="T288" s="4" t="n"/>
    </row>
    <row r="289">
      <c r="A289" s="3" t="n">
        <v>288</v>
      </c>
      <c r="B289" s="3" t="inlineStr">
        <is>
          <t>DL002</t>
        </is>
      </c>
      <c r="C289" s="4" t="inlineStr">
        <is>
          <t>Nguyễn Hoàng Phú</t>
        </is>
      </c>
      <c r="D289" s="3" t="inlineStr">
        <is>
          <t>HCM</t>
        </is>
      </c>
      <c r="E289" s="3" t="inlineStr">
        <is>
          <t>BẢO TRÂM</t>
        </is>
      </c>
      <c r="F289" s="3" t="inlineStr">
        <is>
          <t>Shopee</t>
        </is>
      </c>
      <c r="G289" s="4" t="inlineStr">
        <is>
          <t>SHOPEE: https://s.shopee.vn/3qNt1d78Ij TIKTOK: LAZADA: WEBSITE BÁN HÀNG:</t>
        </is>
      </c>
      <c r="H289" s="3" t="inlineStr">
        <is>
          <t>CM17</t>
        </is>
      </c>
      <c r="I289" s="4" t="inlineStr">
        <is>
          <t>Đầu chụp bulon KingBlue CM17</t>
        </is>
      </c>
      <c r="J289" s="3" t="inlineStr">
        <is>
          <t>Hộp</t>
        </is>
      </c>
      <c r="K289" s="5" t="n">
        <v>110000</v>
      </c>
      <c r="L289" s="5" t="n">
        <v>139000</v>
      </c>
      <c r="M289" s="6" t="n">
        <v>182000</v>
      </c>
      <c r="N289" s="5" t="n"/>
      <c r="O289" s="5">
        <f>IF(AND(ISNUMBER(N289),ISNUMBER(M289)),N289-M289,"")</f>
        <v/>
      </c>
      <c r="P289" s="7">
        <f>IF(AND(ISNUMBER(N289),ISNUMBER(M289),M289&gt;0),(N289-M289)/M289,"")</f>
        <v/>
      </c>
      <c r="Q289" s="3">
        <f>IF(P289="","",IF(P289&lt;-0.02,"🔴 Bán phá giá sàn",IF(P289&gt;0.05,"🔵 Bán cao hơn","🟢 Đúng giá sàn TMĐT")))</f>
        <v/>
      </c>
      <c r="R289" s="3" t="n"/>
      <c r="S289" s="4" t="n"/>
      <c r="T289" s="4" t="n"/>
    </row>
    <row r="290">
      <c r="A290" s="3" t="n">
        <v>289</v>
      </c>
      <c r="B290" s="3" t="inlineStr">
        <is>
          <t>DL002</t>
        </is>
      </c>
      <c r="C290" s="4" t="inlineStr">
        <is>
          <t>Nguyễn Hoàng Phú</t>
        </is>
      </c>
      <c r="D290" s="3" t="inlineStr">
        <is>
          <t>HCM</t>
        </is>
      </c>
      <c r="E290" s="3" t="inlineStr">
        <is>
          <t>BẢO TRÂM</t>
        </is>
      </c>
      <c r="F290" s="3" t="inlineStr">
        <is>
          <t>Shopee</t>
        </is>
      </c>
      <c r="G290" s="4" t="inlineStr">
        <is>
          <t>SHOPEE: https://s.shopee.vn/3qNt1d78Ij TIKTOK: LAZADA: WEBSITE BÁN HÀNG:</t>
        </is>
      </c>
      <c r="H290" s="3" t="inlineStr">
        <is>
          <t>CM19</t>
        </is>
      </c>
      <c r="I290" s="4" t="inlineStr">
        <is>
          <t>Đầu chụp bulon KingBlue CM19</t>
        </is>
      </c>
      <c r="J290" s="3" t="inlineStr">
        <is>
          <t>Hộp</t>
        </is>
      </c>
      <c r="K290" s="5" t="n">
        <v>86000</v>
      </c>
      <c r="L290" s="5" t="n">
        <v>108000</v>
      </c>
      <c r="M290" s="6" t="n">
        <v>142000</v>
      </c>
      <c r="N290" s="5" t="n"/>
      <c r="O290" s="5">
        <f>IF(AND(ISNUMBER(N290),ISNUMBER(M290)),N290-M290,"")</f>
        <v/>
      </c>
      <c r="P290" s="7">
        <f>IF(AND(ISNUMBER(N290),ISNUMBER(M290),M290&gt;0),(N290-M290)/M290,"")</f>
        <v/>
      </c>
      <c r="Q290" s="3">
        <f>IF(P290="","",IF(P290&lt;-0.02,"🔴 Bán phá giá sàn",IF(P290&gt;0.05,"🔵 Bán cao hơn","🟢 Đúng giá sàn TMĐT")))</f>
        <v/>
      </c>
      <c r="R290" s="3" t="n"/>
      <c r="S290" s="4" t="n"/>
      <c r="T290" s="4" t="n"/>
    </row>
    <row r="291">
      <c r="A291" s="3" t="n">
        <v>290</v>
      </c>
      <c r="B291" s="3" t="inlineStr">
        <is>
          <t>DL002</t>
        </is>
      </c>
      <c r="C291" s="4" t="inlineStr">
        <is>
          <t>Nguyễn Hoàng Phú</t>
        </is>
      </c>
      <c r="D291" s="3" t="inlineStr">
        <is>
          <t>HCM</t>
        </is>
      </c>
      <c r="E291" s="3" t="inlineStr">
        <is>
          <t>BẢO TRÂM</t>
        </is>
      </c>
      <c r="F291" s="3" t="inlineStr">
        <is>
          <t>Shopee</t>
        </is>
      </c>
      <c r="G291" s="4" t="inlineStr">
        <is>
          <t>SHOPEE: https://s.shopee.vn/3qNt1d78Ij TIKTOK: LAZADA: WEBSITE BÁN HÀNG:</t>
        </is>
      </c>
      <c r="H291" s="3" t="inlineStr">
        <is>
          <t>K45M</t>
        </is>
      </c>
      <c r="I291" s="4" t="inlineStr">
        <is>
          <t>Đầu khò gas K45M</t>
        </is>
      </c>
      <c r="J291" s="3" t="inlineStr">
        <is>
          <t>Cái</t>
        </is>
      </c>
      <c r="K291" s="5" t="n">
        <v>269000</v>
      </c>
      <c r="L291" s="5" t="n">
        <v>317000</v>
      </c>
      <c r="M291" s="6" t="n">
        <v>390000</v>
      </c>
      <c r="N291" s="5" t="n"/>
      <c r="O291" s="5">
        <f>IF(AND(ISNUMBER(N291),ISNUMBER(M291)),N291-M291,"")</f>
        <v/>
      </c>
      <c r="P291" s="7">
        <f>IF(AND(ISNUMBER(N291),ISNUMBER(M291),M291&gt;0),(N291-M291)/M291,"")</f>
        <v/>
      </c>
      <c r="Q291" s="3">
        <f>IF(P291="","",IF(P291&lt;-0.02,"🔴 Bán phá giá sàn",IF(P291&gt;0.05,"🔵 Bán cao hơn","🟢 Đúng giá sàn TMĐT")))</f>
        <v/>
      </c>
      <c r="R291" s="3" t="n"/>
      <c r="S291" s="4" t="n"/>
      <c r="T291" s="4" t="n"/>
    </row>
    <row r="292">
      <c r="A292" s="3" t="n">
        <v>291</v>
      </c>
      <c r="B292" s="3" t="inlineStr">
        <is>
          <t>DL002</t>
        </is>
      </c>
      <c r="C292" s="4" t="inlineStr">
        <is>
          <t>Nguyễn Hoàng Phú</t>
        </is>
      </c>
      <c r="D292" s="3" t="inlineStr">
        <is>
          <t>HCM</t>
        </is>
      </c>
      <c r="E292" s="3" t="inlineStr">
        <is>
          <t>BẢO TRÂM</t>
        </is>
      </c>
      <c r="F292" s="3" t="inlineStr">
        <is>
          <t>Shopee</t>
        </is>
      </c>
      <c r="G292" s="4" t="inlineStr">
        <is>
          <t>SHOPEE: https://s.shopee.vn/3qNt1d78Ij TIKTOK: LAZADA: WEBSITE BÁN HÀNG:</t>
        </is>
      </c>
      <c r="H292" s="3" t="inlineStr">
        <is>
          <t>K49M</t>
        </is>
      </c>
      <c r="I292" s="4" t="inlineStr">
        <is>
          <t>Đầu khò gas K49M</t>
        </is>
      </c>
      <c r="J292" s="3" t="inlineStr">
        <is>
          <t>Cái</t>
        </is>
      </c>
      <c r="K292" s="5" t="n">
        <v>269000</v>
      </c>
      <c r="L292" s="5" t="n">
        <v>317000</v>
      </c>
      <c r="M292" s="6" t="n">
        <v>390000</v>
      </c>
      <c r="N292" s="5" t="n"/>
      <c r="O292" s="5">
        <f>IF(AND(ISNUMBER(N292),ISNUMBER(M292)),N292-M292,"")</f>
        <v/>
      </c>
      <c r="P292" s="7">
        <f>IF(AND(ISNUMBER(N292),ISNUMBER(M292),M292&gt;0),(N292-M292)/M292,"")</f>
        <v/>
      </c>
      <c r="Q292" s="3">
        <f>IF(P292="","",IF(P292&lt;-0.02,"🔴 Bán phá giá sàn",IF(P292&gt;0.05,"🔵 Bán cao hơn","🟢 Đúng giá sàn TMĐT")))</f>
        <v/>
      </c>
      <c r="R292" s="3" t="n"/>
      <c r="S292" s="4" t="n"/>
      <c r="T292" s="4" t="n"/>
    </row>
    <row r="293">
      <c r="A293" s="3" t="n">
        <v>292</v>
      </c>
      <c r="B293" s="3" t="inlineStr">
        <is>
          <t>DL002</t>
        </is>
      </c>
      <c r="C293" s="4" t="inlineStr">
        <is>
          <t>Nguyễn Hoàng Phú</t>
        </is>
      </c>
      <c r="D293" s="3" t="inlineStr">
        <is>
          <t>HCM</t>
        </is>
      </c>
      <c r="E293" s="3" t="inlineStr">
        <is>
          <t>BẢO TRÂM</t>
        </is>
      </c>
      <c r="F293" s="3" t="inlineStr">
        <is>
          <t>Shopee</t>
        </is>
      </c>
      <c r="G293" s="4" t="inlineStr">
        <is>
          <t>SHOPEE: https://s.shopee.vn/3qNt1d78Ij TIKTOK: LAZADA: WEBSITE BÁN HÀNG:</t>
        </is>
      </c>
      <c r="H293" s="3" t="inlineStr"/>
      <c r="I293" s="4" t="inlineStr">
        <is>
          <t>Đầu nạp gas</t>
        </is>
      </c>
      <c r="J293" s="3" t="inlineStr">
        <is>
          <t>Cái</t>
        </is>
      </c>
      <c r="K293" s="5" t="n">
        <v>269000</v>
      </c>
      <c r="L293" s="5" t="n">
        <v>317000</v>
      </c>
      <c r="M293" s="6" t="n">
        <v>390000</v>
      </c>
      <c r="N293" s="5" t="n"/>
      <c r="O293" s="5">
        <f>IF(AND(ISNUMBER(N293),ISNUMBER(M293)),N293-M293,"")</f>
        <v/>
      </c>
      <c r="P293" s="7">
        <f>IF(AND(ISNUMBER(N293),ISNUMBER(M293),M293&gt;0),(N293-M293)/M293,"")</f>
        <v/>
      </c>
      <c r="Q293" s="3">
        <f>IF(P293="","",IF(P293&lt;-0.02,"🔴 Bán phá giá sàn",IF(P293&gt;0.05,"🔵 Bán cao hơn","🟢 Đúng giá sàn TMĐT")))</f>
        <v/>
      </c>
      <c r="R293" s="3" t="n"/>
      <c r="S293" s="4" t="n"/>
      <c r="T293" s="4" t="n"/>
    </row>
    <row r="294">
      <c r="A294" s="3" t="n">
        <v>293</v>
      </c>
      <c r="B294" s="3" t="inlineStr">
        <is>
          <t>DL002</t>
        </is>
      </c>
      <c r="C294" s="4" t="inlineStr">
        <is>
          <t>Nguyễn Hoàng Phú</t>
        </is>
      </c>
      <c r="D294" s="3" t="inlineStr">
        <is>
          <t>HCM</t>
        </is>
      </c>
      <c r="E294" s="3" t="inlineStr">
        <is>
          <t>BẢO TRÂM</t>
        </is>
      </c>
      <c r="F294" s="3" t="inlineStr">
        <is>
          <t>Shopee</t>
        </is>
      </c>
      <c r="G294" s="4" t="inlineStr">
        <is>
          <t>SHOPEE: https://s.shopee.vn/3qNt1d78Ij TIKTOK: LAZADA: WEBSITE BÁN HÀNG:</t>
        </is>
      </c>
      <c r="H294" s="3" t="inlineStr">
        <is>
          <t>QC3</t>
        </is>
      </c>
      <c r="I294" s="4" t="inlineStr">
        <is>
          <t>Kéo cắt đa năng QC3</t>
        </is>
      </c>
      <c r="J294" s="3" t="inlineStr">
        <is>
          <t>Cái</t>
        </is>
      </c>
      <c r="K294" s="5" t="n">
        <v>80000</v>
      </c>
      <c r="L294" s="5" t="n">
        <v>94000</v>
      </c>
      <c r="M294" s="6" t="n">
        <v>116000</v>
      </c>
      <c r="N294" s="5" t="n"/>
      <c r="O294" s="5">
        <f>IF(AND(ISNUMBER(N294),ISNUMBER(M294)),N294-M294,"")</f>
        <v/>
      </c>
      <c r="P294" s="7">
        <f>IF(AND(ISNUMBER(N294),ISNUMBER(M294),M294&gt;0),(N294-M294)/M294,"")</f>
        <v/>
      </c>
      <c r="Q294" s="3">
        <f>IF(P294="","",IF(P294&lt;-0.02,"🔴 Bán phá giá sàn",IF(P294&gt;0.05,"🔵 Bán cao hơn","🟢 Đúng giá sàn TMĐT")))</f>
        <v/>
      </c>
      <c r="R294" s="3" t="n"/>
      <c r="S294" s="4" t="n"/>
      <c r="T294" s="4" t="n"/>
    </row>
    <row r="295">
      <c r="A295" s="3" t="n">
        <v>294</v>
      </c>
      <c r="B295" s="3" t="inlineStr">
        <is>
          <t>DL002</t>
        </is>
      </c>
      <c r="C295" s="4" t="inlineStr">
        <is>
          <t>Nguyễn Hoàng Phú</t>
        </is>
      </c>
      <c r="D295" s="3" t="inlineStr">
        <is>
          <t>HCM</t>
        </is>
      </c>
      <c r="E295" s="3" t="inlineStr">
        <is>
          <t>BẢO TRÂM</t>
        </is>
      </c>
      <c r="F295" s="3" t="inlineStr">
        <is>
          <t>Shopee</t>
        </is>
      </c>
      <c r="G295" s="4" t="inlineStr">
        <is>
          <t>SHOPEE: https://s.shopee.vn/3qNt1d78Ij TIKTOK: LAZADA: WEBSITE BÁN HÀNG:</t>
        </is>
      </c>
      <c r="H295" s="3" t="inlineStr">
        <is>
          <t>KPC-164</t>
        </is>
      </c>
      <c r="I295" s="4" t="inlineStr">
        <is>
          <t>Kéo cắt ống KPC-164</t>
        </is>
      </c>
      <c r="J295" s="3" t="inlineStr">
        <is>
          <t>Cái</t>
        </is>
      </c>
      <c r="K295" s="5" t="n">
        <v>262000</v>
      </c>
      <c r="L295" s="5" t="n">
        <v>309000</v>
      </c>
      <c r="M295" s="6" t="n">
        <v>380000</v>
      </c>
      <c r="N295" s="5" t="n"/>
      <c r="O295" s="5">
        <f>IF(AND(ISNUMBER(N295),ISNUMBER(M295)),N295-M295,"")</f>
        <v/>
      </c>
      <c r="P295" s="7">
        <f>IF(AND(ISNUMBER(N295),ISNUMBER(M295),M295&gt;0),(N295-M295)/M295,"")</f>
        <v/>
      </c>
      <c r="Q295" s="3">
        <f>IF(P295="","",IF(P295&lt;-0.02,"🔴 Bán phá giá sàn",IF(P295&gt;0.05,"🔵 Bán cao hơn","🟢 Đúng giá sàn TMĐT")))</f>
        <v/>
      </c>
      <c r="R295" s="3" t="n"/>
      <c r="S295" s="4" t="n"/>
      <c r="T295" s="4" t="n"/>
    </row>
    <row r="296">
      <c r="A296" s="3" t="n">
        <v>295</v>
      </c>
      <c r="B296" s="3" t="inlineStr">
        <is>
          <t>DL002</t>
        </is>
      </c>
      <c r="C296" s="4" t="inlineStr">
        <is>
          <t>Nguyễn Hoàng Phú</t>
        </is>
      </c>
      <c r="D296" s="3" t="inlineStr">
        <is>
          <t>HCM</t>
        </is>
      </c>
      <c r="E296" s="3" t="inlineStr">
        <is>
          <t>BẢO TRÂM</t>
        </is>
      </c>
      <c r="F296" s="3" t="inlineStr">
        <is>
          <t>Shopee</t>
        </is>
      </c>
      <c r="G296" s="4" t="inlineStr">
        <is>
          <t>SHOPEE: https://s.shopee.vn/3qNt1d78Ij TIKTOK: LAZADA: WEBSITE BÁN HÀNG:</t>
        </is>
      </c>
      <c r="H296" s="3" t="inlineStr">
        <is>
          <t>KPC-242</t>
        </is>
      </c>
      <c r="I296" s="4" t="inlineStr">
        <is>
          <t>Kéo cắt ống KPC-242</t>
        </is>
      </c>
      <c r="J296" s="3" t="inlineStr">
        <is>
          <t>Cái</t>
        </is>
      </c>
      <c r="K296" s="5" t="n">
        <v>172000</v>
      </c>
      <c r="L296" s="5" t="n">
        <v>203000</v>
      </c>
      <c r="M296" s="6" t="n">
        <v>249000</v>
      </c>
      <c r="N296" s="5" t="n"/>
      <c r="O296" s="5">
        <f>IF(AND(ISNUMBER(N296),ISNUMBER(M296)),N296-M296,"")</f>
        <v/>
      </c>
      <c r="P296" s="7">
        <f>IF(AND(ISNUMBER(N296),ISNUMBER(M296),M296&gt;0),(N296-M296)/M296,"")</f>
        <v/>
      </c>
      <c r="Q296" s="3">
        <f>IF(P296="","",IF(P296&lt;-0.02,"🔴 Bán phá giá sàn",IF(P296&gt;0.05,"🔵 Bán cao hơn","🟢 Đúng giá sàn TMĐT")))</f>
        <v/>
      </c>
      <c r="R296" s="3" t="n"/>
      <c r="S296" s="4" t="n"/>
      <c r="T296" s="4" t="n"/>
    </row>
    <row r="297">
      <c r="A297" s="3" t="n">
        <v>296</v>
      </c>
      <c r="B297" s="3" t="inlineStr">
        <is>
          <t>DL002</t>
        </is>
      </c>
      <c r="C297" s="4" t="inlineStr">
        <is>
          <t>Nguyễn Hoàng Phú</t>
        </is>
      </c>
      <c r="D297" s="3" t="inlineStr">
        <is>
          <t>HCM</t>
        </is>
      </c>
      <c r="E297" s="3" t="inlineStr">
        <is>
          <t>BẢO TRÂM</t>
        </is>
      </c>
      <c r="F297" s="3" t="inlineStr">
        <is>
          <t>Shopee</t>
        </is>
      </c>
      <c r="G297" s="4" t="inlineStr">
        <is>
          <t>SHOPEE: https://s.shopee.vn/3qNt1d78Ij TIKTOK: LAZADA: WEBSITE BÁN HÀNG:</t>
        </is>
      </c>
      <c r="H297" s="3" t="inlineStr">
        <is>
          <t>KDT-250</t>
        </is>
      </c>
      <c r="I297" s="4" t="inlineStr">
        <is>
          <t>Kéo cắt tole KDT-250</t>
        </is>
      </c>
      <c r="J297" s="3" t="inlineStr">
        <is>
          <t>Cái</t>
        </is>
      </c>
      <c r="K297" s="5" t="n">
        <v>116000</v>
      </c>
      <c r="L297" s="5" t="n">
        <v>137000</v>
      </c>
      <c r="M297" s="6" t="n">
        <v>168000</v>
      </c>
      <c r="N297" s="5" t="n"/>
      <c r="O297" s="5">
        <f>IF(AND(ISNUMBER(N297),ISNUMBER(M297)),N297-M297,"")</f>
        <v/>
      </c>
      <c r="P297" s="7">
        <f>IF(AND(ISNUMBER(N297),ISNUMBER(M297),M297&gt;0),(N297-M297)/M297,"")</f>
        <v/>
      </c>
      <c r="Q297" s="3">
        <f>IF(P297="","",IF(P297&lt;-0.02,"🔴 Bán phá giá sàn",IF(P297&gt;0.05,"🔵 Bán cao hơn","🟢 Đúng giá sàn TMĐT")))</f>
        <v/>
      </c>
      <c r="R297" s="3" t="n"/>
      <c r="S297" s="4" t="n"/>
      <c r="T297" s="4" t="n"/>
    </row>
    <row r="298">
      <c r="A298" s="3" t="n">
        <v>297</v>
      </c>
      <c r="B298" s="3" t="inlineStr">
        <is>
          <t>DL002</t>
        </is>
      </c>
      <c r="C298" s="4" t="inlineStr">
        <is>
          <t>Nguyễn Hoàng Phú</t>
        </is>
      </c>
      <c r="D298" s="3" t="inlineStr">
        <is>
          <t>HCM</t>
        </is>
      </c>
      <c r="E298" s="3" t="inlineStr">
        <is>
          <t>BẢO TRÂM</t>
        </is>
      </c>
      <c r="F298" s="3" t="inlineStr">
        <is>
          <t>Shopee</t>
        </is>
      </c>
      <c r="G298" s="4" t="inlineStr">
        <is>
          <t>SHOPEE: https://s.shopee.vn/3qNt1d78Ij TIKTOK: LAZADA: WEBSITE BÁN HÀNG:</t>
        </is>
      </c>
      <c r="H298" s="3" t="inlineStr">
        <is>
          <t>KCT-250</t>
        </is>
      </c>
      <c r="I298" s="4" t="inlineStr">
        <is>
          <t>Kéo cắt thạch cao (tole) KCT-250</t>
        </is>
      </c>
      <c r="J298" s="3" t="inlineStr">
        <is>
          <t>Cái</t>
        </is>
      </c>
      <c r="K298" s="5" t="n">
        <v>105000</v>
      </c>
      <c r="L298" s="5" t="n">
        <v>124000</v>
      </c>
      <c r="M298" s="6" t="n">
        <v>152000</v>
      </c>
      <c r="N298" s="5" t="n"/>
      <c r="O298" s="5">
        <f>IF(AND(ISNUMBER(N298),ISNUMBER(M298)),N298-M298,"")</f>
        <v/>
      </c>
      <c r="P298" s="7">
        <f>IF(AND(ISNUMBER(N298),ISNUMBER(M298),M298&gt;0),(N298-M298)/M298,"")</f>
        <v/>
      </c>
      <c r="Q298" s="3">
        <f>IF(P298="","",IF(P298&lt;-0.02,"🔴 Bán phá giá sàn",IF(P298&gt;0.05,"🔵 Bán cao hơn","🟢 Đúng giá sàn TMĐT")))</f>
        <v/>
      </c>
      <c r="R298" s="3" t="n"/>
      <c r="S298" s="4" t="n"/>
      <c r="T298" s="4" t="n"/>
    </row>
    <row r="299">
      <c r="A299" s="3" t="n">
        <v>298</v>
      </c>
      <c r="B299" s="3" t="inlineStr">
        <is>
          <t>DL002</t>
        </is>
      </c>
      <c r="C299" s="4" t="inlineStr">
        <is>
          <t>Nguyễn Hoàng Phú</t>
        </is>
      </c>
      <c r="D299" s="3" t="inlineStr">
        <is>
          <t>HCM</t>
        </is>
      </c>
      <c r="E299" s="3" t="inlineStr">
        <is>
          <t>BẢO TRÂM</t>
        </is>
      </c>
      <c r="F299" s="3" t="inlineStr">
        <is>
          <t>Shopee</t>
        </is>
      </c>
      <c r="G299" s="4" t="inlineStr">
        <is>
          <t>SHOPEE: https://s.shopee.vn/3qNt1d78Ij TIKTOK: LAZADA: WEBSITE BÁN HÀNG:</t>
        </is>
      </c>
      <c r="H299" s="3" t="inlineStr">
        <is>
          <t>QC1</t>
        </is>
      </c>
      <c r="I299" s="4" t="inlineStr">
        <is>
          <t>Kéo cắt trái cây QC1</t>
        </is>
      </c>
      <c r="J299" s="3" t="inlineStr">
        <is>
          <t>Cái</t>
        </is>
      </c>
      <c r="K299" s="5" t="n">
        <v>38000</v>
      </c>
      <c r="L299" s="5" t="n">
        <v>45000</v>
      </c>
      <c r="M299" s="6" t="n">
        <v>55000</v>
      </c>
      <c r="N299" s="5" t="n"/>
      <c r="O299" s="5">
        <f>IF(AND(ISNUMBER(N299),ISNUMBER(M299)),N299-M299,"")</f>
        <v/>
      </c>
      <c r="P299" s="7">
        <f>IF(AND(ISNUMBER(N299),ISNUMBER(M299),M299&gt;0),(N299-M299)/M299,"")</f>
        <v/>
      </c>
      <c r="Q299" s="3">
        <f>IF(P299="","",IF(P299&lt;-0.02,"🔴 Bán phá giá sàn",IF(P299&gt;0.05,"🔵 Bán cao hơn","🟢 Đúng giá sàn TMĐT")))</f>
        <v/>
      </c>
      <c r="R299" s="3" t="n"/>
      <c r="S299" s="4" t="n"/>
      <c r="T299" s="4" t="n"/>
    </row>
    <row r="300">
      <c r="A300" s="3" t="n">
        <v>299</v>
      </c>
      <c r="B300" s="3" t="inlineStr">
        <is>
          <t>DL002</t>
        </is>
      </c>
      <c r="C300" s="4" t="inlineStr">
        <is>
          <t>Nguyễn Hoàng Phú</t>
        </is>
      </c>
      <c r="D300" s="3" t="inlineStr">
        <is>
          <t>HCM</t>
        </is>
      </c>
      <c r="E300" s="3" t="inlineStr">
        <is>
          <t>BẢO TRÂM</t>
        </is>
      </c>
      <c r="F300" s="3" t="inlineStr">
        <is>
          <t>Shopee</t>
        </is>
      </c>
      <c r="G300" s="4" t="inlineStr">
        <is>
          <t>SHOPEE: https://s.shopee.vn/3qNt1d78Ij TIKTOK: LAZADA: WEBSITE BÁN HÀNG:</t>
        </is>
      </c>
      <c r="H300" s="3" t="inlineStr">
        <is>
          <t>KB001-Q1</t>
        </is>
      </c>
      <c r="I300" s="4" t="inlineStr">
        <is>
          <t>Kéo KB001-Q1</t>
        </is>
      </c>
      <c r="J300" s="3" t="inlineStr">
        <is>
          <t>Cái</t>
        </is>
      </c>
      <c r="K300" s="5" t="n">
        <v>79000</v>
      </c>
      <c r="L300" s="5" t="n">
        <v>93000</v>
      </c>
      <c r="M300" s="6" t="n">
        <v>115000</v>
      </c>
      <c r="N300" s="5" t="n"/>
      <c r="O300" s="5">
        <f>IF(AND(ISNUMBER(N300),ISNUMBER(M300)),N300-M300,"")</f>
        <v/>
      </c>
      <c r="P300" s="7">
        <f>IF(AND(ISNUMBER(N300),ISNUMBER(M300),M300&gt;0),(N300-M300)/M300,"")</f>
        <v/>
      </c>
      <c r="Q300" s="3">
        <f>IF(P300="","",IF(P300&lt;-0.02,"🔴 Bán phá giá sàn",IF(P300&gt;0.05,"🔵 Bán cao hơn","🟢 Đúng giá sàn TMĐT")))</f>
        <v/>
      </c>
      <c r="R300" s="3" t="n"/>
      <c r="S300" s="4" t="n"/>
      <c r="T300" s="4" t="n"/>
    </row>
    <row r="301">
      <c r="A301" s="3" t="n">
        <v>300</v>
      </c>
      <c r="B301" s="3" t="inlineStr">
        <is>
          <t>DL002</t>
        </is>
      </c>
      <c r="C301" s="4" t="inlineStr">
        <is>
          <t>Nguyễn Hoàng Phú</t>
        </is>
      </c>
      <c r="D301" s="3" t="inlineStr">
        <is>
          <t>HCM</t>
        </is>
      </c>
      <c r="E301" s="3" t="inlineStr">
        <is>
          <t>BẢO TRÂM</t>
        </is>
      </c>
      <c r="F301" s="3" t="inlineStr">
        <is>
          <t>Shopee</t>
        </is>
      </c>
      <c r="G301" s="4" t="inlineStr">
        <is>
          <t>SHOPEE: https://s.shopee.vn/3qNt1d78Ij TIKTOK: LAZADA: WEBSITE BÁN HÀNG:</t>
        </is>
      </c>
      <c r="H301" s="3" t="inlineStr">
        <is>
          <t>NG107</t>
        </is>
      </c>
      <c r="I301" s="4" t="inlineStr">
        <is>
          <t>Kích nâng gạch NG107</t>
        </is>
      </c>
      <c r="J301" s="3" t="inlineStr">
        <is>
          <t>Cái</t>
        </is>
      </c>
      <c r="K301" s="5" t="n">
        <v>105000</v>
      </c>
      <c r="L301" s="5" t="n">
        <v>124000</v>
      </c>
      <c r="M301" s="6" t="n">
        <v>152000</v>
      </c>
      <c r="N301" s="5" t="n"/>
      <c r="O301" s="5">
        <f>IF(AND(ISNUMBER(N301),ISNUMBER(M301)),N301-M301,"")</f>
        <v/>
      </c>
      <c r="P301" s="7">
        <f>IF(AND(ISNUMBER(N301),ISNUMBER(M301),M301&gt;0),(N301-M301)/M301,"")</f>
        <v/>
      </c>
      <c r="Q301" s="3">
        <f>IF(P301="","",IF(P301&lt;-0.02,"🔴 Bán phá giá sàn",IF(P301&gt;0.05,"🔵 Bán cao hơn","🟢 Đúng giá sàn TMĐT")))</f>
        <v/>
      </c>
      <c r="R301" s="3" t="n"/>
      <c r="S301" s="4" t="n"/>
      <c r="T301" s="4" t="n"/>
    </row>
    <row r="302">
      <c r="A302" s="3" t="n">
        <v>301</v>
      </c>
      <c r="B302" s="3" t="inlineStr">
        <is>
          <t>DL002</t>
        </is>
      </c>
      <c r="C302" s="4" t="inlineStr">
        <is>
          <t>Nguyễn Hoàng Phú</t>
        </is>
      </c>
      <c r="D302" s="3" t="inlineStr">
        <is>
          <t>HCM</t>
        </is>
      </c>
      <c r="E302" s="3" t="inlineStr">
        <is>
          <t>BẢO TRÂM</t>
        </is>
      </c>
      <c r="F302" s="3" t="inlineStr">
        <is>
          <t>Shopee</t>
        </is>
      </c>
      <c r="G302" s="4" t="inlineStr">
        <is>
          <t>SHOPEE: https://s.shopee.vn/3qNt1d78Ij TIKTOK: LAZADA: WEBSITE BÁN HÀNG:</t>
        </is>
      </c>
      <c r="H302" s="3" t="inlineStr">
        <is>
          <t>KND150</t>
        </is>
      </c>
      <c r="I302" s="4" t="inlineStr">
        <is>
          <t>Kìm cắt chân mạch đa năng KND150</t>
        </is>
      </c>
      <c r="J302" s="3" t="inlineStr">
        <is>
          <t>Cái</t>
        </is>
      </c>
      <c r="K302" s="5" t="n">
        <v>64000</v>
      </c>
      <c r="L302" s="5" t="n">
        <v>76000</v>
      </c>
      <c r="M302" s="6" t="n">
        <v>93000</v>
      </c>
      <c r="N302" s="5" t="n"/>
      <c r="O302" s="5">
        <f>IF(AND(ISNUMBER(N302),ISNUMBER(M302)),N302-M302,"")</f>
        <v/>
      </c>
      <c r="P302" s="7">
        <f>IF(AND(ISNUMBER(N302),ISNUMBER(M302),M302&gt;0),(N302-M302)/M302,"")</f>
        <v/>
      </c>
      <c r="Q302" s="3">
        <f>IF(P302="","",IF(P302&lt;-0.02,"🔴 Bán phá giá sàn",IF(P302&gt;0.05,"🔵 Bán cao hơn","🟢 Đúng giá sàn TMĐT")))</f>
        <v/>
      </c>
      <c r="R302" s="3" t="n"/>
      <c r="S302" s="4" t="n"/>
      <c r="T302" s="4" t="n"/>
    </row>
    <row r="303">
      <c r="A303" s="3" t="n">
        <v>302</v>
      </c>
      <c r="B303" s="3" t="inlineStr">
        <is>
          <t>DL002</t>
        </is>
      </c>
      <c r="C303" s="4" t="inlineStr">
        <is>
          <t>Nguyễn Hoàng Phú</t>
        </is>
      </c>
      <c r="D303" s="3" t="inlineStr">
        <is>
          <t>HCM</t>
        </is>
      </c>
      <c r="E303" s="3" t="inlineStr">
        <is>
          <t>BẢO TRÂM</t>
        </is>
      </c>
      <c r="F303" s="3" t="inlineStr">
        <is>
          <t>Shopee</t>
        </is>
      </c>
      <c r="G303" s="4" t="inlineStr">
        <is>
          <t>SHOPEE: https://s.shopee.vn/3qNt1d78Ij TIKTOK: LAZADA: WEBSITE BÁN HÀNG:</t>
        </is>
      </c>
      <c r="H303" s="3" t="inlineStr">
        <is>
          <t>KND200</t>
        </is>
      </c>
      <c r="I303" s="4" t="inlineStr">
        <is>
          <t>Kìm cắt tuốt đa năng 5 in1 KND200</t>
        </is>
      </c>
      <c r="J303" s="3" t="inlineStr">
        <is>
          <t>Cái</t>
        </is>
      </c>
      <c r="K303" s="5" t="n">
        <v>72000</v>
      </c>
      <c r="L303" s="5" t="n">
        <v>85000</v>
      </c>
      <c r="M303" s="6" t="n">
        <v>104000</v>
      </c>
      <c r="N303" s="5" t="n"/>
      <c r="O303" s="5">
        <f>IF(AND(ISNUMBER(N303),ISNUMBER(M303)),N303-M303,"")</f>
        <v/>
      </c>
      <c r="P303" s="7">
        <f>IF(AND(ISNUMBER(N303),ISNUMBER(M303),M303&gt;0),(N303-M303)/M303,"")</f>
        <v/>
      </c>
      <c r="Q303" s="3">
        <f>IF(P303="","",IF(P303&lt;-0.02,"🔴 Bán phá giá sàn",IF(P303&gt;0.05,"🔵 Bán cao hơn","🟢 Đúng giá sàn TMĐT")))</f>
        <v/>
      </c>
      <c r="R303" s="3" t="n"/>
      <c r="S303" s="4" t="n"/>
      <c r="T303" s="4" t="n"/>
    </row>
    <row r="304">
      <c r="A304" s="3" t="n">
        <v>303</v>
      </c>
      <c r="B304" s="3" t="inlineStr">
        <is>
          <t>DL002</t>
        </is>
      </c>
      <c r="C304" s="4" t="inlineStr">
        <is>
          <t>Nguyễn Hoàng Phú</t>
        </is>
      </c>
      <c r="D304" s="3" t="inlineStr">
        <is>
          <t>HCM</t>
        </is>
      </c>
      <c r="E304" s="3" t="inlineStr">
        <is>
          <t>BẢO TRÂM</t>
        </is>
      </c>
      <c r="F304" s="3" t="inlineStr">
        <is>
          <t>Shopee</t>
        </is>
      </c>
      <c r="G304" s="4" t="inlineStr">
        <is>
          <t>SHOPEE: https://s.shopee.vn/3qNt1d78Ij TIKTOK: LAZADA: WEBSITE BÁN HÀNG:</t>
        </is>
      </c>
      <c r="H304" s="3" t="inlineStr">
        <is>
          <t>KS1-250</t>
        </is>
      </c>
      <c r="I304" s="4" t="inlineStr">
        <is>
          <t>Kìm chết KS1-250</t>
        </is>
      </c>
      <c r="J304" s="3" t="inlineStr">
        <is>
          <t>Cái</t>
        </is>
      </c>
      <c r="K304" s="5" t="n">
        <v>132000</v>
      </c>
      <c r="L304" s="5" t="n">
        <v>156000</v>
      </c>
      <c r="M304" s="6" t="n">
        <v>191000</v>
      </c>
      <c r="N304" s="5" t="n"/>
      <c r="O304" s="5">
        <f>IF(AND(ISNUMBER(N304),ISNUMBER(M304)),N304-M304,"")</f>
        <v/>
      </c>
      <c r="P304" s="7">
        <f>IF(AND(ISNUMBER(N304),ISNUMBER(M304),M304&gt;0),(N304-M304)/M304,"")</f>
        <v/>
      </c>
      <c r="Q304" s="3">
        <f>IF(P304="","",IF(P304&lt;-0.02,"🔴 Bán phá giá sàn",IF(P304&gt;0.05,"🔵 Bán cao hơn","🟢 Đúng giá sàn TMĐT")))</f>
        <v/>
      </c>
      <c r="R304" s="3" t="n"/>
      <c r="S304" s="4" t="n"/>
      <c r="T304" s="4" t="n"/>
    </row>
    <row r="305">
      <c r="A305" s="3" t="n">
        <v>304</v>
      </c>
      <c r="B305" s="3" t="inlineStr">
        <is>
          <t>DL002</t>
        </is>
      </c>
      <c r="C305" s="4" t="inlineStr">
        <is>
          <t>Nguyễn Hoàng Phú</t>
        </is>
      </c>
      <c r="D305" s="3" t="inlineStr">
        <is>
          <t>HCM</t>
        </is>
      </c>
      <c r="E305" s="3" t="inlineStr">
        <is>
          <t>BẢO TRÂM</t>
        </is>
      </c>
      <c r="F305" s="3" t="inlineStr">
        <is>
          <t>Shopee</t>
        </is>
      </c>
      <c r="G305" s="4" t="inlineStr">
        <is>
          <t>SHOPEE: https://s.shopee.vn/3qNt1d78Ij TIKTOK: LAZADA: WEBSITE BÁN HÀNG:</t>
        </is>
      </c>
      <c r="H305" s="3" t="inlineStr">
        <is>
          <t>KS2-250</t>
        </is>
      </c>
      <c r="I305" s="4" t="inlineStr">
        <is>
          <t>Kìm chết KS2-250</t>
        </is>
      </c>
      <c r="J305" s="3" t="inlineStr">
        <is>
          <t>Cái</t>
        </is>
      </c>
      <c r="K305" s="5" t="n">
        <v>149000</v>
      </c>
      <c r="L305" s="5" t="n">
        <v>176000</v>
      </c>
      <c r="M305" s="6" t="n">
        <v>216000</v>
      </c>
      <c r="N305" s="5" t="n"/>
      <c r="O305" s="5">
        <f>IF(AND(ISNUMBER(N305),ISNUMBER(M305)),N305-M305,"")</f>
        <v/>
      </c>
      <c r="P305" s="7">
        <f>IF(AND(ISNUMBER(N305),ISNUMBER(M305),M305&gt;0),(N305-M305)/M305,"")</f>
        <v/>
      </c>
      <c r="Q305" s="3">
        <f>IF(P305="","",IF(P305&lt;-0.02,"🔴 Bán phá giá sàn",IF(P305&gt;0.05,"🔵 Bán cao hơn","🟢 Đúng giá sàn TMĐT")))</f>
        <v/>
      </c>
      <c r="R305" s="3" t="n"/>
      <c r="S305" s="4" t="n"/>
      <c r="T305" s="4" t="n"/>
    </row>
    <row r="306">
      <c r="A306" s="3" t="n">
        <v>305</v>
      </c>
      <c r="B306" s="3" t="inlineStr">
        <is>
          <t>DL002</t>
        </is>
      </c>
      <c r="C306" s="4" t="inlineStr">
        <is>
          <t>Nguyễn Hoàng Phú</t>
        </is>
      </c>
      <c r="D306" s="3" t="inlineStr">
        <is>
          <t>HCM</t>
        </is>
      </c>
      <c r="E306" s="3" t="inlineStr">
        <is>
          <t>BẢO TRÂM</t>
        </is>
      </c>
      <c r="F306" s="3" t="inlineStr">
        <is>
          <t>Shopee</t>
        </is>
      </c>
      <c r="G306" s="4" t="inlineStr">
        <is>
          <t>SHOPEE: https://s.shopee.vn/3qNt1d78Ij TIKTOK: LAZADA: WEBSITE BÁN HÀNG:</t>
        </is>
      </c>
      <c r="H306" s="3" t="inlineStr">
        <is>
          <t>KS5-254</t>
        </is>
      </c>
      <c r="I306" s="4" t="inlineStr">
        <is>
          <t>Kìm chết mỏ dẹt KS5-254</t>
        </is>
      </c>
      <c r="J306" s="3" t="inlineStr">
        <is>
          <t>Cái</t>
        </is>
      </c>
      <c r="K306" s="5" t="n">
        <v>176000</v>
      </c>
      <c r="L306" s="5" t="n">
        <v>208000</v>
      </c>
      <c r="M306" s="6" t="n">
        <v>255000</v>
      </c>
      <c r="N306" s="5" t="n"/>
      <c r="O306" s="5">
        <f>IF(AND(ISNUMBER(N306),ISNUMBER(M306)),N306-M306,"")</f>
        <v/>
      </c>
      <c r="P306" s="7">
        <f>IF(AND(ISNUMBER(N306),ISNUMBER(M306),M306&gt;0),(N306-M306)/M306,"")</f>
        <v/>
      </c>
      <c r="Q306" s="3">
        <f>IF(P306="","",IF(P306&lt;-0.02,"🔴 Bán phá giá sàn",IF(P306&gt;0.05,"🔵 Bán cao hơn","🟢 Đúng giá sàn TMĐT")))</f>
        <v/>
      </c>
      <c r="R306" s="3" t="n"/>
      <c r="S306" s="4" t="n"/>
      <c r="T306" s="4" t="n"/>
    </row>
    <row r="307">
      <c r="A307" s="3" t="n">
        <v>306</v>
      </c>
      <c r="B307" s="3" t="inlineStr">
        <is>
          <t>DL002</t>
        </is>
      </c>
      <c r="C307" s="4" t="inlineStr">
        <is>
          <t>Nguyễn Hoàng Phú</t>
        </is>
      </c>
      <c r="D307" s="3" t="inlineStr">
        <is>
          <t>HCM</t>
        </is>
      </c>
      <c r="E307" s="3" t="inlineStr">
        <is>
          <t>BẢO TRÂM</t>
        </is>
      </c>
      <c r="F307" s="3" t="inlineStr">
        <is>
          <t>Shopee</t>
        </is>
      </c>
      <c r="G307" s="4" t="inlineStr">
        <is>
          <t>SHOPEE: https://s.shopee.vn/3qNt1d78Ij TIKTOK: LAZADA: WEBSITE BÁN HÀNG:</t>
        </is>
      </c>
      <c r="H307" s="3" t="inlineStr">
        <is>
          <t>KS4-260</t>
        </is>
      </c>
      <c r="I307" s="4" t="inlineStr">
        <is>
          <t>Kìm chết ngàm rộng 4 chế độ KS4-260</t>
        </is>
      </c>
      <c r="J307" s="3" t="inlineStr">
        <is>
          <t>Cái</t>
        </is>
      </c>
      <c r="K307" s="5" t="n">
        <v>270000</v>
      </c>
      <c r="L307" s="5" t="n">
        <v>319000</v>
      </c>
      <c r="M307" s="6" t="n">
        <v>392000</v>
      </c>
      <c r="N307" s="5" t="n"/>
      <c r="O307" s="5">
        <f>IF(AND(ISNUMBER(N307),ISNUMBER(M307)),N307-M307,"")</f>
        <v/>
      </c>
      <c r="P307" s="7">
        <f>IF(AND(ISNUMBER(N307),ISNUMBER(M307),M307&gt;0),(N307-M307)/M307,"")</f>
        <v/>
      </c>
      <c r="Q307" s="3">
        <f>IF(P307="","",IF(P307&lt;-0.02,"🔴 Bán phá giá sàn",IF(P307&gt;0.05,"🔵 Bán cao hơn","🟢 Đúng giá sàn TMĐT")))</f>
        <v/>
      </c>
      <c r="R307" s="3" t="n"/>
      <c r="S307" s="4" t="n"/>
      <c r="T307" s="4" t="n"/>
    </row>
    <row r="308">
      <c r="A308" s="3" t="n">
        <v>307</v>
      </c>
      <c r="B308" s="3" t="inlineStr">
        <is>
          <t>DL002</t>
        </is>
      </c>
      <c r="C308" s="4" t="inlineStr">
        <is>
          <t>Nguyễn Hoàng Phú</t>
        </is>
      </c>
      <c r="D308" s="3" t="inlineStr">
        <is>
          <t>HCM</t>
        </is>
      </c>
      <c r="E308" s="3" t="inlineStr">
        <is>
          <t>BẢO TRÂM</t>
        </is>
      </c>
      <c r="F308" s="3" t="inlineStr">
        <is>
          <t>Shopee</t>
        </is>
      </c>
      <c r="G308" s="4" t="inlineStr">
        <is>
          <t>SHOPEE: https://s.shopee.vn/3qNt1d78Ij TIKTOK: LAZADA: WEBSITE BÁN HÀNG:</t>
        </is>
      </c>
      <c r="H308" s="3" t="inlineStr">
        <is>
          <t>KS-264</t>
        </is>
      </c>
      <c r="I308" s="4" t="inlineStr">
        <is>
          <t>Kìm chết ngàm rộng KS-264</t>
        </is>
      </c>
      <c r="J308" s="3" t="inlineStr">
        <is>
          <t>Cái</t>
        </is>
      </c>
      <c r="K308" s="5" t="n">
        <v>352000</v>
      </c>
      <c r="L308" s="5" t="n">
        <v>415000</v>
      </c>
      <c r="M308" s="6" t="n">
        <v>510000</v>
      </c>
      <c r="N308" s="5" t="n"/>
      <c r="O308" s="5">
        <f>IF(AND(ISNUMBER(N308),ISNUMBER(M308)),N308-M308,"")</f>
        <v/>
      </c>
      <c r="P308" s="7">
        <f>IF(AND(ISNUMBER(N308),ISNUMBER(M308),M308&gt;0),(N308-M308)/M308,"")</f>
        <v/>
      </c>
      <c r="Q308" s="3">
        <f>IF(P308="","",IF(P308&lt;-0.02,"🔴 Bán phá giá sàn",IF(P308&gt;0.05,"🔵 Bán cao hơn","🟢 Đúng giá sàn TMĐT")))</f>
        <v/>
      </c>
      <c r="R308" s="3" t="n"/>
      <c r="S308" s="4" t="n"/>
      <c r="T308" s="4" t="n"/>
    </row>
    <row r="309">
      <c r="A309" s="3" t="n">
        <v>308</v>
      </c>
      <c r="B309" s="3" t="inlineStr">
        <is>
          <t>DL002</t>
        </is>
      </c>
      <c r="C309" s="4" t="inlineStr">
        <is>
          <t>Nguyễn Hoàng Phú</t>
        </is>
      </c>
      <c r="D309" s="3" t="inlineStr">
        <is>
          <t>HCM</t>
        </is>
      </c>
      <c r="E309" s="3" t="inlineStr">
        <is>
          <t>BẢO TRÂM</t>
        </is>
      </c>
      <c r="F309" s="3" t="inlineStr">
        <is>
          <t>Shopee</t>
        </is>
      </c>
      <c r="G309" s="4" t="inlineStr">
        <is>
          <t>SHOPEE: https://s.shopee.vn/3qNt1d78Ij TIKTOK: LAZADA: WEBSITE BÁN HÀNG:</t>
        </is>
      </c>
      <c r="H309" s="3" t="inlineStr">
        <is>
          <t>KS3-208</t>
        </is>
      </c>
      <c r="I309" s="4" t="inlineStr">
        <is>
          <t>Kìm chữ C KS3-208</t>
        </is>
      </c>
      <c r="J309" s="3" t="inlineStr">
        <is>
          <t>Cái</t>
        </is>
      </c>
      <c r="K309" s="5" t="n">
        <v>132000</v>
      </c>
      <c r="L309" s="5" t="n">
        <v>156000</v>
      </c>
      <c r="M309" s="6" t="n">
        <v>191000</v>
      </c>
      <c r="N309" s="5" t="n"/>
      <c r="O309" s="5">
        <f>IF(AND(ISNUMBER(N309),ISNUMBER(M309)),N309-M309,"")</f>
        <v/>
      </c>
      <c r="P309" s="7">
        <f>IF(AND(ISNUMBER(N309),ISNUMBER(M309),M309&gt;0),(N309-M309)/M309,"")</f>
        <v/>
      </c>
      <c r="Q309" s="3">
        <f>IF(P309="","",IF(P309&lt;-0.02,"🔴 Bán phá giá sàn",IF(P309&gt;0.05,"🔵 Bán cao hơn","🟢 Đúng giá sàn TMĐT")))</f>
        <v/>
      </c>
      <c r="R309" s="3" t="n"/>
      <c r="S309" s="4" t="n"/>
      <c r="T309" s="4" t="n"/>
    </row>
    <row r="310">
      <c r="A310" s="3" t="n">
        <v>309</v>
      </c>
      <c r="B310" s="3" t="inlineStr">
        <is>
          <t>DL002</t>
        </is>
      </c>
      <c r="C310" s="4" t="inlineStr">
        <is>
          <t>Nguyễn Hoàng Phú</t>
        </is>
      </c>
      <c r="D310" s="3" t="inlineStr">
        <is>
          <t>HCM</t>
        </is>
      </c>
      <c r="E310" s="3" t="inlineStr">
        <is>
          <t>BẢO TRÂM</t>
        </is>
      </c>
      <c r="F310" s="3" t="inlineStr">
        <is>
          <t>Shopee</t>
        </is>
      </c>
      <c r="G310" s="4" t="inlineStr">
        <is>
          <t>SHOPEE: https://s.shopee.vn/3qNt1d78Ij TIKTOK: LAZADA: WEBSITE BÁN HÀNG:</t>
        </is>
      </c>
      <c r="H310" s="3" t="inlineStr">
        <is>
          <t>KJ-105</t>
        </is>
      </c>
      <c r="I310" s="4" t="inlineStr">
        <is>
          <t>Kìm rút đinh rút KJ-105</t>
        </is>
      </c>
      <c r="J310" s="3" t="inlineStr">
        <is>
          <t>Cái</t>
        </is>
      </c>
      <c r="K310" s="5" t="n">
        <v>154000</v>
      </c>
      <c r="L310" s="5" t="n">
        <v>182000</v>
      </c>
      <c r="M310" s="6" t="n">
        <v>223000</v>
      </c>
      <c r="N310" s="5" t="n"/>
      <c r="O310" s="5">
        <f>IF(AND(ISNUMBER(N310),ISNUMBER(M310)),N310-M310,"")</f>
        <v/>
      </c>
      <c r="P310" s="7">
        <f>IF(AND(ISNUMBER(N310),ISNUMBER(M310),M310&gt;0),(N310-M310)/M310,"")</f>
        <v/>
      </c>
      <c r="Q310" s="3">
        <f>IF(P310="","",IF(P310&lt;-0.02,"🔴 Bán phá giá sàn",IF(P310&gt;0.05,"🔵 Bán cao hơn","🟢 Đúng giá sàn TMĐT")))</f>
        <v/>
      </c>
      <c r="R310" s="3" t="n"/>
      <c r="S310" s="4" t="n"/>
      <c r="T310" s="4" t="n"/>
    </row>
    <row r="311">
      <c r="A311" s="3" t="n">
        <v>310</v>
      </c>
      <c r="B311" s="3" t="inlineStr">
        <is>
          <t>DL002</t>
        </is>
      </c>
      <c r="C311" s="4" t="inlineStr">
        <is>
          <t>Nguyễn Hoàng Phú</t>
        </is>
      </c>
      <c r="D311" s="3" t="inlineStr">
        <is>
          <t>HCM</t>
        </is>
      </c>
      <c r="E311" s="3" t="inlineStr">
        <is>
          <t>BẢO TRÂM</t>
        </is>
      </c>
      <c r="F311" s="3" t="inlineStr">
        <is>
          <t>Shopee</t>
        </is>
      </c>
      <c r="G311" s="4" t="inlineStr">
        <is>
          <t>SHOPEE: https://s.shopee.vn/3qNt1d78Ij TIKTOK: LAZADA: WEBSITE BÁN HÀNG:</t>
        </is>
      </c>
      <c r="H311" s="3" t="inlineStr">
        <is>
          <t>KND180</t>
        </is>
      </c>
      <c r="I311" s="4" t="inlineStr">
        <is>
          <t>Kìm tuốt dây điện đa năng KND180</t>
        </is>
      </c>
      <c r="J311" s="3" t="inlineStr">
        <is>
          <t>Cái</t>
        </is>
      </c>
      <c r="K311" s="5" t="n">
        <v>127000</v>
      </c>
      <c r="L311" s="5" t="n">
        <v>150000</v>
      </c>
      <c r="M311" s="6" t="n">
        <v>184000</v>
      </c>
      <c r="N311" s="5" t="n"/>
      <c r="O311" s="5">
        <f>IF(AND(ISNUMBER(N311),ISNUMBER(M311)),N311-M311,"")</f>
        <v/>
      </c>
      <c r="P311" s="7">
        <f>IF(AND(ISNUMBER(N311),ISNUMBER(M311),M311&gt;0),(N311-M311)/M311,"")</f>
        <v/>
      </c>
      <c r="Q311" s="3">
        <f>IF(P311="","",IF(P311&lt;-0.02,"🔴 Bán phá giá sàn",IF(P311&gt;0.05,"🔵 Bán cao hơn","🟢 Đúng giá sàn TMĐT")))</f>
        <v/>
      </c>
      <c r="R311" s="3" t="n"/>
      <c r="S311" s="4" t="n"/>
      <c r="T311" s="4" t="n"/>
    </row>
    <row r="312">
      <c r="A312" s="3" t="n">
        <v>311</v>
      </c>
      <c r="B312" s="3" t="inlineStr">
        <is>
          <t>DL002</t>
        </is>
      </c>
      <c r="C312" s="4" t="inlineStr">
        <is>
          <t>Nguyễn Hoàng Phú</t>
        </is>
      </c>
      <c r="D312" s="3" t="inlineStr">
        <is>
          <t>HCM</t>
        </is>
      </c>
      <c r="E312" s="3" t="inlineStr">
        <is>
          <t>BẢO TRÂM</t>
        </is>
      </c>
      <c r="F312" s="3" t="inlineStr">
        <is>
          <t>Shopee</t>
        </is>
      </c>
      <c r="G312" s="4" t="inlineStr">
        <is>
          <t>SHOPEE: https://s.shopee.vn/3qNt1d78Ij TIKTOK: LAZADA: WEBSITE BÁN HÀNG:</t>
        </is>
      </c>
      <c r="H312" s="3" t="inlineStr">
        <is>
          <t>KND205</t>
        </is>
      </c>
      <c r="I312" s="4" t="inlineStr">
        <is>
          <t>Kìm tuốt dây điện đa năng KND205</t>
        </is>
      </c>
      <c r="J312" s="3" t="inlineStr">
        <is>
          <t>Cái</t>
        </is>
      </c>
      <c r="K312" s="5" t="n">
        <v>160000</v>
      </c>
      <c r="L312" s="5" t="n">
        <v>189000</v>
      </c>
      <c r="M312" s="6" t="n">
        <v>232000</v>
      </c>
      <c r="N312" s="5" t="n"/>
      <c r="O312" s="5">
        <f>IF(AND(ISNUMBER(N312),ISNUMBER(M312)),N312-M312,"")</f>
        <v/>
      </c>
      <c r="P312" s="7">
        <f>IF(AND(ISNUMBER(N312),ISNUMBER(M312),M312&gt;0),(N312-M312)/M312,"")</f>
        <v/>
      </c>
      <c r="Q312" s="3">
        <f>IF(P312="","",IF(P312&lt;-0.02,"🔴 Bán phá giá sàn",IF(P312&gt;0.05,"🔵 Bán cao hơn","🟢 Đúng giá sàn TMĐT")))</f>
        <v/>
      </c>
      <c r="R312" s="3" t="n"/>
      <c r="S312" s="4" t="n"/>
      <c r="T312" s="4" t="n"/>
    </row>
    <row r="313">
      <c r="A313" s="3" t="n">
        <v>312</v>
      </c>
      <c r="B313" s="3" t="inlineStr">
        <is>
          <t>DL002</t>
        </is>
      </c>
      <c r="C313" s="4" t="inlineStr">
        <is>
          <t>Nguyễn Hoàng Phú</t>
        </is>
      </c>
      <c r="D313" s="3" t="inlineStr">
        <is>
          <t>HCM</t>
        </is>
      </c>
      <c r="E313" s="3" t="inlineStr">
        <is>
          <t>BẢO TRÂM</t>
        </is>
      </c>
      <c r="F313" s="3" t="inlineStr">
        <is>
          <t>Shopee</t>
        </is>
      </c>
      <c r="G313" s="4" t="inlineStr">
        <is>
          <t>SHOPEE: https://s.shopee.vn/3qNt1d78Ij TIKTOK: LAZADA: WEBSITE BÁN HÀNG:</t>
        </is>
      </c>
      <c r="H313" s="3" t="inlineStr">
        <is>
          <t>KBM2-06160</t>
        </is>
      </c>
      <c r="I313" s="4" t="inlineStr">
        <is>
          <t>Khoan bê tông chuôi lục giác KBM2-06*160</t>
        </is>
      </c>
      <c r="J313" s="3" t="inlineStr">
        <is>
          <t>Cái</t>
        </is>
      </c>
      <c r="K313" s="5" t="n">
        <v>22000</v>
      </c>
      <c r="L313" s="5" t="n">
        <v>27000</v>
      </c>
      <c r="M313" s="6" t="n">
        <v>34000</v>
      </c>
      <c r="N313" s="5" t="n"/>
      <c r="O313" s="5">
        <f>IF(AND(ISNUMBER(N313),ISNUMBER(M313)),N313-M313,"")</f>
        <v/>
      </c>
      <c r="P313" s="7">
        <f>IF(AND(ISNUMBER(N313),ISNUMBER(M313),M313&gt;0),(N313-M313)/M313,"")</f>
        <v/>
      </c>
      <c r="Q313" s="3">
        <f>IF(P313="","",IF(P313&lt;-0.02,"🔴 Bán phá giá sàn",IF(P313&gt;0.05,"🔵 Bán cao hơn","🟢 Đúng giá sàn TMĐT")))</f>
        <v/>
      </c>
      <c r="R313" s="3" t="n"/>
      <c r="S313" s="4" t="n"/>
      <c r="T313" s="4" t="n"/>
    </row>
    <row r="314">
      <c r="A314" s="3" t="n">
        <v>313</v>
      </c>
      <c r="B314" s="3" t="inlineStr">
        <is>
          <t>DL002</t>
        </is>
      </c>
      <c r="C314" s="4" t="inlineStr">
        <is>
          <t>Nguyễn Hoàng Phú</t>
        </is>
      </c>
      <c r="D314" s="3" t="inlineStr">
        <is>
          <t>HCM</t>
        </is>
      </c>
      <c r="E314" s="3" t="inlineStr">
        <is>
          <t>BẢO TRÂM</t>
        </is>
      </c>
      <c r="F314" s="3" t="inlineStr">
        <is>
          <t>Shopee</t>
        </is>
      </c>
      <c r="G314" s="4" t="inlineStr">
        <is>
          <t>SHOPEE: https://s.shopee.vn/3qNt1d78Ij TIKTOK: LAZADA: WEBSITE BÁN HÀNG:</t>
        </is>
      </c>
      <c r="H314" s="3" t="inlineStr">
        <is>
          <t>KBM2-08160</t>
        </is>
      </c>
      <c r="I314" s="4" t="inlineStr">
        <is>
          <t>Khoan bê tông chuôi lục giác KBM2-08*160</t>
        </is>
      </c>
      <c r="J314" s="3" t="inlineStr">
        <is>
          <t>Cái</t>
        </is>
      </c>
      <c r="K314" s="5" t="n">
        <v>24000</v>
      </c>
      <c r="L314" s="5" t="n">
        <v>29000</v>
      </c>
      <c r="M314" s="6" t="n">
        <v>37000</v>
      </c>
      <c r="N314" s="5" t="n"/>
      <c r="O314" s="5">
        <f>IF(AND(ISNUMBER(N314),ISNUMBER(M314)),N314-M314,"")</f>
        <v/>
      </c>
      <c r="P314" s="7">
        <f>IF(AND(ISNUMBER(N314),ISNUMBER(M314),M314&gt;0),(N314-M314)/M314,"")</f>
        <v/>
      </c>
      <c r="Q314" s="3">
        <f>IF(P314="","",IF(P314&lt;-0.02,"🔴 Bán phá giá sàn",IF(P314&gt;0.05,"🔵 Bán cao hơn","🟢 Đúng giá sàn TMĐT")))</f>
        <v/>
      </c>
      <c r="R314" s="3" t="n"/>
      <c r="S314" s="4" t="n"/>
      <c r="T314" s="4" t="n"/>
    </row>
    <row r="315">
      <c r="A315" s="3" t="n">
        <v>314</v>
      </c>
      <c r="B315" s="3" t="inlineStr">
        <is>
          <t>DL002</t>
        </is>
      </c>
      <c r="C315" s="4" t="inlineStr">
        <is>
          <t>Nguyễn Hoàng Phú</t>
        </is>
      </c>
      <c r="D315" s="3" t="inlineStr">
        <is>
          <t>HCM</t>
        </is>
      </c>
      <c r="E315" s="3" t="inlineStr">
        <is>
          <t>BẢO TRÂM</t>
        </is>
      </c>
      <c r="F315" s="3" t="inlineStr">
        <is>
          <t>Shopee</t>
        </is>
      </c>
      <c r="G315" s="4" t="inlineStr">
        <is>
          <t>SHOPEE: https://s.shopee.vn/3qNt1d78Ij TIKTOK: LAZADA: WEBSITE BÁN HÀNG:</t>
        </is>
      </c>
      <c r="H315" s="3" t="inlineStr">
        <is>
          <t>KBM2-10160</t>
        </is>
      </c>
      <c r="I315" s="4" t="inlineStr">
        <is>
          <t>Khoan bê tông chuôi lục giác KBM2-10*160</t>
        </is>
      </c>
      <c r="J315" s="3" t="inlineStr">
        <is>
          <t>Cái</t>
        </is>
      </c>
      <c r="K315" s="5" t="n">
        <v>28000</v>
      </c>
      <c r="L315" s="5" t="n">
        <v>34000</v>
      </c>
      <c r="M315" s="6" t="n">
        <v>43000</v>
      </c>
      <c r="N315" s="5" t="n"/>
      <c r="O315" s="5">
        <f>IF(AND(ISNUMBER(N315),ISNUMBER(M315)),N315-M315,"")</f>
        <v/>
      </c>
      <c r="P315" s="7">
        <f>IF(AND(ISNUMBER(N315),ISNUMBER(M315),M315&gt;0),(N315-M315)/M315,"")</f>
        <v/>
      </c>
      <c r="Q315" s="3">
        <f>IF(P315="","",IF(P315&lt;-0.02,"🔴 Bán phá giá sàn",IF(P315&gt;0.05,"🔵 Bán cao hơn","🟢 Đúng giá sàn TMĐT")))</f>
        <v/>
      </c>
      <c r="R315" s="3" t="n"/>
      <c r="S315" s="4" t="n"/>
      <c r="T315" s="4" t="n"/>
    </row>
    <row r="316">
      <c r="A316" s="3" t="n">
        <v>315</v>
      </c>
      <c r="B316" s="3" t="inlineStr">
        <is>
          <t>DL002</t>
        </is>
      </c>
      <c r="C316" s="4" t="inlineStr">
        <is>
          <t>Nguyễn Hoàng Phú</t>
        </is>
      </c>
      <c r="D316" s="3" t="inlineStr">
        <is>
          <t>HCM</t>
        </is>
      </c>
      <c r="E316" s="3" t="inlineStr">
        <is>
          <t>BẢO TRÂM</t>
        </is>
      </c>
      <c r="F316" s="3" t="inlineStr">
        <is>
          <t>Shopee</t>
        </is>
      </c>
      <c r="G316" s="4" t="inlineStr">
        <is>
          <t>SHOPEE: https://s.shopee.vn/3qNt1d78Ij TIKTOK: LAZADA: WEBSITE BÁN HÀNG:</t>
        </is>
      </c>
      <c r="H316" s="3" t="inlineStr">
        <is>
          <t>KBY3-020CO</t>
        </is>
      </c>
      <c r="I316" s="4" t="inlineStr">
        <is>
          <t>Khoan inox chuôi lục KBY3-020CO</t>
        </is>
      </c>
      <c r="J316" s="3" t="inlineStr">
        <is>
          <t>Vỉ</t>
        </is>
      </c>
      <c r="K316" s="5" t="n">
        <v>28000</v>
      </c>
      <c r="L316" s="5" t="n">
        <v>35000</v>
      </c>
      <c r="M316" s="6" t="n">
        <v>45000</v>
      </c>
      <c r="N316" s="5" t="n"/>
      <c r="O316" s="5">
        <f>IF(AND(ISNUMBER(N316),ISNUMBER(M316)),N316-M316,"")</f>
        <v/>
      </c>
      <c r="P316" s="7">
        <f>IF(AND(ISNUMBER(N316),ISNUMBER(M316),M316&gt;0),(N316-M316)/M316,"")</f>
        <v/>
      </c>
      <c r="Q316" s="3">
        <f>IF(P316="","",IF(P316&lt;-0.02,"🔴 Bán phá giá sàn",IF(P316&gt;0.05,"🔵 Bán cao hơn","🟢 Đúng giá sàn TMĐT")))</f>
        <v/>
      </c>
      <c r="R316" s="3" t="n"/>
      <c r="S316" s="4" t="n"/>
      <c r="T316" s="4" t="n"/>
    </row>
    <row r="317">
      <c r="A317" s="3" t="n">
        <v>316</v>
      </c>
      <c r="B317" s="3" t="inlineStr">
        <is>
          <t>DL002</t>
        </is>
      </c>
      <c r="C317" s="4" t="inlineStr">
        <is>
          <t>Nguyễn Hoàng Phú</t>
        </is>
      </c>
      <c r="D317" s="3" t="inlineStr">
        <is>
          <t>HCM</t>
        </is>
      </c>
      <c r="E317" s="3" t="inlineStr">
        <is>
          <t>BẢO TRÂM</t>
        </is>
      </c>
      <c r="F317" s="3" t="inlineStr">
        <is>
          <t>Shopee</t>
        </is>
      </c>
      <c r="G317" s="4" t="inlineStr">
        <is>
          <t>SHOPEE: https://s.shopee.vn/3qNt1d78Ij TIKTOK: LAZADA: WEBSITE BÁN HÀNG:</t>
        </is>
      </c>
      <c r="H317" s="3" t="inlineStr">
        <is>
          <t>KBY3-025CO</t>
        </is>
      </c>
      <c r="I317" s="4" t="inlineStr">
        <is>
          <t>Khoan inox chuôi lục KBY3-025CO</t>
        </is>
      </c>
      <c r="J317" s="3" t="inlineStr">
        <is>
          <t>Vỉ</t>
        </is>
      </c>
      <c r="K317" s="5" t="n">
        <v>28000</v>
      </c>
      <c r="L317" s="5" t="n">
        <v>35000</v>
      </c>
      <c r="M317" s="6" t="n">
        <v>45000</v>
      </c>
      <c r="N317" s="5" t="n"/>
      <c r="O317" s="5">
        <f>IF(AND(ISNUMBER(N317),ISNUMBER(M317)),N317-M317,"")</f>
        <v/>
      </c>
      <c r="P317" s="7">
        <f>IF(AND(ISNUMBER(N317),ISNUMBER(M317),M317&gt;0),(N317-M317)/M317,"")</f>
        <v/>
      </c>
      <c r="Q317" s="3">
        <f>IF(P317="","",IF(P317&lt;-0.02,"🔴 Bán phá giá sàn",IF(P317&gt;0.05,"🔵 Bán cao hơn","🟢 Đúng giá sàn TMĐT")))</f>
        <v/>
      </c>
      <c r="R317" s="3" t="n"/>
      <c r="S317" s="4" t="n"/>
      <c r="T317" s="4" t="n"/>
    </row>
    <row r="318">
      <c r="A318" s="3" t="n">
        <v>317</v>
      </c>
      <c r="B318" s="3" t="inlineStr">
        <is>
          <t>DL002</t>
        </is>
      </c>
      <c r="C318" s="4" t="inlineStr">
        <is>
          <t>Nguyễn Hoàng Phú</t>
        </is>
      </c>
      <c r="D318" s="3" t="inlineStr">
        <is>
          <t>HCM</t>
        </is>
      </c>
      <c r="E318" s="3" t="inlineStr">
        <is>
          <t>BẢO TRÂM</t>
        </is>
      </c>
      <c r="F318" s="3" t="inlineStr">
        <is>
          <t>Shopee</t>
        </is>
      </c>
      <c r="G318" s="4" t="inlineStr">
        <is>
          <t>SHOPEE: https://s.shopee.vn/3qNt1d78Ij TIKTOK: LAZADA: WEBSITE BÁN HÀNG:</t>
        </is>
      </c>
      <c r="H318" s="3" t="inlineStr">
        <is>
          <t>KBY3-030CO</t>
        </is>
      </c>
      <c r="I318" s="4" t="inlineStr">
        <is>
          <t>Khoan inox chuôi lục KBY3-030CO</t>
        </is>
      </c>
      <c r="J318" s="3" t="inlineStr">
        <is>
          <t>Vỉ</t>
        </is>
      </c>
      <c r="K318" s="5" t="n">
        <v>31000</v>
      </c>
      <c r="L318" s="5" t="n">
        <v>39000</v>
      </c>
      <c r="M318" s="6" t="n">
        <v>50000</v>
      </c>
      <c r="N318" s="5" t="n"/>
      <c r="O318" s="5">
        <f>IF(AND(ISNUMBER(N318),ISNUMBER(M318)),N318-M318,"")</f>
        <v/>
      </c>
      <c r="P318" s="7">
        <f>IF(AND(ISNUMBER(N318),ISNUMBER(M318),M318&gt;0),(N318-M318)/M318,"")</f>
        <v/>
      </c>
      <c r="Q318" s="3">
        <f>IF(P318="","",IF(P318&lt;-0.02,"🔴 Bán phá giá sàn",IF(P318&gt;0.05,"🔵 Bán cao hơn","🟢 Đúng giá sàn TMĐT")))</f>
        <v/>
      </c>
      <c r="R318" s="3" t="n"/>
      <c r="S318" s="4" t="n"/>
      <c r="T318" s="4" t="n"/>
    </row>
    <row r="319">
      <c r="A319" s="3" t="n">
        <v>318</v>
      </c>
      <c r="B319" s="3" t="inlineStr">
        <is>
          <t>DL002</t>
        </is>
      </c>
      <c r="C319" s="4" t="inlineStr">
        <is>
          <t>Nguyễn Hoàng Phú</t>
        </is>
      </c>
      <c r="D319" s="3" t="inlineStr">
        <is>
          <t>HCM</t>
        </is>
      </c>
      <c r="E319" s="3" t="inlineStr">
        <is>
          <t>BẢO TRÂM</t>
        </is>
      </c>
      <c r="F319" s="3" t="inlineStr">
        <is>
          <t>Shopee</t>
        </is>
      </c>
      <c r="G319" s="4" t="inlineStr">
        <is>
          <t>SHOPEE: https://s.shopee.vn/3qNt1d78Ij TIKTOK: LAZADA: WEBSITE BÁN HÀNG:</t>
        </is>
      </c>
      <c r="H319" s="3" t="inlineStr">
        <is>
          <t>KBY3-032CO</t>
        </is>
      </c>
      <c r="I319" s="4" t="inlineStr">
        <is>
          <t>Khoan inox chuôi lục KBY3-032CO</t>
        </is>
      </c>
      <c r="J319" s="3" t="inlineStr">
        <is>
          <t>Vỉ</t>
        </is>
      </c>
      <c r="K319" s="5" t="n">
        <v>35000</v>
      </c>
      <c r="L319" s="5" t="n">
        <v>43000</v>
      </c>
      <c r="M319" s="6" t="n">
        <v>56000</v>
      </c>
      <c r="N319" s="5" t="n"/>
      <c r="O319" s="5">
        <f>IF(AND(ISNUMBER(N319),ISNUMBER(M319)),N319-M319,"")</f>
        <v/>
      </c>
      <c r="P319" s="7">
        <f>IF(AND(ISNUMBER(N319),ISNUMBER(M319),M319&gt;0),(N319-M319)/M319,"")</f>
        <v/>
      </c>
      <c r="Q319" s="3">
        <f>IF(P319="","",IF(P319&lt;-0.02,"🔴 Bán phá giá sàn",IF(P319&gt;0.05,"🔵 Bán cao hơn","🟢 Đúng giá sàn TMĐT")))</f>
        <v/>
      </c>
      <c r="R319" s="3" t="n"/>
      <c r="S319" s="4" t="n"/>
      <c r="T319" s="4" t="n"/>
    </row>
    <row r="320">
      <c r="A320" s="3" t="n">
        <v>319</v>
      </c>
      <c r="B320" s="3" t="inlineStr">
        <is>
          <t>DL002</t>
        </is>
      </c>
      <c r="C320" s="4" t="inlineStr">
        <is>
          <t>Nguyễn Hoàng Phú</t>
        </is>
      </c>
      <c r="D320" s="3" t="inlineStr">
        <is>
          <t>HCM</t>
        </is>
      </c>
      <c r="E320" s="3" t="inlineStr">
        <is>
          <t>BẢO TRÂM</t>
        </is>
      </c>
      <c r="F320" s="3" t="inlineStr">
        <is>
          <t>Shopee</t>
        </is>
      </c>
      <c r="G320" s="4" t="inlineStr">
        <is>
          <t>SHOPEE: https://s.shopee.vn/3qNt1d78Ij TIKTOK: LAZADA: WEBSITE BÁN HÀNG:</t>
        </is>
      </c>
      <c r="H320" s="3" t="inlineStr">
        <is>
          <t>KBY3-035CO</t>
        </is>
      </c>
      <c r="I320" s="4" t="inlineStr">
        <is>
          <t>Khoan inox chuôi lục KBY3-035CO</t>
        </is>
      </c>
      <c r="J320" s="3" t="inlineStr">
        <is>
          <t>Vỉ</t>
        </is>
      </c>
      <c r="K320" s="5" t="n">
        <v>36000</v>
      </c>
      <c r="L320" s="5" t="n">
        <v>45000</v>
      </c>
      <c r="M320" s="6" t="n">
        <v>58000</v>
      </c>
      <c r="N320" s="5" t="n"/>
      <c r="O320" s="5">
        <f>IF(AND(ISNUMBER(N320),ISNUMBER(M320)),N320-M320,"")</f>
        <v/>
      </c>
      <c r="P320" s="7">
        <f>IF(AND(ISNUMBER(N320),ISNUMBER(M320),M320&gt;0),(N320-M320)/M320,"")</f>
        <v/>
      </c>
      <c r="Q320" s="3">
        <f>IF(P320="","",IF(P320&lt;-0.02,"🔴 Bán phá giá sàn",IF(P320&gt;0.05,"🔵 Bán cao hơn","🟢 Đúng giá sàn TMĐT")))</f>
        <v/>
      </c>
      <c r="R320" s="3" t="n"/>
      <c r="S320" s="4" t="n"/>
      <c r="T320" s="4" t="n"/>
    </row>
    <row r="321">
      <c r="A321" s="3" t="n">
        <v>320</v>
      </c>
      <c r="B321" s="3" t="inlineStr">
        <is>
          <t>DL002</t>
        </is>
      </c>
      <c r="C321" s="4" t="inlineStr">
        <is>
          <t>Nguyễn Hoàng Phú</t>
        </is>
      </c>
      <c r="D321" s="3" t="inlineStr">
        <is>
          <t>HCM</t>
        </is>
      </c>
      <c r="E321" s="3" t="inlineStr">
        <is>
          <t>BẢO TRÂM</t>
        </is>
      </c>
      <c r="F321" s="3" t="inlineStr">
        <is>
          <t>Shopee</t>
        </is>
      </c>
      <c r="G321" s="4" t="inlineStr">
        <is>
          <t>SHOPEE: https://s.shopee.vn/3qNt1d78Ij TIKTOK: LAZADA: WEBSITE BÁN HÀNG:</t>
        </is>
      </c>
      <c r="H321" s="3" t="inlineStr">
        <is>
          <t>KBY3-040CO</t>
        </is>
      </c>
      <c r="I321" s="4" t="inlineStr">
        <is>
          <t>Khoan inox chuôi lục KBY3-040CO</t>
        </is>
      </c>
      <c r="J321" s="3" t="inlineStr">
        <is>
          <t>Vỉ</t>
        </is>
      </c>
      <c r="K321" s="5" t="n">
        <v>40000</v>
      </c>
      <c r="L321" s="5" t="n">
        <v>50000</v>
      </c>
      <c r="M321" s="6" t="n">
        <v>64000</v>
      </c>
      <c r="N321" s="5" t="n"/>
      <c r="O321" s="5">
        <f>IF(AND(ISNUMBER(N321),ISNUMBER(M321)),N321-M321,"")</f>
        <v/>
      </c>
      <c r="P321" s="7">
        <f>IF(AND(ISNUMBER(N321),ISNUMBER(M321),M321&gt;0),(N321-M321)/M321,"")</f>
        <v/>
      </c>
      <c r="Q321" s="3">
        <f>IF(P321="","",IF(P321&lt;-0.02,"🔴 Bán phá giá sàn",IF(P321&gt;0.05,"🔵 Bán cao hơn","🟢 Đúng giá sàn TMĐT")))</f>
        <v/>
      </c>
      <c r="R321" s="3" t="n"/>
      <c r="S321" s="4" t="n"/>
      <c r="T321" s="4" t="n"/>
    </row>
    <row r="322">
      <c r="A322" s="3" t="n">
        <v>321</v>
      </c>
      <c r="B322" s="3" t="inlineStr">
        <is>
          <t>DL002</t>
        </is>
      </c>
      <c r="C322" s="4" t="inlineStr">
        <is>
          <t>Nguyễn Hoàng Phú</t>
        </is>
      </c>
      <c r="D322" s="3" t="inlineStr">
        <is>
          <t>HCM</t>
        </is>
      </c>
      <c r="E322" s="3" t="inlineStr">
        <is>
          <t>BẢO TRÂM</t>
        </is>
      </c>
      <c r="F322" s="3" t="inlineStr">
        <is>
          <t>Shopee</t>
        </is>
      </c>
      <c r="G322" s="4" t="inlineStr">
        <is>
          <t>SHOPEE: https://s.shopee.vn/3qNt1d78Ij TIKTOK: LAZADA: WEBSITE BÁN HÀNG:</t>
        </is>
      </c>
      <c r="H322" s="3" t="inlineStr">
        <is>
          <t>KBY3-042CO</t>
        </is>
      </c>
      <c r="I322" s="4" t="inlineStr">
        <is>
          <t>Khoan inox chuôi lục KBY3-042CO</t>
        </is>
      </c>
      <c r="J322" s="3" t="inlineStr">
        <is>
          <t>Vỉ</t>
        </is>
      </c>
      <c r="K322" s="5" t="n">
        <v>45000</v>
      </c>
      <c r="L322" s="5" t="n">
        <v>56000</v>
      </c>
      <c r="M322" s="6" t="n">
        <v>72000</v>
      </c>
      <c r="N322" s="5" t="n"/>
      <c r="O322" s="5">
        <f>IF(AND(ISNUMBER(N322),ISNUMBER(M322)),N322-M322,"")</f>
        <v/>
      </c>
      <c r="P322" s="7">
        <f>IF(AND(ISNUMBER(N322),ISNUMBER(M322),M322&gt;0),(N322-M322)/M322,"")</f>
        <v/>
      </c>
      <c r="Q322" s="3">
        <f>IF(P322="","",IF(P322&lt;-0.02,"🔴 Bán phá giá sàn",IF(P322&gt;0.05,"🔵 Bán cao hơn","🟢 Đúng giá sàn TMĐT")))</f>
        <v/>
      </c>
      <c r="R322" s="3" t="n"/>
      <c r="S322" s="4" t="n"/>
      <c r="T322" s="4" t="n"/>
    </row>
    <row r="323">
      <c r="A323" s="3" t="n">
        <v>322</v>
      </c>
      <c r="B323" s="3" t="inlineStr">
        <is>
          <t>DL002</t>
        </is>
      </c>
      <c r="C323" s="4" t="inlineStr">
        <is>
          <t>Nguyễn Hoàng Phú</t>
        </is>
      </c>
      <c r="D323" s="3" t="inlineStr">
        <is>
          <t>HCM</t>
        </is>
      </c>
      <c r="E323" s="3" t="inlineStr">
        <is>
          <t>BẢO TRÂM</t>
        </is>
      </c>
      <c r="F323" s="3" t="inlineStr">
        <is>
          <t>Shopee</t>
        </is>
      </c>
      <c r="G323" s="4" t="inlineStr">
        <is>
          <t>SHOPEE: https://s.shopee.vn/3qNt1d78Ij TIKTOK: LAZADA: WEBSITE BÁN HÀNG:</t>
        </is>
      </c>
      <c r="H323" s="3" t="inlineStr">
        <is>
          <t>KBY3-045CO</t>
        </is>
      </c>
      <c r="I323" s="4" t="inlineStr">
        <is>
          <t>Khoan inox chuôi lục KBY3-045CO</t>
        </is>
      </c>
      <c r="J323" s="3" t="inlineStr">
        <is>
          <t>Vỉ</t>
        </is>
      </c>
      <c r="K323" s="5" t="n">
        <v>46000</v>
      </c>
      <c r="L323" s="5" t="n">
        <v>57000</v>
      </c>
      <c r="M323" s="6" t="n">
        <v>74000</v>
      </c>
      <c r="N323" s="5" t="n"/>
      <c r="O323" s="5">
        <f>IF(AND(ISNUMBER(N323),ISNUMBER(M323)),N323-M323,"")</f>
        <v/>
      </c>
      <c r="P323" s="7">
        <f>IF(AND(ISNUMBER(N323),ISNUMBER(M323),M323&gt;0),(N323-M323)/M323,"")</f>
        <v/>
      </c>
      <c r="Q323" s="3">
        <f>IF(P323="","",IF(P323&lt;-0.02,"🔴 Bán phá giá sàn",IF(P323&gt;0.05,"🔵 Bán cao hơn","🟢 Đúng giá sàn TMĐT")))</f>
        <v/>
      </c>
      <c r="R323" s="3" t="n"/>
      <c r="S323" s="4" t="n"/>
      <c r="T323" s="4" t="n"/>
    </row>
    <row r="324">
      <c r="A324" s="3" t="n">
        <v>323</v>
      </c>
      <c r="B324" s="3" t="inlineStr">
        <is>
          <t>DL002</t>
        </is>
      </c>
      <c r="C324" s="4" t="inlineStr">
        <is>
          <t>Nguyễn Hoàng Phú</t>
        </is>
      </c>
      <c r="D324" s="3" t="inlineStr">
        <is>
          <t>HCM</t>
        </is>
      </c>
      <c r="E324" s="3" t="inlineStr">
        <is>
          <t>BẢO TRÂM</t>
        </is>
      </c>
      <c r="F324" s="3" t="inlineStr">
        <is>
          <t>Shopee</t>
        </is>
      </c>
      <c r="G324" s="4" t="inlineStr">
        <is>
          <t>SHOPEE: https://s.shopee.vn/3qNt1d78Ij TIKTOK: LAZADA: WEBSITE BÁN HÀNG:</t>
        </is>
      </c>
      <c r="H324" s="3" t="inlineStr">
        <is>
          <t>KBY3-050CO</t>
        </is>
      </c>
      <c r="I324" s="4" t="inlineStr">
        <is>
          <t>Khoan inox chuôi lục KBY3-050CO</t>
        </is>
      </c>
      <c r="J324" s="3" t="inlineStr">
        <is>
          <t>Vỉ</t>
        </is>
      </c>
      <c r="K324" s="5" t="n">
        <v>53000</v>
      </c>
      <c r="L324" s="5" t="n">
        <v>66000</v>
      </c>
      <c r="M324" s="6" t="n">
        <v>85000</v>
      </c>
      <c r="N324" s="5" t="n"/>
      <c r="O324" s="5">
        <f>IF(AND(ISNUMBER(N324),ISNUMBER(M324)),N324-M324,"")</f>
        <v/>
      </c>
      <c r="P324" s="7">
        <f>IF(AND(ISNUMBER(N324),ISNUMBER(M324),M324&gt;0),(N324-M324)/M324,"")</f>
        <v/>
      </c>
      <c r="Q324" s="3">
        <f>IF(P324="","",IF(P324&lt;-0.02,"🔴 Bán phá giá sàn",IF(P324&gt;0.05,"🔵 Bán cao hơn","🟢 Đúng giá sàn TMĐT")))</f>
        <v/>
      </c>
      <c r="R324" s="3" t="n"/>
      <c r="S324" s="4" t="n"/>
      <c r="T324" s="4" t="n"/>
    </row>
    <row r="325">
      <c r="A325" s="3" t="n">
        <v>324</v>
      </c>
      <c r="B325" s="3" t="inlineStr">
        <is>
          <t>DL002</t>
        </is>
      </c>
      <c r="C325" s="4" t="inlineStr">
        <is>
          <t>Nguyễn Hoàng Phú</t>
        </is>
      </c>
      <c r="D325" s="3" t="inlineStr">
        <is>
          <t>HCM</t>
        </is>
      </c>
      <c r="E325" s="3" t="inlineStr">
        <is>
          <t>BẢO TRÂM</t>
        </is>
      </c>
      <c r="F325" s="3" t="inlineStr">
        <is>
          <t>Shopee</t>
        </is>
      </c>
      <c r="G325" s="4" t="inlineStr">
        <is>
          <t>SHOPEE: https://s.shopee.vn/3qNt1d78Ij TIKTOK: LAZADA: WEBSITE BÁN HÀNG:</t>
        </is>
      </c>
      <c r="H325" s="3" t="inlineStr">
        <is>
          <t>KBY3-055CO</t>
        </is>
      </c>
      <c r="I325" s="4" t="inlineStr">
        <is>
          <t>Khoan inox chuôi lục KBY3-055CO</t>
        </is>
      </c>
      <c r="J325" s="3" t="inlineStr">
        <is>
          <t>Vỉ</t>
        </is>
      </c>
      <c r="K325" s="5" t="n">
        <v>58000</v>
      </c>
      <c r="L325" s="5" t="n">
        <v>72000</v>
      </c>
      <c r="M325" s="6" t="n">
        <v>93000</v>
      </c>
      <c r="N325" s="5" t="n"/>
      <c r="O325" s="5">
        <f>IF(AND(ISNUMBER(N325),ISNUMBER(M325)),N325-M325,"")</f>
        <v/>
      </c>
      <c r="P325" s="7">
        <f>IF(AND(ISNUMBER(N325),ISNUMBER(M325),M325&gt;0),(N325-M325)/M325,"")</f>
        <v/>
      </c>
      <c r="Q325" s="3">
        <f>IF(P325="","",IF(P325&lt;-0.02,"🔴 Bán phá giá sàn",IF(P325&gt;0.05,"🔵 Bán cao hơn","🟢 Đúng giá sàn TMĐT")))</f>
        <v/>
      </c>
      <c r="R325" s="3" t="n"/>
      <c r="S325" s="4" t="n"/>
      <c r="T325" s="4" t="n"/>
    </row>
    <row r="326">
      <c r="A326" s="3" t="n">
        <v>325</v>
      </c>
      <c r="B326" s="3" t="inlineStr">
        <is>
          <t>DL002</t>
        </is>
      </c>
      <c r="C326" s="4" t="inlineStr">
        <is>
          <t>Nguyễn Hoàng Phú</t>
        </is>
      </c>
      <c r="D326" s="3" t="inlineStr">
        <is>
          <t>HCM</t>
        </is>
      </c>
      <c r="E326" s="3" t="inlineStr">
        <is>
          <t>BẢO TRÂM</t>
        </is>
      </c>
      <c r="F326" s="3" t="inlineStr">
        <is>
          <t>Shopee</t>
        </is>
      </c>
      <c r="G326" s="4" t="inlineStr">
        <is>
          <t>SHOPEE: https://s.shopee.vn/3qNt1d78Ij TIKTOK: LAZADA: WEBSITE BÁN HÀNG:</t>
        </is>
      </c>
      <c r="H326" s="3" t="inlineStr">
        <is>
          <t>KBY3-060CO</t>
        </is>
      </c>
      <c r="I326" s="4" t="inlineStr">
        <is>
          <t>Khoan inox chuôi lục KBY3-060CO</t>
        </is>
      </c>
      <c r="J326" s="3" t="inlineStr">
        <is>
          <t>Vỉ</t>
        </is>
      </c>
      <c r="K326" s="5" t="n">
        <v>65000</v>
      </c>
      <c r="L326" s="5" t="n">
        <v>81000</v>
      </c>
      <c r="M326" s="6" t="n">
        <v>104000</v>
      </c>
      <c r="N326" s="5" t="n"/>
      <c r="O326" s="5">
        <f>IF(AND(ISNUMBER(N326),ISNUMBER(M326)),N326-M326,"")</f>
        <v/>
      </c>
      <c r="P326" s="7">
        <f>IF(AND(ISNUMBER(N326),ISNUMBER(M326),M326&gt;0),(N326-M326)/M326,"")</f>
        <v/>
      </c>
      <c r="Q326" s="3">
        <f>IF(P326="","",IF(P326&lt;-0.02,"🔴 Bán phá giá sàn",IF(P326&gt;0.05,"🔵 Bán cao hơn","🟢 Đúng giá sàn TMĐT")))</f>
        <v/>
      </c>
      <c r="R326" s="3" t="n"/>
      <c r="S326" s="4" t="n"/>
      <c r="T326" s="4" t="n"/>
    </row>
    <row r="327">
      <c r="A327" s="3" t="n">
        <v>326</v>
      </c>
      <c r="B327" s="3" t="inlineStr">
        <is>
          <t>DL002</t>
        </is>
      </c>
      <c r="C327" s="4" t="inlineStr">
        <is>
          <t>Nguyễn Hoàng Phú</t>
        </is>
      </c>
      <c r="D327" s="3" t="inlineStr">
        <is>
          <t>HCM</t>
        </is>
      </c>
      <c r="E327" s="3" t="inlineStr">
        <is>
          <t>BẢO TRÂM</t>
        </is>
      </c>
      <c r="F327" s="3" t="inlineStr">
        <is>
          <t>Shopee</t>
        </is>
      </c>
      <c r="G327" s="4" t="inlineStr">
        <is>
          <t>SHOPEE: https://s.shopee.vn/3qNt1d78Ij TIKTOK: LAZADA: WEBSITE BÁN HÀNG:</t>
        </is>
      </c>
      <c r="H327" s="3" t="inlineStr">
        <is>
          <t>KBY3-065CO</t>
        </is>
      </c>
      <c r="I327" s="4" t="inlineStr">
        <is>
          <t>Khoan inox chuôi lục KBY3-065CO</t>
        </is>
      </c>
      <c r="J327" s="3" t="inlineStr">
        <is>
          <t>Cái</t>
        </is>
      </c>
      <c r="K327" s="5" t="n">
        <v>42000</v>
      </c>
      <c r="L327" s="5" t="n">
        <v>52000</v>
      </c>
      <c r="M327" s="6" t="n">
        <v>67000</v>
      </c>
      <c r="N327" s="5" t="n"/>
      <c r="O327" s="5">
        <f>IF(AND(ISNUMBER(N327),ISNUMBER(M327)),N327-M327,"")</f>
        <v/>
      </c>
      <c r="P327" s="7">
        <f>IF(AND(ISNUMBER(N327),ISNUMBER(M327),M327&gt;0),(N327-M327)/M327,"")</f>
        <v/>
      </c>
      <c r="Q327" s="3">
        <f>IF(P327="","",IF(P327&lt;-0.02,"🔴 Bán phá giá sàn",IF(P327&gt;0.05,"🔵 Bán cao hơn","🟢 Đúng giá sàn TMĐT")))</f>
        <v/>
      </c>
      <c r="R327" s="3" t="n"/>
      <c r="S327" s="4" t="n"/>
      <c r="T327" s="4" t="n"/>
    </row>
    <row r="328">
      <c r="A328" s="3" t="n">
        <v>327</v>
      </c>
      <c r="B328" s="3" t="inlineStr">
        <is>
          <t>DL002</t>
        </is>
      </c>
      <c r="C328" s="4" t="inlineStr">
        <is>
          <t>Nguyễn Hoàng Phú</t>
        </is>
      </c>
      <c r="D328" s="3" t="inlineStr">
        <is>
          <t>HCM</t>
        </is>
      </c>
      <c r="E328" s="3" t="inlineStr">
        <is>
          <t>BẢO TRÂM</t>
        </is>
      </c>
      <c r="F328" s="3" t="inlineStr">
        <is>
          <t>Shopee</t>
        </is>
      </c>
      <c r="G328" s="4" t="inlineStr">
        <is>
          <t>SHOPEE: https://s.shopee.vn/3qNt1d78Ij TIKTOK: LAZADA: WEBSITE BÁN HÀNG:</t>
        </is>
      </c>
      <c r="H328" s="3" t="inlineStr">
        <is>
          <t>KBY3-070CO</t>
        </is>
      </c>
      <c r="I328" s="4" t="inlineStr">
        <is>
          <t>Khoan inox chuôi lục KBY3-070CO</t>
        </is>
      </c>
      <c r="J328" s="3" t="inlineStr">
        <is>
          <t>Cái</t>
        </is>
      </c>
      <c r="K328" s="5" t="n">
        <v>45000</v>
      </c>
      <c r="L328" s="5" t="n">
        <v>56000</v>
      </c>
      <c r="M328" s="6" t="n">
        <v>72000</v>
      </c>
      <c r="N328" s="5" t="n"/>
      <c r="O328" s="5">
        <f>IF(AND(ISNUMBER(N328),ISNUMBER(M328)),N328-M328,"")</f>
        <v/>
      </c>
      <c r="P328" s="7">
        <f>IF(AND(ISNUMBER(N328),ISNUMBER(M328),M328&gt;0),(N328-M328)/M328,"")</f>
        <v/>
      </c>
      <c r="Q328" s="3">
        <f>IF(P328="","",IF(P328&lt;-0.02,"🔴 Bán phá giá sàn",IF(P328&gt;0.05,"🔵 Bán cao hơn","🟢 Đúng giá sàn TMĐT")))</f>
        <v/>
      </c>
      <c r="R328" s="3" t="n"/>
      <c r="S328" s="4" t="n"/>
      <c r="T328" s="4" t="n"/>
    </row>
    <row r="329">
      <c r="A329" s="3" t="n">
        <v>328</v>
      </c>
      <c r="B329" s="3" t="inlineStr">
        <is>
          <t>DL002</t>
        </is>
      </c>
      <c r="C329" s="4" t="inlineStr">
        <is>
          <t>Nguyễn Hoàng Phú</t>
        </is>
      </c>
      <c r="D329" s="3" t="inlineStr">
        <is>
          <t>HCM</t>
        </is>
      </c>
      <c r="E329" s="3" t="inlineStr">
        <is>
          <t>BẢO TRÂM</t>
        </is>
      </c>
      <c r="F329" s="3" t="inlineStr">
        <is>
          <t>Shopee</t>
        </is>
      </c>
      <c r="G329" s="4" t="inlineStr">
        <is>
          <t>SHOPEE: https://s.shopee.vn/3qNt1d78Ij TIKTOK: LAZADA: WEBSITE BÁN HÀNG:</t>
        </is>
      </c>
      <c r="H329" s="3" t="inlineStr">
        <is>
          <t>KBY3-080CO</t>
        </is>
      </c>
      <c r="I329" s="4" t="inlineStr">
        <is>
          <t>Khoan inox chuôi lục KBY3-080CO</t>
        </is>
      </c>
      <c r="J329" s="3" t="inlineStr">
        <is>
          <t>Cái</t>
        </is>
      </c>
      <c r="K329" s="5" t="n">
        <v>58000</v>
      </c>
      <c r="L329" s="5" t="n">
        <v>72000</v>
      </c>
      <c r="M329" s="6" t="n">
        <v>93000</v>
      </c>
      <c r="N329" s="5" t="n"/>
      <c r="O329" s="5">
        <f>IF(AND(ISNUMBER(N329),ISNUMBER(M329)),N329-M329,"")</f>
        <v/>
      </c>
      <c r="P329" s="7">
        <f>IF(AND(ISNUMBER(N329),ISNUMBER(M329),M329&gt;0),(N329-M329)/M329,"")</f>
        <v/>
      </c>
      <c r="Q329" s="3">
        <f>IF(P329="","",IF(P329&lt;-0.02,"🔴 Bán phá giá sàn",IF(P329&gt;0.05,"🔵 Bán cao hơn","🟢 Đúng giá sàn TMĐT")))</f>
        <v/>
      </c>
      <c r="R329" s="3" t="n"/>
      <c r="S329" s="4" t="n"/>
      <c r="T329" s="4" t="n"/>
    </row>
    <row r="330">
      <c r="A330" s="3" t="n">
        <v>329</v>
      </c>
      <c r="B330" s="3" t="inlineStr">
        <is>
          <t>DL002</t>
        </is>
      </c>
      <c r="C330" s="4" t="inlineStr">
        <is>
          <t>Nguyễn Hoàng Phú</t>
        </is>
      </c>
      <c r="D330" s="3" t="inlineStr">
        <is>
          <t>HCM</t>
        </is>
      </c>
      <c r="E330" s="3" t="inlineStr">
        <is>
          <t>BẢO TRÂM</t>
        </is>
      </c>
      <c r="F330" s="3" t="inlineStr">
        <is>
          <t>Shopee</t>
        </is>
      </c>
      <c r="G330" s="4" t="inlineStr">
        <is>
          <t>SHOPEE: https://s.shopee.vn/3qNt1d78Ij TIKTOK: LAZADA: WEBSITE BÁN HÀNG:</t>
        </is>
      </c>
      <c r="H330" s="3" t="inlineStr">
        <is>
          <t>KBY3-090CO</t>
        </is>
      </c>
      <c r="I330" s="4" t="inlineStr">
        <is>
          <t>Khoan inox chuôi lục KBY3-090CO</t>
        </is>
      </c>
      <c r="J330" s="3" t="inlineStr">
        <is>
          <t>Cái</t>
        </is>
      </c>
      <c r="K330" s="5" t="n">
        <v>73000</v>
      </c>
      <c r="L330" s="5" t="n">
        <v>91000</v>
      </c>
      <c r="M330" s="6" t="n">
        <v>117000</v>
      </c>
      <c r="N330" s="5" t="n"/>
      <c r="O330" s="5">
        <f>IF(AND(ISNUMBER(N330),ISNUMBER(M330)),N330-M330,"")</f>
        <v/>
      </c>
      <c r="P330" s="7">
        <f>IF(AND(ISNUMBER(N330),ISNUMBER(M330),M330&gt;0),(N330-M330)/M330,"")</f>
        <v/>
      </c>
      <c r="Q330" s="3">
        <f>IF(P330="","",IF(P330&lt;-0.02,"🔴 Bán phá giá sàn",IF(P330&gt;0.05,"🔵 Bán cao hơn","🟢 Đúng giá sàn TMĐT")))</f>
        <v/>
      </c>
      <c r="R330" s="3" t="n"/>
      <c r="S330" s="4" t="n"/>
      <c r="T330" s="4" t="n"/>
    </row>
    <row r="331">
      <c r="A331" s="3" t="n">
        <v>330</v>
      </c>
      <c r="B331" s="3" t="inlineStr">
        <is>
          <t>DL002</t>
        </is>
      </c>
      <c r="C331" s="4" t="inlineStr">
        <is>
          <t>Nguyễn Hoàng Phú</t>
        </is>
      </c>
      <c r="D331" s="3" t="inlineStr">
        <is>
          <t>HCM</t>
        </is>
      </c>
      <c r="E331" s="3" t="inlineStr">
        <is>
          <t>BẢO TRÂM</t>
        </is>
      </c>
      <c r="F331" s="3" t="inlineStr">
        <is>
          <t>Shopee</t>
        </is>
      </c>
      <c r="G331" s="4" t="inlineStr">
        <is>
          <t>SHOPEE: https://s.shopee.vn/3qNt1d78Ij TIKTOK: LAZADA: WEBSITE BÁN HÀNG:</t>
        </is>
      </c>
      <c r="H331" s="3" t="inlineStr">
        <is>
          <t>KBY3-100CO</t>
        </is>
      </c>
      <c r="I331" s="4" t="inlineStr">
        <is>
          <t>Khoan inox chuôi lục KBY3-100CO</t>
        </is>
      </c>
      <c r="J331" s="3" t="inlineStr">
        <is>
          <t>Cái</t>
        </is>
      </c>
      <c r="K331" s="5" t="n">
        <v>90000</v>
      </c>
      <c r="L331" s="5" t="n">
        <v>112000</v>
      </c>
      <c r="M331" s="6" t="n">
        <v>144000</v>
      </c>
      <c r="N331" s="5" t="n"/>
      <c r="O331" s="5">
        <f>IF(AND(ISNUMBER(N331),ISNUMBER(M331)),N331-M331,"")</f>
        <v/>
      </c>
      <c r="P331" s="7">
        <f>IF(AND(ISNUMBER(N331),ISNUMBER(M331),M331&gt;0),(N331-M331)/M331,"")</f>
        <v/>
      </c>
      <c r="Q331" s="3">
        <f>IF(P331="","",IF(P331&lt;-0.02,"🔴 Bán phá giá sàn",IF(P331&gt;0.05,"🔵 Bán cao hơn","🟢 Đúng giá sàn TMĐT")))</f>
        <v/>
      </c>
      <c r="R331" s="3" t="n"/>
      <c r="S331" s="4" t="n"/>
      <c r="T331" s="4" t="n"/>
    </row>
    <row r="332">
      <c r="A332" s="3" t="n">
        <v>331</v>
      </c>
      <c r="B332" s="3" t="inlineStr">
        <is>
          <t>DL002</t>
        </is>
      </c>
      <c r="C332" s="4" t="inlineStr">
        <is>
          <t>Nguyễn Hoàng Phú</t>
        </is>
      </c>
      <c r="D332" s="3" t="inlineStr">
        <is>
          <t>HCM</t>
        </is>
      </c>
      <c r="E332" s="3" t="inlineStr">
        <is>
          <t>BẢO TRÂM</t>
        </is>
      </c>
      <c r="F332" s="3" t="inlineStr">
        <is>
          <t>Shopee</t>
        </is>
      </c>
      <c r="G332" s="4" t="inlineStr">
        <is>
          <t>SHOPEE: https://s.shopee.vn/3qNt1d78Ij TIKTOK: LAZADA: WEBSITE BÁN HÀNG:</t>
        </is>
      </c>
      <c r="H332" s="3" t="inlineStr">
        <is>
          <t>KBY2-010CO</t>
        </is>
      </c>
      <c r="I332" s="4" t="inlineStr">
        <is>
          <t>Khoan inox KingBlue KBY2-010CO</t>
        </is>
      </c>
      <c r="J332" s="3" t="inlineStr">
        <is>
          <t>Cái</t>
        </is>
      </c>
      <c r="K332" s="5" t="n">
        <v>6000</v>
      </c>
      <c r="L332" s="5" t="n">
        <v>8000</v>
      </c>
      <c r="M332" s="6" t="n">
        <v>10000</v>
      </c>
      <c r="N332" s="5" t="n"/>
      <c r="O332" s="5">
        <f>IF(AND(ISNUMBER(N332),ISNUMBER(M332)),N332-M332,"")</f>
        <v/>
      </c>
      <c r="P332" s="7">
        <f>IF(AND(ISNUMBER(N332),ISNUMBER(M332),M332&gt;0),(N332-M332)/M332,"")</f>
        <v/>
      </c>
      <c r="Q332" s="3">
        <f>IF(P332="","",IF(P332&lt;-0.02,"🔴 Bán phá giá sàn",IF(P332&gt;0.05,"🔵 Bán cao hơn","🟢 Đúng giá sàn TMĐT")))</f>
        <v/>
      </c>
      <c r="R332" s="3" t="n"/>
      <c r="S332" s="4" t="n"/>
      <c r="T332" s="4" t="n"/>
    </row>
    <row r="333">
      <c r="A333" s="3" t="n">
        <v>332</v>
      </c>
      <c r="B333" s="3" t="inlineStr">
        <is>
          <t>DL002</t>
        </is>
      </c>
      <c r="C333" s="4" t="inlineStr">
        <is>
          <t>Nguyễn Hoàng Phú</t>
        </is>
      </c>
      <c r="D333" s="3" t="inlineStr">
        <is>
          <t>HCM</t>
        </is>
      </c>
      <c r="E333" s="3" t="inlineStr">
        <is>
          <t>BẢO TRÂM</t>
        </is>
      </c>
      <c r="F333" s="3" t="inlineStr">
        <is>
          <t>Shopee</t>
        </is>
      </c>
      <c r="G333" s="4" t="inlineStr">
        <is>
          <t>SHOPEE: https://s.shopee.vn/3qNt1d78Ij TIKTOK: LAZADA: WEBSITE BÁN HÀNG:</t>
        </is>
      </c>
      <c r="H333" s="3" t="inlineStr">
        <is>
          <t>KBY2-015CO</t>
        </is>
      </c>
      <c r="I333" s="4" t="inlineStr">
        <is>
          <t>Khoan inox KingBlue KBY2-015CO</t>
        </is>
      </c>
      <c r="J333" s="3" t="inlineStr">
        <is>
          <t>Cái</t>
        </is>
      </c>
      <c r="K333" s="5" t="n">
        <v>7000</v>
      </c>
      <c r="L333" s="5" t="n">
        <v>9000</v>
      </c>
      <c r="M333" s="6" t="n">
        <v>11000</v>
      </c>
      <c r="N333" s="5" t="n"/>
      <c r="O333" s="5">
        <f>IF(AND(ISNUMBER(N333),ISNUMBER(M333)),N333-M333,"")</f>
        <v/>
      </c>
      <c r="P333" s="7">
        <f>IF(AND(ISNUMBER(N333),ISNUMBER(M333),M333&gt;0),(N333-M333)/M333,"")</f>
        <v/>
      </c>
      <c r="Q333" s="3">
        <f>IF(P333="","",IF(P333&lt;-0.02,"🔴 Bán phá giá sàn",IF(P333&gt;0.05,"🔵 Bán cao hơn","🟢 Đúng giá sàn TMĐT")))</f>
        <v/>
      </c>
      <c r="R333" s="3" t="n"/>
      <c r="S333" s="4" t="n"/>
      <c r="T333" s="4" t="n"/>
    </row>
    <row r="334">
      <c r="A334" s="3" t="n">
        <v>333</v>
      </c>
      <c r="B334" s="3" t="inlineStr">
        <is>
          <t>DL002</t>
        </is>
      </c>
      <c r="C334" s="4" t="inlineStr">
        <is>
          <t>Nguyễn Hoàng Phú</t>
        </is>
      </c>
      <c r="D334" s="3" t="inlineStr">
        <is>
          <t>HCM</t>
        </is>
      </c>
      <c r="E334" s="3" t="inlineStr">
        <is>
          <t>BẢO TRÂM</t>
        </is>
      </c>
      <c r="F334" s="3" t="inlineStr">
        <is>
          <t>Shopee</t>
        </is>
      </c>
      <c r="G334" s="4" t="inlineStr">
        <is>
          <t>SHOPEE: https://s.shopee.vn/3qNt1d78Ij TIKTOK: LAZADA: WEBSITE BÁN HÀNG:</t>
        </is>
      </c>
      <c r="H334" s="3" t="inlineStr">
        <is>
          <t>KBY2-020CO</t>
        </is>
      </c>
      <c r="I334" s="4" t="inlineStr">
        <is>
          <t>Khoan inox KingBlue KBY2-020CO</t>
        </is>
      </c>
      <c r="J334" s="3" t="inlineStr">
        <is>
          <t>Cái</t>
        </is>
      </c>
      <c r="K334" s="5" t="n">
        <v>8000</v>
      </c>
      <c r="L334" s="5" t="n">
        <v>10000</v>
      </c>
      <c r="M334" s="6" t="n">
        <v>13000</v>
      </c>
      <c r="N334" s="5" t="n"/>
      <c r="O334" s="5">
        <f>IF(AND(ISNUMBER(N334),ISNUMBER(M334)),N334-M334,"")</f>
        <v/>
      </c>
      <c r="P334" s="7">
        <f>IF(AND(ISNUMBER(N334),ISNUMBER(M334),M334&gt;0),(N334-M334)/M334,"")</f>
        <v/>
      </c>
      <c r="Q334" s="3">
        <f>IF(P334="","",IF(P334&lt;-0.02,"🔴 Bán phá giá sàn",IF(P334&gt;0.05,"🔵 Bán cao hơn","🟢 Đúng giá sàn TMĐT")))</f>
        <v/>
      </c>
      <c r="R334" s="3" t="n"/>
      <c r="S334" s="4" t="n"/>
      <c r="T334" s="4" t="n"/>
    </row>
    <row r="335">
      <c r="A335" s="3" t="n">
        <v>334</v>
      </c>
      <c r="B335" s="3" t="inlineStr">
        <is>
          <t>DL002</t>
        </is>
      </c>
      <c r="C335" s="4" t="inlineStr">
        <is>
          <t>Nguyễn Hoàng Phú</t>
        </is>
      </c>
      <c r="D335" s="3" t="inlineStr">
        <is>
          <t>HCM</t>
        </is>
      </c>
      <c r="E335" s="3" t="inlineStr">
        <is>
          <t>BẢO TRÂM</t>
        </is>
      </c>
      <c r="F335" s="3" t="inlineStr">
        <is>
          <t>Shopee</t>
        </is>
      </c>
      <c r="G335" s="4" t="inlineStr">
        <is>
          <t>SHOPEE: https://s.shopee.vn/3qNt1d78Ij TIKTOK: LAZADA: WEBSITE BÁN HÀNG:</t>
        </is>
      </c>
      <c r="H335" s="3" t="inlineStr">
        <is>
          <t>KBY2-025CO</t>
        </is>
      </c>
      <c r="I335" s="4" t="inlineStr">
        <is>
          <t>Khoan inox KingBlue KBY2-025CO</t>
        </is>
      </c>
      <c r="J335" s="3" t="inlineStr">
        <is>
          <t>Cái</t>
        </is>
      </c>
      <c r="K335" s="5" t="n">
        <v>9000</v>
      </c>
      <c r="L335" s="5" t="n">
        <v>11000</v>
      </c>
      <c r="M335" s="6" t="n">
        <v>14000</v>
      </c>
      <c r="N335" s="5" t="n"/>
      <c r="O335" s="5">
        <f>IF(AND(ISNUMBER(N335),ISNUMBER(M335)),N335-M335,"")</f>
        <v/>
      </c>
      <c r="P335" s="7">
        <f>IF(AND(ISNUMBER(N335),ISNUMBER(M335),M335&gt;0),(N335-M335)/M335,"")</f>
        <v/>
      </c>
      <c r="Q335" s="3">
        <f>IF(P335="","",IF(P335&lt;-0.02,"🔴 Bán phá giá sàn",IF(P335&gt;0.05,"🔵 Bán cao hơn","🟢 Đúng giá sàn TMĐT")))</f>
        <v/>
      </c>
      <c r="R335" s="3" t="n"/>
      <c r="S335" s="4" t="n"/>
      <c r="T335" s="4" t="n"/>
    </row>
    <row r="336">
      <c r="A336" s="3" t="n">
        <v>335</v>
      </c>
      <c r="B336" s="3" t="inlineStr">
        <is>
          <t>DL002</t>
        </is>
      </c>
      <c r="C336" s="4" t="inlineStr">
        <is>
          <t>Nguyễn Hoàng Phú</t>
        </is>
      </c>
      <c r="D336" s="3" t="inlineStr">
        <is>
          <t>HCM</t>
        </is>
      </c>
      <c r="E336" s="3" t="inlineStr">
        <is>
          <t>BẢO TRÂM</t>
        </is>
      </c>
      <c r="F336" s="3" t="inlineStr">
        <is>
          <t>Shopee</t>
        </is>
      </c>
      <c r="G336" s="4" t="inlineStr">
        <is>
          <t>SHOPEE: https://s.shopee.vn/3qNt1d78Ij TIKTOK: LAZADA: WEBSITE BÁN HÀNG:</t>
        </is>
      </c>
      <c r="H336" s="3" t="inlineStr">
        <is>
          <t>KBY2-030CO</t>
        </is>
      </c>
      <c r="I336" s="4" t="inlineStr">
        <is>
          <t>Khoan inox KingBlue KBY2-030CO</t>
        </is>
      </c>
      <c r="J336" s="3" t="inlineStr">
        <is>
          <t>Cái</t>
        </is>
      </c>
      <c r="K336" s="5" t="n">
        <v>10000</v>
      </c>
      <c r="L336" s="5" t="n">
        <v>12000</v>
      </c>
      <c r="M336" s="6" t="n">
        <v>16000</v>
      </c>
      <c r="N336" s="5" t="n"/>
      <c r="O336" s="5">
        <f>IF(AND(ISNUMBER(N336),ISNUMBER(M336)),N336-M336,"")</f>
        <v/>
      </c>
      <c r="P336" s="7">
        <f>IF(AND(ISNUMBER(N336),ISNUMBER(M336),M336&gt;0),(N336-M336)/M336,"")</f>
        <v/>
      </c>
      <c r="Q336" s="3">
        <f>IF(P336="","",IF(P336&lt;-0.02,"🔴 Bán phá giá sàn",IF(P336&gt;0.05,"🔵 Bán cao hơn","🟢 Đúng giá sàn TMĐT")))</f>
        <v/>
      </c>
      <c r="R336" s="3" t="n"/>
      <c r="S336" s="4" t="n"/>
      <c r="T336" s="4" t="n"/>
    </row>
    <row r="337">
      <c r="A337" s="3" t="n">
        <v>336</v>
      </c>
      <c r="B337" s="3" t="inlineStr">
        <is>
          <t>DL002</t>
        </is>
      </c>
      <c r="C337" s="4" t="inlineStr">
        <is>
          <t>Nguyễn Hoàng Phú</t>
        </is>
      </c>
      <c r="D337" s="3" t="inlineStr">
        <is>
          <t>HCM</t>
        </is>
      </c>
      <c r="E337" s="3" t="inlineStr">
        <is>
          <t>BẢO TRÂM</t>
        </is>
      </c>
      <c r="F337" s="3" t="inlineStr">
        <is>
          <t>Shopee</t>
        </is>
      </c>
      <c r="G337" s="4" t="inlineStr">
        <is>
          <t>SHOPEE: https://s.shopee.vn/3qNt1d78Ij TIKTOK: LAZADA: WEBSITE BÁN HÀNG:</t>
        </is>
      </c>
      <c r="H337" s="3" t="inlineStr">
        <is>
          <t>KBY2-032CO</t>
        </is>
      </c>
      <c r="I337" s="4" t="inlineStr">
        <is>
          <t>Khoan inox KingBlue KBY2-032CO</t>
        </is>
      </c>
      <c r="J337" s="3" t="inlineStr">
        <is>
          <t>Cái</t>
        </is>
      </c>
      <c r="K337" s="5" t="n">
        <v>11000</v>
      </c>
      <c r="L337" s="5" t="n">
        <v>14000</v>
      </c>
      <c r="M337" s="6" t="n">
        <v>18000</v>
      </c>
      <c r="N337" s="5" t="n"/>
      <c r="O337" s="5">
        <f>IF(AND(ISNUMBER(N337),ISNUMBER(M337)),N337-M337,"")</f>
        <v/>
      </c>
      <c r="P337" s="7">
        <f>IF(AND(ISNUMBER(N337),ISNUMBER(M337),M337&gt;0),(N337-M337)/M337,"")</f>
        <v/>
      </c>
      <c r="Q337" s="3">
        <f>IF(P337="","",IF(P337&lt;-0.02,"🔴 Bán phá giá sàn",IF(P337&gt;0.05,"🔵 Bán cao hơn","🟢 Đúng giá sàn TMĐT")))</f>
        <v/>
      </c>
      <c r="R337" s="3" t="n"/>
      <c r="S337" s="4" t="n"/>
      <c r="T337" s="4" t="n"/>
    </row>
    <row r="338">
      <c r="A338" s="3" t="n">
        <v>337</v>
      </c>
      <c r="B338" s="3" t="inlineStr">
        <is>
          <t>DL002</t>
        </is>
      </c>
      <c r="C338" s="4" t="inlineStr">
        <is>
          <t>Nguyễn Hoàng Phú</t>
        </is>
      </c>
      <c r="D338" s="3" t="inlineStr">
        <is>
          <t>HCM</t>
        </is>
      </c>
      <c r="E338" s="3" t="inlineStr">
        <is>
          <t>BẢO TRÂM</t>
        </is>
      </c>
      <c r="F338" s="3" t="inlineStr">
        <is>
          <t>Shopee</t>
        </is>
      </c>
      <c r="G338" s="4" t="inlineStr">
        <is>
          <t>SHOPEE: https://s.shopee.vn/3qNt1d78Ij TIKTOK: LAZADA: WEBSITE BÁN HÀNG:</t>
        </is>
      </c>
      <c r="H338" s="3" t="inlineStr">
        <is>
          <t>KBY2-035CO</t>
        </is>
      </c>
      <c r="I338" s="4" t="inlineStr">
        <is>
          <t>Khoan inox KingBlue KBY2-035CO</t>
        </is>
      </c>
      <c r="J338" s="3" t="inlineStr">
        <is>
          <t>Cái</t>
        </is>
      </c>
      <c r="K338" s="5" t="n">
        <v>13000</v>
      </c>
      <c r="L338" s="5" t="n">
        <v>16000</v>
      </c>
      <c r="M338" s="6" t="n">
        <v>21000</v>
      </c>
      <c r="N338" s="5" t="n"/>
      <c r="O338" s="5">
        <f>IF(AND(ISNUMBER(N338),ISNUMBER(M338)),N338-M338,"")</f>
        <v/>
      </c>
      <c r="P338" s="7">
        <f>IF(AND(ISNUMBER(N338),ISNUMBER(M338),M338&gt;0),(N338-M338)/M338,"")</f>
        <v/>
      </c>
      <c r="Q338" s="3">
        <f>IF(P338="","",IF(P338&lt;-0.02,"🔴 Bán phá giá sàn",IF(P338&gt;0.05,"🔵 Bán cao hơn","🟢 Đúng giá sàn TMĐT")))</f>
        <v/>
      </c>
      <c r="R338" s="3" t="n"/>
      <c r="S338" s="4" t="n"/>
      <c r="T338" s="4" t="n"/>
    </row>
    <row r="339">
      <c r="A339" s="3" t="n">
        <v>338</v>
      </c>
      <c r="B339" s="3" t="inlineStr">
        <is>
          <t>DL002</t>
        </is>
      </c>
      <c r="C339" s="4" t="inlineStr">
        <is>
          <t>Nguyễn Hoàng Phú</t>
        </is>
      </c>
      <c r="D339" s="3" t="inlineStr">
        <is>
          <t>HCM</t>
        </is>
      </c>
      <c r="E339" s="3" t="inlineStr">
        <is>
          <t>BẢO TRÂM</t>
        </is>
      </c>
      <c r="F339" s="3" t="inlineStr">
        <is>
          <t>Shopee</t>
        </is>
      </c>
      <c r="G339" s="4" t="inlineStr">
        <is>
          <t>SHOPEE: https://s.shopee.vn/3qNt1d78Ij TIKTOK: LAZADA: WEBSITE BÁN HÀNG:</t>
        </is>
      </c>
      <c r="H339" s="3" t="inlineStr">
        <is>
          <t>KBY2-040CO</t>
        </is>
      </c>
      <c r="I339" s="4" t="inlineStr">
        <is>
          <t>Khoan inox KingBlue KBY2-040CO</t>
        </is>
      </c>
      <c r="J339" s="3" t="inlineStr">
        <is>
          <t>Cái</t>
        </is>
      </c>
      <c r="K339" s="5" t="n">
        <v>17000</v>
      </c>
      <c r="L339" s="5" t="n">
        <v>21000</v>
      </c>
      <c r="M339" s="6" t="n">
        <v>27000</v>
      </c>
      <c r="N339" s="5" t="n"/>
      <c r="O339" s="5">
        <f>IF(AND(ISNUMBER(N339),ISNUMBER(M339)),N339-M339,"")</f>
        <v/>
      </c>
      <c r="P339" s="7">
        <f>IF(AND(ISNUMBER(N339),ISNUMBER(M339),M339&gt;0),(N339-M339)/M339,"")</f>
        <v/>
      </c>
      <c r="Q339" s="3">
        <f>IF(P339="","",IF(P339&lt;-0.02,"🔴 Bán phá giá sàn",IF(P339&gt;0.05,"🔵 Bán cao hơn","🟢 Đúng giá sàn TMĐT")))</f>
        <v/>
      </c>
      <c r="R339" s="3" t="n"/>
      <c r="S339" s="4" t="n"/>
      <c r="T339" s="4" t="n"/>
    </row>
    <row r="340">
      <c r="A340" s="3" t="n">
        <v>339</v>
      </c>
      <c r="B340" s="3" t="inlineStr">
        <is>
          <t>DL002</t>
        </is>
      </c>
      <c r="C340" s="4" t="inlineStr">
        <is>
          <t>Nguyễn Hoàng Phú</t>
        </is>
      </c>
      <c r="D340" s="3" t="inlineStr">
        <is>
          <t>HCM</t>
        </is>
      </c>
      <c r="E340" s="3" t="inlineStr">
        <is>
          <t>BẢO TRÂM</t>
        </is>
      </c>
      <c r="F340" s="3" t="inlineStr">
        <is>
          <t>Shopee</t>
        </is>
      </c>
      <c r="G340" s="4" t="inlineStr">
        <is>
          <t>SHOPEE: https://s.shopee.vn/3qNt1d78Ij TIKTOK: LAZADA: WEBSITE BÁN HÀNG:</t>
        </is>
      </c>
      <c r="H340" s="3" t="inlineStr">
        <is>
          <t>KBY2-042CO</t>
        </is>
      </c>
      <c r="I340" s="4" t="inlineStr">
        <is>
          <t>Khoan inox KingBlue KBY2-042CO</t>
        </is>
      </c>
      <c r="J340" s="3" t="inlineStr">
        <is>
          <t>Cái</t>
        </is>
      </c>
      <c r="K340" s="5" t="n">
        <v>19000</v>
      </c>
      <c r="L340" s="5" t="n">
        <v>23000</v>
      </c>
      <c r="M340" s="6" t="n">
        <v>30000</v>
      </c>
      <c r="N340" s="5" t="n"/>
      <c r="O340" s="5">
        <f>IF(AND(ISNUMBER(N340),ISNUMBER(M340)),N340-M340,"")</f>
        <v/>
      </c>
      <c r="P340" s="7">
        <f>IF(AND(ISNUMBER(N340),ISNUMBER(M340),M340&gt;0),(N340-M340)/M340,"")</f>
        <v/>
      </c>
      <c r="Q340" s="3">
        <f>IF(P340="","",IF(P340&lt;-0.02,"🔴 Bán phá giá sàn",IF(P340&gt;0.05,"🔵 Bán cao hơn","🟢 Đúng giá sàn TMĐT")))</f>
        <v/>
      </c>
      <c r="R340" s="3" t="n"/>
      <c r="S340" s="4" t="n"/>
      <c r="T340" s="4" t="n"/>
    </row>
    <row r="341">
      <c r="A341" s="3" t="n">
        <v>340</v>
      </c>
      <c r="B341" s="3" t="inlineStr">
        <is>
          <t>DL002</t>
        </is>
      </c>
      <c r="C341" s="4" t="inlineStr">
        <is>
          <t>Nguyễn Hoàng Phú</t>
        </is>
      </c>
      <c r="D341" s="3" t="inlineStr">
        <is>
          <t>HCM</t>
        </is>
      </c>
      <c r="E341" s="3" t="inlineStr">
        <is>
          <t>BẢO TRÂM</t>
        </is>
      </c>
      <c r="F341" s="3" t="inlineStr">
        <is>
          <t>Shopee</t>
        </is>
      </c>
      <c r="G341" s="4" t="inlineStr">
        <is>
          <t>SHOPEE: https://s.shopee.vn/3qNt1d78Ij TIKTOK: LAZADA: WEBSITE BÁN HÀNG:</t>
        </is>
      </c>
      <c r="H341" s="3" t="inlineStr">
        <is>
          <t>KBY2-045CO</t>
        </is>
      </c>
      <c r="I341" s="4" t="inlineStr">
        <is>
          <t>Khoan inox KingBlue KBY2-045CO</t>
        </is>
      </c>
      <c r="J341" s="3" t="inlineStr">
        <is>
          <t>Cái</t>
        </is>
      </c>
      <c r="K341" s="5" t="n">
        <v>21000</v>
      </c>
      <c r="L341" s="5" t="n">
        <v>26000</v>
      </c>
      <c r="M341" s="6" t="n">
        <v>34000</v>
      </c>
      <c r="N341" s="5" t="n"/>
      <c r="O341" s="5">
        <f>IF(AND(ISNUMBER(N341),ISNUMBER(M341)),N341-M341,"")</f>
        <v/>
      </c>
      <c r="P341" s="7">
        <f>IF(AND(ISNUMBER(N341),ISNUMBER(M341),M341&gt;0),(N341-M341)/M341,"")</f>
        <v/>
      </c>
      <c r="Q341" s="3">
        <f>IF(P341="","",IF(P341&lt;-0.02,"🔴 Bán phá giá sàn",IF(P341&gt;0.05,"🔵 Bán cao hơn","🟢 Đúng giá sàn TMĐT")))</f>
        <v/>
      </c>
      <c r="R341" s="3" t="n"/>
      <c r="S341" s="4" t="n"/>
      <c r="T341" s="4" t="n"/>
    </row>
    <row r="342">
      <c r="A342" s="3" t="n">
        <v>341</v>
      </c>
      <c r="B342" s="3" t="inlineStr">
        <is>
          <t>DL002</t>
        </is>
      </c>
      <c r="C342" s="4" t="inlineStr">
        <is>
          <t>Nguyễn Hoàng Phú</t>
        </is>
      </c>
      <c r="D342" s="3" t="inlineStr">
        <is>
          <t>HCM</t>
        </is>
      </c>
      <c r="E342" s="3" t="inlineStr">
        <is>
          <t>BẢO TRÂM</t>
        </is>
      </c>
      <c r="F342" s="3" t="inlineStr">
        <is>
          <t>Shopee</t>
        </is>
      </c>
      <c r="G342" s="4" t="inlineStr">
        <is>
          <t>SHOPEE: https://s.shopee.vn/3qNt1d78Ij TIKTOK: LAZADA: WEBSITE BÁN HÀNG:</t>
        </is>
      </c>
      <c r="H342" s="3" t="inlineStr">
        <is>
          <t>KBY2-050CO</t>
        </is>
      </c>
      <c r="I342" s="4" t="inlineStr">
        <is>
          <t>Khoan inox KingBlue KBY2-050CO</t>
        </is>
      </c>
      <c r="J342" s="3" t="inlineStr">
        <is>
          <t>Cái</t>
        </is>
      </c>
      <c r="K342" s="5" t="n">
        <v>25000</v>
      </c>
      <c r="L342" s="5" t="n">
        <v>31000</v>
      </c>
      <c r="M342" s="6" t="n">
        <v>40000</v>
      </c>
      <c r="N342" s="5" t="n"/>
      <c r="O342" s="5">
        <f>IF(AND(ISNUMBER(N342),ISNUMBER(M342)),N342-M342,"")</f>
        <v/>
      </c>
      <c r="P342" s="7">
        <f>IF(AND(ISNUMBER(N342),ISNUMBER(M342),M342&gt;0),(N342-M342)/M342,"")</f>
        <v/>
      </c>
      <c r="Q342" s="3">
        <f>IF(P342="","",IF(P342&lt;-0.02,"🔴 Bán phá giá sàn",IF(P342&gt;0.05,"🔵 Bán cao hơn","🟢 Đúng giá sàn TMĐT")))</f>
        <v/>
      </c>
      <c r="R342" s="3" t="n"/>
      <c r="S342" s="4" t="n"/>
      <c r="T342" s="4" t="n"/>
    </row>
    <row r="343">
      <c r="A343" s="3" t="n">
        <v>342</v>
      </c>
      <c r="B343" s="3" t="inlineStr">
        <is>
          <t>DL002</t>
        </is>
      </c>
      <c r="C343" s="4" t="inlineStr">
        <is>
          <t>Nguyễn Hoàng Phú</t>
        </is>
      </c>
      <c r="D343" s="3" t="inlineStr">
        <is>
          <t>HCM</t>
        </is>
      </c>
      <c r="E343" s="3" t="inlineStr">
        <is>
          <t>BẢO TRÂM</t>
        </is>
      </c>
      <c r="F343" s="3" t="inlineStr">
        <is>
          <t>Shopee</t>
        </is>
      </c>
      <c r="G343" s="4" t="inlineStr">
        <is>
          <t>SHOPEE: https://s.shopee.vn/3qNt1d78Ij TIKTOK: LAZADA: WEBSITE BÁN HÀNG:</t>
        </is>
      </c>
      <c r="H343" s="3" t="inlineStr">
        <is>
          <t>KBY2-052CO</t>
        </is>
      </c>
      <c r="I343" s="4" t="inlineStr">
        <is>
          <t>Khoan inox KingBlue KBY2-052CO</t>
        </is>
      </c>
      <c r="J343" s="3" t="inlineStr">
        <is>
          <t>Cái</t>
        </is>
      </c>
      <c r="K343" s="5" t="n">
        <v>29000</v>
      </c>
      <c r="L343" s="5" t="n">
        <v>36000</v>
      </c>
      <c r="M343" s="6" t="n">
        <v>46000</v>
      </c>
      <c r="N343" s="5" t="n"/>
      <c r="O343" s="5">
        <f>IF(AND(ISNUMBER(N343),ISNUMBER(M343)),N343-M343,"")</f>
        <v/>
      </c>
      <c r="P343" s="7">
        <f>IF(AND(ISNUMBER(N343),ISNUMBER(M343),M343&gt;0),(N343-M343)/M343,"")</f>
        <v/>
      </c>
      <c r="Q343" s="3">
        <f>IF(P343="","",IF(P343&lt;-0.02,"🔴 Bán phá giá sàn",IF(P343&gt;0.05,"🔵 Bán cao hơn","🟢 Đúng giá sàn TMĐT")))</f>
        <v/>
      </c>
      <c r="R343" s="3" t="n"/>
      <c r="S343" s="4" t="n"/>
      <c r="T343" s="4" t="n"/>
    </row>
    <row r="344">
      <c r="A344" s="3" t="n">
        <v>343</v>
      </c>
      <c r="B344" s="3" t="inlineStr">
        <is>
          <t>DL002</t>
        </is>
      </c>
      <c r="C344" s="4" t="inlineStr">
        <is>
          <t>Nguyễn Hoàng Phú</t>
        </is>
      </c>
      <c r="D344" s="3" t="inlineStr">
        <is>
          <t>HCM</t>
        </is>
      </c>
      <c r="E344" s="3" t="inlineStr">
        <is>
          <t>BẢO TRÂM</t>
        </is>
      </c>
      <c r="F344" s="3" t="inlineStr">
        <is>
          <t>Shopee</t>
        </is>
      </c>
      <c r="G344" s="4" t="inlineStr">
        <is>
          <t>SHOPEE: https://s.shopee.vn/3qNt1d78Ij TIKTOK: LAZADA: WEBSITE BÁN HÀNG:</t>
        </is>
      </c>
      <c r="H344" s="3" t="inlineStr">
        <is>
          <t>KBY2-055CO</t>
        </is>
      </c>
      <c r="I344" s="4" t="inlineStr">
        <is>
          <t>Khoan inox KingBlue KBY2-055CO</t>
        </is>
      </c>
      <c r="J344" s="3" t="inlineStr">
        <is>
          <t>Cái</t>
        </is>
      </c>
      <c r="K344" s="5" t="n">
        <v>30000</v>
      </c>
      <c r="L344" s="5" t="n">
        <v>37000</v>
      </c>
      <c r="M344" s="6" t="n">
        <v>48000</v>
      </c>
      <c r="N344" s="5" t="n"/>
      <c r="O344" s="5">
        <f>IF(AND(ISNUMBER(N344),ISNUMBER(M344)),N344-M344,"")</f>
        <v/>
      </c>
      <c r="P344" s="7">
        <f>IF(AND(ISNUMBER(N344),ISNUMBER(M344),M344&gt;0),(N344-M344)/M344,"")</f>
        <v/>
      </c>
      <c r="Q344" s="3">
        <f>IF(P344="","",IF(P344&lt;-0.02,"🔴 Bán phá giá sàn",IF(P344&gt;0.05,"🔵 Bán cao hơn","🟢 Đúng giá sàn TMĐT")))</f>
        <v/>
      </c>
      <c r="R344" s="3" t="n"/>
      <c r="S344" s="4" t="n"/>
      <c r="T344" s="4" t="n"/>
    </row>
    <row r="345">
      <c r="A345" s="3" t="n">
        <v>344</v>
      </c>
      <c r="B345" s="3" t="inlineStr">
        <is>
          <t>DL002</t>
        </is>
      </c>
      <c r="C345" s="4" t="inlineStr">
        <is>
          <t>Nguyễn Hoàng Phú</t>
        </is>
      </c>
      <c r="D345" s="3" t="inlineStr">
        <is>
          <t>HCM</t>
        </is>
      </c>
      <c r="E345" s="3" t="inlineStr">
        <is>
          <t>BẢO TRÂM</t>
        </is>
      </c>
      <c r="F345" s="3" t="inlineStr">
        <is>
          <t>Shopee</t>
        </is>
      </c>
      <c r="G345" s="4" t="inlineStr">
        <is>
          <t>SHOPEE: https://s.shopee.vn/3qNt1d78Ij TIKTOK: LAZADA: WEBSITE BÁN HÀNG:</t>
        </is>
      </c>
      <c r="H345" s="3" t="inlineStr">
        <is>
          <t>KBY2-060CO</t>
        </is>
      </c>
      <c r="I345" s="4" t="inlineStr">
        <is>
          <t>Khoan inox KingBlue KBY2-060CO</t>
        </is>
      </c>
      <c r="J345" s="3" t="inlineStr">
        <is>
          <t>Cái</t>
        </is>
      </c>
      <c r="K345" s="5" t="n">
        <v>36000</v>
      </c>
      <c r="L345" s="5" t="n">
        <v>45000</v>
      </c>
      <c r="M345" s="6" t="n">
        <v>58000</v>
      </c>
      <c r="N345" s="5" t="n"/>
      <c r="O345" s="5">
        <f>IF(AND(ISNUMBER(N345),ISNUMBER(M345)),N345-M345,"")</f>
        <v/>
      </c>
      <c r="P345" s="7">
        <f>IF(AND(ISNUMBER(N345),ISNUMBER(M345),M345&gt;0),(N345-M345)/M345,"")</f>
        <v/>
      </c>
      <c r="Q345" s="3">
        <f>IF(P345="","",IF(P345&lt;-0.02,"🔴 Bán phá giá sàn",IF(P345&gt;0.05,"🔵 Bán cao hơn","🟢 Đúng giá sàn TMĐT")))</f>
        <v/>
      </c>
      <c r="R345" s="3" t="n"/>
      <c r="S345" s="4" t="n"/>
      <c r="T345" s="4" t="n"/>
    </row>
    <row r="346">
      <c r="A346" s="3" t="n">
        <v>345</v>
      </c>
      <c r="B346" s="3" t="inlineStr">
        <is>
          <t>DL002</t>
        </is>
      </c>
      <c r="C346" s="4" t="inlineStr">
        <is>
          <t>Nguyễn Hoàng Phú</t>
        </is>
      </c>
      <c r="D346" s="3" t="inlineStr">
        <is>
          <t>HCM</t>
        </is>
      </c>
      <c r="E346" s="3" t="inlineStr">
        <is>
          <t>BẢO TRÂM</t>
        </is>
      </c>
      <c r="F346" s="3" t="inlineStr">
        <is>
          <t>Shopee</t>
        </is>
      </c>
      <c r="G346" s="4" t="inlineStr">
        <is>
          <t>SHOPEE: https://s.shopee.vn/3qNt1d78Ij TIKTOK: LAZADA: WEBSITE BÁN HÀNG:</t>
        </is>
      </c>
      <c r="H346" s="3" t="inlineStr">
        <is>
          <t>KBY2-065CO</t>
        </is>
      </c>
      <c r="I346" s="4" t="inlineStr">
        <is>
          <t>Khoan inox KingBlue KBY2-065CO</t>
        </is>
      </c>
      <c r="J346" s="3" t="inlineStr">
        <is>
          <t>Cái</t>
        </is>
      </c>
      <c r="K346" s="5" t="n">
        <v>41000</v>
      </c>
      <c r="L346" s="5" t="n">
        <v>51000</v>
      </c>
      <c r="M346" s="6" t="n">
        <v>66000</v>
      </c>
      <c r="N346" s="5" t="n"/>
      <c r="O346" s="5">
        <f>IF(AND(ISNUMBER(N346),ISNUMBER(M346)),N346-M346,"")</f>
        <v/>
      </c>
      <c r="P346" s="7">
        <f>IF(AND(ISNUMBER(N346),ISNUMBER(M346),M346&gt;0),(N346-M346)/M346,"")</f>
        <v/>
      </c>
      <c r="Q346" s="3">
        <f>IF(P346="","",IF(P346&lt;-0.02,"🔴 Bán phá giá sàn",IF(P346&gt;0.05,"🔵 Bán cao hơn","🟢 Đúng giá sàn TMĐT")))</f>
        <v/>
      </c>
      <c r="R346" s="3" t="n"/>
      <c r="S346" s="4" t="n"/>
      <c r="T346" s="4" t="n"/>
    </row>
    <row r="347">
      <c r="A347" s="3" t="n">
        <v>346</v>
      </c>
      <c r="B347" s="3" t="inlineStr">
        <is>
          <t>DL002</t>
        </is>
      </c>
      <c r="C347" s="4" t="inlineStr">
        <is>
          <t>Nguyễn Hoàng Phú</t>
        </is>
      </c>
      <c r="D347" s="3" t="inlineStr">
        <is>
          <t>HCM</t>
        </is>
      </c>
      <c r="E347" s="3" t="inlineStr">
        <is>
          <t>BẢO TRÂM</t>
        </is>
      </c>
      <c r="F347" s="3" t="inlineStr">
        <is>
          <t>Shopee</t>
        </is>
      </c>
      <c r="G347" s="4" t="inlineStr">
        <is>
          <t>SHOPEE: https://s.shopee.vn/3qNt1d78Ij TIKTOK: LAZADA: WEBSITE BÁN HÀNG:</t>
        </is>
      </c>
      <c r="H347" s="3" t="inlineStr">
        <is>
          <t>KBY2-070CO</t>
        </is>
      </c>
      <c r="I347" s="4" t="inlineStr">
        <is>
          <t>Khoan inox KingBlue KBY2-070CO</t>
        </is>
      </c>
      <c r="J347" s="3" t="inlineStr">
        <is>
          <t>Cái</t>
        </is>
      </c>
      <c r="K347" s="5" t="n">
        <v>49000</v>
      </c>
      <c r="L347" s="5" t="n">
        <v>61000</v>
      </c>
      <c r="M347" s="6" t="n">
        <v>78000</v>
      </c>
      <c r="N347" s="5" t="n"/>
      <c r="O347" s="5">
        <f>IF(AND(ISNUMBER(N347),ISNUMBER(M347)),N347-M347,"")</f>
        <v/>
      </c>
      <c r="P347" s="7">
        <f>IF(AND(ISNUMBER(N347),ISNUMBER(M347),M347&gt;0),(N347-M347)/M347,"")</f>
        <v/>
      </c>
      <c r="Q347" s="3">
        <f>IF(P347="","",IF(P347&lt;-0.02,"🔴 Bán phá giá sàn",IF(P347&gt;0.05,"🔵 Bán cao hơn","🟢 Đúng giá sàn TMĐT")))</f>
        <v/>
      </c>
      <c r="R347" s="3" t="n"/>
      <c r="S347" s="4" t="n"/>
      <c r="T347" s="4" t="n"/>
    </row>
    <row r="348">
      <c r="A348" s="3" t="n">
        <v>347</v>
      </c>
      <c r="B348" s="3" t="inlineStr">
        <is>
          <t>DL002</t>
        </is>
      </c>
      <c r="C348" s="4" t="inlineStr">
        <is>
          <t>Nguyễn Hoàng Phú</t>
        </is>
      </c>
      <c r="D348" s="3" t="inlineStr">
        <is>
          <t>HCM</t>
        </is>
      </c>
      <c r="E348" s="3" t="inlineStr">
        <is>
          <t>BẢO TRÂM</t>
        </is>
      </c>
      <c r="F348" s="3" t="inlineStr">
        <is>
          <t>Shopee</t>
        </is>
      </c>
      <c r="G348" s="4" t="inlineStr">
        <is>
          <t>SHOPEE: https://s.shopee.vn/3qNt1d78Ij TIKTOK: LAZADA: WEBSITE BÁN HÀNG:</t>
        </is>
      </c>
      <c r="H348" s="3" t="inlineStr">
        <is>
          <t>KBY2-075CO</t>
        </is>
      </c>
      <c r="I348" s="4" t="inlineStr">
        <is>
          <t>Khoan inox KingBlue KBY2-075CO</t>
        </is>
      </c>
      <c r="J348" s="3" t="inlineStr">
        <is>
          <t>Cái</t>
        </is>
      </c>
      <c r="K348" s="5" t="n">
        <v>53000</v>
      </c>
      <c r="L348" s="5" t="n">
        <v>66000</v>
      </c>
      <c r="M348" s="6" t="n">
        <v>85000</v>
      </c>
      <c r="N348" s="5" t="n"/>
      <c r="O348" s="5">
        <f>IF(AND(ISNUMBER(N348),ISNUMBER(M348)),N348-M348,"")</f>
        <v/>
      </c>
      <c r="P348" s="7">
        <f>IF(AND(ISNUMBER(N348),ISNUMBER(M348),M348&gt;0),(N348-M348)/M348,"")</f>
        <v/>
      </c>
      <c r="Q348" s="3">
        <f>IF(P348="","",IF(P348&lt;-0.02,"🔴 Bán phá giá sàn",IF(P348&gt;0.05,"🔵 Bán cao hơn","🟢 Đúng giá sàn TMĐT")))</f>
        <v/>
      </c>
      <c r="R348" s="3" t="n"/>
      <c r="S348" s="4" t="n"/>
      <c r="T348" s="4" t="n"/>
    </row>
    <row r="349">
      <c r="A349" s="3" t="n">
        <v>348</v>
      </c>
      <c r="B349" s="3" t="inlineStr">
        <is>
          <t>DL002</t>
        </is>
      </c>
      <c r="C349" s="4" t="inlineStr">
        <is>
          <t>Nguyễn Hoàng Phú</t>
        </is>
      </c>
      <c r="D349" s="3" t="inlineStr">
        <is>
          <t>HCM</t>
        </is>
      </c>
      <c r="E349" s="3" t="inlineStr">
        <is>
          <t>BẢO TRÂM</t>
        </is>
      </c>
      <c r="F349" s="3" t="inlineStr">
        <is>
          <t>Shopee</t>
        </is>
      </c>
      <c r="G349" s="4" t="inlineStr">
        <is>
          <t>SHOPEE: https://s.shopee.vn/3qNt1d78Ij TIKTOK: LAZADA: WEBSITE BÁN HÀNG:</t>
        </is>
      </c>
      <c r="H349" s="3" t="inlineStr">
        <is>
          <t>KBY2-080CO</t>
        </is>
      </c>
      <c r="I349" s="4" t="inlineStr">
        <is>
          <t>Khoan inox KingBlue KBY2-080CO</t>
        </is>
      </c>
      <c r="J349" s="3" t="inlineStr">
        <is>
          <t>Cái</t>
        </is>
      </c>
      <c r="K349" s="5" t="n">
        <v>58000</v>
      </c>
      <c r="L349" s="5" t="n">
        <v>72000</v>
      </c>
      <c r="M349" s="6" t="n">
        <v>93000</v>
      </c>
      <c r="N349" s="5" t="n"/>
      <c r="O349" s="5">
        <f>IF(AND(ISNUMBER(N349),ISNUMBER(M349)),N349-M349,"")</f>
        <v/>
      </c>
      <c r="P349" s="7">
        <f>IF(AND(ISNUMBER(N349),ISNUMBER(M349),M349&gt;0),(N349-M349)/M349,"")</f>
        <v/>
      </c>
      <c r="Q349" s="3">
        <f>IF(P349="","",IF(P349&lt;-0.02,"🔴 Bán phá giá sàn",IF(P349&gt;0.05,"🔵 Bán cao hơn","🟢 Đúng giá sàn TMĐT")))</f>
        <v/>
      </c>
      <c r="R349" s="3" t="n"/>
      <c r="S349" s="4" t="n"/>
      <c r="T349" s="4" t="n"/>
    </row>
    <row r="350">
      <c r="A350" s="3" t="n">
        <v>349</v>
      </c>
      <c r="B350" s="3" t="inlineStr">
        <is>
          <t>DL002</t>
        </is>
      </c>
      <c r="C350" s="4" t="inlineStr">
        <is>
          <t>Nguyễn Hoàng Phú</t>
        </is>
      </c>
      <c r="D350" s="3" t="inlineStr">
        <is>
          <t>HCM</t>
        </is>
      </c>
      <c r="E350" s="3" t="inlineStr">
        <is>
          <t>BẢO TRÂM</t>
        </is>
      </c>
      <c r="F350" s="3" t="inlineStr">
        <is>
          <t>Shopee</t>
        </is>
      </c>
      <c r="G350" s="4" t="inlineStr">
        <is>
          <t>SHOPEE: https://s.shopee.vn/3qNt1d78Ij TIKTOK: LAZADA: WEBSITE BÁN HÀNG:</t>
        </is>
      </c>
      <c r="H350" s="3" t="inlineStr">
        <is>
          <t>KBY2-090CO</t>
        </is>
      </c>
      <c r="I350" s="4" t="inlineStr">
        <is>
          <t>Khoan inox KingBlue KBY2-090CO</t>
        </is>
      </c>
      <c r="J350" s="3" t="inlineStr">
        <is>
          <t>Cái</t>
        </is>
      </c>
      <c r="K350" s="5" t="n">
        <v>76000</v>
      </c>
      <c r="L350" s="5" t="n">
        <v>94000</v>
      </c>
      <c r="M350" s="6" t="n">
        <v>122000</v>
      </c>
      <c r="N350" s="5" t="n"/>
      <c r="O350" s="5">
        <f>IF(AND(ISNUMBER(N350),ISNUMBER(M350)),N350-M350,"")</f>
        <v/>
      </c>
      <c r="P350" s="7">
        <f>IF(AND(ISNUMBER(N350),ISNUMBER(M350),M350&gt;0),(N350-M350)/M350,"")</f>
        <v/>
      </c>
      <c r="Q350" s="3">
        <f>IF(P350="","",IF(P350&lt;-0.02,"🔴 Bán phá giá sàn",IF(P350&gt;0.05,"🔵 Bán cao hơn","🟢 Đúng giá sàn TMĐT")))</f>
        <v/>
      </c>
      <c r="R350" s="3" t="n"/>
      <c r="S350" s="4" t="n"/>
      <c r="T350" s="4" t="n"/>
    </row>
    <row r="351">
      <c r="A351" s="3" t="n">
        <v>350</v>
      </c>
      <c r="B351" s="3" t="inlineStr">
        <is>
          <t>DL002</t>
        </is>
      </c>
      <c r="C351" s="4" t="inlineStr">
        <is>
          <t>Nguyễn Hoàng Phú</t>
        </is>
      </c>
      <c r="D351" s="3" t="inlineStr">
        <is>
          <t>HCM</t>
        </is>
      </c>
      <c r="E351" s="3" t="inlineStr">
        <is>
          <t>BẢO TRÂM</t>
        </is>
      </c>
      <c r="F351" s="3" t="inlineStr">
        <is>
          <t>Shopee</t>
        </is>
      </c>
      <c r="G351" s="4" t="inlineStr">
        <is>
          <t>SHOPEE: https://s.shopee.vn/3qNt1d78Ij TIKTOK: LAZADA: WEBSITE BÁN HÀNG:</t>
        </is>
      </c>
      <c r="H351" s="3" t="inlineStr">
        <is>
          <t>KBY2-100CO</t>
        </is>
      </c>
      <c r="I351" s="4" t="inlineStr">
        <is>
          <t>Khoan inox KingBlue KBY2-100CO</t>
        </is>
      </c>
      <c r="J351" s="3" t="inlineStr">
        <is>
          <t>Cái</t>
        </is>
      </c>
      <c r="K351" s="5" t="n">
        <v>101000</v>
      </c>
      <c r="L351" s="5" t="n">
        <v>125000</v>
      </c>
      <c r="M351" s="6" t="n">
        <v>162000</v>
      </c>
      <c r="N351" s="5" t="n"/>
      <c r="O351" s="5">
        <f>IF(AND(ISNUMBER(N351),ISNUMBER(M351)),N351-M351,"")</f>
        <v/>
      </c>
      <c r="P351" s="7">
        <f>IF(AND(ISNUMBER(N351),ISNUMBER(M351),M351&gt;0),(N351-M351)/M351,"")</f>
        <v/>
      </c>
      <c r="Q351" s="3">
        <f>IF(P351="","",IF(P351&lt;-0.02,"🔴 Bán phá giá sàn",IF(P351&gt;0.05,"🔵 Bán cao hơn","🟢 Đúng giá sàn TMĐT")))</f>
        <v/>
      </c>
      <c r="R351" s="3" t="n"/>
      <c r="S351" s="4" t="n"/>
      <c r="T351" s="4" t="n"/>
    </row>
    <row r="352">
      <c r="A352" s="3" t="n">
        <v>351</v>
      </c>
      <c r="B352" s="3" t="inlineStr">
        <is>
          <t>DL002</t>
        </is>
      </c>
      <c r="C352" s="4" t="inlineStr">
        <is>
          <t>Nguyễn Hoàng Phú</t>
        </is>
      </c>
      <c r="D352" s="3" t="inlineStr">
        <is>
          <t>HCM</t>
        </is>
      </c>
      <c r="E352" s="3" t="inlineStr">
        <is>
          <t>BẢO TRÂM</t>
        </is>
      </c>
      <c r="F352" s="3" t="inlineStr">
        <is>
          <t>Shopee</t>
        </is>
      </c>
      <c r="G352" s="4" t="inlineStr">
        <is>
          <t>SHOPEE: https://s.shopee.vn/3qNt1d78Ij TIKTOK: LAZADA: WEBSITE BÁN HÀNG:</t>
        </is>
      </c>
      <c r="H352" s="3" t="inlineStr">
        <is>
          <t>KBY2-105CO</t>
        </is>
      </c>
      <c r="I352" s="4" t="inlineStr">
        <is>
          <t>Khoan inox KingBlue KBY2-105CO</t>
        </is>
      </c>
      <c r="J352" s="3" t="inlineStr">
        <is>
          <t>Cái</t>
        </is>
      </c>
      <c r="K352" s="5" t="n">
        <v>116000</v>
      </c>
      <c r="L352" s="5" t="n">
        <v>144000</v>
      </c>
      <c r="M352" s="6" t="n">
        <v>186000</v>
      </c>
      <c r="N352" s="5" t="n"/>
      <c r="O352" s="5">
        <f>IF(AND(ISNUMBER(N352),ISNUMBER(M352)),N352-M352,"")</f>
        <v/>
      </c>
      <c r="P352" s="7">
        <f>IF(AND(ISNUMBER(N352),ISNUMBER(M352),M352&gt;0),(N352-M352)/M352,"")</f>
        <v/>
      </c>
      <c r="Q352" s="3">
        <f>IF(P352="","",IF(P352&lt;-0.02,"🔴 Bán phá giá sàn",IF(P352&gt;0.05,"🔵 Bán cao hơn","🟢 Đúng giá sàn TMĐT")))</f>
        <v/>
      </c>
      <c r="R352" s="3" t="n"/>
      <c r="S352" s="4" t="n"/>
      <c r="T352" s="4" t="n"/>
    </row>
    <row r="353">
      <c r="A353" s="3" t="n">
        <v>352</v>
      </c>
      <c r="B353" s="3" t="inlineStr">
        <is>
          <t>DL002</t>
        </is>
      </c>
      <c r="C353" s="4" t="inlineStr">
        <is>
          <t>Nguyễn Hoàng Phú</t>
        </is>
      </c>
      <c r="D353" s="3" t="inlineStr">
        <is>
          <t>HCM</t>
        </is>
      </c>
      <c r="E353" s="3" t="inlineStr">
        <is>
          <t>BẢO TRÂM</t>
        </is>
      </c>
      <c r="F353" s="3" t="inlineStr">
        <is>
          <t>Shopee</t>
        </is>
      </c>
      <c r="G353" s="4" t="inlineStr">
        <is>
          <t>SHOPEE: https://s.shopee.vn/3qNt1d78Ij TIKTOK: LAZADA: WEBSITE BÁN HÀNG:</t>
        </is>
      </c>
      <c r="H353" s="3" t="inlineStr">
        <is>
          <t>KBY2-120CO</t>
        </is>
      </c>
      <c r="I353" s="4" t="inlineStr">
        <is>
          <t>Khoan inox KingBlue KBY2-120CO</t>
        </is>
      </c>
      <c r="J353" s="3" t="inlineStr">
        <is>
          <t>Cái</t>
        </is>
      </c>
      <c r="K353" s="5" t="n">
        <v>162000</v>
      </c>
      <c r="L353" s="5" t="n">
        <v>201000</v>
      </c>
      <c r="M353" s="6" t="n">
        <v>259000</v>
      </c>
      <c r="N353" s="5" t="n"/>
      <c r="O353" s="5">
        <f>IF(AND(ISNUMBER(N353),ISNUMBER(M353)),N353-M353,"")</f>
        <v/>
      </c>
      <c r="P353" s="7">
        <f>IF(AND(ISNUMBER(N353),ISNUMBER(M353),M353&gt;0),(N353-M353)/M353,"")</f>
        <v/>
      </c>
      <c r="Q353" s="3">
        <f>IF(P353="","",IF(P353&lt;-0.02,"🔴 Bán phá giá sàn",IF(P353&gt;0.05,"🔵 Bán cao hơn","🟢 Đúng giá sàn TMĐT")))</f>
        <v/>
      </c>
      <c r="R353" s="3" t="n"/>
      <c r="S353" s="4" t="n"/>
      <c r="T353" s="4" t="n"/>
    </row>
    <row r="354">
      <c r="A354" s="3" t="n">
        <v>353</v>
      </c>
      <c r="B354" s="3" t="inlineStr">
        <is>
          <t>DL002</t>
        </is>
      </c>
      <c r="C354" s="4" t="inlineStr">
        <is>
          <t>Nguyễn Hoàng Phú</t>
        </is>
      </c>
      <c r="D354" s="3" t="inlineStr">
        <is>
          <t>HCM</t>
        </is>
      </c>
      <c r="E354" s="3" t="inlineStr">
        <is>
          <t>BẢO TRÂM</t>
        </is>
      </c>
      <c r="F354" s="3" t="inlineStr">
        <is>
          <t>Shopee</t>
        </is>
      </c>
      <c r="G354" s="4" t="inlineStr">
        <is>
          <t>SHOPEE: https://s.shopee.vn/3qNt1d78Ij TIKTOK: LAZADA: WEBSITE BÁN HÀNG:</t>
        </is>
      </c>
      <c r="H354" s="3" t="inlineStr">
        <is>
          <t>KBY2-130CO</t>
        </is>
      </c>
      <c r="I354" s="4" t="inlineStr">
        <is>
          <t>Khoan inox KingBlue KBY2-130CO</t>
        </is>
      </c>
      <c r="J354" s="3" t="inlineStr">
        <is>
          <t>Cái</t>
        </is>
      </c>
      <c r="K354" s="5" t="n">
        <v>190000</v>
      </c>
      <c r="L354" s="5" t="n">
        <v>236000</v>
      </c>
      <c r="M354" s="6" t="n">
        <v>304000</v>
      </c>
      <c r="N354" s="5" t="n"/>
      <c r="O354" s="5">
        <f>IF(AND(ISNUMBER(N354),ISNUMBER(M354)),N354-M354,"")</f>
        <v/>
      </c>
      <c r="P354" s="7">
        <f>IF(AND(ISNUMBER(N354),ISNUMBER(M354),M354&gt;0),(N354-M354)/M354,"")</f>
        <v/>
      </c>
      <c r="Q354" s="3">
        <f>IF(P354="","",IF(P354&lt;-0.02,"🔴 Bán phá giá sàn",IF(P354&gt;0.05,"🔵 Bán cao hơn","🟢 Đúng giá sàn TMĐT")))</f>
        <v/>
      </c>
      <c r="R354" s="3" t="n"/>
      <c r="S354" s="4" t="n"/>
      <c r="T354" s="4" t="n"/>
    </row>
    <row r="355">
      <c r="A355" s="3" t="n">
        <v>354</v>
      </c>
      <c r="B355" s="3" t="inlineStr">
        <is>
          <t>DL002</t>
        </is>
      </c>
      <c r="C355" s="4" t="inlineStr">
        <is>
          <t>Nguyễn Hoàng Phú</t>
        </is>
      </c>
      <c r="D355" s="3" t="inlineStr">
        <is>
          <t>HCM</t>
        </is>
      </c>
      <c r="E355" s="3" t="inlineStr">
        <is>
          <t>BẢO TRÂM</t>
        </is>
      </c>
      <c r="F355" s="3" t="inlineStr">
        <is>
          <t>Shopee</t>
        </is>
      </c>
      <c r="G355" s="4" t="inlineStr">
        <is>
          <t>SHOPEE: https://s.shopee.vn/3qNt1d78Ij TIKTOK: LAZADA: WEBSITE BÁN HÀNG:</t>
        </is>
      </c>
      <c r="H355" s="3" t="inlineStr">
        <is>
          <t>KBB-08MM</t>
        </is>
      </c>
      <c r="I355" s="4" t="inlineStr">
        <is>
          <t>Khoan Kính KingBlue KBB-08MM</t>
        </is>
      </c>
      <c r="J355" s="3" t="inlineStr">
        <is>
          <t>Cái</t>
        </is>
      </c>
      <c r="K355" s="5" t="n">
        <v>269000</v>
      </c>
      <c r="L355" s="5" t="n">
        <v>317000</v>
      </c>
      <c r="M355" s="6" t="n">
        <v>390000</v>
      </c>
      <c r="N355" s="5" t="n"/>
      <c r="O355" s="5">
        <f>IF(AND(ISNUMBER(N355),ISNUMBER(M355)),N355-M355,"")</f>
        <v/>
      </c>
      <c r="P355" s="7">
        <f>IF(AND(ISNUMBER(N355),ISNUMBER(M355),M355&gt;0),(N355-M355)/M355,"")</f>
        <v/>
      </c>
      <c r="Q355" s="3">
        <f>IF(P355="","",IF(P355&lt;-0.02,"🔴 Bán phá giá sàn",IF(P355&gt;0.05,"🔵 Bán cao hơn","🟢 Đúng giá sàn TMĐT")))</f>
        <v/>
      </c>
      <c r="R355" s="3" t="n"/>
      <c r="S355" s="4" t="n"/>
      <c r="T355" s="4" t="n"/>
    </row>
    <row r="356">
      <c r="A356" s="3" t="n">
        <v>355</v>
      </c>
      <c r="B356" s="3" t="inlineStr">
        <is>
          <t>DL002</t>
        </is>
      </c>
      <c r="C356" s="4" t="inlineStr">
        <is>
          <t>Nguyễn Hoàng Phú</t>
        </is>
      </c>
      <c r="D356" s="3" t="inlineStr">
        <is>
          <t>HCM</t>
        </is>
      </c>
      <c r="E356" s="3" t="inlineStr">
        <is>
          <t>BẢO TRÂM</t>
        </is>
      </c>
      <c r="F356" s="3" t="inlineStr">
        <is>
          <t>Shopee</t>
        </is>
      </c>
      <c r="G356" s="4" t="inlineStr">
        <is>
          <t>SHOPEE: https://s.shopee.vn/3qNt1d78Ij TIKTOK: LAZADA: WEBSITE BÁN HÀNG:</t>
        </is>
      </c>
      <c r="H356" s="3" t="inlineStr">
        <is>
          <t>KBB-16MM</t>
        </is>
      </c>
      <c r="I356" s="4" t="inlineStr">
        <is>
          <t>Khoan Kính KingBlue KBB-16MM</t>
        </is>
      </c>
      <c r="J356" s="3" t="inlineStr">
        <is>
          <t>Cái</t>
        </is>
      </c>
      <c r="K356" s="5" t="n">
        <v>269000</v>
      </c>
      <c r="L356" s="5" t="n">
        <v>317000</v>
      </c>
      <c r="M356" s="6" t="n">
        <v>390000</v>
      </c>
      <c r="N356" s="5" t="n"/>
      <c r="O356" s="5">
        <f>IF(AND(ISNUMBER(N356),ISNUMBER(M356)),N356-M356,"")</f>
        <v/>
      </c>
      <c r="P356" s="7">
        <f>IF(AND(ISNUMBER(N356),ISNUMBER(M356),M356&gt;0),(N356-M356)/M356,"")</f>
        <v/>
      </c>
      <c r="Q356" s="3">
        <f>IF(P356="","",IF(P356&lt;-0.02,"🔴 Bán phá giá sàn",IF(P356&gt;0.05,"🔵 Bán cao hơn","🟢 Đúng giá sàn TMĐT")))</f>
        <v/>
      </c>
      <c r="R356" s="3" t="n"/>
      <c r="S356" s="4" t="n"/>
      <c r="T356" s="4" t="n"/>
    </row>
    <row r="357">
      <c r="A357" s="3" t="n">
        <v>356</v>
      </c>
      <c r="B357" s="3" t="inlineStr">
        <is>
          <t>DL002</t>
        </is>
      </c>
      <c r="C357" s="4" t="inlineStr">
        <is>
          <t>Nguyễn Hoàng Phú</t>
        </is>
      </c>
      <c r="D357" s="3" t="inlineStr">
        <is>
          <t>HCM</t>
        </is>
      </c>
      <c r="E357" s="3" t="inlineStr">
        <is>
          <t>BẢO TRÂM</t>
        </is>
      </c>
      <c r="F357" s="3" t="inlineStr">
        <is>
          <t>Shopee</t>
        </is>
      </c>
      <c r="G357" s="4" t="inlineStr">
        <is>
          <t>SHOPEE: https://s.shopee.vn/3qNt1d78Ij TIKTOK: LAZADA: WEBSITE BÁN HÀNG:</t>
        </is>
      </c>
      <c r="H357" s="3" t="inlineStr">
        <is>
          <t>KBB-27MM</t>
        </is>
      </c>
      <c r="I357" s="4" t="inlineStr">
        <is>
          <t>Khoan Kính KingBlue KBB-27MM</t>
        </is>
      </c>
      <c r="J357" s="3" t="inlineStr">
        <is>
          <t>Cái</t>
        </is>
      </c>
      <c r="K357" s="5" t="n">
        <v>269000</v>
      </c>
      <c r="L357" s="5" t="n">
        <v>317000</v>
      </c>
      <c r="M357" s="6" t="n">
        <v>390000</v>
      </c>
      <c r="N357" s="5" t="n"/>
      <c r="O357" s="5">
        <f>IF(AND(ISNUMBER(N357),ISNUMBER(M357)),N357-M357,"")</f>
        <v/>
      </c>
      <c r="P357" s="7">
        <f>IF(AND(ISNUMBER(N357),ISNUMBER(M357),M357&gt;0),(N357-M357)/M357,"")</f>
        <v/>
      </c>
      <c r="Q357" s="3">
        <f>IF(P357="","",IF(P357&lt;-0.02,"🔴 Bán phá giá sàn",IF(P357&gt;0.05,"🔵 Bán cao hơn","🟢 Đúng giá sàn TMĐT")))</f>
        <v/>
      </c>
      <c r="R357" s="3" t="n"/>
      <c r="S357" s="4" t="n"/>
      <c r="T357" s="4" t="n"/>
    </row>
    <row r="358">
      <c r="A358" s="3" t="n">
        <v>357</v>
      </c>
      <c r="B358" s="3" t="inlineStr">
        <is>
          <t>DL002</t>
        </is>
      </c>
      <c r="C358" s="4" t="inlineStr">
        <is>
          <t>Nguyễn Hoàng Phú</t>
        </is>
      </c>
      <c r="D358" s="3" t="inlineStr">
        <is>
          <t>HCM</t>
        </is>
      </c>
      <c r="E358" s="3" t="inlineStr">
        <is>
          <t>BẢO TRÂM</t>
        </is>
      </c>
      <c r="F358" s="3" t="inlineStr">
        <is>
          <t>Shopee</t>
        </is>
      </c>
      <c r="G358" s="4" t="inlineStr">
        <is>
          <t>SHOPEE: https://s.shopee.vn/3qNt1d78Ij TIKTOK: LAZADA: WEBSITE BÁN HÀNG:</t>
        </is>
      </c>
      <c r="H358" s="3" t="inlineStr">
        <is>
          <t>KBB-35MM</t>
        </is>
      </c>
      <c r="I358" s="4" t="inlineStr">
        <is>
          <t>Khoan Kính KingBlue KBB-35MM</t>
        </is>
      </c>
      <c r="J358" s="3" t="inlineStr">
        <is>
          <t>Cái</t>
        </is>
      </c>
      <c r="K358" s="5" t="n">
        <v>269000</v>
      </c>
      <c r="L358" s="5" t="n">
        <v>317000</v>
      </c>
      <c r="M358" s="6" t="n">
        <v>390000</v>
      </c>
      <c r="N358" s="5" t="n"/>
      <c r="O358" s="5">
        <f>IF(AND(ISNUMBER(N358),ISNUMBER(M358)),N358-M358,"")</f>
        <v/>
      </c>
      <c r="P358" s="7">
        <f>IF(AND(ISNUMBER(N358),ISNUMBER(M358),M358&gt;0),(N358-M358)/M358,"")</f>
        <v/>
      </c>
      <c r="Q358" s="3">
        <f>IF(P358="","",IF(P358&lt;-0.02,"🔴 Bán phá giá sàn",IF(P358&gt;0.05,"🔵 Bán cao hơn","🟢 Đúng giá sàn TMĐT")))</f>
        <v/>
      </c>
      <c r="R358" s="3" t="n"/>
      <c r="S358" s="4" t="n"/>
      <c r="T358" s="4" t="n"/>
    </row>
    <row r="359">
      <c r="A359" s="3" t="n">
        <v>358</v>
      </c>
      <c r="B359" s="3" t="inlineStr">
        <is>
          <t>DL002</t>
        </is>
      </c>
      <c r="C359" s="4" t="inlineStr">
        <is>
          <t>Nguyễn Hoàng Phú</t>
        </is>
      </c>
      <c r="D359" s="3" t="inlineStr">
        <is>
          <t>HCM</t>
        </is>
      </c>
      <c r="E359" s="3" t="inlineStr">
        <is>
          <t>BẢO TRÂM</t>
        </is>
      </c>
      <c r="F359" s="3" t="inlineStr">
        <is>
          <t>Shopee</t>
        </is>
      </c>
      <c r="G359" s="4" t="inlineStr">
        <is>
          <t>SHOPEE: https://s.shopee.vn/3qNt1d78Ij TIKTOK: LAZADA: WEBSITE BÁN HÀNG:</t>
        </is>
      </c>
      <c r="H359" s="3" t="inlineStr">
        <is>
          <t>KBB-60MM</t>
        </is>
      </c>
      <c r="I359" s="4" t="inlineStr">
        <is>
          <t>Khoan Kính KingBlue KBB-60MM</t>
        </is>
      </c>
      <c r="J359" s="3" t="inlineStr">
        <is>
          <t>Cái</t>
        </is>
      </c>
      <c r="K359" s="5" t="n">
        <v>269000</v>
      </c>
      <c r="L359" s="5" t="n">
        <v>317000</v>
      </c>
      <c r="M359" s="6" t="n">
        <v>390000</v>
      </c>
      <c r="N359" s="5" t="n"/>
      <c r="O359" s="5">
        <f>IF(AND(ISNUMBER(N359),ISNUMBER(M359)),N359-M359,"")</f>
        <v/>
      </c>
      <c r="P359" s="7">
        <f>IF(AND(ISNUMBER(N359),ISNUMBER(M359),M359&gt;0),(N359-M359)/M359,"")</f>
        <v/>
      </c>
      <c r="Q359" s="3">
        <f>IF(P359="","",IF(P359&lt;-0.02,"🔴 Bán phá giá sàn",IF(P359&gt;0.05,"🔵 Bán cao hơn","🟢 Đúng giá sàn TMĐT")))</f>
        <v/>
      </c>
      <c r="R359" s="3" t="n"/>
      <c r="S359" s="4" t="n"/>
      <c r="T359" s="4" t="n"/>
    </row>
    <row r="360">
      <c r="A360" s="3" t="n">
        <v>359</v>
      </c>
      <c r="B360" s="3" t="inlineStr">
        <is>
          <t>DL002</t>
        </is>
      </c>
      <c r="C360" s="4" t="inlineStr">
        <is>
          <t>Nguyễn Hoàng Phú</t>
        </is>
      </c>
      <c r="D360" s="3" t="inlineStr">
        <is>
          <t>HCM</t>
        </is>
      </c>
      <c r="E360" s="3" t="inlineStr">
        <is>
          <t>BẢO TRÂM</t>
        </is>
      </c>
      <c r="F360" s="3" t="inlineStr">
        <is>
          <t>Shopee</t>
        </is>
      </c>
      <c r="G360" s="4" t="inlineStr">
        <is>
          <t>SHOPEE: https://s.shopee.vn/3qNt1d78Ij TIKTOK: LAZADA: WEBSITE BÁN HÀNG:</t>
        </is>
      </c>
      <c r="H360" s="3" t="inlineStr">
        <is>
          <t>KRLK-27370</t>
        </is>
      </c>
      <c r="I360" s="4" t="inlineStr">
        <is>
          <t>Khoan rút lõi bê tông nước + khô KRLK-27*370</t>
        </is>
      </c>
      <c r="J360" s="3" t="inlineStr">
        <is>
          <t>Cái</t>
        </is>
      </c>
      <c r="K360" s="5" t="n">
        <v>145000</v>
      </c>
      <c r="L360" s="5" t="n">
        <v>174000</v>
      </c>
      <c r="M360" s="6" t="n">
        <v>218000</v>
      </c>
      <c r="N360" s="5" t="n"/>
      <c r="O360" s="5">
        <f>IF(AND(ISNUMBER(N360),ISNUMBER(M360)),N360-M360,"")</f>
        <v/>
      </c>
      <c r="P360" s="7">
        <f>IF(AND(ISNUMBER(N360),ISNUMBER(M360),M360&gt;0),(N360-M360)/M360,"")</f>
        <v/>
      </c>
      <c r="Q360" s="3">
        <f>IF(P360="","",IF(P360&lt;-0.02,"🔴 Bán phá giá sàn",IF(P360&gt;0.05,"🔵 Bán cao hơn","🟢 Đúng giá sàn TMĐT")))</f>
        <v/>
      </c>
      <c r="R360" s="3" t="n"/>
      <c r="S360" s="4" t="n"/>
      <c r="T360" s="4" t="n"/>
    </row>
    <row r="361">
      <c r="A361" s="3" t="n">
        <v>360</v>
      </c>
      <c r="B361" s="3" t="inlineStr">
        <is>
          <t>DL002</t>
        </is>
      </c>
      <c r="C361" s="4" t="inlineStr">
        <is>
          <t>Nguyễn Hoàng Phú</t>
        </is>
      </c>
      <c r="D361" s="3" t="inlineStr">
        <is>
          <t>HCM</t>
        </is>
      </c>
      <c r="E361" s="3" t="inlineStr">
        <is>
          <t>BẢO TRÂM</t>
        </is>
      </c>
      <c r="F361" s="3" t="inlineStr">
        <is>
          <t>Shopee</t>
        </is>
      </c>
      <c r="G361" s="4" t="inlineStr">
        <is>
          <t>SHOPEE: https://s.shopee.vn/3qNt1d78Ij TIKTOK: LAZADA: WEBSITE BÁN HÀNG:</t>
        </is>
      </c>
      <c r="H361" s="3" t="inlineStr">
        <is>
          <t>KRLK-32370</t>
        </is>
      </c>
      <c r="I361" s="4" t="inlineStr">
        <is>
          <t>Khoan rút lõi bê tông nước + khô KRLK-32*370</t>
        </is>
      </c>
      <c r="J361" s="3" t="inlineStr">
        <is>
          <t>Cái</t>
        </is>
      </c>
      <c r="K361" s="5" t="n">
        <v>154000</v>
      </c>
      <c r="L361" s="5" t="n">
        <v>185000</v>
      </c>
      <c r="M361" s="6" t="n">
        <v>231000</v>
      </c>
      <c r="N361" s="5" t="n"/>
      <c r="O361" s="5">
        <f>IF(AND(ISNUMBER(N361),ISNUMBER(M361)),N361-M361,"")</f>
        <v/>
      </c>
      <c r="P361" s="7">
        <f>IF(AND(ISNUMBER(N361),ISNUMBER(M361),M361&gt;0),(N361-M361)/M361,"")</f>
        <v/>
      </c>
      <c r="Q361" s="3">
        <f>IF(P361="","",IF(P361&lt;-0.02,"🔴 Bán phá giá sàn",IF(P361&gt;0.05,"🔵 Bán cao hơn","🟢 Đúng giá sàn TMĐT")))</f>
        <v/>
      </c>
      <c r="R361" s="3" t="n"/>
      <c r="S361" s="4" t="n"/>
      <c r="T361" s="4" t="n"/>
    </row>
    <row r="362">
      <c r="A362" s="3" t="n">
        <v>361</v>
      </c>
      <c r="B362" s="3" t="inlineStr">
        <is>
          <t>DL002</t>
        </is>
      </c>
      <c r="C362" s="4" t="inlineStr">
        <is>
          <t>Nguyễn Hoàng Phú</t>
        </is>
      </c>
      <c r="D362" s="3" t="inlineStr">
        <is>
          <t>HCM</t>
        </is>
      </c>
      <c r="E362" s="3" t="inlineStr">
        <is>
          <t>BẢO TRÂM</t>
        </is>
      </c>
      <c r="F362" s="3" t="inlineStr">
        <is>
          <t>Shopee</t>
        </is>
      </c>
      <c r="G362" s="4" t="inlineStr">
        <is>
          <t>SHOPEE: https://s.shopee.vn/3qNt1d78Ij TIKTOK: LAZADA: WEBSITE BÁN HÀNG:</t>
        </is>
      </c>
      <c r="H362" s="3" t="inlineStr">
        <is>
          <t>KRLK-36370</t>
        </is>
      </c>
      <c r="I362" s="4" t="inlineStr">
        <is>
          <t>Khoan rút lõi bê tông nước + khô KRLK-36*370</t>
        </is>
      </c>
      <c r="J362" s="3" t="inlineStr">
        <is>
          <t>Cái</t>
        </is>
      </c>
      <c r="K362" s="5" t="n">
        <v>173000</v>
      </c>
      <c r="L362" s="5" t="n">
        <v>208000</v>
      </c>
      <c r="M362" s="6" t="n">
        <v>260000</v>
      </c>
      <c r="N362" s="5" t="n"/>
      <c r="O362" s="5">
        <f>IF(AND(ISNUMBER(N362),ISNUMBER(M362)),N362-M362,"")</f>
        <v/>
      </c>
      <c r="P362" s="7">
        <f>IF(AND(ISNUMBER(N362),ISNUMBER(M362),M362&gt;0),(N362-M362)/M362,"")</f>
        <v/>
      </c>
      <c r="Q362" s="3">
        <f>IF(P362="","",IF(P362&lt;-0.02,"🔴 Bán phá giá sàn",IF(P362&gt;0.05,"🔵 Bán cao hơn","🟢 Đúng giá sàn TMĐT")))</f>
        <v/>
      </c>
      <c r="R362" s="3" t="n"/>
      <c r="S362" s="4" t="n"/>
      <c r="T362" s="4" t="n"/>
    </row>
    <row r="363">
      <c r="A363" s="3" t="n">
        <v>362</v>
      </c>
      <c r="B363" s="3" t="inlineStr">
        <is>
          <t>DL002</t>
        </is>
      </c>
      <c r="C363" s="4" t="inlineStr">
        <is>
          <t>Nguyễn Hoàng Phú</t>
        </is>
      </c>
      <c r="D363" s="3" t="inlineStr">
        <is>
          <t>HCM</t>
        </is>
      </c>
      <c r="E363" s="3" t="inlineStr">
        <is>
          <t>BẢO TRÂM</t>
        </is>
      </c>
      <c r="F363" s="3" t="inlineStr">
        <is>
          <t>Shopee</t>
        </is>
      </c>
      <c r="G363" s="4" t="inlineStr">
        <is>
          <t>SHOPEE: https://s.shopee.vn/3qNt1d78Ij TIKTOK: LAZADA: WEBSITE BÁN HÀNG:</t>
        </is>
      </c>
      <c r="H363" s="3" t="inlineStr">
        <is>
          <t>KRLK-40370</t>
        </is>
      </c>
      <c r="I363" s="4" t="inlineStr">
        <is>
          <t>Khoan rút lõi bê tông nước + khô KRLK-40*370</t>
        </is>
      </c>
      <c r="J363" s="3" t="inlineStr">
        <is>
          <t>Cái</t>
        </is>
      </c>
      <c r="K363" s="5" t="n">
        <v>193000</v>
      </c>
      <c r="L363" s="5" t="n">
        <v>232000</v>
      </c>
      <c r="M363" s="6" t="n">
        <v>290000</v>
      </c>
      <c r="N363" s="5" t="n"/>
      <c r="O363" s="5">
        <f>IF(AND(ISNUMBER(N363),ISNUMBER(M363)),N363-M363,"")</f>
        <v/>
      </c>
      <c r="P363" s="7">
        <f>IF(AND(ISNUMBER(N363),ISNUMBER(M363),M363&gt;0),(N363-M363)/M363,"")</f>
        <v/>
      </c>
      <c r="Q363" s="3">
        <f>IF(P363="","",IF(P363&lt;-0.02,"🔴 Bán phá giá sàn",IF(P363&gt;0.05,"🔵 Bán cao hơn","🟢 Đúng giá sàn TMĐT")))</f>
        <v/>
      </c>
      <c r="R363" s="3" t="n"/>
      <c r="S363" s="4" t="n"/>
      <c r="T363" s="4" t="n"/>
    </row>
    <row r="364">
      <c r="A364" s="3" t="n">
        <v>363</v>
      </c>
      <c r="B364" s="3" t="inlineStr">
        <is>
          <t>DL002</t>
        </is>
      </c>
      <c r="C364" s="4" t="inlineStr">
        <is>
          <t>Nguyễn Hoàng Phú</t>
        </is>
      </c>
      <c r="D364" s="3" t="inlineStr">
        <is>
          <t>HCM</t>
        </is>
      </c>
      <c r="E364" s="3" t="inlineStr">
        <is>
          <t>BẢO TRÂM</t>
        </is>
      </c>
      <c r="F364" s="3" t="inlineStr">
        <is>
          <t>Shopee</t>
        </is>
      </c>
      <c r="G364" s="4" t="inlineStr">
        <is>
          <t>SHOPEE: https://s.shopee.vn/3qNt1d78Ij TIKTOK: LAZADA: WEBSITE BÁN HÀNG:</t>
        </is>
      </c>
      <c r="H364" s="3" t="inlineStr">
        <is>
          <t>KRLK-44370</t>
        </is>
      </c>
      <c r="I364" s="4" t="inlineStr">
        <is>
          <t>Khoan rút lõi bê tông nước + khô KRLK-44*370</t>
        </is>
      </c>
      <c r="J364" s="3" t="inlineStr">
        <is>
          <t>Cái</t>
        </is>
      </c>
      <c r="K364" s="5" t="n">
        <v>212000</v>
      </c>
      <c r="L364" s="5" t="n">
        <v>254000</v>
      </c>
      <c r="M364" s="6" t="n">
        <v>318000</v>
      </c>
      <c r="N364" s="5" t="n"/>
      <c r="O364" s="5">
        <f>IF(AND(ISNUMBER(N364),ISNUMBER(M364)),N364-M364,"")</f>
        <v/>
      </c>
      <c r="P364" s="7">
        <f>IF(AND(ISNUMBER(N364),ISNUMBER(M364),M364&gt;0),(N364-M364)/M364,"")</f>
        <v/>
      </c>
      <c r="Q364" s="3">
        <f>IF(P364="","",IF(P364&lt;-0.02,"🔴 Bán phá giá sàn",IF(P364&gt;0.05,"🔵 Bán cao hơn","🟢 Đúng giá sàn TMĐT")))</f>
        <v/>
      </c>
      <c r="R364" s="3" t="n"/>
      <c r="S364" s="4" t="n"/>
      <c r="T364" s="4" t="n"/>
    </row>
    <row r="365">
      <c r="A365" s="3" t="n">
        <v>364</v>
      </c>
      <c r="B365" s="3" t="inlineStr">
        <is>
          <t>DL002</t>
        </is>
      </c>
      <c r="C365" s="4" t="inlineStr">
        <is>
          <t>Nguyễn Hoàng Phú</t>
        </is>
      </c>
      <c r="D365" s="3" t="inlineStr">
        <is>
          <t>HCM</t>
        </is>
      </c>
      <c r="E365" s="3" t="inlineStr">
        <is>
          <t>BẢO TRÂM</t>
        </is>
      </c>
      <c r="F365" s="3" t="inlineStr">
        <is>
          <t>Shopee</t>
        </is>
      </c>
      <c r="G365" s="4" t="inlineStr">
        <is>
          <t>SHOPEE: https://s.shopee.vn/3qNt1d78Ij TIKTOK: LAZADA: WEBSITE BÁN HÀNG:</t>
        </is>
      </c>
      <c r="H365" s="3" t="inlineStr">
        <is>
          <t>KRLK-51370</t>
        </is>
      </c>
      <c r="I365" s="4" t="inlineStr">
        <is>
          <t>Khoan rút lõi bê tông nước + khô KRLK-51*370</t>
        </is>
      </c>
      <c r="J365" s="3" t="inlineStr">
        <is>
          <t>Cái</t>
        </is>
      </c>
      <c r="K365" s="5" t="n">
        <v>231000</v>
      </c>
      <c r="L365" s="5" t="n">
        <v>277000</v>
      </c>
      <c r="M365" s="6" t="n">
        <v>347000</v>
      </c>
      <c r="N365" s="5" t="n"/>
      <c r="O365" s="5">
        <f>IF(AND(ISNUMBER(N365),ISNUMBER(M365)),N365-M365,"")</f>
        <v/>
      </c>
      <c r="P365" s="7">
        <f>IF(AND(ISNUMBER(N365),ISNUMBER(M365),M365&gt;0),(N365-M365)/M365,"")</f>
        <v/>
      </c>
      <c r="Q365" s="3">
        <f>IF(P365="","",IF(P365&lt;-0.02,"🔴 Bán phá giá sàn",IF(P365&gt;0.05,"🔵 Bán cao hơn","🟢 Đúng giá sàn TMĐT")))</f>
        <v/>
      </c>
      <c r="R365" s="3" t="n"/>
      <c r="S365" s="4" t="n"/>
      <c r="T365" s="4" t="n"/>
    </row>
    <row r="366">
      <c r="A366" s="3" t="n">
        <v>365</v>
      </c>
      <c r="B366" s="3" t="inlineStr">
        <is>
          <t>DL002</t>
        </is>
      </c>
      <c r="C366" s="4" t="inlineStr">
        <is>
          <t>Nguyễn Hoàng Phú</t>
        </is>
      </c>
      <c r="D366" s="3" t="inlineStr">
        <is>
          <t>HCM</t>
        </is>
      </c>
      <c r="E366" s="3" t="inlineStr">
        <is>
          <t>BẢO TRÂM</t>
        </is>
      </c>
      <c r="F366" s="3" t="inlineStr">
        <is>
          <t>Shopee</t>
        </is>
      </c>
      <c r="G366" s="4" t="inlineStr">
        <is>
          <t>SHOPEE: https://s.shopee.vn/3qNt1d78Ij TIKTOK: LAZADA: WEBSITE BÁN HÀNG:</t>
        </is>
      </c>
      <c r="H366" s="3" t="inlineStr">
        <is>
          <t>KRLK-56370</t>
        </is>
      </c>
      <c r="I366" s="4" t="inlineStr">
        <is>
          <t>Khoan rút lõi bê tông nước + khô KRLK-56*370</t>
        </is>
      </c>
      <c r="J366" s="3" t="inlineStr">
        <is>
          <t>Cái</t>
        </is>
      </c>
      <c r="K366" s="5" t="n">
        <v>244000</v>
      </c>
      <c r="L366" s="5" t="n">
        <v>293000</v>
      </c>
      <c r="M366" s="6" t="n">
        <v>366000</v>
      </c>
      <c r="N366" s="5" t="n"/>
      <c r="O366" s="5">
        <f>IF(AND(ISNUMBER(N366),ISNUMBER(M366)),N366-M366,"")</f>
        <v/>
      </c>
      <c r="P366" s="7">
        <f>IF(AND(ISNUMBER(N366),ISNUMBER(M366),M366&gt;0),(N366-M366)/M366,"")</f>
        <v/>
      </c>
      <c r="Q366" s="3">
        <f>IF(P366="","",IF(P366&lt;-0.02,"🔴 Bán phá giá sàn",IF(P366&gt;0.05,"🔵 Bán cao hơn","🟢 Đúng giá sàn TMĐT")))</f>
        <v/>
      </c>
      <c r="R366" s="3" t="n"/>
      <c r="S366" s="4" t="n"/>
      <c r="T366" s="4" t="n"/>
    </row>
    <row r="367">
      <c r="A367" s="3" t="n">
        <v>366</v>
      </c>
      <c r="B367" s="3" t="inlineStr">
        <is>
          <t>DL002</t>
        </is>
      </c>
      <c r="C367" s="4" t="inlineStr">
        <is>
          <t>Nguyễn Hoàng Phú</t>
        </is>
      </c>
      <c r="D367" s="3" t="inlineStr">
        <is>
          <t>HCM</t>
        </is>
      </c>
      <c r="E367" s="3" t="inlineStr">
        <is>
          <t>BẢO TRÂM</t>
        </is>
      </c>
      <c r="F367" s="3" t="inlineStr">
        <is>
          <t>Shopee</t>
        </is>
      </c>
      <c r="G367" s="4" t="inlineStr">
        <is>
          <t>SHOPEE: https://s.shopee.vn/3qNt1d78Ij TIKTOK: LAZADA: WEBSITE BÁN HÀNG:</t>
        </is>
      </c>
      <c r="H367" s="3" t="inlineStr">
        <is>
          <t>KRLK-63370</t>
        </is>
      </c>
      <c r="I367" s="4" t="inlineStr">
        <is>
          <t>Khoan rút lõi bê tông nước + khô KRLK-63*370</t>
        </is>
      </c>
      <c r="J367" s="3" t="inlineStr">
        <is>
          <t>Cái</t>
        </is>
      </c>
      <c r="K367" s="5" t="n">
        <v>282000</v>
      </c>
      <c r="L367" s="5" t="n">
        <v>338000</v>
      </c>
      <c r="M367" s="6" t="n">
        <v>423000</v>
      </c>
      <c r="N367" s="5" t="n"/>
      <c r="O367" s="5">
        <f>IF(AND(ISNUMBER(N367),ISNUMBER(M367)),N367-M367,"")</f>
        <v/>
      </c>
      <c r="P367" s="7">
        <f>IF(AND(ISNUMBER(N367),ISNUMBER(M367),M367&gt;0),(N367-M367)/M367,"")</f>
        <v/>
      </c>
      <c r="Q367" s="3">
        <f>IF(P367="","",IF(P367&lt;-0.02,"🔴 Bán phá giá sàn",IF(P367&gt;0.05,"🔵 Bán cao hơn","🟢 Đúng giá sàn TMĐT")))</f>
        <v/>
      </c>
      <c r="R367" s="3" t="n"/>
      <c r="S367" s="4" t="n"/>
      <c r="T367" s="4" t="n"/>
    </row>
    <row r="368">
      <c r="A368" s="3" t="n">
        <v>367</v>
      </c>
      <c r="B368" s="3" t="inlineStr">
        <is>
          <t>DL002</t>
        </is>
      </c>
      <c r="C368" s="4" t="inlineStr">
        <is>
          <t>Nguyễn Hoàng Phú</t>
        </is>
      </c>
      <c r="D368" s="3" t="inlineStr">
        <is>
          <t>HCM</t>
        </is>
      </c>
      <c r="E368" s="3" t="inlineStr">
        <is>
          <t>BẢO TRÂM</t>
        </is>
      </c>
      <c r="F368" s="3" t="inlineStr">
        <is>
          <t>Shopee</t>
        </is>
      </c>
      <c r="G368" s="4" t="inlineStr">
        <is>
          <t>SHOPEE: https://s.shopee.vn/3qNt1d78Ij TIKTOK: LAZADA: WEBSITE BÁN HÀNG:</t>
        </is>
      </c>
      <c r="H368" s="3" t="inlineStr">
        <is>
          <t>E3-105DN</t>
        </is>
      </c>
      <c r="I368" s="4" t="inlineStr">
        <is>
          <t>Lưỡi cắt KingBlue E3-105DN</t>
        </is>
      </c>
      <c r="J368" s="3" t="inlineStr">
        <is>
          <t>Cái</t>
        </is>
      </c>
      <c r="K368" s="5" t="n">
        <v>70000</v>
      </c>
      <c r="L368" s="5" t="n">
        <v>83000</v>
      </c>
      <c r="M368" s="6" t="n">
        <v>102000</v>
      </c>
      <c r="N368" s="5" t="n"/>
      <c r="O368" s="5">
        <f>IF(AND(ISNUMBER(N368),ISNUMBER(M368)),N368-M368,"")</f>
        <v/>
      </c>
      <c r="P368" s="7">
        <f>IF(AND(ISNUMBER(N368),ISNUMBER(M368),M368&gt;0),(N368-M368)/M368,"")</f>
        <v/>
      </c>
      <c r="Q368" s="3">
        <f>IF(P368="","",IF(P368&lt;-0.02,"🔴 Bán phá giá sàn",IF(P368&gt;0.05,"🔵 Bán cao hơn","🟢 Đúng giá sàn TMĐT")))</f>
        <v/>
      </c>
      <c r="R368" s="3" t="n"/>
      <c r="S368" s="4" t="n"/>
      <c r="T368" s="4" t="n"/>
    </row>
    <row r="369">
      <c r="A369" s="3" t="n">
        <v>368</v>
      </c>
      <c r="B369" s="3" t="inlineStr">
        <is>
          <t>DL002</t>
        </is>
      </c>
      <c r="C369" s="4" t="inlineStr">
        <is>
          <t>Nguyễn Hoàng Phú</t>
        </is>
      </c>
      <c r="D369" s="3" t="inlineStr">
        <is>
          <t>HCM</t>
        </is>
      </c>
      <c r="E369" s="3" t="inlineStr">
        <is>
          <t>BẢO TRÂM</t>
        </is>
      </c>
      <c r="F369" s="3" t="inlineStr">
        <is>
          <t>Shopee</t>
        </is>
      </c>
      <c r="G369" s="4" t="inlineStr">
        <is>
          <t>SHOPEE: https://s.shopee.vn/3qNt1d78Ij TIKTOK: LAZADA: WEBSITE BÁN HÀNG:</t>
        </is>
      </c>
      <c r="H369" s="3" t="inlineStr">
        <is>
          <t>E3-125DN</t>
        </is>
      </c>
      <c r="I369" s="4" t="inlineStr">
        <is>
          <t>Lưỡi cắt KingBlue E3-125DN</t>
        </is>
      </c>
      <c r="J369" s="3" t="inlineStr">
        <is>
          <t>Cái</t>
        </is>
      </c>
      <c r="K369" s="5" t="n">
        <v>88000</v>
      </c>
      <c r="L369" s="5" t="n">
        <v>104000</v>
      </c>
      <c r="M369" s="6" t="n">
        <v>128000</v>
      </c>
      <c r="N369" s="5" t="n"/>
      <c r="O369" s="5">
        <f>IF(AND(ISNUMBER(N369),ISNUMBER(M369)),N369-M369,"")</f>
        <v/>
      </c>
      <c r="P369" s="7">
        <f>IF(AND(ISNUMBER(N369),ISNUMBER(M369),M369&gt;0),(N369-M369)/M369,"")</f>
        <v/>
      </c>
      <c r="Q369" s="3">
        <f>IF(P369="","",IF(P369&lt;-0.02,"🔴 Bán phá giá sàn",IF(P369&gt;0.05,"🔵 Bán cao hơn","🟢 Đúng giá sàn TMĐT")))</f>
        <v/>
      </c>
      <c r="R369" s="3" t="n"/>
      <c r="S369" s="4" t="n"/>
      <c r="T369" s="4" t="n"/>
    </row>
    <row r="370">
      <c r="A370" s="3" t="n">
        <v>369</v>
      </c>
      <c r="B370" s="3" t="inlineStr">
        <is>
          <t>DL002</t>
        </is>
      </c>
      <c r="C370" s="4" t="inlineStr">
        <is>
          <t>Nguyễn Hoàng Phú</t>
        </is>
      </c>
      <c r="D370" s="3" t="inlineStr">
        <is>
          <t>HCM</t>
        </is>
      </c>
      <c r="E370" s="3" t="inlineStr">
        <is>
          <t>BẢO TRÂM</t>
        </is>
      </c>
      <c r="F370" s="3" t="inlineStr">
        <is>
          <t>Shopee</t>
        </is>
      </c>
      <c r="G370" s="4" t="inlineStr">
        <is>
          <t>SHOPEE: https://s.shopee.vn/3qNt1d78Ij TIKTOK: LAZADA: WEBSITE BÁN HÀNG:</t>
        </is>
      </c>
      <c r="H370" s="3" t="inlineStr">
        <is>
          <t>S1-105DN</t>
        </is>
      </c>
      <c r="I370" s="4" t="inlineStr">
        <is>
          <t>Lưỡi cắt KingBlue S1-105DN</t>
        </is>
      </c>
      <c r="J370" s="3" t="inlineStr">
        <is>
          <t>Cái</t>
        </is>
      </c>
      <c r="K370" s="5" t="n">
        <v>60000</v>
      </c>
      <c r="L370" s="5" t="n">
        <v>71000</v>
      </c>
      <c r="M370" s="6" t="n">
        <v>87000</v>
      </c>
      <c r="N370" s="5" t="n"/>
      <c r="O370" s="5">
        <f>IF(AND(ISNUMBER(N370),ISNUMBER(M370)),N370-M370,"")</f>
        <v/>
      </c>
      <c r="P370" s="7">
        <f>IF(AND(ISNUMBER(N370),ISNUMBER(M370),M370&gt;0),(N370-M370)/M370,"")</f>
        <v/>
      </c>
      <c r="Q370" s="3">
        <f>IF(P370="","",IF(P370&lt;-0.02,"🔴 Bán phá giá sàn",IF(P370&gt;0.05,"🔵 Bán cao hơn","🟢 Đúng giá sàn TMĐT")))</f>
        <v/>
      </c>
      <c r="R370" s="3" t="n"/>
      <c r="S370" s="4" t="n"/>
      <c r="T370" s="4" t="n"/>
    </row>
    <row r="371">
      <c r="A371" s="3" t="n">
        <v>370</v>
      </c>
      <c r="B371" s="3" t="inlineStr">
        <is>
          <t>DL002</t>
        </is>
      </c>
      <c r="C371" s="4" t="inlineStr">
        <is>
          <t>Nguyễn Hoàng Phú</t>
        </is>
      </c>
      <c r="D371" s="3" t="inlineStr">
        <is>
          <t>HCM</t>
        </is>
      </c>
      <c r="E371" s="3" t="inlineStr">
        <is>
          <t>BẢO TRÂM</t>
        </is>
      </c>
      <c r="F371" s="3" t="inlineStr">
        <is>
          <t>Shopee</t>
        </is>
      </c>
      <c r="G371" s="4" t="inlineStr">
        <is>
          <t>SHOPEE: https://s.shopee.vn/3qNt1d78Ij TIKTOK: LAZADA: WEBSITE BÁN HÀNG:</t>
        </is>
      </c>
      <c r="H371" s="3" t="inlineStr">
        <is>
          <t>S1-125DN</t>
        </is>
      </c>
      <c r="I371" s="4" t="inlineStr">
        <is>
          <t>Lưỡi cắt KingBlue S1-125DN</t>
        </is>
      </c>
      <c r="J371" s="3" t="inlineStr">
        <is>
          <t>Cái</t>
        </is>
      </c>
      <c r="K371" s="5" t="n">
        <v>80000</v>
      </c>
      <c r="L371" s="5" t="n">
        <v>94000</v>
      </c>
      <c r="M371" s="6" t="n">
        <v>116000</v>
      </c>
      <c r="N371" s="5" t="n"/>
      <c r="O371" s="5">
        <f>IF(AND(ISNUMBER(N371),ISNUMBER(M371)),N371-M371,"")</f>
        <v/>
      </c>
      <c r="P371" s="7">
        <f>IF(AND(ISNUMBER(N371),ISNUMBER(M371),M371&gt;0),(N371-M371)/M371,"")</f>
        <v/>
      </c>
      <c r="Q371" s="3">
        <f>IF(P371="","",IF(P371&lt;-0.02,"🔴 Bán phá giá sàn",IF(P371&gt;0.05,"🔵 Bán cao hơn","🟢 Đúng giá sàn TMĐT")))</f>
        <v/>
      </c>
      <c r="R371" s="3" t="n"/>
      <c r="S371" s="4" t="n"/>
      <c r="T371" s="4" t="n"/>
    </row>
    <row r="372">
      <c r="A372" s="3" t="n">
        <v>371</v>
      </c>
      <c r="B372" s="3" t="inlineStr">
        <is>
          <t>DL002</t>
        </is>
      </c>
      <c r="C372" s="4" t="inlineStr">
        <is>
          <t>Nguyễn Hoàng Phú</t>
        </is>
      </c>
      <c r="D372" s="3" t="inlineStr">
        <is>
          <t>HCM</t>
        </is>
      </c>
      <c r="E372" s="3" t="inlineStr">
        <is>
          <t>BẢO TRÂM</t>
        </is>
      </c>
      <c r="F372" s="3" t="inlineStr">
        <is>
          <t>Shopee</t>
        </is>
      </c>
      <c r="G372" s="4" t="inlineStr">
        <is>
          <t>SHOPEE: https://s.shopee.vn/3qNt1d78Ij TIKTOK: LAZADA: WEBSITE BÁN HÀNG:</t>
        </is>
      </c>
      <c r="H372" s="3" t="inlineStr">
        <is>
          <t>TS-114R</t>
        </is>
      </c>
      <c r="I372" s="4" t="inlineStr">
        <is>
          <t>Lưỡi cắt KingBlue TS-114R</t>
        </is>
      </c>
      <c r="J372" s="3" t="inlineStr">
        <is>
          <t>Cái</t>
        </is>
      </c>
      <c r="K372" s="5" t="n">
        <v>53000</v>
      </c>
      <c r="L372" s="5" t="n">
        <v>63000</v>
      </c>
      <c r="M372" s="6" t="n">
        <v>77000</v>
      </c>
      <c r="N372" s="5" t="n"/>
      <c r="O372" s="5">
        <f>IF(AND(ISNUMBER(N372),ISNUMBER(M372)),N372-M372,"")</f>
        <v/>
      </c>
      <c r="P372" s="7">
        <f>IF(AND(ISNUMBER(N372),ISNUMBER(M372),M372&gt;0),(N372-M372)/M372,"")</f>
        <v/>
      </c>
      <c r="Q372" s="3">
        <f>IF(P372="","",IF(P372&lt;-0.02,"🔴 Bán phá giá sàn",IF(P372&gt;0.05,"🔵 Bán cao hơn","🟢 Đúng giá sàn TMĐT")))</f>
        <v/>
      </c>
      <c r="R372" s="3" t="n"/>
      <c r="S372" s="4" t="n"/>
      <c r="T372" s="4" t="n"/>
    </row>
    <row r="373">
      <c r="A373" s="3" t="n">
        <v>372</v>
      </c>
      <c r="B373" s="3" t="inlineStr">
        <is>
          <t>DL002</t>
        </is>
      </c>
      <c r="C373" s="4" t="inlineStr">
        <is>
          <t>Nguyễn Hoàng Phú</t>
        </is>
      </c>
      <c r="D373" s="3" t="inlineStr">
        <is>
          <t>HCM</t>
        </is>
      </c>
      <c r="E373" s="3" t="inlineStr">
        <is>
          <t>BẢO TRÂM</t>
        </is>
      </c>
      <c r="F373" s="3" t="inlineStr">
        <is>
          <t>Shopee</t>
        </is>
      </c>
      <c r="G373" s="4" t="inlineStr">
        <is>
          <t>SHOPEE: https://s.shopee.vn/3qNt1d78Ij TIKTOK: LAZADA: WEBSITE BÁN HÀNG:</t>
        </is>
      </c>
      <c r="H373" s="3" t="inlineStr">
        <is>
          <t>V1</t>
        </is>
      </c>
      <c r="I373" s="4" t="inlineStr">
        <is>
          <t>Lưỡi cắt KingBlue V1 110ĐN</t>
        </is>
      </c>
      <c r="J373" s="3" t="inlineStr">
        <is>
          <t>Cái</t>
        </is>
      </c>
      <c r="K373" s="5" t="n">
        <v>59000</v>
      </c>
      <c r="L373" s="5" t="n">
        <v>70000</v>
      </c>
      <c r="M373" s="6" t="n">
        <v>86000</v>
      </c>
      <c r="N373" s="5" t="n"/>
      <c r="O373" s="5">
        <f>IF(AND(ISNUMBER(N373),ISNUMBER(M373)),N373-M373,"")</f>
        <v/>
      </c>
      <c r="P373" s="7">
        <f>IF(AND(ISNUMBER(N373),ISNUMBER(M373),M373&gt;0),(N373-M373)/M373,"")</f>
        <v/>
      </c>
      <c r="Q373" s="3">
        <f>IF(P373="","",IF(P373&lt;-0.02,"🔴 Bán phá giá sàn",IF(P373&gt;0.05,"🔵 Bán cao hơn","🟢 Đúng giá sàn TMĐT")))</f>
        <v/>
      </c>
      <c r="R373" s="3" t="n"/>
      <c r="S373" s="4" t="n"/>
      <c r="T373" s="4" t="n"/>
    </row>
    <row r="374">
      <c r="A374" s="3" t="n">
        <v>373</v>
      </c>
      <c r="B374" s="3" t="inlineStr">
        <is>
          <t>DL002</t>
        </is>
      </c>
      <c r="C374" s="4" t="inlineStr">
        <is>
          <t>Nguyễn Hoàng Phú</t>
        </is>
      </c>
      <c r="D374" s="3" t="inlineStr">
        <is>
          <t>HCM</t>
        </is>
      </c>
      <c r="E374" s="3" t="inlineStr">
        <is>
          <t>BẢO TRÂM</t>
        </is>
      </c>
      <c r="F374" s="3" t="inlineStr">
        <is>
          <t>Shopee</t>
        </is>
      </c>
      <c r="G374" s="4" t="inlineStr">
        <is>
          <t>SHOPEE: https://s.shopee.vn/3qNt1d78Ij TIKTOK: LAZADA: WEBSITE BÁN HÀNG:</t>
        </is>
      </c>
      <c r="H374" s="3" t="inlineStr">
        <is>
          <t>X1-110x30T</t>
        </is>
      </c>
      <c r="I374" s="4" t="inlineStr">
        <is>
          <t>Lưỡi cưa Kingblue X1-110x30T (Cưa gỗ)-NEW</t>
        </is>
      </c>
      <c r="J374" s="3" t="inlineStr">
        <is>
          <t>Cái</t>
        </is>
      </c>
      <c r="K374" s="5" t="n">
        <v>88000</v>
      </c>
      <c r="L374" s="5" t="n">
        <v>104000</v>
      </c>
      <c r="M374" s="6" t="n">
        <v>128000</v>
      </c>
      <c r="N374" s="5" t="n"/>
      <c r="O374" s="5">
        <f>IF(AND(ISNUMBER(N374),ISNUMBER(M374)),N374-M374,"")</f>
        <v/>
      </c>
      <c r="P374" s="7">
        <f>IF(AND(ISNUMBER(N374),ISNUMBER(M374),M374&gt;0),(N374-M374)/M374,"")</f>
        <v/>
      </c>
      <c r="Q374" s="3">
        <f>IF(P374="","",IF(P374&lt;-0.02,"🔴 Bán phá giá sàn",IF(P374&gt;0.05,"🔵 Bán cao hơn","🟢 Đúng giá sàn TMĐT")))</f>
        <v/>
      </c>
      <c r="R374" s="3" t="n"/>
      <c r="S374" s="4" t="n"/>
      <c r="T374" s="4" t="n"/>
    </row>
    <row r="375">
      <c r="A375" s="3" t="n">
        <v>374</v>
      </c>
      <c r="B375" s="3" t="inlineStr">
        <is>
          <t>DL002</t>
        </is>
      </c>
      <c r="C375" s="4" t="inlineStr">
        <is>
          <t>Nguyễn Hoàng Phú</t>
        </is>
      </c>
      <c r="D375" s="3" t="inlineStr">
        <is>
          <t>HCM</t>
        </is>
      </c>
      <c r="E375" s="3" t="inlineStr">
        <is>
          <t>BẢO TRÂM</t>
        </is>
      </c>
      <c r="F375" s="3" t="inlineStr">
        <is>
          <t>Shopee</t>
        </is>
      </c>
      <c r="G375" s="4" t="inlineStr">
        <is>
          <t>SHOPEE: https://s.shopee.vn/3qNt1d78Ij TIKTOK: LAZADA: WEBSITE BÁN HÀNG:</t>
        </is>
      </c>
      <c r="H375" s="3" t="inlineStr">
        <is>
          <t>KBA-UL1200</t>
        </is>
      </c>
      <c r="I375" s="4" t="inlineStr">
        <is>
          <t>Máy rửa xe áp lực cao KBA-UL1200</t>
        </is>
      </c>
      <c r="J375" s="3" t="inlineStr">
        <is>
          <t>Cái</t>
        </is>
      </c>
      <c r="K375" s="5" t="n">
        <v>1290000</v>
      </c>
      <c r="L375" s="5" t="n">
        <v>1450000</v>
      </c>
      <c r="M375" s="6" t="n">
        <v>1680000</v>
      </c>
      <c r="N375" s="5" t="n"/>
      <c r="O375" s="5">
        <f>IF(AND(ISNUMBER(N375),ISNUMBER(M375)),N375-M375,"")</f>
        <v/>
      </c>
      <c r="P375" s="7">
        <f>IF(AND(ISNUMBER(N375),ISNUMBER(M375),M375&gt;0),(N375-M375)/M375,"")</f>
        <v/>
      </c>
      <c r="Q375" s="3">
        <f>IF(P375="","",IF(P375&lt;-0.02,"🔴 Bán phá giá sàn",IF(P375&gt;0.05,"🔵 Bán cao hơn","🟢 Đúng giá sàn TMĐT")))</f>
        <v/>
      </c>
      <c r="R375" s="3" t="n"/>
      <c r="S375" s="4" t="n"/>
      <c r="T375" s="4" t="n"/>
    </row>
    <row r="376">
      <c r="A376" s="3" t="n">
        <v>375</v>
      </c>
      <c r="B376" s="3" t="inlineStr">
        <is>
          <t>DL002</t>
        </is>
      </c>
      <c r="C376" s="4" t="inlineStr">
        <is>
          <t>Nguyễn Hoàng Phú</t>
        </is>
      </c>
      <c r="D376" s="3" t="inlineStr">
        <is>
          <t>HCM</t>
        </is>
      </c>
      <c r="E376" s="3" t="inlineStr">
        <is>
          <t>BẢO TRÂM</t>
        </is>
      </c>
      <c r="F376" s="3" t="inlineStr">
        <is>
          <t>Shopee</t>
        </is>
      </c>
      <c r="G376" s="4" t="inlineStr">
        <is>
          <t>SHOPEE: https://s.shopee.vn/3qNt1d78Ij TIKTOK: LAZADA: WEBSITE BÁN HÀNG:</t>
        </is>
      </c>
      <c r="H376" s="3" t="inlineStr">
        <is>
          <t>V100R</t>
        </is>
      </c>
      <c r="I376" s="4" t="inlineStr">
        <is>
          <t>Mũi bắn vít chống trượt KingBlue V100R</t>
        </is>
      </c>
      <c r="J376" s="3" t="inlineStr">
        <is>
          <t>Vỉ</t>
        </is>
      </c>
      <c r="K376" s="5" t="n">
        <v>29000</v>
      </c>
      <c r="L376" s="5" t="n">
        <v>37000</v>
      </c>
      <c r="M376" s="6" t="n">
        <v>48000</v>
      </c>
      <c r="N376" s="5" t="n"/>
      <c r="O376" s="5">
        <f>IF(AND(ISNUMBER(N376),ISNUMBER(M376)),N376-M376,"")</f>
        <v/>
      </c>
      <c r="P376" s="7">
        <f>IF(AND(ISNUMBER(N376),ISNUMBER(M376),M376&gt;0),(N376-M376)/M376,"")</f>
        <v/>
      </c>
      <c r="Q376" s="3">
        <f>IF(P376="","",IF(P376&lt;-0.02,"🔴 Bán phá giá sàn",IF(P376&gt;0.05,"🔵 Bán cao hơn","🟢 Đúng giá sàn TMĐT")))</f>
        <v/>
      </c>
      <c r="R376" s="3" t="n"/>
      <c r="S376" s="4" t="n"/>
      <c r="T376" s="4" t="n"/>
    </row>
    <row r="377">
      <c r="A377" s="3" t="n">
        <v>376</v>
      </c>
      <c r="B377" s="3" t="inlineStr">
        <is>
          <t>DL002</t>
        </is>
      </c>
      <c r="C377" s="4" t="inlineStr">
        <is>
          <t>Nguyễn Hoàng Phú</t>
        </is>
      </c>
      <c r="D377" s="3" t="inlineStr">
        <is>
          <t>HCM</t>
        </is>
      </c>
      <c r="E377" s="3" t="inlineStr">
        <is>
          <t>BẢO TRÂM</t>
        </is>
      </c>
      <c r="F377" s="3" t="inlineStr">
        <is>
          <t>Shopee</t>
        </is>
      </c>
      <c r="G377" s="4" t="inlineStr">
        <is>
          <t>SHOPEE: https://s.shopee.vn/3qNt1d78Ij TIKTOK: LAZADA: WEBSITE BÁN HÀNG:</t>
        </is>
      </c>
      <c r="H377" s="3" t="inlineStr">
        <is>
          <t>V150R</t>
        </is>
      </c>
      <c r="I377" s="4" t="inlineStr">
        <is>
          <t>Mũi bắn vít chống trượt KingBlue V150R</t>
        </is>
      </c>
      <c r="J377" s="3" t="inlineStr">
        <is>
          <t>Vỉ</t>
        </is>
      </c>
      <c r="K377" s="5" t="n">
        <v>40000</v>
      </c>
      <c r="L377" s="5" t="n">
        <v>50000</v>
      </c>
      <c r="M377" s="6" t="n">
        <v>66000</v>
      </c>
      <c r="N377" s="5" t="n"/>
      <c r="O377" s="5">
        <f>IF(AND(ISNUMBER(N377),ISNUMBER(M377)),N377-M377,"")</f>
        <v/>
      </c>
      <c r="P377" s="7">
        <f>IF(AND(ISNUMBER(N377),ISNUMBER(M377),M377&gt;0),(N377-M377)/M377,"")</f>
        <v/>
      </c>
      <c r="Q377" s="3">
        <f>IF(P377="","",IF(P377&lt;-0.02,"🔴 Bán phá giá sàn",IF(P377&gt;0.05,"🔵 Bán cao hơn","🟢 Đúng giá sàn TMĐT")))</f>
        <v/>
      </c>
      <c r="R377" s="3" t="n"/>
      <c r="S377" s="4" t="n"/>
      <c r="T377" s="4" t="n"/>
    </row>
    <row r="378">
      <c r="A378" s="3" t="n">
        <v>377</v>
      </c>
      <c r="B378" s="3" t="inlineStr">
        <is>
          <t>DL002</t>
        </is>
      </c>
      <c r="C378" s="4" t="inlineStr">
        <is>
          <t>Nguyễn Hoàng Phú</t>
        </is>
      </c>
      <c r="D378" s="3" t="inlineStr">
        <is>
          <t>HCM</t>
        </is>
      </c>
      <c r="E378" s="3" t="inlineStr">
        <is>
          <t>BẢO TRÂM</t>
        </is>
      </c>
      <c r="F378" s="3" t="inlineStr">
        <is>
          <t>Shopee</t>
        </is>
      </c>
      <c r="G378" s="4" t="inlineStr">
        <is>
          <t>SHOPEE: https://s.shopee.vn/3qNt1d78Ij TIKTOK: LAZADA: WEBSITE BÁN HÀNG:</t>
        </is>
      </c>
      <c r="H378" s="3" t="inlineStr">
        <is>
          <t>V65R</t>
        </is>
      </c>
      <c r="I378" s="4" t="inlineStr">
        <is>
          <t>Mũi bắn vít chống trượt KingBlue V65R</t>
        </is>
      </c>
      <c r="J378" s="3" t="inlineStr">
        <is>
          <t>Vỉ</t>
        </is>
      </c>
      <c r="K378" s="5" t="n">
        <v>20000</v>
      </c>
      <c r="L378" s="5" t="n">
        <v>25000</v>
      </c>
      <c r="M378" s="6" t="n">
        <v>33000</v>
      </c>
      <c r="N378" s="5" t="n"/>
      <c r="O378" s="5">
        <f>IF(AND(ISNUMBER(N378),ISNUMBER(M378)),N378-M378,"")</f>
        <v/>
      </c>
      <c r="P378" s="7">
        <f>IF(AND(ISNUMBER(N378),ISNUMBER(M378),M378&gt;0),(N378-M378)/M378,"")</f>
        <v/>
      </c>
      <c r="Q378" s="3">
        <f>IF(P378="","",IF(P378&lt;-0.02,"🔴 Bán phá giá sàn",IF(P378&gt;0.05,"🔵 Bán cao hơn","🟢 Đúng giá sàn TMĐT")))</f>
        <v/>
      </c>
      <c r="R378" s="3" t="n"/>
      <c r="S378" s="4" t="n"/>
      <c r="T378" s="4" t="n"/>
    </row>
    <row r="379">
      <c r="A379" s="3" t="n">
        <v>378</v>
      </c>
      <c r="B379" s="3" t="inlineStr">
        <is>
          <t>DL002</t>
        </is>
      </c>
      <c r="C379" s="4" t="inlineStr">
        <is>
          <t>Nguyễn Hoàng Phú</t>
        </is>
      </c>
      <c r="D379" s="3" t="inlineStr">
        <is>
          <t>HCM</t>
        </is>
      </c>
      <c r="E379" s="3" t="inlineStr">
        <is>
          <t>BẢO TRÂM</t>
        </is>
      </c>
      <c r="F379" s="3" t="inlineStr">
        <is>
          <t>Shopee</t>
        </is>
      </c>
      <c r="G379" s="4" t="inlineStr">
        <is>
          <t>SHOPEE: https://s.shopee.vn/3qNt1d78Ij TIKTOK: LAZADA: WEBSITE BÁN HÀNG:</t>
        </is>
      </c>
      <c r="H379" s="3" t="inlineStr"/>
      <c r="I379" s="4" t="inlineStr">
        <is>
          <t>Mũi đục bê tông KBVd-14*250*22</t>
        </is>
      </c>
      <c r="J379" s="3" t="inlineStr">
        <is>
          <t>Cái</t>
        </is>
      </c>
      <c r="K379" s="5" t="n">
        <v>269000</v>
      </c>
      <c r="L379" s="5" t="n">
        <v>317000</v>
      </c>
      <c r="M379" s="6" t="n">
        <v>390000</v>
      </c>
      <c r="N379" s="5" t="n"/>
      <c r="O379" s="5">
        <f>IF(AND(ISNUMBER(N379),ISNUMBER(M379)),N379-M379,"")</f>
        <v/>
      </c>
      <c r="P379" s="7">
        <f>IF(AND(ISNUMBER(N379),ISNUMBER(M379),M379&gt;0),(N379-M379)/M379,"")</f>
        <v/>
      </c>
      <c r="Q379" s="3">
        <f>IF(P379="","",IF(P379&lt;-0.02,"🔴 Bán phá giá sàn",IF(P379&gt;0.05,"🔵 Bán cao hơn","🟢 Đúng giá sàn TMĐT")))</f>
        <v/>
      </c>
      <c r="R379" s="3" t="n"/>
      <c r="S379" s="4" t="n"/>
      <c r="T379" s="4" t="n"/>
    </row>
    <row r="380">
      <c r="A380" s="3" t="n">
        <v>379</v>
      </c>
      <c r="B380" s="3" t="inlineStr">
        <is>
          <t>DL002</t>
        </is>
      </c>
      <c r="C380" s="4" t="inlineStr">
        <is>
          <t>Nguyễn Hoàng Phú</t>
        </is>
      </c>
      <c r="D380" s="3" t="inlineStr">
        <is>
          <t>HCM</t>
        </is>
      </c>
      <c r="E380" s="3" t="inlineStr">
        <is>
          <t>BẢO TRÂM</t>
        </is>
      </c>
      <c r="F380" s="3" t="inlineStr">
        <is>
          <t>Shopee</t>
        </is>
      </c>
      <c r="G380" s="4" t="inlineStr">
        <is>
          <t>SHOPEE: https://s.shopee.vn/3qNt1d78Ij TIKTOK: LAZADA: WEBSITE BÁN HÀNG:</t>
        </is>
      </c>
      <c r="H380" s="3" t="inlineStr"/>
      <c r="I380" s="4" t="inlineStr">
        <is>
          <t>Mũi đục bê tông KBVd-17*280*25</t>
        </is>
      </c>
      <c r="J380" s="3" t="inlineStr">
        <is>
          <t>Cái</t>
        </is>
      </c>
      <c r="K380" s="5" t="n">
        <v>269000</v>
      </c>
      <c r="L380" s="5" t="n">
        <v>317000</v>
      </c>
      <c r="M380" s="6" t="n">
        <v>390000</v>
      </c>
      <c r="N380" s="5" t="n"/>
      <c r="O380" s="5">
        <f>IF(AND(ISNUMBER(N380),ISNUMBER(M380)),N380-M380,"")</f>
        <v/>
      </c>
      <c r="P380" s="7">
        <f>IF(AND(ISNUMBER(N380),ISNUMBER(M380),M380&gt;0),(N380-M380)/M380,"")</f>
        <v/>
      </c>
      <c r="Q380" s="3">
        <f>IF(P380="","",IF(P380&lt;-0.02,"🔴 Bán phá giá sàn",IF(P380&gt;0.05,"🔵 Bán cao hơn","🟢 Đúng giá sàn TMĐT")))</f>
        <v/>
      </c>
      <c r="R380" s="3" t="n"/>
      <c r="S380" s="4" t="n"/>
      <c r="T380" s="4" t="n"/>
    </row>
    <row r="381">
      <c r="A381" s="3" t="n">
        <v>380</v>
      </c>
      <c r="B381" s="3" t="inlineStr">
        <is>
          <t>DL002</t>
        </is>
      </c>
      <c r="C381" s="4" t="inlineStr">
        <is>
          <t>Nguyễn Hoàng Phú</t>
        </is>
      </c>
      <c r="D381" s="3" t="inlineStr">
        <is>
          <t>HCM</t>
        </is>
      </c>
      <c r="E381" s="3" t="inlineStr">
        <is>
          <t>BẢO TRÂM</t>
        </is>
      </c>
      <c r="F381" s="3" t="inlineStr">
        <is>
          <t>Shopee</t>
        </is>
      </c>
      <c r="G381" s="4" t="inlineStr">
        <is>
          <t>SHOPEE: https://s.shopee.vn/3qNt1d78Ij TIKTOK: LAZADA: WEBSITE BÁN HÀNG:</t>
        </is>
      </c>
      <c r="H381" s="3" t="inlineStr"/>
      <c r="I381" s="4" t="inlineStr">
        <is>
          <t>Mũi đục bê tông KBVn 30*420</t>
        </is>
      </c>
      <c r="J381" s="3" t="inlineStr">
        <is>
          <t>Cái</t>
        </is>
      </c>
      <c r="K381" s="5" t="n">
        <v>269000</v>
      </c>
      <c r="L381" s="5" t="n">
        <v>317000</v>
      </c>
      <c r="M381" s="6" t="n">
        <v>390000</v>
      </c>
      <c r="N381" s="5" t="n"/>
      <c r="O381" s="5">
        <f>IF(AND(ISNUMBER(N381),ISNUMBER(M381)),N381-M381,"")</f>
        <v/>
      </c>
      <c r="P381" s="7">
        <f>IF(AND(ISNUMBER(N381),ISNUMBER(M381),M381&gt;0),(N381-M381)/M381,"")</f>
        <v/>
      </c>
      <c r="Q381" s="3">
        <f>IF(P381="","",IF(P381&lt;-0.02,"🔴 Bán phá giá sàn",IF(P381&gt;0.05,"🔵 Bán cao hơn","🟢 Đúng giá sàn TMĐT")))</f>
        <v/>
      </c>
      <c r="R381" s="3" t="n"/>
      <c r="S381" s="4" t="n"/>
      <c r="T381" s="4" t="n"/>
    </row>
    <row r="382">
      <c r="A382" s="3" t="n">
        <v>381</v>
      </c>
      <c r="B382" s="3" t="inlineStr">
        <is>
          <t>DL002</t>
        </is>
      </c>
      <c r="C382" s="4" t="inlineStr">
        <is>
          <t>Nguyễn Hoàng Phú</t>
        </is>
      </c>
      <c r="D382" s="3" t="inlineStr">
        <is>
          <t>HCM</t>
        </is>
      </c>
      <c r="E382" s="3" t="inlineStr">
        <is>
          <t>BẢO TRÂM</t>
        </is>
      </c>
      <c r="F382" s="3" t="inlineStr">
        <is>
          <t>Shopee</t>
        </is>
      </c>
      <c r="G382" s="4" t="inlineStr">
        <is>
          <t>SHOPEE: https://s.shopee.vn/3qNt1d78Ij TIKTOK: LAZADA: WEBSITE BÁN HÀNG:</t>
        </is>
      </c>
      <c r="H382" s="3" t="inlineStr"/>
      <c r="I382" s="4" t="inlineStr">
        <is>
          <t>Mũi đục bê tông KBVn-14*250</t>
        </is>
      </c>
      <c r="J382" s="3" t="inlineStr">
        <is>
          <t>Cái</t>
        </is>
      </c>
      <c r="K382" s="5" t="n">
        <v>269000</v>
      </c>
      <c r="L382" s="5" t="n">
        <v>317000</v>
      </c>
      <c r="M382" s="6" t="n">
        <v>390000</v>
      </c>
      <c r="N382" s="5" t="n"/>
      <c r="O382" s="5">
        <f>IF(AND(ISNUMBER(N382),ISNUMBER(M382)),N382-M382,"")</f>
        <v/>
      </c>
      <c r="P382" s="7">
        <f>IF(AND(ISNUMBER(N382),ISNUMBER(M382),M382&gt;0),(N382-M382)/M382,"")</f>
        <v/>
      </c>
      <c r="Q382" s="3">
        <f>IF(P382="","",IF(P382&lt;-0.02,"🔴 Bán phá giá sàn",IF(P382&gt;0.05,"🔵 Bán cao hơn","🟢 Đúng giá sàn TMĐT")))</f>
        <v/>
      </c>
      <c r="R382" s="3" t="n"/>
      <c r="S382" s="4" t="n"/>
      <c r="T382" s="4" t="n"/>
    </row>
    <row r="383">
      <c r="A383" s="3" t="n">
        <v>382</v>
      </c>
      <c r="B383" s="3" t="inlineStr">
        <is>
          <t>DL002</t>
        </is>
      </c>
      <c r="C383" s="4" t="inlineStr">
        <is>
          <t>Nguyễn Hoàng Phú</t>
        </is>
      </c>
      <c r="D383" s="3" t="inlineStr">
        <is>
          <t>HCM</t>
        </is>
      </c>
      <c r="E383" s="3" t="inlineStr">
        <is>
          <t>BẢO TRÂM</t>
        </is>
      </c>
      <c r="F383" s="3" t="inlineStr">
        <is>
          <t>Shopee</t>
        </is>
      </c>
      <c r="G383" s="4" t="inlineStr">
        <is>
          <t>SHOPEE: https://s.shopee.vn/3qNt1d78Ij TIKTOK: LAZADA: WEBSITE BÁN HÀNG:</t>
        </is>
      </c>
      <c r="H383" s="3" t="inlineStr"/>
      <c r="I383" s="4" t="inlineStr">
        <is>
          <t>Mũi đục bê tông KBVn-17*280</t>
        </is>
      </c>
      <c r="J383" s="3" t="inlineStr">
        <is>
          <t>Cái</t>
        </is>
      </c>
      <c r="K383" s="5" t="n">
        <v>269000</v>
      </c>
      <c r="L383" s="5" t="n">
        <v>317000</v>
      </c>
      <c r="M383" s="6" t="n">
        <v>390000</v>
      </c>
      <c r="N383" s="5" t="n"/>
      <c r="O383" s="5">
        <f>IF(AND(ISNUMBER(N383),ISNUMBER(M383)),N383-M383,"")</f>
        <v/>
      </c>
      <c r="P383" s="7">
        <f>IF(AND(ISNUMBER(N383),ISNUMBER(M383),M383&gt;0),(N383-M383)/M383,"")</f>
        <v/>
      </c>
      <c r="Q383" s="3">
        <f>IF(P383="","",IF(P383&lt;-0.02,"🔴 Bán phá giá sàn",IF(P383&gt;0.05,"🔵 Bán cao hơn","🟢 Đúng giá sàn TMĐT")))</f>
        <v/>
      </c>
      <c r="R383" s="3" t="n"/>
      <c r="S383" s="4" t="n"/>
      <c r="T383" s="4" t="n"/>
    </row>
    <row r="384">
      <c r="A384" s="3" t="n">
        <v>383</v>
      </c>
      <c r="B384" s="3" t="inlineStr">
        <is>
          <t>DL002</t>
        </is>
      </c>
      <c r="C384" s="4" t="inlineStr">
        <is>
          <t>Nguyễn Hoàng Phú</t>
        </is>
      </c>
      <c r="D384" s="3" t="inlineStr">
        <is>
          <t>HCM</t>
        </is>
      </c>
      <c r="E384" s="3" t="inlineStr">
        <is>
          <t>BẢO TRÂM</t>
        </is>
      </c>
      <c r="F384" s="3" t="inlineStr">
        <is>
          <t>Shopee</t>
        </is>
      </c>
      <c r="G384" s="4" t="inlineStr">
        <is>
          <t>SHOPEE: https://s.shopee.vn/3qNt1d78Ij TIKTOK: LAZADA: WEBSITE BÁN HÀNG:</t>
        </is>
      </c>
      <c r="H384" s="3" t="inlineStr">
        <is>
          <t>KBL2-06160</t>
        </is>
      </c>
      <c r="I384" s="4" t="inlineStr">
        <is>
          <t>Mũi khoan bê tông gài 2 cạnh KBL2-06*160</t>
        </is>
      </c>
      <c r="J384" s="3" t="inlineStr">
        <is>
          <t>Cái</t>
        </is>
      </c>
      <c r="K384" s="5" t="n">
        <v>23000</v>
      </c>
      <c r="L384" s="5" t="n">
        <v>28000</v>
      </c>
      <c r="M384" s="6" t="n">
        <v>36000</v>
      </c>
      <c r="N384" s="5" t="n"/>
      <c r="O384" s="5">
        <f>IF(AND(ISNUMBER(N384),ISNUMBER(M384)),N384-M384,"")</f>
        <v/>
      </c>
      <c r="P384" s="7">
        <f>IF(AND(ISNUMBER(N384),ISNUMBER(M384),M384&gt;0),(N384-M384)/M384,"")</f>
        <v/>
      </c>
      <c r="Q384" s="3">
        <f>IF(P384="","",IF(P384&lt;-0.02,"🔴 Bán phá giá sàn",IF(P384&gt;0.05,"🔵 Bán cao hơn","🟢 Đúng giá sàn TMĐT")))</f>
        <v/>
      </c>
      <c r="R384" s="3" t="n"/>
      <c r="S384" s="4" t="n"/>
      <c r="T384" s="4" t="n"/>
    </row>
    <row r="385">
      <c r="A385" s="3" t="n">
        <v>384</v>
      </c>
      <c r="B385" s="3" t="inlineStr">
        <is>
          <t>DL002</t>
        </is>
      </c>
      <c r="C385" s="4" t="inlineStr">
        <is>
          <t>Nguyễn Hoàng Phú</t>
        </is>
      </c>
      <c r="D385" s="3" t="inlineStr">
        <is>
          <t>HCM</t>
        </is>
      </c>
      <c r="E385" s="3" t="inlineStr">
        <is>
          <t>BẢO TRÂM</t>
        </is>
      </c>
      <c r="F385" s="3" t="inlineStr">
        <is>
          <t>Shopee</t>
        </is>
      </c>
      <c r="G385" s="4" t="inlineStr">
        <is>
          <t>SHOPEE: https://s.shopee.vn/3qNt1d78Ij TIKTOK: LAZADA: WEBSITE BÁN HÀNG:</t>
        </is>
      </c>
      <c r="H385" s="3" t="inlineStr">
        <is>
          <t>KBL2-08160</t>
        </is>
      </c>
      <c r="I385" s="4" t="inlineStr">
        <is>
          <t>Mũi khoan bê tông gài 2 cạnh KBL2-08*160</t>
        </is>
      </c>
      <c r="J385" s="3" t="inlineStr">
        <is>
          <t>Cái</t>
        </is>
      </c>
      <c r="K385" s="5" t="n">
        <v>25000</v>
      </c>
      <c r="L385" s="5" t="n">
        <v>31000</v>
      </c>
      <c r="M385" s="6" t="n">
        <v>39000</v>
      </c>
      <c r="N385" s="5" t="n"/>
      <c r="O385" s="5">
        <f>IF(AND(ISNUMBER(N385),ISNUMBER(M385)),N385-M385,"")</f>
        <v/>
      </c>
      <c r="P385" s="7">
        <f>IF(AND(ISNUMBER(N385),ISNUMBER(M385),M385&gt;0),(N385-M385)/M385,"")</f>
        <v/>
      </c>
      <c r="Q385" s="3">
        <f>IF(P385="","",IF(P385&lt;-0.02,"🔴 Bán phá giá sàn",IF(P385&gt;0.05,"🔵 Bán cao hơn","🟢 Đúng giá sàn TMĐT")))</f>
        <v/>
      </c>
      <c r="R385" s="3" t="n"/>
      <c r="S385" s="4" t="n"/>
      <c r="T385" s="4" t="n"/>
    </row>
    <row r="386">
      <c r="A386" s="3" t="n">
        <v>385</v>
      </c>
      <c r="B386" s="3" t="inlineStr">
        <is>
          <t>DL002</t>
        </is>
      </c>
      <c r="C386" s="4" t="inlineStr">
        <is>
          <t>Nguyễn Hoàng Phú</t>
        </is>
      </c>
      <c r="D386" s="3" t="inlineStr">
        <is>
          <t>HCM</t>
        </is>
      </c>
      <c r="E386" s="3" t="inlineStr">
        <is>
          <t>BẢO TRÂM</t>
        </is>
      </c>
      <c r="F386" s="3" t="inlineStr">
        <is>
          <t>Shopee</t>
        </is>
      </c>
      <c r="G386" s="4" t="inlineStr">
        <is>
          <t>SHOPEE: https://s.shopee.vn/3qNt1d78Ij TIKTOK: LAZADA: WEBSITE BÁN HÀNG:</t>
        </is>
      </c>
      <c r="H386" s="3" t="inlineStr">
        <is>
          <t>KBL2-10160</t>
        </is>
      </c>
      <c r="I386" s="4" t="inlineStr">
        <is>
          <t>Mũi khoan bê tông gài 2 cạnh KBL2-10*160</t>
        </is>
      </c>
      <c r="J386" s="3" t="inlineStr">
        <is>
          <t>Cái</t>
        </is>
      </c>
      <c r="K386" s="5" t="n">
        <v>25000</v>
      </c>
      <c r="L386" s="5" t="n">
        <v>31000</v>
      </c>
      <c r="M386" s="6" t="n">
        <v>39000</v>
      </c>
      <c r="N386" s="5" t="n"/>
      <c r="O386" s="5">
        <f>IF(AND(ISNUMBER(N386),ISNUMBER(M386)),N386-M386,"")</f>
        <v/>
      </c>
      <c r="P386" s="7">
        <f>IF(AND(ISNUMBER(N386),ISNUMBER(M386),M386&gt;0),(N386-M386)/M386,"")</f>
        <v/>
      </c>
      <c r="Q386" s="3">
        <f>IF(P386="","",IF(P386&lt;-0.02,"🔴 Bán phá giá sàn",IF(P386&gt;0.05,"🔵 Bán cao hơn","🟢 Đúng giá sàn TMĐT")))</f>
        <v/>
      </c>
      <c r="R386" s="3" t="n"/>
      <c r="S386" s="4" t="n"/>
      <c r="T386" s="4" t="n"/>
    </row>
    <row r="387">
      <c r="A387" s="3" t="n">
        <v>386</v>
      </c>
      <c r="B387" s="3" t="inlineStr">
        <is>
          <t>DL002</t>
        </is>
      </c>
      <c r="C387" s="4" t="inlineStr">
        <is>
          <t>Nguyễn Hoàng Phú</t>
        </is>
      </c>
      <c r="D387" s="3" t="inlineStr">
        <is>
          <t>HCM</t>
        </is>
      </c>
      <c r="E387" s="3" t="inlineStr">
        <is>
          <t>BẢO TRÂM</t>
        </is>
      </c>
      <c r="F387" s="3" t="inlineStr">
        <is>
          <t>Shopee</t>
        </is>
      </c>
      <c r="G387" s="4" t="inlineStr">
        <is>
          <t>SHOPEE: https://s.shopee.vn/3qNt1d78Ij TIKTOK: LAZADA: WEBSITE BÁN HÀNG:</t>
        </is>
      </c>
      <c r="H387" s="3" t="inlineStr">
        <is>
          <t>KBL2-12160</t>
        </is>
      </c>
      <c r="I387" s="4" t="inlineStr">
        <is>
          <t>Mũi khoan bê tông gài 2 cạnh KBL2-12*160</t>
        </is>
      </c>
      <c r="J387" s="3" t="inlineStr">
        <is>
          <t>Cái</t>
        </is>
      </c>
      <c r="K387" s="5" t="n">
        <v>28000</v>
      </c>
      <c r="L387" s="5" t="n">
        <v>34000</v>
      </c>
      <c r="M387" s="6" t="n">
        <v>43000</v>
      </c>
      <c r="N387" s="5" t="n"/>
      <c r="O387" s="5">
        <f>IF(AND(ISNUMBER(N387),ISNUMBER(M387)),N387-M387,"")</f>
        <v/>
      </c>
      <c r="P387" s="7">
        <f>IF(AND(ISNUMBER(N387),ISNUMBER(M387),M387&gt;0),(N387-M387)/M387,"")</f>
        <v/>
      </c>
      <c r="Q387" s="3">
        <f>IF(P387="","",IF(P387&lt;-0.02,"🔴 Bán phá giá sàn",IF(P387&gt;0.05,"🔵 Bán cao hơn","🟢 Đúng giá sàn TMĐT")))</f>
        <v/>
      </c>
      <c r="R387" s="3" t="n"/>
      <c r="S387" s="4" t="n"/>
      <c r="T387" s="4" t="n"/>
    </row>
    <row r="388">
      <c r="A388" s="3" t="n">
        <v>387</v>
      </c>
      <c r="B388" s="3" t="inlineStr">
        <is>
          <t>DL002</t>
        </is>
      </c>
      <c r="C388" s="4" t="inlineStr">
        <is>
          <t>Nguyễn Hoàng Phú</t>
        </is>
      </c>
      <c r="D388" s="3" t="inlineStr">
        <is>
          <t>HCM</t>
        </is>
      </c>
      <c r="E388" s="3" t="inlineStr">
        <is>
          <t>BẢO TRÂM</t>
        </is>
      </c>
      <c r="F388" s="3" t="inlineStr">
        <is>
          <t>Shopee</t>
        </is>
      </c>
      <c r="G388" s="4" t="inlineStr">
        <is>
          <t>SHOPEE: https://s.shopee.vn/3qNt1d78Ij TIKTOK: LAZADA: WEBSITE BÁN HÀNG:</t>
        </is>
      </c>
      <c r="H388" s="3" t="inlineStr">
        <is>
          <t>KBL2-08310</t>
        </is>
      </c>
      <c r="I388" s="4" t="inlineStr">
        <is>
          <t>Mũi khoan bê tông gài xuyên tường 2 cạnh KBL2-08*310</t>
        </is>
      </c>
      <c r="J388" s="3" t="inlineStr">
        <is>
          <t>Cái</t>
        </is>
      </c>
      <c r="K388" s="5" t="n">
        <v>40000</v>
      </c>
      <c r="L388" s="5" t="n">
        <v>49000</v>
      </c>
      <c r="M388" s="6" t="n">
        <v>62000</v>
      </c>
      <c r="N388" s="5" t="n"/>
      <c r="O388" s="5">
        <f>IF(AND(ISNUMBER(N388),ISNUMBER(M388)),N388-M388,"")</f>
        <v/>
      </c>
      <c r="P388" s="7">
        <f>IF(AND(ISNUMBER(N388),ISNUMBER(M388),M388&gt;0),(N388-M388)/M388,"")</f>
        <v/>
      </c>
      <c r="Q388" s="3">
        <f>IF(P388="","",IF(P388&lt;-0.02,"🔴 Bán phá giá sàn",IF(P388&gt;0.05,"🔵 Bán cao hơn","🟢 Đúng giá sàn TMĐT")))</f>
        <v/>
      </c>
      <c r="R388" s="3" t="n"/>
      <c r="S388" s="4" t="n"/>
      <c r="T388" s="4" t="n"/>
    </row>
    <row r="389">
      <c r="A389" s="3" t="n">
        <v>388</v>
      </c>
      <c r="B389" s="3" t="inlineStr">
        <is>
          <t>DL002</t>
        </is>
      </c>
      <c r="C389" s="4" t="inlineStr">
        <is>
          <t>Nguyễn Hoàng Phú</t>
        </is>
      </c>
      <c r="D389" s="3" t="inlineStr">
        <is>
          <t>HCM</t>
        </is>
      </c>
      <c r="E389" s="3" t="inlineStr">
        <is>
          <t>BẢO TRÂM</t>
        </is>
      </c>
      <c r="F389" s="3" t="inlineStr">
        <is>
          <t>Shopee</t>
        </is>
      </c>
      <c r="G389" s="4" t="inlineStr">
        <is>
          <t>SHOPEE: https://s.shopee.vn/3qNt1d78Ij TIKTOK: LAZADA: WEBSITE BÁN HÀNG:</t>
        </is>
      </c>
      <c r="H389" s="3" t="inlineStr">
        <is>
          <t>KBL2-10310</t>
        </is>
      </c>
      <c r="I389" s="4" t="inlineStr">
        <is>
          <t>Mũi khoan bê tông gài xuyên tường 2 cạnh KBL2-10*310</t>
        </is>
      </c>
      <c r="J389" s="3" t="inlineStr">
        <is>
          <t>Cái</t>
        </is>
      </c>
      <c r="K389" s="5" t="n">
        <v>44000</v>
      </c>
      <c r="L389" s="5" t="n">
        <v>54000</v>
      </c>
      <c r="M389" s="6" t="n">
        <v>68000</v>
      </c>
      <c r="N389" s="5" t="n"/>
      <c r="O389" s="5">
        <f>IF(AND(ISNUMBER(N389),ISNUMBER(M389)),N389-M389,"")</f>
        <v/>
      </c>
      <c r="P389" s="7">
        <f>IF(AND(ISNUMBER(N389),ISNUMBER(M389),M389&gt;0),(N389-M389)/M389,"")</f>
        <v/>
      </c>
      <c r="Q389" s="3">
        <f>IF(P389="","",IF(P389&lt;-0.02,"🔴 Bán phá giá sàn",IF(P389&gt;0.05,"🔵 Bán cao hơn","🟢 Đúng giá sàn TMĐT")))</f>
        <v/>
      </c>
      <c r="R389" s="3" t="n"/>
      <c r="S389" s="4" t="n"/>
      <c r="T389" s="4" t="n"/>
    </row>
    <row r="390">
      <c r="A390" s="3" t="n">
        <v>389</v>
      </c>
      <c r="B390" s="3" t="inlineStr">
        <is>
          <t>DL002</t>
        </is>
      </c>
      <c r="C390" s="4" t="inlineStr">
        <is>
          <t>Nguyễn Hoàng Phú</t>
        </is>
      </c>
      <c r="D390" s="3" t="inlineStr">
        <is>
          <t>HCM</t>
        </is>
      </c>
      <c r="E390" s="3" t="inlineStr">
        <is>
          <t>BẢO TRÂM</t>
        </is>
      </c>
      <c r="F390" s="3" t="inlineStr">
        <is>
          <t>Shopee</t>
        </is>
      </c>
      <c r="G390" s="4" t="inlineStr">
        <is>
          <t>SHOPEE: https://s.shopee.vn/3qNt1d78Ij TIKTOK: LAZADA: WEBSITE BÁN HÀNG:</t>
        </is>
      </c>
      <c r="H390" s="3" t="inlineStr">
        <is>
          <t>KBL2-12310</t>
        </is>
      </c>
      <c r="I390" s="4" t="inlineStr">
        <is>
          <t>Mũi khoan bê tông gài xuyên tường 2 cạnh KBL2-12*310</t>
        </is>
      </c>
      <c r="J390" s="3" t="inlineStr">
        <is>
          <t>Cái</t>
        </is>
      </c>
      <c r="K390" s="5" t="n">
        <v>45000</v>
      </c>
      <c r="L390" s="5" t="n">
        <v>55000</v>
      </c>
      <c r="M390" s="6" t="n">
        <v>70000</v>
      </c>
      <c r="N390" s="5" t="n"/>
      <c r="O390" s="5">
        <f>IF(AND(ISNUMBER(N390),ISNUMBER(M390)),N390-M390,"")</f>
        <v/>
      </c>
      <c r="P390" s="7">
        <f>IF(AND(ISNUMBER(N390),ISNUMBER(M390),M390&gt;0),(N390-M390)/M390,"")</f>
        <v/>
      </c>
      <c r="Q390" s="3">
        <f>IF(P390="","",IF(P390&lt;-0.02,"🔴 Bán phá giá sàn",IF(P390&gt;0.05,"🔵 Bán cao hơn","🟢 Đúng giá sàn TMĐT")))</f>
        <v/>
      </c>
      <c r="R390" s="3" t="n"/>
      <c r="S390" s="4" t="n"/>
      <c r="T390" s="4" t="n"/>
    </row>
    <row r="391">
      <c r="A391" s="3" t="n">
        <v>390</v>
      </c>
      <c r="B391" s="3" t="inlineStr">
        <is>
          <t>DL002</t>
        </is>
      </c>
      <c r="C391" s="4" t="inlineStr">
        <is>
          <t>Nguyễn Hoàng Phú</t>
        </is>
      </c>
      <c r="D391" s="3" t="inlineStr">
        <is>
          <t>HCM</t>
        </is>
      </c>
      <c r="E391" s="3" t="inlineStr">
        <is>
          <t>BẢO TRÂM</t>
        </is>
      </c>
      <c r="F391" s="3" t="inlineStr">
        <is>
          <t>Shopee</t>
        </is>
      </c>
      <c r="G391" s="4" t="inlineStr">
        <is>
          <t>SHOPEE: https://s.shopee.vn/3qNt1d78Ij TIKTOK: LAZADA: WEBSITE BÁN HÀNG:</t>
        </is>
      </c>
      <c r="H391" s="3" t="inlineStr">
        <is>
          <t>KBL2-16310</t>
        </is>
      </c>
      <c r="I391" s="4" t="inlineStr">
        <is>
          <t>Mũi khoan bê tông gài xuyên tường 2 cạnh KBL2-16*310</t>
        </is>
      </c>
      <c r="J391" s="3" t="inlineStr">
        <is>
          <t>Cái</t>
        </is>
      </c>
      <c r="K391" s="5" t="n">
        <v>67000</v>
      </c>
      <c r="L391" s="5" t="n">
        <v>82000</v>
      </c>
      <c r="M391" s="6" t="n">
        <v>104000</v>
      </c>
      <c r="N391" s="5" t="n"/>
      <c r="O391" s="5">
        <f>IF(AND(ISNUMBER(N391),ISNUMBER(M391)),N391-M391,"")</f>
        <v/>
      </c>
      <c r="P391" s="7">
        <f>IF(AND(ISNUMBER(N391),ISNUMBER(M391),M391&gt;0),(N391-M391)/M391,"")</f>
        <v/>
      </c>
      <c r="Q391" s="3">
        <f>IF(P391="","",IF(P391&lt;-0.02,"🔴 Bán phá giá sàn",IF(P391&gt;0.05,"🔵 Bán cao hơn","🟢 Đúng giá sàn TMĐT")))</f>
        <v/>
      </c>
      <c r="R391" s="3" t="n"/>
      <c r="S391" s="4" t="n"/>
      <c r="T391" s="4" t="n"/>
    </row>
    <row r="392">
      <c r="A392" s="3" t="n">
        <v>391</v>
      </c>
      <c r="B392" s="3" t="inlineStr">
        <is>
          <t>DL002</t>
        </is>
      </c>
      <c r="C392" s="4" t="inlineStr">
        <is>
          <t>Nguyễn Hoàng Phú</t>
        </is>
      </c>
      <c r="D392" s="3" t="inlineStr">
        <is>
          <t>HCM</t>
        </is>
      </c>
      <c r="E392" s="3" t="inlineStr">
        <is>
          <t>BẢO TRÂM</t>
        </is>
      </c>
      <c r="F392" s="3" t="inlineStr">
        <is>
          <t>Shopee</t>
        </is>
      </c>
      <c r="G392" s="4" t="inlineStr">
        <is>
          <t>SHOPEE: https://s.shopee.vn/3qNt1d78Ij TIKTOK: LAZADA: WEBSITE BÁN HÀNG:</t>
        </is>
      </c>
      <c r="H392" s="3" t="inlineStr">
        <is>
          <t>KBL2-3.290</t>
        </is>
      </c>
      <c r="I392" s="4" t="inlineStr">
        <is>
          <t>Mũi khoan bê tông không tắc kê KBL2-3.2*90</t>
        </is>
      </c>
      <c r="J392" s="3" t="inlineStr">
        <is>
          <t>Cái</t>
        </is>
      </c>
      <c r="K392" s="5" t="n">
        <v>23000</v>
      </c>
      <c r="L392" s="5" t="n">
        <v>29000</v>
      </c>
      <c r="M392" s="6" t="n">
        <v>38000</v>
      </c>
      <c r="N392" s="5" t="n"/>
      <c r="O392" s="5">
        <f>IF(AND(ISNUMBER(N392),ISNUMBER(M392)),N392-M392,"")</f>
        <v/>
      </c>
      <c r="P392" s="7">
        <f>IF(AND(ISNUMBER(N392),ISNUMBER(M392),M392&gt;0),(N392-M392)/M392,"")</f>
        <v/>
      </c>
      <c r="Q392" s="3">
        <f>IF(P392="","",IF(P392&lt;-0.02,"🔴 Bán phá giá sàn",IF(P392&gt;0.05,"🔵 Bán cao hơn","🟢 Đúng giá sàn TMĐT")))</f>
        <v/>
      </c>
      <c r="R392" s="3" t="n"/>
      <c r="S392" s="4" t="n"/>
      <c r="T392" s="4" t="n"/>
    </row>
    <row r="393">
      <c r="A393" s="3" t="n">
        <v>392</v>
      </c>
      <c r="B393" s="3" t="inlineStr">
        <is>
          <t>DL002</t>
        </is>
      </c>
      <c r="C393" s="4" t="inlineStr">
        <is>
          <t>Nguyễn Hoàng Phú</t>
        </is>
      </c>
      <c r="D393" s="3" t="inlineStr">
        <is>
          <t>HCM</t>
        </is>
      </c>
      <c r="E393" s="3" t="inlineStr">
        <is>
          <t>BẢO TRÂM</t>
        </is>
      </c>
      <c r="F393" s="3" t="inlineStr">
        <is>
          <t>Shopee</t>
        </is>
      </c>
      <c r="G393" s="4" t="inlineStr">
        <is>
          <t>SHOPEE: https://s.shopee.vn/3qNt1d78Ij TIKTOK: LAZADA: WEBSITE BÁN HÀNG:</t>
        </is>
      </c>
      <c r="H393" s="3" t="inlineStr">
        <is>
          <t>KBL2-3.5110</t>
        </is>
      </c>
      <c r="I393" s="4" t="inlineStr">
        <is>
          <t>Mũi khoan bê tông không tắc kê KBL2-3.5*110</t>
        </is>
      </c>
      <c r="J393" s="3" t="inlineStr">
        <is>
          <t>Cái</t>
        </is>
      </c>
      <c r="K393" s="5" t="n">
        <v>23000</v>
      </c>
      <c r="L393" s="5" t="n">
        <v>29000</v>
      </c>
      <c r="M393" s="6" t="n">
        <v>38000</v>
      </c>
      <c r="N393" s="5" t="n"/>
      <c r="O393" s="5">
        <f>IF(AND(ISNUMBER(N393),ISNUMBER(M393)),N393-M393,"")</f>
        <v/>
      </c>
      <c r="P393" s="7">
        <f>IF(AND(ISNUMBER(N393),ISNUMBER(M393),M393&gt;0),(N393-M393)/M393,"")</f>
        <v/>
      </c>
      <c r="Q393" s="3">
        <f>IF(P393="","",IF(P393&lt;-0.02,"🔴 Bán phá giá sàn",IF(P393&gt;0.05,"🔵 Bán cao hơn","🟢 Đúng giá sàn TMĐT")))</f>
        <v/>
      </c>
      <c r="R393" s="3" t="n"/>
      <c r="S393" s="4" t="n"/>
      <c r="T393" s="4" t="n"/>
    </row>
    <row r="394">
      <c r="A394" s="3" t="n">
        <v>393</v>
      </c>
      <c r="B394" s="3" t="inlineStr">
        <is>
          <t>DL002</t>
        </is>
      </c>
      <c r="C394" s="4" t="inlineStr">
        <is>
          <t>Nguyễn Hoàng Phú</t>
        </is>
      </c>
      <c r="D394" s="3" t="inlineStr">
        <is>
          <t>HCM</t>
        </is>
      </c>
      <c r="E394" s="3" t="inlineStr">
        <is>
          <t>BẢO TRÂM</t>
        </is>
      </c>
      <c r="F394" s="3" t="inlineStr">
        <is>
          <t>Shopee</t>
        </is>
      </c>
      <c r="G394" s="4" t="inlineStr">
        <is>
          <t>SHOPEE: https://s.shopee.vn/3qNt1d78Ij TIKTOK: LAZADA: WEBSITE BÁN HÀNG:</t>
        </is>
      </c>
      <c r="H394" s="3" t="inlineStr">
        <is>
          <t>KBL2-4.2110</t>
        </is>
      </c>
      <c r="I394" s="4" t="inlineStr">
        <is>
          <t>Mũi khoan bê tông không tắc kê KBL2-4.2*110</t>
        </is>
      </c>
      <c r="J394" s="3" t="inlineStr">
        <is>
          <t>Cái</t>
        </is>
      </c>
      <c r="K394" s="5" t="n">
        <v>23000</v>
      </c>
      <c r="L394" s="5" t="n">
        <v>29000</v>
      </c>
      <c r="M394" s="6" t="n">
        <v>38000</v>
      </c>
      <c r="N394" s="5" t="n"/>
      <c r="O394" s="5">
        <f>IF(AND(ISNUMBER(N394),ISNUMBER(M394)),N394-M394,"")</f>
        <v/>
      </c>
      <c r="P394" s="7">
        <f>IF(AND(ISNUMBER(N394),ISNUMBER(M394),M394&gt;0),(N394-M394)/M394,"")</f>
        <v/>
      </c>
      <c r="Q394" s="3">
        <f>IF(P394="","",IF(P394&lt;-0.02,"🔴 Bán phá giá sàn",IF(P394&gt;0.05,"🔵 Bán cao hơn","🟢 Đúng giá sàn TMĐT")))</f>
        <v/>
      </c>
      <c r="R394" s="3" t="n"/>
      <c r="S394" s="4" t="n"/>
      <c r="T394" s="4" t="n"/>
    </row>
    <row r="395">
      <c r="A395" s="3" t="n">
        <v>394</v>
      </c>
      <c r="B395" s="3" t="inlineStr">
        <is>
          <t>DL002</t>
        </is>
      </c>
      <c r="C395" s="4" t="inlineStr">
        <is>
          <t>Nguyễn Hoàng Phú</t>
        </is>
      </c>
      <c r="D395" s="3" t="inlineStr">
        <is>
          <t>HCM</t>
        </is>
      </c>
      <c r="E395" s="3" t="inlineStr">
        <is>
          <t>BẢO TRÂM</t>
        </is>
      </c>
      <c r="F395" s="3" t="inlineStr">
        <is>
          <t>Shopee</t>
        </is>
      </c>
      <c r="G395" s="4" t="inlineStr">
        <is>
          <t>SHOPEE: https://s.shopee.vn/3qNt1d78Ij TIKTOK: LAZADA: WEBSITE BÁN HÀNG:</t>
        </is>
      </c>
      <c r="H395" s="3" t="inlineStr">
        <is>
          <t>KBS-12280</t>
        </is>
      </c>
      <c r="I395" s="4" t="inlineStr">
        <is>
          <t>Mũi khoan đá chuôi lục giác KBS-12*280</t>
        </is>
      </c>
      <c r="J395" s="3" t="inlineStr">
        <is>
          <t>Cái</t>
        </is>
      </c>
      <c r="K395" s="5" t="n">
        <v>99000</v>
      </c>
      <c r="L395" s="5" t="n">
        <v>121000</v>
      </c>
      <c r="M395" s="6" t="n">
        <v>154000</v>
      </c>
      <c r="N395" s="5" t="n"/>
      <c r="O395" s="5">
        <f>IF(AND(ISNUMBER(N395),ISNUMBER(M395)),N395-M395,"")</f>
        <v/>
      </c>
      <c r="P395" s="7">
        <f>IF(AND(ISNUMBER(N395),ISNUMBER(M395),M395&gt;0),(N395-M395)/M395,"")</f>
        <v/>
      </c>
      <c r="Q395" s="3">
        <f>IF(P395="","",IF(P395&lt;-0.02,"🔴 Bán phá giá sàn",IF(P395&gt;0.05,"🔵 Bán cao hơn","🟢 Đúng giá sàn TMĐT")))</f>
        <v/>
      </c>
      <c r="R395" s="3" t="n"/>
      <c r="S395" s="4" t="n"/>
      <c r="T395" s="4" t="n"/>
    </row>
    <row r="396">
      <c r="A396" s="3" t="n">
        <v>395</v>
      </c>
      <c r="B396" s="3" t="inlineStr">
        <is>
          <t>DL002</t>
        </is>
      </c>
      <c r="C396" s="4" t="inlineStr">
        <is>
          <t>Nguyễn Hoàng Phú</t>
        </is>
      </c>
      <c r="D396" s="3" t="inlineStr">
        <is>
          <t>HCM</t>
        </is>
      </c>
      <c r="E396" s="3" t="inlineStr">
        <is>
          <t>BẢO TRÂM</t>
        </is>
      </c>
      <c r="F396" s="3" t="inlineStr">
        <is>
          <t>Shopee</t>
        </is>
      </c>
      <c r="G396" s="4" t="inlineStr">
        <is>
          <t>SHOPEE: https://s.shopee.vn/3qNt1d78Ij TIKTOK: LAZADA: WEBSITE BÁN HÀNG:</t>
        </is>
      </c>
      <c r="H396" s="3" t="inlineStr">
        <is>
          <t>KBS-14280</t>
        </is>
      </c>
      <c r="I396" s="4" t="inlineStr">
        <is>
          <t>Mũi khoan đá chuôi lục giác KBS-14*280</t>
        </is>
      </c>
      <c r="J396" s="3" t="inlineStr">
        <is>
          <t>Cái</t>
        </is>
      </c>
      <c r="K396" s="5" t="n">
        <v>81000</v>
      </c>
      <c r="L396" s="5" t="n">
        <v>99000</v>
      </c>
      <c r="M396" s="6" t="n">
        <v>126000</v>
      </c>
      <c r="N396" s="5" t="n"/>
      <c r="O396" s="5">
        <f>IF(AND(ISNUMBER(N396),ISNUMBER(M396)),N396-M396,"")</f>
        <v/>
      </c>
      <c r="P396" s="7">
        <f>IF(AND(ISNUMBER(N396),ISNUMBER(M396),M396&gt;0),(N396-M396)/M396,"")</f>
        <v/>
      </c>
      <c r="Q396" s="3">
        <f>IF(P396="","",IF(P396&lt;-0.02,"🔴 Bán phá giá sàn",IF(P396&gt;0.05,"🔵 Bán cao hơn","🟢 Đúng giá sàn TMĐT")))</f>
        <v/>
      </c>
      <c r="R396" s="3" t="n"/>
      <c r="S396" s="4" t="n"/>
      <c r="T396" s="4" t="n"/>
    </row>
    <row r="397">
      <c r="A397" s="3" t="n">
        <v>396</v>
      </c>
      <c r="B397" s="3" t="inlineStr">
        <is>
          <t>DL002</t>
        </is>
      </c>
      <c r="C397" s="4" t="inlineStr">
        <is>
          <t>Nguyễn Hoàng Phú</t>
        </is>
      </c>
      <c r="D397" s="3" t="inlineStr">
        <is>
          <t>HCM</t>
        </is>
      </c>
      <c r="E397" s="3" t="inlineStr">
        <is>
          <t>BẢO TRÂM</t>
        </is>
      </c>
      <c r="F397" s="3" t="inlineStr">
        <is>
          <t>Shopee</t>
        </is>
      </c>
      <c r="G397" s="4" t="inlineStr">
        <is>
          <t>SHOPEE: https://s.shopee.vn/3qNt1d78Ij TIKTOK: LAZADA: WEBSITE BÁN HÀNG:</t>
        </is>
      </c>
      <c r="H397" s="3" t="inlineStr">
        <is>
          <t>KBS-16280</t>
        </is>
      </c>
      <c r="I397" s="4" t="inlineStr">
        <is>
          <t>Mũi khoan đá chuôi lục giác KBS-16*280</t>
        </is>
      </c>
      <c r="J397" s="3" t="inlineStr">
        <is>
          <t>Cái</t>
        </is>
      </c>
      <c r="K397" s="5" t="n">
        <v>89000</v>
      </c>
      <c r="L397" s="5" t="n">
        <v>109000</v>
      </c>
      <c r="M397" s="6" t="n">
        <v>138000</v>
      </c>
      <c r="N397" s="5" t="n"/>
      <c r="O397" s="5">
        <f>IF(AND(ISNUMBER(N397),ISNUMBER(M397)),N397-M397,"")</f>
        <v/>
      </c>
      <c r="P397" s="7">
        <f>IF(AND(ISNUMBER(N397),ISNUMBER(M397),M397&gt;0),(N397-M397)/M397,"")</f>
        <v/>
      </c>
      <c r="Q397" s="3">
        <f>IF(P397="","",IF(P397&lt;-0.02,"🔴 Bán phá giá sàn",IF(P397&gt;0.05,"🔵 Bán cao hơn","🟢 Đúng giá sàn TMĐT")))</f>
        <v/>
      </c>
      <c r="R397" s="3" t="n"/>
      <c r="S397" s="4" t="n"/>
      <c r="T397" s="4" t="n"/>
    </row>
    <row r="398">
      <c r="A398" s="3" t="n">
        <v>397</v>
      </c>
      <c r="B398" s="3" t="inlineStr">
        <is>
          <t>DL002</t>
        </is>
      </c>
      <c r="C398" s="4" t="inlineStr">
        <is>
          <t>Nguyễn Hoàng Phú</t>
        </is>
      </c>
      <c r="D398" s="3" t="inlineStr">
        <is>
          <t>HCM</t>
        </is>
      </c>
      <c r="E398" s="3" t="inlineStr">
        <is>
          <t>BẢO TRÂM</t>
        </is>
      </c>
      <c r="F398" s="3" t="inlineStr">
        <is>
          <t>Shopee</t>
        </is>
      </c>
      <c r="G398" s="4" t="inlineStr">
        <is>
          <t>SHOPEE: https://s.shopee.vn/3qNt1d78Ij TIKTOK: LAZADA: WEBSITE BÁN HÀNG:</t>
        </is>
      </c>
      <c r="H398" s="3" t="inlineStr">
        <is>
          <t>KBS-18280</t>
        </is>
      </c>
      <c r="I398" s="4" t="inlineStr">
        <is>
          <t>Mũi khoan đá chuôi lục giác KBS-18*280</t>
        </is>
      </c>
      <c r="J398" s="3" t="inlineStr">
        <is>
          <t>Cái</t>
        </is>
      </c>
      <c r="K398" s="5" t="n">
        <v>95000</v>
      </c>
      <c r="L398" s="5" t="n">
        <v>116000</v>
      </c>
      <c r="M398" s="6" t="n">
        <v>147000</v>
      </c>
      <c r="N398" s="5" t="n"/>
      <c r="O398" s="5">
        <f>IF(AND(ISNUMBER(N398),ISNUMBER(M398)),N398-M398,"")</f>
        <v/>
      </c>
      <c r="P398" s="7">
        <f>IF(AND(ISNUMBER(N398),ISNUMBER(M398),M398&gt;0),(N398-M398)/M398,"")</f>
        <v/>
      </c>
      <c r="Q398" s="3">
        <f>IF(P398="","",IF(P398&lt;-0.02,"🔴 Bán phá giá sàn",IF(P398&gt;0.05,"🔵 Bán cao hơn","🟢 Đúng giá sàn TMĐT")))</f>
        <v/>
      </c>
      <c r="R398" s="3" t="n"/>
      <c r="S398" s="4" t="n"/>
      <c r="T398" s="4" t="n"/>
    </row>
    <row r="399">
      <c r="A399" s="3" t="n">
        <v>398</v>
      </c>
      <c r="B399" s="3" t="inlineStr">
        <is>
          <t>DL002</t>
        </is>
      </c>
      <c r="C399" s="4" t="inlineStr">
        <is>
          <t>Nguyễn Hoàng Phú</t>
        </is>
      </c>
      <c r="D399" s="3" t="inlineStr">
        <is>
          <t>HCM</t>
        </is>
      </c>
      <c r="E399" s="3" t="inlineStr">
        <is>
          <t>BẢO TRÂM</t>
        </is>
      </c>
      <c r="F399" s="3" t="inlineStr">
        <is>
          <t>Shopee</t>
        </is>
      </c>
      <c r="G399" s="4" t="inlineStr">
        <is>
          <t>SHOPEE: https://s.shopee.vn/3qNt1d78Ij TIKTOK: LAZADA: WEBSITE BÁN HÀNG:</t>
        </is>
      </c>
      <c r="H399" s="3" t="inlineStr">
        <is>
          <t>KBS-20280</t>
        </is>
      </c>
      <c r="I399" s="4" t="inlineStr">
        <is>
          <t>Mũi khoan đá chuôi lục giác KBS-20*280</t>
        </is>
      </c>
      <c r="J399" s="3" t="inlineStr">
        <is>
          <t>Cái</t>
        </is>
      </c>
      <c r="K399" s="5" t="n">
        <v>98000</v>
      </c>
      <c r="L399" s="5" t="n">
        <v>120000</v>
      </c>
      <c r="M399" s="6" t="n">
        <v>152000</v>
      </c>
      <c r="N399" s="5" t="n"/>
      <c r="O399" s="5">
        <f>IF(AND(ISNUMBER(N399),ISNUMBER(M399)),N399-M399,"")</f>
        <v/>
      </c>
      <c r="P399" s="7">
        <f>IF(AND(ISNUMBER(N399),ISNUMBER(M399),M399&gt;0),(N399-M399)/M399,"")</f>
        <v/>
      </c>
      <c r="Q399" s="3">
        <f>IF(P399="","",IF(P399&lt;-0.02,"🔴 Bán phá giá sàn",IF(P399&gt;0.05,"🔵 Bán cao hơn","🟢 Đúng giá sàn TMĐT")))</f>
        <v/>
      </c>
      <c r="R399" s="3" t="n"/>
      <c r="S399" s="4" t="n"/>
      <c r="T399" s="4" t="n"/>
    </row>
    <row r="400">
      <c r="A400" s="3" t="n">
        <v>399</v>
      </c>
      <c r="B400" s="3" t="inlineStr">
        <is>
          <t>DL002</t>
        </is>
      </c>
      <c r="C400" s="4" t="inlineStr">
        <is>
          <t>Nguyễn Hoàng Phú</t>
        </is>
      </c>
      <c r="D400" s="3" t="inlineStr">
        <is>
          <t>HCM</t>
        </is>
      </c>
      <c r="E400" s="3" t="inlineStr">
        <is>
          <t>BẢO TRÂM</t>
        </is>
      </c>
      <c r="F400" s="3" t="inlineStr">
        <is>
          <t>Shopee</t>
        </is>
      </c>
      <c r="G400" s="4" t="inlineStr">
        <is>
          <t>SHOPEE: https://s.shopee.vn/3qNt1d78Ij TIKTOK: LAZADA: WEBSITE BÁN HÀNG:</t>
        </is>
      </c>
      <c r="H400" s="3" t="inlineStr">
        <is>
          <t>KBS-22280</t>
        </is>
      </c>
      <c r="I400" s="4" t="inlineStr">
        <is>
          <t>Mũi khoan đá chuôi lục giác KBS-22*280</t>
        </is>
      </c>
      <c r="J400" s="3" t="inlineStr">
        <is>
          <t>Cái</t>
        </is>
      </c>
      <c r="K400" s="5" t="n">
        <v>111000</v>
      </c>
      <c r="L400" s="5" t="n">
        <v>135000</v>
      </c>
      <c r="M400" s="6" t="n">
        <v>172000</v>
      </c>
      <c r="N400" s="5" t="n"/>
      <c r="O400" s="5">
        <f>IF(AND(ISNUMBER(N400),ISNUMBER(M400)),N400-M400,"")</f>
        <v/>
      </c>
      <c r="P400" s="7">
        <f>IF(AND(ISNUMBER(N400),ISNUMBER(M400),M400&gt;0),(N400-M400)/M400,"")</f>
        <v/>
      </c>
      <c r="Q400" s="3">
        <f>IF(P400="","",IF(P400&lt;-0.02,"🔴 Bán phá giá sàn",IF(P400&gt;0.05,"🔵 Bán cao hơn","🟢 Đúng giá sàn TMĐT")))</f>
        <v/>
      </c>
      <c r="R400" s="3" t="n"/>
      <c r="S400" s="4" t="n"/>
      <c r="T400" s="4" t="n"/>
    </row>
    <row r="401">
      <c r="A401" s="3" t="n">
        <v>400</v>
      </c>
      <c r="B401" s="3" t="inlineStr">
        <is>
          <t>DL002</t>
        </is>
      </c>
      <c r="C401" s="4" t="inlineStr">
        <is>
          <t>Nguyễn Hoàng Phú</t>
        </is>
      </c>
      <c r="D401" s="3" t="inlineStr">
        <is>
          <t>HCM</t>
        </is>
      </c>
      <c r="E401" s="3" t="inlineStr">
        <is>
          <t>BẢO TRÂM</t>
        </is>
      </c>
      <c r="F401" s="3" t="inlineStr">
        <is>
          <t>Shopee</t>
        </is>
      </c>
      <c r="G401" s="4" t="inlineStr">
        <is>
          <t>SHOPEE: https://s.shopee.vn/3qNt1d78Ij TIKTOK: LAZADA: WEBSITE BÁN HÀNG:</t>
        </is>
      </c>
      <c r="H401" s="3" t="inlineStr">
        <is>
          <t>KBK-06</t>
        </is>
      </c>
      <c r="I401" s="4" t="inlineStr">
        <is>
          <t>Mũi khoan đá KBK-06</t>
        </is>
      </c>
      <c r="J401" s="3" t="inlineStr">
        <is>
          <t>Cái</t>
        </is>
      </c>
      <c r="K401" s="5" t="n">
        <v>22000</v>
      </c>
      <c r="L401" s="5" t="n">
        <v>27000</v>
      </c>
      <c r="M401" s="6" t="n">
        <v>35000</v>
      </c>
      <c r="N401" s="5" t="n"/>
      <c r="O401" s="5">
        <f>IF(AND(ISNUMBER(N401),ISNUMBER(M401)),N401-M401,"")</f>
        <v/>
      </c>
      <c r="P401" s="7">
        <f>IF(AND(ISNUMBER(N401),ISNUMBER(M401),M401&gt;0),(N401-M401)/M401,"")</f>
        <v/>
      </c>
      <c r="Q401" s="3">
        <f>IF(P401="","",IF(P401&lt;-0.02,"🔴 Bán phá giá sàn",IF(P401&gt;0.05,"🔵 Bán cao hơn","🟢 Đúng giá sàn TMĐT")))</f>
        <v/>
      </c>
      <c r="R401" s="3" t="n"/>
      <c r="S401" s="4" t="n"/>
      <c r="T401" s="4" t="n"/>
    </row>
    <row r="402">
      <c r="A402" s="3" t="n">
        <v>401</v>
      </c>
      <c r="B402" s="3" t="inlineStr">
        <is>
          <t>DL002</t>
        </is>
      </c>
      <c r="C402" s="4" t="inlineStr">
        <is>
          <t>Nguyễn Hoàng Phú</t>
        </is>
      </c>
      <c r="D402" s="3" t="inlineStr">
        <is>
          <t>HCM</t>
        </is>
      </c>
      <c r="E402" s="3" t="inlineStr">
        <is>
          <t>BẢO TRÂM</t>
        </is>
      </c>
      <c r="F402" s="3" t="inlineStr">
        <is>
          <t>Shopee</t>
        </is>
      </c>
      <c r="G402" s="4" t="inlineStr">
        <is>
          <t>SHOPEE: https://s.shopee.vn/3qNt1d78Ij TIKTOK: LAZADA: WEBSITE BÁN HÀNG:</t>
        </is>
      </c>
      <c r="H402" s="3" t="inlineStr">
        <is>
          <t>KBK-08</t>
        </is>
      </c>
      <c r="I402" s="4" t="inlineStr">
        <is>
          <t>Mũi khoan đá KBK-08</t>
        </is>
      </c>
      <c r="J402" s="3" t="inlineStr">
        <is>
          <t>Cái</t>
        </is>
      </c>
      <c r="K402" s="5" t="n">
        <v>25000</v>
      </c>
      <c r="L402" s="5" t="n">
        <v>31000</v>
      </c>
      <c r="M402" s="6" t="n">
        <v>40000</v>
      </c>
      <c r="N402" s="5" t="n"/>
      <c r="O402" s="5">
        <f>IF(AND(ISNUMBER(N402),ISNUMBER(M402)),N402-M402,"")</f>
        <v/>
      </c>
      <c r="P402" s="7">
        <f>IF(AND(ISNUMBER(N402),ISNUMBER(M402),M402&gt;0),(N402-M402)/M402,"")</f>
        <v/>
      </c>
      <c r="Q402" s="3">
        <f>IF(P402="","",IF(P402&lt;-0.02,"🔴 Bán phá giá sàn",IF(P402&gt;0.05,"🔵 Bán cao hơn","🟢 Đúng giá sàn TMĐT")))</f>
        <v/>
      </c>
      <c r="R402" s="3" t="n"/>
      <c r="S402" s="4" t="n"/>
      <c r="T402" s="4" t="n"/>
    </row>
    <row r="403">
      <c r="A403" s="3" t="n">
        <v>402</v>
      </c>
      <c r="B403" s="3" t="inlineStr">
        <is>
          <t>DL002</t>
        </is>
      </c>
      <c r="C403" s="4" t="inlineStr">
        <is>
          <t>Nguyễn Hoàng Phú</t>
        </is>
      </c>
      <c r="D403" s="3" t="inlineStr">
        <is>
          <t>HCM</t>
        </is>
      </c>
      <c r="E403" s="3" t="inlineStr">
        <is>
          <t>BẢO TRÂM</t>
        </is>
      </c>
      <c r="F403" s="3" t="inlineStr">
        <is>
          <t>Shopee</t>
        </is>
      </c>
      <c r="G403" s="4" t="inlineStr">
        <is>
          <t>SHOPEE: https://s.shopee.vn/3qNt1d78Ij TIKTOK: LAZADA: WEBSITE BÁN HÀNG:</t>
        </is>
      </c>
      <c r="H403" s="3" t="inlineStr">
        <is>
          <t>KBK-10</t>
        </is>
      </c>
      <c r="I403" s="4" t="inlineStr">
        <is>
          <t>Mũi khoan đá KBK-10</t>
        </is>
      </c>
      <c r="J403" s="3" t="inlineStr">
        <is>
          <t>Cái</t>
        </is>
      </c>
      <c r="K403" s="5" t="n">
        <v>32000</v>
      </c>
      <c r="L403" s="5" t="n">
        <v>40000</v>
      </c>
      <c r="M403" s="6" t="n">
        <v>51000</v>
      </c>
      <c r="N403" s="5" t="n"/>
      <c r="O403" s="5">
        <f>IF(AND(ISNUMBER(N403),ISNUMBER(M403)),N403-M403,"")</f>
        <v/>
      </c>
      <c r="P403" s="7">
        <f>IF(AND(ISNUMBER(N403),ISNUMBER(M403),M403&gt;0),(N403-M403)/M403,"")</f>
        <v/>
      </c>
      <c r="Q403" s="3">
        <f>IF(P403="","",IF(P403&lt;-0.02,"🔴 Bán phá giá sàn",IF(P403&gt;0.05,"🔵 Bán cao hơn","🟢 Đúng giá sàn TMĐT")))</f>
        <v/>
      </c>
      <c r="R403" s="3" t="n"/>
      <c r="S403" s="4" t="n"/>
      <c r="T403" s="4" t="n"/>
    </row>
    <row r="404">
      <c r="A404" s="3" t="n">
        <v>403</v>
      </c>
      <c r="B404" s="3" t="inlineStr">
        <is>
          <t>DL002</t>
        </is>
      </c>
      <c r="C404" s="4" t="inlineStr">
        <is>
          <t>Nguyễn Hoàng Phú</t>
        </is>
      </c>
      <c r="D404" s="3" t="inlineStr">
        <is>
          <t>HCM</t>
        </is>
      </c>
      <c r="E404" s="3" t="inlineStr">
        <is>
          <t>BẢO TRÂM</t>
        </is>
      </c>
      <c r="F404" s="3" t="inlineStr">
        <is>
          <t>Shopee</t>
        </is>
      </c>
      <c r="G404" s="4" t="inlineStr">
        <is>
          <t>SHOPEE: https://s.shopee.vn/3qNt1d78Ij TIKTOK: LAZADA: WEBSITE BÁN HÀNG:</t>
        </is>
      </c>
      <c r="H404" s="3" t="inlineStr">
        <is>
          <t>KBK-100</t>
        </is>
      </c>
      <c r="I404" s="4" t="inlineStr">
        <is>
          <t>Mũi khoan đá KBK-100</t>
        </is>
      </c>
      <c r="J404" s="3" t="inlineStr">
        <is>
          <t>Cái</t>
        </is>
      </c>
      <c r="K404" s="5" t="n">
        <v>342000</v>
      </c>
      <c r="L404" s="5" t="n">
        <v>424000</v>
      </c>
      <c r="M404" s="6" t="n">
        <v>547000</v>
      </c>
      <c r="N404" s="5" t="n"/>
      <c r="O404" s="5">
        <f>IF(AND(ISNUMBER(N404),ISNUMBER(M404)),N404-M404,"")</f>
        <v/>
      </c>
      <c r="P404" s="7">
        <f>IF(AND(ISNUMBER(N404),ISNUMBER(M404),M404&gt;0),(N404-M404)/M404,"")</f>
        <v/>
      </c>
      <c r="Q404" s="3">
        <f>IF(P404="","",IF(P404&lt;-0.02,"🔴 Bán phá giá sàn",IF(P404&gt;0.05,"🔵 Bán cao hơn","🟢 Đúng giá sàn TMĐT")))</f>
        <v/>
      </c>
      <c r="R404" s="3" t="n"/>
      <c r="S404" s="4" t="n"/>
      <c r="T404" s="4" t="n"/>
    </row>
    <row r="405">
      <c r="A405" s="3" t="n">
        <v>404</v>
      </c>
      <c r="B405" s="3" t="inlineStr">
        <is>
          <t>DL002</t>
        </is>
      </c>
      <c r="C405" s="4" t="inlineStr">
        <is>
          <t>Nguyễn Hoàng Phú</t>
        </is>
      </c>
      <c r="D405" s="3" t="inlineStr">
        <is>
          <t>HCM</t>
        </is>
      </c>
      <c r="E405" s="3" t="inlineStr">
        <is>
          <t>BẢO TRÂM</t>
        </is>
      </c>
      <c r="F405" s="3" t="inlineStr">
        <is>
          <t>Shopee</t>
        </is>
      </c>
      <c r="G405" s="4" t="inlineStr">
        <is>
          <t>SHOPEE: https://s.shopee.vn/3qNt1d78Ij TIKTOK: LAZADA: WEBSITE BÁN HÀNG:</t>
        </is>
      </c>
      <c r="H405" s="3" t="inlineStr">
        <is>
          <t>KBK-110</t>
        </is>
      </c>
      <c r="I405" s="4" t="inlineStr">
        <is>
          <t>Mũi khoan đá KBK-110</t>
        </is>
      </c>
      <c r="J405" s="3" t="inlineStr">
        <is>
          <t>Cái</t>
        </is>
      </c>
      <c r="K405" s="5" t="n">
        <v>387000</v>
      </c>
      <c r="L405" s="5" t="n">
        <v>480000</v>
      </c>
      <c r="M405" s="6" t="n">
        <v>619000</v>
      </c>
      <c r="N405" s="5" t="n"/>
      <c r="O405" s="5">
        <f>IF(AND(ISNUMBER(N405),ISNUMBER(M405)),N405-M405,"")</f>
        <v/>
      </c>
      <c r="P405" s="7">
        <f>IF(AND(ISNUMBER(N405),ISNUMBER(M405),M405&gt;0),(N405-M405)/M405,"")</f>
        <v/>
      </c>
      <c r="Q405" s="3">
        <f>IF(P405="","",IF(P405&lt;-0.02,"🔴 Bán phá giá sàn",IF(P405&gt;0.05,"🔵 Bán cao hơn","🟢 Đúng giá sàn TMĐT")))</f>
        <v/>
      </c>
      <c r="R405" s="3" t="n"/>
      <c r="S405" s="4" t="n"/>
      <c r="T405" s="4" t="n"/>
    </row>
    <row r="406">
      <c r="A406" s="3" t="n">
        <v>405</v>
      </c>
      <c r="B406" s="3" t="inlineStr">
        <is>
          <t>DL002</t>
        </is>
      </c>
      <c r="C406" s="4" t="inlineStr">
        <is>
          <t>Nguyễn Hoàng Phú</t>
        </is>
      </c>
      <c r="D406" s="3" t="inlineStr">
        <is>
          <t>HCM</t>
        </is>
      </c>
      <c r="E406" s="3" t="inlineStr">
        <is>
          <t>BẢO TRÂM</t>
        </is>
      </c>
      <c r="F406" s="3" t="inlineStr">
        <is>
          <t>Shopee</t>
        </is>
      </c>
      <c r="G406" s="4" t="inlineStr">
        <is>
          <t>SHOPEE: https://s.shopee.vn/3qNt1d78Ij TIKTOK: LAZADA: WEBSITE BÁN HÀNG:</t>
        </is>
      </c>
      <c r="H406" s="3" t="inlineStr">
        <is>
          <t>KBK-12</t>
        </is>
      </c>
      <c r="I406" s="4" t="inlineStr">
        <is>
          <t>Mũi khoan đá KBK-12</t>
        </is>
      </c>
      <c r="J406" s="3" t="inlineStr">
        <is>
          <t>Cái</t>
        </is>
      </c>
      <c r="K406" s="5" t="n">
        <v>37000</v>
      </c>
      <c r="L406" s="5" t="n">
        <v>46000</v>
      </c>
      <c r="M406" s="6" t="n">
        <v>59000</v>
      </c>
      <c r="N406" s="5" t="n"/>
      <c r="O406" s="5">
        <f>IF(AND(ISNUMBER(N406),ISNUMBER(M406)),N406-M406,"")</f>
        <v/>
      </c>
      <c r="P406" s="7">
        <f>IF(AND(ISNUMBER(N406),ISNUMBER(M406),M406&gt;0),(N406-M406)/M406,"")</f>
        <v/>
      </c>
      <c r="Q406" s="3">
        <f>IF(P406="","",IF(P406&lt;-0.02,"🔴 Bán phá giá sàn",IF(P406&gt;0.05,"🔵 Bán cao hơn","🟢 Đúng giá sàn TMĐT")))</f>
        <v/>
      </c>
      <c r="R406" s="3" t="n"/>
      <c r="S406" s="4" t="n"/>
      <c r="T406" s="4" t="n"/>
    </row>
    <row r="407">
      <c r="A407" s="3" t="n">
        <v>406</v>
      </c>
      <c r="B407" s="3" t="inlineStr">
        <is>
          <t>DL002</t>
        </is>
      </c>
      <c r="C407" s="4" t="inlineStr">
        <is>
          <t>Nguyễn Hoàng Phú</t>
        </is>
      </c>
      <c r="D407" s="3" t="inlineStr">
        <is>
          <t>HCM</t>
        </is>
      </c>
      <c r="E407" s="3" t="inlineStr">
        <is>
          <t>BẢO TRÂM</t>
        </is>
      </c>
      <c r="F407" s="3" t="inlineStr">
        <is>
          <t>Shopee</t>
        </is>
      </c>
      <c r="G407" s="4" t="inlineStr">
        <is>
          <t>SHOPEE: https://s.shopee.vn/3qNt1d78Ij TIKTOK: LAZADA: WEBSITE BÁN HÀNG:</t>
        </is>
      </c>
      <c r="H407" s="3" t="inlineStr">
        <is>
          <t>KBK-14</t>
        </is>
      </c>
      <c r="I407" s="4" t="inlineStr">
        <is>
          <t>Mũi khoan đá KBK-14</t>
        </is>
      </c>
      <c r="J407" s="3" t="inlineStr">
        <is>
          <t>Cái</t>
        </is>
      </c>
      <c r="K407" s="5" t="n">
        <v>45000</v>
      </c>
      <c r="L407" s="5" t="n">
        <v>56000</v>
      </c>
      <c r="M407" s="6" t="n">
        <v>72000</v>
      </c>
      <c r="N407" s="5" t="n"/>
      <c r="O407" s="5">
        <f>IF(AND(ISNUMBER(N407),ISNUMBER(M407)),N407-M407,"")</f>
        <v/>
      </c>
      <c r="P407" s="7">
        <f>IF(AND(ISNUMBER(N407),ISNUMBER(M407),M407&gt;0),(N407-M407)/M407,"")</f>
        <v/>
      </c>
      <c r="Q407" s="3">
        <f>IF(P407="","",IF(P407&lt;-0.02,"🔴 Bán phá giá sàn",IF(P407&gt;0.05,"🔵 Bán cao hơn","🟢 Đúng giá sàn TMĐT")))</f>
        <v/>
      </c>
      <c r="R407" s="3" t="n"/>
      <c r="S407" s="4" t="n"/>
      <c r="T407" s="4" t="n"/>
    </row>
    <row r="408">
      <c r="A408" s="3" t="n">
        <v>407</v>
      </c>
      <c r="B408" s="3" t="inlineStr">
        <is>
          <t>DL002</t>
        </is>
      </c>
      <c r="C408" s="4" t="inlineStr">
        <is>
          <t>Nguyễn Hoàng Phú</t>
        </is>
      </c>
      <c r="D408" s="3" t="inlineStr">
        <is>
          <t>HCM</t>
        </is>
      </c>
      <c r="E408" s="3" t="inlineStr">
        <is>
          <t>BẢO TRÂM</t>
        </is>
      </c>
      <c r="F408" s="3" t="inlineStr">
        <is>
          <t>Shopee</t>
        </is>
      </c>
      <c r="G408" s="4" t="inlineStr">
        <is>
          <t>SHOPEE: https://s.shopee.vn/3qNt1d78Ij TIKTOK: LAZADA: WEBSITE BÁN HÀNG:</t>
        </is>
      </c>
      <c r="H408" s="3" t="inlineStr">
        <is>
          <t>KBK-16</t>
        </is>
      </c>
      <c r="I408" s="4" t="inlineStr">
        <is>
          <t>Mũi khoan đá KBK-16</t>
        </is>
      </c>
      <c r="J408" s="3" t="inlineStr">
        <is>
          <t>Cái</t>
        </is>
      </c>
      <c r="K408" s="5" t="n">
        <v>48000</v>
      </c>
      <c r="L408" s="5" t="n">
        <v>60000</v>
      </c>
      <c r="M408" s="6" t="n">
        <v>77000</v>
      </c>
      <c r="N408" s="5" t="n"/>
      <c r="O408" s="5">
        <f>IF(AND(ISNUMBER(N408),ISNUMBER(M408)),N408-M408,"")</f>
        <v/>
      </c>
      <c r="P408" s="7">
        <f>IF(AND(ISNUMBER(N408),ISNUMBER(M408),M408&gt;0),(N408-M408)/M408,"")</f>
        <v/>
      </c>
      <c r="Q408" s="3">
        <f>IF(P408="","",IF(P408&lt;-0.02,"🔴 Bán phá giá sàn",IF(P408&gt;0.05,"🔵 Bán cao hơn","🟢 Đúng giá sàn TMĐT")))</f>
        <v/>
      </c>
      <c r="R408" s="3" t="n"/>
      <c r="S408" s="4" t="n"/>
      <c r="T408" s="4" t="n"/>
    </row>
    <row r="409">
      <c r="A409" s="3" t="n">
        <v>408</v>
      </c>
      <c r="B409" s="3" t="inlineStr">
        <is>
          <t>DL002</t>
        </is>
      </c>
      <c r="C409" s="4" t="inlineStr">
        <is>
          <t>Nguyễn Hoàng Phú</t>
        </is>
      </c>
      <c r="D409" s="3" t="inlineStr">
        <is>
          <t>HCM</t>
        </is>
      </c>
      <c r="E409" s="3" t="inlineStr">
        <is>
          <t>BẢO TRÂM</t>
        </is>
      </c>
      <c r="F409" s="3" t="inlineStr">
        <is>
          <t>Shopee</t>
        </is>
      </c>
      <c r="G409" s="4" t="inlineStr">
        <is>
          <t>SHOPEE: https://s.shopee.vn/3qNt1d78Ij TIKTOK: LAZADA: WEBSITE BÁN HÀNG:</t>
        </is>
      </c>
      <c r="H409" s="3" t="inlineStr">
        <is>
          <t>KBK-18</t>
        </is>
      </c>
      <c r="I409" s="4" t="inlineStr">
        <is>
          <t>Mũi khoan đá KBK-18</t>
        </is>
      </c>
      <c r="J409" s="3" t="inlineStr">
        <is>
          <t>Cái</t>
        </is>
      </c>
      <c r="K409" s="5" t="n">
        <v>57000</v>
      </c>
      <c r="L409" s="5" t="n">
        <v>71000</v>
      </c>
      <c r="M409" s="6" t="n">
        <v>91000</v>
      </c>
      <c r="N409" s="5" t="n"/>
      <c r="O409" s="5">
        <f>IF(AND(ISNUMBER(N409),ISNUMBER(M409)),N409-M409,"")</f>
        <v/>
      </c>
      <c r="P409" s="7">
        <f>IF(AND(ISNUMBER(N409),ISNUMBER(M409),M409&gt;0),(N409-M409)/M409,"")</f>
        <v/>
      </c>
      <c r="Q409" s="3">
        <f>IF(P409="","",IF(P409&lt;-0.02,"🔴 Bán phá giá sàn",IF(P409&gt;0.05,"🔵 Bán cao hơn","🟢 Đúng giá sàn TMĐT")))</f>
        <v/>
      </c>
      <c r="R409" s="3" t="n"/>
      <c r="S409" s="4" t="n"/>
      <c r="T409" s="4" t="n"/>
    </row>
    <row r="410">
      <c r="A410" s="3" t="n">
        <v>409</v>
      </c>
      <c r="B410" s="3" t="inlineStr">
        <is>
          <t>DL002</t>
        </is>
      </c>
      <c r="C410" s="4" t="inlineStr">
        <is>
          <t>Nguyễn Hoàng Phú</t>
        </is>
      </c>
      <c r="D410" s="3" t="inlineStr">
        <is>
          <t>HCM</t>
        </is>
      </c>
      <c r="E410" s="3" t="inlineStr">
        <is>
          <t>BẢO TRÂM</t>
        </is>
      </c>
      <c r="F410" s="3" t="inlineStr">
        <is>
          <t>Shopee</t>
        </is>
      </c>
      <c r="G410" s="4" t="inlineStr">
        <is>
          <t>SHOPEE: https://s.shopee.vn/3qNt1d78Ij TIKTOK: LAZADA: WEBSITE BÁN HÀNG:</t>
        </is>
      </c>
      <c r="H410" s="3" t="inlineStr">
        <is>
          <t>KBK-21</t>
        </is>
      </c>
      <c r="I410" s="4" t="inlineStr">
        <is>
          <t>Mũi khoan đá KBK-21</t>
        </is>
      </c>
      <c r="J410" s="3" t="inlineStr">
        <is>
          <t>Cái</t>
        </is>
      </c>
      <c r="K410" s="5" t="n">
        <v>64000</v>
      </c>
      <c r="L410" s="5" t="n">
        <v>79000</v>
      </c>
      <c r="M410" s="6" t="n">
        <v>102000</v>
      </c>
      <c r="N410" s="5" t="n"/>
      <c r="O410" s="5">
        <f>IF(AND(ISNUMBER(N410),ISNUMBER(M410)),N410-M410,"")</f>
        <v/>
      </c>
      <c r="P410" s="7">
        <f>IF(AND(ISNUMBER(N410),ISNUMBER(M410),M410&gt;0),(N410-M410)/M410,"")</f>
        <v/>
      </c>
      <c r="Q410" s="3">
        <f>IF(P410="","",IF(P410&lt;-0.02,"🔴 Bán phá giá sàn",IF(P410&gt;0.05,"🔵 Bán cao hơn","🟢 Đúng giá sàn TMĐT")))</f>
        <v/>
      </c>
      <c r="R410" s="3" t="n"/>
      <c r="S410" s="4" t="n"/>
      <c r="T410" s="4" t="n"/>
    </row>
    <row r="411">
      <c r="A411" s="3" t="n">
        <v>410</v>
      </c>
      <c r="B411" s="3" t="inlineStr">
        <is>
          <t>DL002</t>
        </is>
      </c>
      <c r="C411" s="4" t="inlineStr">
        <is>
          <t>Nguyễn Hoàng Phú</t>
        </is>
      </c>
      <c r="D411" s="3" t="inlineStr">
        <is>
          <t>HCM</t>
        </is>
      </c>
      <c r="E411" s="3" t="inlineStr">
        <is>
          <t>BẢO TRÂM</t>
        </is>
      </c>
      <c r="F411" s="3" t="inlineStr">
        <is>
          <t>Shopee</t>
        </is>
      </c>
      <c r="G411" s="4" t="inlineStr">
        <is>
          <t>SHOPEE: https://s.shopee.vn/3qNt1d78Ij TIKTOK: LAZADA: WEBSITE BÁN HÀNG:</t>
        </is>
      </c>
      <c r="H411" s="3" t="inlineStr">
        <is>
          <t>KBK-25</t>
        </is>
      </c>
      <c r="I411" s="4" t="inlineStr">
        <is>
          <t>Mũi khoan đá KBK-25</t>
        </is>
      </c>
      <c r="J411" s="3" t="inlineStr">
        <is>
          <t>Cái</t>
        </is>
      </c>
      <c r="K411" s="5" t="n">
        <v>77000</v>
      </c>
      <c r="L411" s="5" t="n">
        <v>95000</v>
      </c>
      <c r="M411" s="6" t="n">
        <v>123000</v>
      </c>
      <c r="N411" s="5" t="n"/>
      <c r="O411" s="5">
        <f>IF(AND(ISNUMBER(N411),ISNUMBER(M411)),N411-M411,"")</f>
        <v/>
      </c>
      <c r="P411" s="7">
        <f>IF(AND(ISNUMBER(N411),ISNUMBER(M411),M411&gt;0),(N411-M411)/M411,"")</f>
        <v/>
      </c>
      <c r="Q411" s="3">
        <f>IF(P411="","",IF(P411&lt;-0.02,"🔴 Bán phá giá sàn",IF(P411&gt;0.05,"🔵 Bán cao hơn","🟢 Đúng giá sàn TMĐT")))</f>
        <v/>
      </c>
      <c r="R411" s="3" t="n"/>
      <c r="S411" s="4" t="n"/>
      <c r="T411" s="4" t="n"/>
    </row>
    <row r="412">
      <c r="A412" s="3" t="n">
        <v>411</v>
      </c>
      <c r="B412" s="3" t="inlineStr">
        <is>
          <t>DL002</t>
        </is>
      </c>
      <c r="C412" s="4" t="inlineStr">
        <is>
          <t>Nguyễn Hoàng Phú</t>
        </is>
      </c>
      <c r="D412" s="3" t="inlineStr">
        <is>
          <t>HCM</t>
        </is>
      </c>
      <c r="E412" s="3" t="inlineStr">
        <is>
          <t>BẢO TRÂM</t>
        </is>
      </c>
      <c r="F412" s="3" t="inlineStr">
        <is>
          <t>Shopee</t>
        </is>
      </c>
      <c r="G412" s="4" t="inlineStr">
        <is>
          <t>SHOPEE: https://s.shopee.vn/3qNt1d78Ij TIKTOK: LAZADA: WEBSITE BÁN HÀNG:</t>
        </is>
      </c>
      <c r="H412" s="3" t="inlineStr">
        <is>
          <t>KBK-27</t>
        </is>
      </c>
      <c r="I412" s="4" t="inlineStr">
        <is>
          <t>Mũi khoan đá KBK-27</t>
        </is>
      </c>
      <c r="J412" s="3" t="inlineStr">
        <is>
          <t>Cái</t>
        </is>
      </c>
      <c r="K412" s="5" t="n">
        <v>84000</v>
      </c>
      <c r="L412" s="5" t="n">
        <v>104000</v>
      </c>
      <c r="M412" s="6" t="n">
        <v>134000</v>
      </c>
      <c r="N412" s="5" t="n"/>
      <c r="O412" s="5">
        <f>IF(AND(ISNUMBER(N412),ISNUMBER(M412)),N412-M412,"")</f>
        <v/>
      </c>
      <c r="P412" s="7">
        <f>IF(AND(ISNUMBER(N412),ISNUMBER(M412),M412&gt;0),(N412-M412)/M412,"")</f>
        <v/>
      </c>
      <c r="Q412" s="3">
        <f>IF(P412="","",IF(P412&lt;-0.02,"🔴 Bán phá giá sàn",IF(P412&gt;0.05,"🔵 Bán cao hơn","🟢 Đúng giá sàn TMĐT")))</f>
        <v/>
      </c>
      <c r="R412" s="3" t="n"/>
      <c r="S412" s="4" t="n"/>
      <c r="T412" s="4" t="n"/>
    </row>
    <row r="413">
      <c r="A413" s="3" t="n">
        <v>412</v>
      </c>
      <c r="B413" s="3" t="inlineStr">
        <is>
          <t>DL002</t>
        </is>
      </c>
      <c r="C413" s="4" t="inlineStr">
        <is>
          <t>Nguyễn Hoàng Phú</t>
        </is>
      </c>
      <c r="D413" s="3" t="inlineStr">
        <is>
          <t>HCM</t>
        </is>
      </c>
      <c r="E413" s="3" t="inlineStr">
        <is>
          <t>BẢO TRÂM</t>
        </is>
      </c>
      <c r="F413" s="3" t="inlineStr">
        <is>
          <t>Shopee</t>
        </is>
      </c>
      <c r="G413" s="4" t="inlineStr">
        <is>
          <t>SHOPEE: https://s.shopee.vn/3qNt1d78Ij TIKTOK: LAZADA: WEBSITE BÁN HÀNG:</t>
        </is>
      </c>
      <c r="H413" s="3" t="inlineStr">
        <is>
          <t>KBK-30</t>
        </is>
      </c>
      <c r="I413" s="4" t="inlineStr">
        <is>
          <t>Mũi khoan đá KBK-30</t>
        </is>
      </c>
      <c r="J413" s="3" t="inlineStr">
        <is>
          <t>Cái</t>
        </is>
      </c>
      <c r="K413" s="5" t="n">
        <v>91000</v>
      </c>
      <c r="L413" s="5" t="n">
        <v>113000</v>
      </c>
      <c r="M413" s="6" t="n">
        <v>146000</v>
      </c>
      <c r="N413" s="5" t="n"/>
      <c r="O413" s="5">
        <f>IF(AND(ISNUMBER(N413),ISNUMBER(M413)),N413-M413,"")</f>
        <v/>
      </c>
      <c r="P413" s="7">
        <f>IF(AND(ISNUMBER(N413),ISNUMBER(M413),M413&gt;0),(N413-M413)/M413,"")</f>
        <v/>
      </c>
      <c r="Q413" s="3">
        <f>IF(P413="","",IF(P413&lt;-0.02,"🔴 Bán phá giá sàn",IF(P413&gt;0.05,"🔵 Bán cao hơn","🟢 Đúng giá sàn TMĐT")))</f>
        <v/>
      </c>
      <c r="R413" s="3" t="n"/>
      <c r="S413" s="4" t="n"/>
      <c r="T413" s="4" t="n"/>
    </row>
    <row r="414">
      <c r="A414" s="3" t="n">
        <v>413</v>
      </c>
      <c r="B414" s="3" t="inlineStr">
        <is>
          <t>DL002</t>
        </is>
      </c>
      <c r="C414" s="4" t="inlineStr">
        <is>
          <t>Nguyễn Hoàng Phú</t>
        </is>
      </c>
      <c r="D414" s="3" t="inlineStr">
        <is>
          <t>HCM</t>
        </is>
      </c>
      <c r="E414" s="3" t="inlineStr">
        <is>
          <t>BẢO TRÂM</t>
        </is>
      </c>
      <c r="F414" s="3" t="inlineStr">
        <is>
          <t>Shopee</t>
        </is>
      </c>
      <c r="G414" s="4" t="inlineStr">
        <is>
          <t>SHOPEE: https://s.shopee.vn/3qNt1d78Ij TIKTOK: LAZADA: WEBSITE BÁN HÀNG:</t>
        </is>
      </c>
      <c r="H414" s="3" t="inlineStr">
        <is>
          <t>KBK-32</t>
        </is>
      </c>
      <c r="I414" s="4" t="inlineStr">
        <is>
          <t>Mũi khoan đá KBK-32</t>
        </is>
      </c>
      <c r="J414" s="3" t="inlineStr">
        <is>
          <t>Cái</t>
        </is>
      </c>
      <c r="K414" s="5" t="n">
        <v>96000</v>
      </c>
      <c r="L414" s="5" t="n">
        <v>119000</v>
      </c>
      <c r="M414" s="6" t="n">
        <v>154000</v>
      </c>
      <c r="N414" s="5" t="n"/>
      <c r="O414" s="5">
        <f>IF(AND(ISNUMBER(N414),ISNUMBER(M414)),N414-M414,"")</f>
        <v/>
      </c>
      <c r="P414" s="7">
        <f>IF(AND(ISNUMBER(N414),ISNUMBER(M414),M414&gt;0),(N414-M414)/M414,"")</f>
        <v/>
      </c>
      <c r="Q414" s="3">
        <f>IF(P414="","",IF(P414&lt;-0.02,"🔴 Bán phá giá sàn",IF(P414&gt;0.05,"🔵 Bán cao hơn","🟢 Đúng giá sàn TMĐT")))</f>
        <v/>
      </c>
      <c r="R414" s="3" t="n"/>
      <c r="S414" s="4" t="n"/>
      <c r="T414" s="4" t="n"/>
    </row>
    <row r="415">
      <c r="A415" s="3" t="n">
        <v>414</v>
      </c>
      <c r="B415" s="3" t="inlineStr">
        <is>
          <t>DL002</t>
        </is>
      </c>
      <c r="C415" s="4" t="inlineStr">
        <is>
          <t>Nguyễn Hoàng Phú</t>
        </is>
      </c>
      <c r="D415" s="3" t="inlineStr">
        <is>
          <t>HCM</t>
        </is>
      </c>
      <c r="E415" s="3" t="inlineStr">
        <is>
          <t>BẢO TRÂM</t>
        </is>
      </c>
      <c r="F415" s="3" t="inlineStr">
        <is>
          <t>Shopee</t>
        </is>
      </c>
      <c r="G415" s="4" t="inlineStr">
        <is>
          <t>SHOPEE: https://s.shopee.vn/3qNt1d78Ij TIKTOK: LAZADA: WEBSITE BÁN HÀNG:</t>
        </is>
      </c>
      <c r="H415" s="3" t="inlineStr">
        <is>
          <t>KBK-35</t>
        </is>
      </c>
      <c r="I415" s="4" t="inlineStr">
        <is>
          <t>Mũi khoan đá KBK-35</t>
        </is>
      </c>
      <c r="J415" s="3" t="inlineStr">
        <is>
          <t>Cái</t>
        </is>
      </c>
      <c r="K415" s="5" t="n">
        <v>104000</v>
      </c>
      <c r="L415" s="5" t="n">
        <v>129000</v>
      </c>
      <c r="M415" s="6" t="n">
        <v>166000</v>
      </c>
      <c r="N415" s="5" t="n"/>
      <c r="O415" s="5">
        <f>IF(AND(ISNUMBER(N415),ISNUMBER(M415)),N415-M415,"")</f>
        <v/>
      </c>
      <c r="P415" s="7">
        <f>IF(AND(ISNUMBER(N415),ISNUMBER(M415),M415&gt;0),(N415-M415)/M415,"")</f>
        <v/>
      </c>
      <c r="Q415" s="3">
        <f>IF(P415="","",IF(P415&lt;-0.02,"🔴 Bán phá giá sàn",IF(P415&gt;0.05,"🔵 Bán cao hơn","🟢 Đúng giá sàn TMĐT")))</f>
        <v/>
      </c>
      <c r="R415" s="3" t="n"/>
      <c r="S415" s="4" t="n"/>
      <c r="T415" s="4" t="n"/>
    </row>
    <row r="416">
      <c r="A416" s="3" t="n">
        <v>415</v>
      </c>
      <c r="B416" s="3" t="inlineStr">
        <is>
          <t>DL002</t>
        </is>
      </c>
      <c r="C416" s="4" t="inlineStr">
        <is>
          <t>Nguyễn Hoàng Phú</t>
        </is>
      </c>
      <c r="D416" s="3" t="inlineStr">
        <is>
          <t>HCM</t>
        </is>
      </c>
      <c r="E416" s="3" t="inlineStr">
        <is>
          <t>BẢO TRÂM</t>
        </is>
      </c>
      <c r="F416" s="3" t="inlineStr">
        <is>
          <t>Shopee</t>
        </is>
      </c>
      <c r="G416" s="4" t="inlineStr">
        <is>
          <t>SHOPEE: https://s.shopee.vn/3qNt1d78Ij TIKTOK: LAZADA: WEBSITE BÁN HÀNG:</t>
        </is>
      </c>
      <c r="H416" s="3" t="inlineStr">
        <is>
          <t>KBK-38</t>
        </is>
      </c>
      <c r="I416" s="4" t="inlineStr">
        <is>
          <t>Mũi khoan đá KBK-38</t>
        </is>
      </c>
      <c r="J416" s="3" t="inlineStr">
        <is>
          <t>Cái</t>
        </is>
      </c>
      <c r="K416" s="5" t="n">
        <v>114000</v>
      </c>
      <c r="L416" s="5" t="n">
        <v>141000</v>
      </c>
      <c r="M416" s="6" t="n">
        <v>182000</v>
      </c>
      <c r="N416" s="5" t="n"/>
      <c r="O416" s="5">
        <f>IF(AND(ISNUMBER(N416),ISNUMBER(M416)),N416-M416,"")</f>
        <v/>
      </c>
      <c r="P416" s="7">
        <f>IF(AND(ISNUMBER(N416),ISNUMBER(M416),M416&gt;0),(N416-M416)/M416,"")</f>
        <v/>
      </c>
      <c r="Q416" s="3">
        <f>IF(P416="","",IF(P416&lt;-0.02,"🔴 Bán phá giá sàn",IF(P416&gt;0.05,"🔵 Bán cao hơn","🟢 Đúng giá sàn TMĐT")))</f>
        <v/>
      </c>
      <c r="R416" s="3" t="n"/>
      <c r="S416" s="4" t="n"/>
      <c r="T416" s="4" t="n"/>
    </row>
    <row r="417">
      <c r="A417" s="3" t="n">
        <v>416</v>
      </c>
      <c r="B417" s="3" t="inlineStr">
        <is>
          <t>DL002</t>
        </is>
      </c>
      <c r="C417" s="4" t="inlineStr">
        <is>
          <t>Nguyễn Hoàng Phú</t>
        </is>
      </c>
      <c r="D417" s="3" t="inlineStr">
        <is>
          <t>HCM</t>
        </is>
      </c>
      <c r="E417" s="3" t="inlineStr">
        <is>
          <t>BẢO TRÂM</t>
        </is>
      </c>
      <c r="F417" s="3" t="inlineStr">
        <is>
          <t>Shopee</t>
        </is>
      </c>
      <c r="G417" s="4" t="inlineStr">
        <is>
          <t>SHOPEE: https://s.shopee.vn/3qNt1d78Ij TIKTOK: LAZADA: WEBSITE BÁN HÀNG:</t>
        </is>
      </c>
      <c r="H417" s="3" t="inlineStr">
        <is>
          <t>KBK-40</t>
        </is>
      </c>
      <c r="I417" s="4" t="inlineStr">
        <is>
          <t>Mũi khoan đá KBK-40</t>
        </is>
      </c>
      <c r="J417" s="3" t="inlineStr">
        <is>
          <t>Cái</t>
        </is>
      </c>
      <c r="K417" s="5" t="n">
        <v>120000</v>
      </c>
      <c r="L417" s="5" t="n">
        <v>149000</v>
      </c>
      <c r="M417" s="6" t="n">
        <v>192000</v>
      </c>
      <c r="N417" s="5" t="n"/>
      <c r="O417" s="5">
        <f>IF(AND(ISNUMBER(N417),ISNUMBER(M417)),N417-M417,"")</f>
        <v/>
      </c>
      <c r="P417" s="7">
        <f>IF(AND(ISNUMBER(N417),ISNUMBER(M417),M417&gt;0),(N417-M417)/M417,"")</f>
        <v/>
      </c>
      <c r="Q417" s="3">
        <f>IF(P417="","",IF(P417&lt;-0.02,"🔴 Bán phá giá sàn",IF(P417&gt;0.05,"🔵 Bán cao hơn","🟢 Đúng giá sàn TMĐT")))</f>
        <v/>
      </c>
      <c r="R417" s="3" t="n"/>
      <c r="S417" s="4" t="n"/>
      <c r="T417" s="4" t="n"/>
    </row>
    <row r="418">
      <c r="A418" s="3" t="n">
        <v>417</v>
      </c>
      <c r="B418" s="3" t="inlineStr">
        <is>
          <t>DL002</t>
        </is>
      </c>
      <c r="C418" s="4" t="inlineStr">
        <is>
          <t>Nguyễn Hoàng Phú</t>
        </is>
      </c>
      <c r="D418" s="3" t="inlineStr">
        <is>
          <t>HCM</t>
        </is>
      </c>
      <c r="E418" s="3" t="inlineStr">
        <is>
          <t>BẢO TRÂM</t>
        </is>
      </c>
      <c r="F418" s="3" t="inlineStr">
        <is>
          <t>Shopee</t>
        </is>
      </c>
      <c r="G418" s="4" t="inlineStr">
        <is>
          <t>SHOPEE: https://s.shopee.vn/3qNt1d78Ij TIKTOK: LAZADA: WEBSITE BÁN HÀNG:</t>
        </is>
      </c>
      <c r="H418" s="3" t="inlineStr">
        <is>
          <t>KBK-42</t>
        </is>
      </c>
      <c r="I418" s="4" t="inlineStr">
        <is>
          <t>Mũi khoan đá KBK-42</t>
        </is>
      </c>
      <c r="J418" s="3" t="inlineStr">
        <is>
          <t>Cái</t>
        </is>
      </c>
      <c r="K418" s="5" t="n">
        <v>129000</v>
      </c>
      <c r="L418" s="5" t="n">
        <v>160000</v>
      </c>
      <c r="M418" s="6" t="n">
        <v>206000</v>
      </c>
      <c r="N418" s="5" t="n"/>
      <c r="O418" s="5">
        <f>IF(AND(ISNUMBER(N418),ISNUMBER(M418)),N418-M418,"")</f>
        <v/>
      </c>
      <c r="P418" s="7">
        <f>IF(AND(ISNUMBER(N418),ISNUMBER(M418),M418&gt;0),(N418-M418)/M418,"")</f>
        <v/>
      </c>
      <c r="Q418" s="3">
        <f>IF(P418="","",IF(P418&lt;-0.02,"🔴 Bán phá giá sàn",IF(P418&gt;0.05,"🔵 Bán cao hơn","🟢 Đúng giá sàn TMĐT")))</f>
        <v/>
      </c>
      <c r="R418" s="3" t="n"/>
      <c r="S418" s="4" t="n"/>
      <c r="T418" s="4" t="n"/>
    </row>
    <row r="419">
      <c r="A419" s="3" t="n">
        <v>418</v>
      </c>
      <c r="B419" s="3" t="inlineStr">
        <is>
          <t>DL002</t>
        </is>
      </c>
      <c r="C419" s="4" t="inlineStr">
        <is>
          <t>Nguyễn Hoàng Phú</t>
        </is>
      </c>
      <c r="D419" s="3" t="inlineStr">
        <is>
          <t>HCM</t>
        </is>
      </c>
      <c r="E419" s="3" t="inlineStr">
        <is>
          <t>BẢO TRÂM</t>
        </is>
      </c>
      <c r="F419" s="3" t="inlineStr">
        <is>
          <t>Shopee</t>
        </is>
      </c>
      <c r="G419" s="4" t="inlineStr">
        <is>
          <t>SHOPEE: https://s.shopee.vn/3qNt1d78Ij TIKTOK: LAZADA: WEBSITE BÁN HÀNG:</t>
        </is>
      </c>
      <c r="H419" s="3" t="inlineStr">
        <is>
          <t>KBK-45</t>
        </is>
      </c>
      <c r="I419" s="4" t="inlineStr">
        <is>
          <t>Mũi khoan đá KBK-45</t>
        </is>
      </c>
      <c r="J419" s="3" t="inlineStr">
        <is>
          <t>Cái</t>
        </is>
      </c>
      <c r="K419" s="5" t="n">
        <v>140000</v>
      </c>
      <c r="L419" s="5" t="n">
        <v>174000</v>
      </c>
      <c r="M419" s="6" t="n">
        <v>224000</v>
      </c>
      <c r="N419" s="5" t="n"/>
      <c r="O419" s="5">
        <f>IF(AND(ISNUMBER(N419),ISNUMBER(M419)),N419-M419,"")</f>
        <v/>
      </c>
      <c r="P419" s="7">
        <f>IF(AND(ISNUMBER(N419),ISNUMBER(M419),M419&gt;0),(N419-M419)/M419,"")</f>
        <v/>
      </c>
      <c r="Q419" s="3">
        <f>IF(P419="","",IF(P419&lt;-0.02,"🔴 Bán phá giá sàn",IF(P419&gt;0.05,"🔵 Bán cao hơn","🟢 Đúng giá sàn TMĐT")))</f>
        <v/>
      </c>
      <c r="R419" s="3" t="n"/>
      <c r="S419" s="4" t="n"/>
      <c r="T419" s="4" t="n"/>
    </row>
    <row r="420">
      <c r="A420" s="3" t="n">
        <v>419</v>
      </c>
      <c r="B420" s="3" t="inlineStr">
        <is>
          <t>DL002</t>
        </is>
      </c>
      <c r="C420" s="4" t="inlineStr">
        <is>
          <t>Nguyễn Hoàng Phú</t>
        </is>
      </c>
      <c r="D420" s="3" t="inlineStr">
        <is>
          <t>HCM</t>
        </is>
      </c>
      <c r="E420" s="3" t="inlineStr">
        <is>
          <t>BẢO TRÂM</t>
        </is>
      </c>
      <c r="F420" s="3" t="inlineStr">
        <is>
          <t>Shopee</t>
        </is>
      </c>
      <c r="G420" s="4" t="inlineStr">
        <is>
          <t>SHOPEE: https://s.shopee.vn/3qNt1d78Ij TIKTOK: LAZADA: WEBSITE BÁN HÀNG:</t>
        </is>
      </c>
      <c r="H420" s="3" t="inlineStr">
        <is>
          <t>KBK-50</t>
        </is>
      </c>
      <c r="I420" s="4" t="inlineStr">
        <is>
          <t>Mũi khoan đá KBK-50</t>
        </is>
      </c>
      <c r="J420" s="3" t="inlineStr">
        <is>
          <t>Cái</t>
        </is>
      </c>
      <c r="K420" s="5" t="n">
        <v>153000</v>
      </c>
      <c r="L420" s="5" t="n">
        <v>190000</v>
      </c>
      <c r="M420" s="6" t="n">
        <v>245000</v>
      </c>
      <c r="N420" s="5" t="n"/>
      <c r="O420" s="5">
        <f>IF(AND(ISNUMBER(N420),ISNUMBER(M420)),N420-M420,"")</f>
        <v/>
      </c>
      <c r="P420" s="7">
        <f>IF(AND(ISNUMBER(N420),ISNUMBER(M420),M420&gt;0),(N420-M420)/M420,"")</f>
        <v/>
      </c>
      <c r="Q420" s="3">
        <f>IF(P420="","",IF(P420&lt;-0.02,"🔴 Bán phá giá sàn",IF(P420&gt;0.05,"🔵 Bán cao hơn","🟢 Đúng giá sàn TMĐT")))</f>
        <v/>
      </c>
      <c r="R420" s="3" t="n"/>
      <c r="S420" s="4" t="n"/>
      <c r="T420" s="4" t="n"/>
    </row>
    <row r="421">
      <c r="A421" s="3" t="n">
        <v>420</v>
      </c>
      <c r="B421" s="3" t="inlineStr">
        <is>
          <t>DL002</t>
        </is>
      </c>
      <c r="C421" s="4" t="inlineStr">
        <is>
          <t>Nguyễn Hoàng Phú</t>
        </is>
      </c>
      <c r="D421" s="3" t="inlineStr">
        <is>
          <t>HCM</t>
        </is>
      </c>
      <c r="E421" s="3" t="inlineStr">
        <is>
          <t>BẢO TRÂM</t>
        </is>
      </c>
      <c r="F421" s="3" t="inlineStr">
        <is>
          <t>Shopee</t>
        </is>
      </c>
      <c r="G421" s="4" t="inlineStr">
        <is>
          <t>SHOPEE: https://s.shopee.vn/3qNt1d78Ij TIKTOK: LAZADA: WEBSITE BÁN HÀNG:</t>
        </is>
      </c>
      <c r="H421" s="3" t="inlineStr">
        <is>
          <t>KBK-55</t>
        </is>
      </c>
      <c r="I421" s="4" t="inlineStr">
        <is>
          <t>Mũi khoan đá KBK-55</t>
        </is>
      </c>
      <c r="J421" s="3" t="inlineStr">
        <is>
          <t>Cái</t>
        </is>
      </c>
      <c r="K421" s="5" t="n">
        <v>169000</v>
      </c>
      <c r="L421" s="5" t="n">
        <v>209000</v>
      </c>
      <c r="M421" s="6" t="n">
        <v>270000</v>
      </c>
      <c r="N421" s="5" t="n"/>
      <c r="O421" s="5">
        <f>IF(AND(ISNUMBER(N421),ISNUMBER(M421)),N421-M421,"")</f>
        <v/>
      </c>
      <c r="P421" s="7">
        <f>IF(AND(ISNUMBER(N421),ISNUMBER(M421),M421&gt;0),(N421-M421)/M421,"")</f>
        <v/>
      </c>
      <c r="Q421" s="3">
        <f>IF(P421="","",IF(P421&lt;-0.02,"🔴 Bán phá giá sàn",IF(P421&gt;0.05,"🔵 Bán cao hơn","🟢 Đúng giá sàn TMĐT")))</f>
        <v/>
      </c>
      <c r="R421" s="3" t="n"/>
      <c r="S421" s="4" t="n"/>
      <c r="T421" s="4" t="n"/>
    </row>
    <row r="422">
      <c r="A422" s="3" t="n">
        <v>421</v>
      </c>
      <c r="B422" s="3" t="inlineStr">
        <is>
          <t>DL002</t>
        </is>
      </c>
      <c r="C422" s="4" t="inlineStr">
        <is>
          <t>Nguyễn Hoàng Phú</t>
        </is>
      </c>
      <c r="D422" s="3" t="inlineStr">
        <is>
          <t>HCM</t>
        </is>
      </c>
      <c r="E422" s="3" t="inlineStr">
        <is>
          <t>BẢO TRÂM</t>
        </is>
      </c>
      <c r="F422" s="3" t="inlineStr">
        <is>
          <t>Shopee</t>
        </is>
      </c>
      <c r="G422" s="4" t="inlineStr">
        <is>
          <t>SHOPEE: https://s.shopee.vn/3qNt1d78Ij TIKTOK: LAZADA: WEBSITE BÁN HÀNG:</t>
        </is>
      </c>
      <c r="H422" s="3" t="inlineStr">
        <is>
          <t>KBK-60</t>
        </is>
      </c>
      <c r="I422" s="4" t="inlineStr">
        <is>
          <t>Mũi khoan đá KBK-60</t>
        </is>
      </c>
      <c r="J422" s="3" t="inlineStr">
        <is>
          <t>Cái</t>
        </is>
      </c>
      <c r="K422" s="5" t="n">
        <v>182000</v>
      </c>
      <c r="L422" s="5" t="n">
        <v>226000</v>
      </c>
      <c r="M422" s="6" t="n">
        <v>291000</v>
      </c>
      <c r="N422" s="5" t="n"/>
      <c r="O422" s="5">
        <f>IF(AND(ISNUMBER(N422),ISNUMBER(M422)),N422-M422,"")</f>
        <v/>
      </c>
      <c r="P422" s="7">
        <f>IF(AND(ISNUMBER(N422),ISNUMBER(M422),M422&gt;0),(N422-M422)/M422,"")</f>
        <v/>
      </c>
      <c r="Q422" s="3">
        <f>IF(P422="","",IF(P422&lt;-0.02,"🔴 Bán phá giá sàn",IF(P422&gt;0.05,"🔵 Bán cao hơn","🟢 Đúng giá sàn TMĐT")))</f>
        <v/>
      </c>
      <c r="R422" s="3" t="n"/>
      <c r="S422" s="4" t="n"/>
      <c r="T422" s="4" t="n"/>
    </row>
    <row r="423">
      <c r="A423" s="3" t="n">
        <v>422</v>
      </c>
      <c r="B423" s="3" t="inlineStr">
        <is>
          <t>DL002</t>
        </is>
      </c>
      <c r="C423" s="4" t="inlineStr">
        <is>
          <t>Nguyễn Hoàng Phú</t>
        </is>
      </c>
      <c r="D423" s="3" t="inlineStr">
        <is>
          <t>HCM</t>
        </is>
      </c>
      <c r="E423" s="3" t="inlineStr">
        <is>
          <t>BẢO TRÂM</t>
        </is>
      </c>
      <c r="F423" s="3" t="inlineStr">
        <is>
          <t>Shopee</t>
        </is>
      </c>
      <c r="G423" s="4" t="inlineStr">
        <is>
          <t>SHOPEE: https://s.shopee.vn/3qNt1d78Ij TIKTOK: LAZADA: WEBSITE BÁN HÀNG:</t>
        </is>
      </c>
      <c r="H423" s="3" t="inlineStr">
        <is>
          <t>KBK-65</t>
        </is>
      </c>
      <c r="I423" s="4" t="inlineStr">
        <is>
          <t>Mũi khoan đá KBK-65</t>
        </is>
      </c>
      <c r="J423" s="3" t="inlineStr">
        <is>
          <t>Cái</t>
        </is>
      </c>
      <c r="K423" s="5" t="n">
        <v>195000</v>
      </c>
      <c r="L423" s="5" t="n">
        <v>242000</v>
      </c>
      <c r="M423" s="6" t="n">
        <v>312000</v>
      </c>
      <c r="N423" s="5" t="n"/>
      <c r="O423" s="5">
        <f>IF(AND(ISNUMBER(N423),ISNUMBER(M423)),N423-M423,"")</f>
        <v/>
      </c>
      <c r="P423" s="7">
        <f>IF(AND(ISNUMBER(N423),ISNUMBER(M423),M423&gt;0),(N423-M423)/M423,"")</f>
        <v/>
      </c>
      <c r="Q423" s="3">
        <f>IF(P423="","",IF(P423&lt;-0.02,"🔴 Bán phá giá sàn",IF(P423&gt;0.05,"🔵 Bán cao hơn","🟢 Đúng giá sàn TMĐT")))</f>
        <v/>
      </c>
      <c r="R423" s="3" t="n"/>
      <c r="S423" s="4" t="n"/>
      <c r="T423" s="4" t="n"/>
    </row>
    <row r="424">
      <c r="A424" s="3" t="n">
        <v>423</v>
      </c>
      <c r="B424" s="3" t="inlineStr">
        <is>
          <t>DL002</t>
        </is>
      </c>
      <c r="C424" s="4" t="inlineStr">
        <is>
          <t>Nguyễn Hoàng Phú</t>
        </is>
      </c>
      <c r="D424" s="3" t="inlineStr">
        <is>
          <t>HCM</t>
        </is>
      </c>
      <c r="E424" s="3" t="inlineStr">
        <is>
          <t>BẢO TRÂM</t>
        </is>
      </c>
      <c r="F424" s="3" t="inlineStr">
        <is>
          <t>Shopee</t>
        </is>
      </c>
      <c r="G424" s="4" t="inlineStr">
        <is>
          <t>SHOPEE: https://s.shopee.vn/3qNt1d78Ij TIKTOK: LAZADA: WEBSITE BÁN HÀNG:</t>
        </is>
      </c>
      <c r="H424" s="3" t="inlineStr">
        <is>
          <t>KBK-80</t>
        </is>
      </c>
      <c r="I424" s="4" t="inlineStr">
        <is>
          <t>Mũi khoan đá KBK-80</t>
        </is>
      </c>
      <c r="J424" s="3" t="inlineStr">
        <is>
          <t>Cái</t>
        </is>
      </c>
      <c r="K424" s="5" t="n">
        <v>260000</v>
      </c>
      <c r="L424" s="5" t="n">
        <v>322000</v>
      </c>
      <c r="M424" s="6" t="n">
        <v>416000</v>
      </c>
      <c r="N424" s="5" t="n"/>
      <c r="O424" s="5">
        <f>IF(AND(ISNUMBER(N424),ISNUMBER(M424)),N424-M424,"")</f>
        <v/>
      </c>
      <c r="P424" s="7">
        <f>IF(AND(ISNUMBER(N424),ISNUMBER(M424),M424&gt;0),(N424-M424)/M424,"")</f>
        <v/>
      </c>
      <c r="Q424" s="3">
        <f>IF(P424="","",IF(P424&lt;-0.02,"🔴 Bán phá giá sàn",IF(P424&gt;0.05,"🔵 Bán cao hơn","🟢 Đúng giá sàn TMĐT")))</f>
        <v/>
      </c>
      <c r="R424" s="3" t="n"/>
      <c r="S424" s="4" t="n"/>
      <c r="T424" s="4" t="n"/>
    </row>
    <row r="425">
      <c r="A425" s="3" t="n">
        <v>424</v>
      </c>
      <c r="B425" s="3" t="inlineStr">
        <is>
          <t>DL002</t>
        </is>
      </c>
      <c r="C425" s="4" t="inlineStr">
        <is>
          <t>Nguyễn Hoàng Phú</t>
        </is>
      </c>
      <c r="D425" s="3" t="inlineStr">
        <is>
          <t>HCM</t>
        </is>
      </c>
      <c r="E425" s="3" t="inlineStr">
        <is>
          <t>BẢO TRÂM</t>
        </is>
      </c>
      <c r="F425" s="3" t="inlineStr">
        <is>
          <t>Shopee</t>
        </is>
      </c>
      <c r="G425" s="4" t="inlineStr">
        <is>
          <t>SHOPEE: https://s.shopee.vn/3qNt1d78Ij TIKTOK: LAZADA: WEBSITE BÁN HÀNG:</t>
        </is>
      </c>
      <c r="H425" s="3" t="inlineStr">
        <is>
          <t>KBK-85</t>
        </is>
      </c>
      <c r="I425" s="4" t="inlineStr">
        <is>
          <t>Mũi khoan đá KBK-85</t>
        </is>
      </c>
      <c r="J425" s="3" t="inlineStr">
        <is>
          <t>Cái</t>
        </is>
      </c>
      <c r="K425" s="5" t="n">
        <v>301000</v>
      </c>
      <c r="L425" s="5" t="n">
        <v>373000</v>
      </c>
      <c r="M425" s="6" t="n">
        <v>482000</v>
      </c>
      <c r="N425" s="5" t="n"/>
      <c r="O425" s="5">
        <f>IF(AND(ISNUMBER(N425),ISNUMBER(M425)),N425-M425,"")</f>
        <v/>
      </c>
      <c r="P425" s="7">
        <f>IF(AND(ISNUMBER(N425),ISNUMBER(M425),M425&gt;0),(N425-M425)/M425,"")</f>
        <v/>
      </c>
      <c r="Q425" s="3">
        <f>IF(P425="","",IF(P425&lt;-0.02,"🔴 Bán phá giá sàn",IF(P425&gt;0.05,"🔵 Bán cao hơn","🟢 Đúng giá sàn TMĐT")))</f>
        <v/>
      </c>
      <c r="R425" s="3" t="n"/>
      <c r="S425" s="4" t="n"/>
      <c r="T425" s="4" t="n"/>
    </row>
    <row r="426">
      <c r="A426" s="3" t="n">
        <v>425</v>
      </c>
      <c r="B426" s="3" t="inlineStr">
        <is>
          <t>DL002</t>
        </is>
      </c>
      <c r="C426" s="4" t="inlineStr">
        <is>
          <t>Nguyễn Hoàng Phú</t>
        </is>
      </c>
      <c r="D426" s="3" t="inlineStr">
        <is>
          <t>HCM</t>
        </is>
      </c>
      <c r="E426" s="3" t="inlineStr">
        <is>
          <t>BẢO TRÂM</t>
        </is>
      </c>
      <c r="F426" s="3" t="inlineStr">
        <is>
          <t>Shopee</t>
        </is>
      </c>
      <c r="G426" s="4" t="inlineStr">
        <is>
          <t>SHOPEE: https://s.shopee.vn/3qNt1d78Ij TIKTOK: LAZADA: WEBSITE BÁN HÀNG:</t>
        </is>
      </c>
      <c r="H426" s="3" t="inlineStr">
        <is>
          <t>KBK-90</t>
        </is>
      </c>
      <c r="I426" s="4" t="inlineStr">
        <is>
          <t>Mũi khoan đá KBK-90</t>
        </is>
      </c>
      <c r="J426" s="3" t="inlineStr">
        <is>
          <t>Cái</t>
        </is>
      </c>
      <c r="K426" s="5" t="n">
        <v>315000</v>
      </c>
      <c r="L426" s="5" t="n">
        <v>391000</v>
      </c>
      <c r="M426" s="6" t="n">
        <v>504000</v>
      </c>
      <c r="N426" s="5" t="n"/>
      <c r="O426" s="5">
        <f>IF(AND(ISNUMBER(N426),ISNUMBER(M426)),N426-M426,"")</f>
        <v/>
      </c>
      <c r="P426" s="7">
        <f>IF(AND(ISNUMBER(N426),ISNUMBER(M426),M426&gt;0),(N426-M426)/M426,"")</f>
        <v/>
      </c>
      <c r="Q426" s="3">
        <f>IF(P426="","",IF(P426&lt;-0.02,"🔴 Bán phá giá sàn",IF(P426&gt;0.05,"🔵 Bán cao hơn","🟢 Đúng giá sàn TMĐT")))</f>
        <v/>
      </c>
      <c r="R426" s="3" t="n"/>
      <c r="S426" s="4" t="n"/>
      <c r="T426" s="4" t="n"/>
    </row>
    <row r="427">
      <c r="A427" s="3" t="n">
        <v>426</v>
      </c>
      <c r="B427" s="3" t="inlineStr">
        <is>
          <t>DL002</t>
        </is>
      </c>
      <c r="C427" s="4" t="inlineStr">
        <is>
          <t>Nguyễn Hoàng Phú</t>
        </is>
      </c>
      <c r="D427" s="3" t="inlineStr">
        <is>
          <t>HCM</t>
        </is>
      </c>
      <c r="E427" s="3" t="inlineStr">
        <is>
          <t>BẢO TRÂM</t>
        </is>
      </c>
      <c r="F427" s="3" t="inlineStr">
        <is>
          <t>Shopee</t>
        </is>
      </c>
      <c r="G427" s="4" t="inlineStr">
        <is>
          <t>SHOPEE: https://s.shopee.vn/3qNt1d78Ij TIKTOK: LAZADA: WEBSITE BÁN HÀNG:</t>
        </is>
      </c>
      <c r="H427" s="3" t="inlineStr">
        <is>
          <t>KBL4S-06160</t>
        </is>
      </c>
      <c r="I427" s="4" t="inlineStr">
        <is>
          <t>Mũi khoan đa năng chuôi gài 4 cạnh KBL4S-06*160</t>
        </is>
      </c>
      <c r="J427" s="3" t="inlineStr">
        <is>
          <t>Cái</t>
        </is>
      </c>
      <c r="K427" s="5" t="n">
        <v>28000</v>
      </c>
      <c r="L427" s="5" t="n">
        <v>35000</v>
      </c>
      <c r="M427" s="6" t="n">
        <v>45000</v>
      </c>
      <c r="N427" s="5" t="n"/>
      <c r="O427" s="5">
        <f>IF(AND(ISNUMBER(N427),ISNUMBER(M427)),N427-M427,"")</f>
        <v/>
      </c>
      <c r="P427" s="7">
        <f>IF(AND(ISNUMBER(N427),ISNUMBER(M427),M427&gt;0),(N427-M427)/M427,"")</f>
        <v/>
      </c>
      <c r="Q427" s="3">
        <f>IF(P427="","",IF(P427&lt;-0.02,"🔴 Bán phá giá sàn",IF(P427&gt;0.05,"🔵 Bán cao hơn","🟢 Đúng giá sàn TMĐT")))</f>
        <v/>
      </c>
      <c r="R427" s="3" t="n"/>
      <c r="S427" s="4" t="n"/>
      <c r="T427" s="4" t="n"/>
    </row>
    <row r="428">
      <c r="A428" s="3" t="n">
        <v>427</v>
      </c>
      <c r="B428" s="3" t="inlineStr">
        <is>
          <t>DL002</t>
        </is>
      </c>
      <c r="C428" s="4" t="inlineStr">
        <is>
          <t>Nguyễn Hoàng Phú</t>
        </is>
      </c>
      <c r="D428" s="3" t="inlineStr">
        <is>
          <t>HCM</t>
        </is>
      </c>
      <c r="E428" s="3" t="inlineStr">
        <is>
          <t>BẢO TRÂM</t>
        </is>
      </c>
      <c r="F428" s="3" t="inlineStr">
        <is>
          <t>Shopee</t>
        </is>
      </c>
      <c r="G428" s="4" t="inlineStr">
        <is>
          <t>SHOPEE: https://s.shopee.vn/3qNt1d78Ij TIKTOK: LAZADA: WEBSITE BÁN HÀNG:</t>
        </is>
      </c>
      <c r="H428" s="3" t="inlineStr">
        <is>
          <t>KBL4S-08160</t>
        </is>
      </c>
      <c r="I428" s="4" t="inlineStr">
        <is>
          <t>Mũi khoan đa năng chuôi gài 4 cạnh KBL4S-08*160</t>
        </is>
      </c>
      <c r="J428" s="3" t="inlineStr">
        <is>
          <t>Cái</t>
        </is>
      </c>
      <c r="K428" s="5" t="n">
        <v>32000</v>
      </c>
      <c r="L428" s="5" t="n">
        <v>40000</v>
      </c>
      <c r="M428" s="6" t="n">
        <v>51000</v>
      </c>
      <c r="N428" s="5" t="n"/>
      <c r="O428" s="5">
        <f>IF(AND(ISNUMBER(N428),ISNUMBER(M428)),N428-M428,"")</f>
        <v/>
      </c>
      <c r="P428" s="7">
        <f>IF(AND(ISNUMBER(N428),ISNUMBER(M428),M428&gt;0),(N428-M428)/M428,"")</f>
        <v/>
      </c>
      <c r="Q428" s="3">
        <f>IF(P428="","",IF(P428&lt;-0.02,"🔴 Bán phá giá sàn",IF(P428&gt;0.05,"🔵 Bán cao hơn","🟢 Đúng giá sàn TMĐT")))</f>
        <v/>
      </c>
      <c r="R428" s="3" t="n"/>
      <c r="S428" s="4" t="n"/>
      <c r="T428" s="4" t="n"/>
    </row>
    <row r="429">
      <c r="A429" s="3" t="n">
        <v>428</v>
      </c>
      <c r="B429" s="3" t="inlineStr">
        <is>
          <t>DL002</t>
        </is>
      </c>
      <c r="C429" s="4" t="inlineStr">
        <is>
          <t>Nguyễn Hoàng Phú</t>
        </is>
      </c>
      <c r="D429" s="3" t="inlineStr">
        <is>
          <t>HCM</t>
        </is>
      </c>
      <c r="E429" s="3" t="inlineStr">
        <is>
          <t>BẢO TRÂM</t>
        </is>
      </c>
      <c r="F429" s="3" t="inlineStr">
        <is>
          <t>Shopee</t>
        </is>
      </c>
      <c r="G429" s="4" t="inlineStr">
        <is>
          <t>SHOPEE: https://s.shopee.vn/3qNt1d78Ij TIKTOK: LAZADA: WEBSITE BÁN HÀNG:</t>
        </is>
      </c>
      <c r="H429" s="3" t="inlineStr">
        <is>
          <t>KBL4S-10160</t>
        </is>
      </c>
      <c r="I429" s="4" t="inlineStr">
        <is>
          <t>Mũi khoan đa năng chuôi gài 4 cạnh KBL4S-10*160</t>
        </is>
      </c>
      <c r="J429" s="3" t="inlineStr">
        <is>
          <t>Cái</t>
        </is>
      </c>
      <c r="K429" s="5" t="n">
        <v>40000</v>
      </c>
      <c r="L429" s="5" t="n">
        <v>50000</v>
      </c>
      <c r="M429" s="6" t="n">
        <v>64000</v>
      </c>
      <c r="N429" s="5" t="n"/>
      <c r="O429" s="5">
        <f>IF(AND(ISNUMBER(N429),ISNUMBER(M429)),N429-M429,"")</f>
        <v/>
      </c>
      <c r="P429" s="7">
        <f>IF(AND(ISNUMBER(N429),ISNUMBER(M429),M429&gt;0),(N429-M429)/M429,"")</f>
        <v/>
      </c>
      <c r="Q429" s="3">
        <f>IF(P429="","",IF(P429&lt;-0.02,"🔴 Bán phá giá sàn",IF(P429&gt;0.05,"🔵 Bán cao hơn","🟢 Đúng giá sàn TMĐT")))</f>
        <v/>
      </c>
      <c r="R429" s="3" t="n"/>
      <c r="S429" s="4" t="n"/>
      <c r="T429" s="4" t="n"/>
    </row>
    <row r="430">
      <c r="A430" s="3" t="n">
        <v>429</v>
      </c>
      <c r="B430" s="3" t="inlineStr">
        <is>
          <t>DL002</t>
        </is>
      </c>
      <c r="C430" s="4" t="inlineStr">
        <is>
          <t>Nguyễn Hoàng Phú</t>
        </is>
      </c>
      <c r="D430" s="3" t="inlineStr">
        <is>
          <t>HCM</t>
        </is>
      </c>
      <c r="E430" s="3" t="inlineStr">
        <is>
          <t>BẢO TRÂM</t>
        </is>
      </c>
      <c r="F430" s="3" t="inlineStr">
        <is>
          <t>Shopee</t>
        </is>
      </c>
      <c r="G430" s="4" t="inlineStr">
        <is>
          <t>SHOPEE: https://s.shopee.vn/3qNt1d78Ij TIKTOK: LAZADA: WEBSITE BÁN HÀNG:</t>
        </is>
      </c>
      <c r="H430" s="3" t="inlineStr">
        <is>
          <t>KBL4S-12160</t>
        </is>
      </c>
      <c r="I430" s="4" t="inlineStr">
        <is>
          <t>Mũi khoan đa năng chuôi gài 4 cạnh KBL4S-12*160</t>
        </is>
      </c>
      <c r="J430" s="3" t="inlineStr">
        <is>
          <t>Cái</t>
        </is>
      </c>
      <c r="K430" s="5" t="n">
        <v>46000</v>
      </c>
      <c r="L430" s="5" t="n">
        <v>57000</v>
      </c>
      <c r="M430" s="6" t="n">
        <v>74000</v>
      </c>
      <c r="N430" s="5" t="n"/>
      <c r="O430" s="5">
        <f>IF(AND(ISNUMBER(N430),ISNUMBER(M430)),N430-M430,"")</f>
        <v/>
      </c>
      <c r="P430" s="7">
        <f>IF(AND(ISNUMBER(N430),ISNUMBER(M430),M430&gt;0),(N430-M430)/M430,"")</f>
        <v/>
      </c>
      <c r="Q430" s="3">
        <f>IF(P430="","",IF(P430&lt;-0.02,"🔴 Bán phá giá sàn",IF(P430&gt;0.05,"🔵 Bán cao hơn","🟢 Đúng giá sàn TMĐT")))</f>
        <v/>
      </c>
      <c r="R430" s="3" t="n"/>
      <c r="S430" s="4" t="n"/>
      <c r="T430" s="4" t="n"/>
    </row>
    <row r="431">
      <c r="A431" s="3" t="n">
        <v>430</v>
      </c>
      <c r="B431" s="3" t="inlineStr">
        <is>
          <t>DL002</t>
        </is>
      </c>
      <c r="C431" s="4" t="inlineStr">
        <is>
          <t>Nguyễn Hoàng Phú</t>
        </is>
      </c>
      <c r="D431" s="3" t="inlineStr">
        <is>
          <t>HCM</t>
        </is>
      </c>
      <c r="E431" s="3" t="inlineStr">
        <is>
          <t>BẢO TRÂM</t>
        </is>
      </c>
      <c r="F431" s="3" t="inlineStr">
        <is>
          <t>Shopee</t>
        </is>
      </c>
      <c r="G431" s="4" t="inlineStr">
        <is>
          <t>SHOPEE: https://s.shopee.vn/3qNt1d78Ij TIKTOK: LAZADA: WEBSITE BÁN HÀNG:</t>
        </is>
      </c>
      <c r="H431" s="3" t="inlineStr">
        <is>
          <t>KBH2E-3120</t>
        </is>
      </c>
      <c r="I431" s="4" t="inlineStr">
        <is>
          <t>Mũi khoan đa năng lục giác 2 cạnh KBH2E-3*120</t>
        </is>
      </c>
      <c r="J431" s="3" t="inlineStr">
        <is>
          <t>Cái</t>
        </is>
      </c>
      <c r="K431" s="5" t="n">
        <v>269000</v>
      </c>
      <c r="L431" s="5" t="n">
        <v>317000</v>
      </c>
      <c r="M431" s="6" t="n">
        <v>390000</v>
      </c>
      <c r="N431" s="5" t="n"/>
      <c r="O431" s="5">
        <f>IF(AND(ISNUMBER(N431),ISNUMBER(M431)),N431-M431,"")</f>
        <v/>
      </c>
      <c r="P431" s="7">
        <f>IF(AND(ISNUMBER(N431),ISNUMBER(M431),M431&gt;0),(N431-M431)/M431,"")</f>
        <v/>
      </c>
      <c r="Q431" s="3">
        <f>IF(P431="","",IF(P431&lt;-0.02,"🔴 Bán phá giá sàn",IF(P431&gt;0.05,"🔵 Bán cao hơn","🟢 Đúng giá sàn TMĐT")))</f>
        <v/>
      </c>
      <c r="R431" s="3" t="n"/>
      <c r="S431" s="4" t="n"/>
      <c r="T431" s="4" t="n"/>
    </row>
    <row r="432">
      <c r="A432" s="3" t="n">
        <v>431</v>
      </c>
      <c r="B432" s="3" t="inlineStr">
        <is>
          <t>DL002</t>
        </is>
      </c>
      <c r="C432" s="4" t="inlineStr">
        <is>
          <t>Nguyễn Hoàng Phú</t>
        </is>
      </c>
      <c r="D432" s="3" t="inlineStr">
        <is>
          <t>HCM</t>
        </is>
      </c>
      <c r="E432" s="3" t="inlineStr">
        <is>
          <t>BẢO TRÂM</t>
        </is>
      </c>
      <c r="F432" s="3" t="inlineStr">
        <is>
          <t>Shopee</t>
        </is>
      </c>
      <c r="G432" s="4" t="inlineStr">
        <is>
          <t>SHOPEE: https://s.shopee.vn/3qNt1d78Ij TIKTOK: LAZADA: WEBSITE BÁN HÀNG:</t>
        </is>
      </c>
      <c r="H432" s="3" t="inlineStr">
        <is>
          <t>KBH2F-0395</t>
        </is>
      </c>
      <c r="I432" s="4" t="inlineStr">
        <is>
          <t>Mũi khoan ĐN lục giác 2 cạnh KBH2F-03*95</t>
        </is>
      </c>
      <c r="J432" s="3" t="inlineStr">
        <is>
          <t>Cái</t>
        </is>
      </c>
      <c r="K432" s="5" t="n">
        <v>26000</v>
      </c>
      <c r="L432" s="5" t="n">
        <v>32000</v>
      </c>
      <c r="M432" s="6" t="n">
        <v>42000</v>
      </c>
      <c r="N432" s="5" t="n"/>
      <c r="O432" s="5">
        <f>IF(AND(ISNUMBER(N432),ISNUMBER(M432)),N432-M432,"")</f>
        <v/>
      </c>
      <c r="P432" s="7">
        <f>IF(AND(ISNUMBER(N432),ISNUMBER(M432),M432&gt;0),(N432-M432)/M432,"")</f>
        <v/>
      </c>
      <c r="Q432" s="3">
        <f>IF(P432="","",IF(P432&lt;-0.02,"🔴 Bán phá giá sàn",IF(P432&gt;0.05,"🔵 Bán cao hơn","🟢 Đúng giá sàn TMĐT")))</f>
        <v/>
      </c>
      <c r="R432" s="3" t="n"/>
      <c r="S432" s="4" t="n"/>
      <c r="T432" s="4" t="n"/>
    </row>
    <row r="433">
      <c r="A433" s="3" t="n">
        <v>432</v>
      </c>
      <c r="B433" s="3" t="inlineStr">
        <is>
          <t>DL002</t>
        </is>
      </c>
      <c r="C433" s="4" t="inlineStr">
        <is>
          <t>Nguyễn Hoàng Phú</t>
        </is>
      </c>
      <c r="D433" s="3" t="inlineStr">
        <is>
          <t>HCM</t>
        </is>
      </c>
      <c r="E433" s="3" t="inlineStr">
        <is>
          <t>BẢO TRÂM</t>
        </is>
      </c>
      <c r="F433" s="3" t="inlineStr">
        <is>
          <t>Shopee</t>
        </is>
      </c>
      <c r="G433" s="4" t="inlineStr">
        <is>
          <t>SHOPEE: https://s.shopee.vn/3qNt1d78Ij TIKTOK: LAZADA: WEBSITE BÁN HÀNG:</t>
        </is>
      </c>
      <c r="H433" s="3" t="inlineStr">
        <is>
          <t>KBH2F-0495</t>
        </is>
      </c>
      <c r="I433" s="4" t="inlineStr">
        <is>
          <t>Mũi khoan ĐN lục giác 2 cạnh KBH2F-04*95</t>
        </is>
      </c>
      <c r="J433" s="3" t="inlineStr">
        <is>
          <t>Cái</t>
        </is>
      </c>
      <c r="K433" s="5" t="n">
        <v>26000</v>
      </c>
      <c r="L433" s="5" t="n">
        <v>32000</v>
      </c>
      <c r="M433" s="6" t="n">
        <v>42000</v>
      </c>
      <c r="N433" s="5" t="n"/>
      <c r="O433" s="5">
        <f>IF(AND(ISNUMBER(N433),ISNUMBER(M433)),N433-M433,"")</f>
        <v/>
      </c>
      <c r="P433" s="7">
        <f>IF(AND(ISNUMBER(N433),ISNUMBER(M433),M433&gt;0),(N433-M433)/M433,"")</f>
        <v/>
      </c>
      <c r="Q433" s="3">
        <f>IF(P433="","",IF(P433&lt;-0.02,"🔴 Bán phá giá sàn",IF(P433&gt;0.05,"🔵 Bán cao hơn","🟢 Đúng giá sàn TMĐT")))</f>
        <v/>
      </c>
      <c r="R433" s="3" t="n"/>
      <c r="S433" s="4" t="n"/>
      <c r="T433" s="4" t="n"/>
    </row>
    <row r="434">
      <c r="A434" s="3" t="n">
        <v>433</v>
      </c>
      <c r="B434" s="3" t="inlineStr">
        <is>
          <t>DL002</t>
        </is>
      </c>
      <c r="C434" s="4" t="inlineStr">
        <is>
          <t>Nguyễn Hoàng Phú</t>
        </is>
      </c>
      <c r="D434" s="3" t="inlineStr">
        <is>
          <t>HCM</t>
        </is>
      </c>
      <c r="E434" s="3" t="inlineStr">
        <is>
          <t>BẢO TRÂM</t>
        </is>
      </c>
      <c r="F434" s="3" t="inlineStr">
        <is>
          <t>Shopee</t>
        </is>
      </c>
      <c r="G434" s="4" t="inlineStr">
        <is>
          <t>SHOPEE: https://s.shopee.vn/3qNt1d78Ij TIKTOK: LAZADA: WEBSITE BÁN HÀNG:</t>
        </is>
      </c>
      <c r="H434" s="3" t="inlineStr">
        <is>
          <t>KBH2F-0595</t>
        </is>
      </c>
      <c r="I434" s="4" t="inlineStr">
        <is>
          <t>Mũi khoan ĐN lục giác 2 cạnh KBH2F-05*95</t>
        </is>
      </c>
      <c r="J434" s="3" t="inlineStr">
        <is>
          <t>Cái</t>
        </is>
      </c>
      <c r="K434" s="5" t="n">
        <v>26000</v>
      </c>
      <c r="L434" s="5" t="n">
        <v>32000</v>
      </c>
      <c r="M434" s="6" t="n">
        <v>42000</v>
      </c>
      <c r="N434" s="5" t="n"/>
      <c r="O434" s="5">
        <f>IF(AND(ISNUMBER(N434),ISNUMBER(M434)),N434-M434,"")</f>
        <v/>
      </c>
      <c r="P434" s="7">
        <f>IF(AND(ISNUMBER(N434),ISNUMBER(M434),M434&gt;0),(N434-M434)/M434,"")</f>
        <v/>
      </c>
      <c r="Q434" s="3">
        <f>IF(P434="","",IF(P434&lt;-0.02,"🔴 Bán phá giá sàn",IF(P434&gt;0.05,"🔵 Bán cao hơn","🟢 Đúng giá sàn TMĐT")))</f>
        <v/>
      </c>
      <c r="R434" s="3" t="n"/>
      <c r="S434" s="4" t="n"/>
      <c r="T434" s="4" t="n"/>
    </row>
    <row r="435">
      <c r="A435" s="3" t="n">
        <v>434</v>
      </c>
      <c r="B435" s="3" t="inlineStr">
        <is>
          <t>DL002</t>
        </is>
      </c>
      <c r="C435" s="4" t="inlineStr">
        <is>
          <t>Nguyễn Hoàng Phú</t>
        </is>
      </c>
      <c r="D435" s="3" t="inlineStr">
        <is>
          <t>HCM</t>
        </is>
      </c>
      <c r="E435" s="3" t="inlineStr">
        <is>
          <t>BẢO TRÂM</t>
        </is>
      </c>
      <c r="F435" s="3" t="inlineStr">
        <is>
          <t>Shopee</t>
        </is>
      </c>
      <c r="G435" s="4" t="inlineStr">
        <is>
          <t>SHOPEE: https://s.shopee.vn/3qNt1d78Ij TIKTOK: LAZADA: WEBSITE BÁN HÀNG:</t>
        </is>
      </c>
      <c r="H435" s="3" t="inlineStr">
        <is>
          <t>KBH2F-0695</t>
        </is>
      </c>
      <c r="I435" s="4" t="inlineStr">
        <is>
          <t>Mũi khoan ĐN lục giác 2 cạnh KBH2F-06*95</t>
        </is>
      </c>
      <c r="J435" s="3" t="inlineStr">
        <is>
          <t>Cái</t>
        </is>
      </c>
      <c r="K435" s="5" t="n">
        <v>26000</v>
      </c>
      <c r="L435" s="5" t="n">
        <v>32000</v>
      </c>
      <c r="M435" s="6" t="n">
        <v>42000</v>
      </c>
      <c r="N435" s="5" t="n"/>
      <c r="O435" s="5">
        <f>IF(AND(ISNUMBER(N435),ISNUMBER(M435)),N435-M435,"")</f>
        <v/>
      </c>
      <c r="P435" s="7">
        <f>IF(AND(ISNUMBER(N435),ISNUMBER(M435),M435&gt;0),(N435-M435)/M435,"")</f>
        <v/>
      </c>
      <c r="Q435" s="3">
        <f>IF(P435="","",IF(P435&lt;-0.02,"🔴 Bán phá giá sàn",IF(P435&gt;0.05,"🔵 Bán cao hơn","🟢 Đúng giá sàn TMĐT")))</f>
        <v/>
      </c>
      <c r="R435" s="3" t="n"/>
      <c r="S435" s="4" t="n"/>
      <c r="T435" s="4" t="n"/>
    </row>
    <row r="436">
      <c r="A436" s="3" t="n">
        <v>435</v>
      </c>
      <c r="B436" s="3" t="inlineStr">
        <is>
          <t>DL002</t>
        </is>
      </c>
      <c r="C436" s="4" t="inlineStr">
        <is>
          <t>Nguyễn Hoàng Phú</t>
        </is>
      </c>
      <c r="D436" s="3" t="inlineStr">
        <is>
          <t>HCM</t>
        </is>
      </c>
      <c r="E436" s="3" t="inlineStr">
        <is>
          <t>BẢO TRÂM</t>
        </is>
      </c>
      <c r="F436" s="3" t="inlineStr">
        <is>
          <t>Shopee</t>
        </is>
      </c>
      <c r="G436" s="4" t="inlineStr">
        <is>
          <t>SHOPEE: https://s.shopee.vn/3qNt1d78Ij TIKTOK: LAZADA: WEBSITE BÁN HÀNG:</t>
        </is>
      </c>
      <c r="H436" s="3" t="inlineStr">
        <is>
          <t>KBH2F-0895</t>
        </is>
      </c>
      <c r="I436" s="4" t="inlineStr">
        <is>
          <t>Mũi khoan ĐN lục giác 2 cạnh KBH2F-08*95</t>
        </is>
      </c>
      <c r="J436" s="3" t="inlineStr">
        <is>
          <t>Cái</t>
        </is>
      </c>
      <c r="K436" s="5" t="n">
        <v>33000</v>
      </c>
      <c r="L436" s="5" t="n">
        <v>41000</v>
      </c>
      <c r="M436" s="6" t="n">
        <v>53000</v>
      </c>
      <c r="N436" s="5" t="n"/>
      <c r="O436" s="5">
        <f>IF(AND(ISNUMBER(N436),ISNUMBER(M436)),N436-M436,"")</f>
        <v/>
      </c>
      <c r="P436" s="7">
        <f>IF(AND(ISNUMBER(N436),ISNUMBER(M436),M436&gt;0),(N436-M436)/M436,"")</f>
        <v/>
      </c>
      <c r="Q436" s="3">
        <f>IF(P436="","",IF(P436&lt;-0.02,"🔴 Bán phá giá sàn",IF(P436&gt;0.05,"🔵 Bán cao hơn","🟢 Đúng giá sàn TMĐT")))</f>
        <v/>
      </c>
      <c r="R436" s="3" t="n"/>
      <c r="S436" s="4" t="n"/>
      <c r="T436" s="4" t="n"/>
    </row>
    <row r="437">
      <c r="A437" s="3" t="n">
        <v>436</v>
      </c>
      <c r="B437" s="3" t="inlineStr">
        <is>
          <t>DL002</t>
        </is>
      </c>
      <c r="C437" s="4" t="inlineStr">
        <is>
          <t>Nguyễn Hoàng Phú</t>
        </is>
      </c>
      <c r="D437" s="3" t="inlineStr">
        <is>
          <t>HCM</t>
        </is>
      </c>
      <c r="E437" s="3" t="inlineStr">
        <is>
          <t>BẢO TRÂM</t>
        </is>
      </c>
      <c r="F437" s="3" t="inlineStr">
        <is>
          <t>Shopee</t>
        </is>
      </c>
      <c r="G437" s="4" t="inlineStr">
        <is>
          <t>SHOPEE: https://s.shopee.vn/3qNt1d78Ij TIKTOK: LAZADA: WEBSITE BÁN HÀNG:</t>
        </is>
      </c>
      <c r="H437" s="3" t="inlineStr">
        <is>
          <t>KBH2F-1095</t>
        </is>
      </c>
      <c r="I437" s="4" t="inlineStr">
        <is>
          <t>Mũi khoan ĐN lục giác 2 cạnh KBH2F-10*95</t>
        </is>
      </c>
      <c r="J437" s="3" t="inlineStr">
        <is>
          <t>Cái</t>
        </is>
      </c>
      <c r="K437" s="5" t="n">
        <v>42000</v>
      </c>
      <c r="L437" s="5" t="n">
        <v>52000</v>
      </c>
      <c r="M437" s="6" t="n">
        <v>67000</v>
      </c>
      <c r="N437" s="5" t="n"/>
      <c r="O437" s="5">
        <f>IF(AND(ISNUMBER(N437),ISNUMBER(M437)),N437-M437,"")</f>
        <v/>
      </c>
      <c r="P437" s="7">
        <f>IF(AND(ISNUMBER(N437),ISNUMBER(M437),M437&gt;0),(N437-M437)/M437,"")</f>
        <v/>
      </c>
      <c r="Q437" s="3">
        <f>IF(P437="","",IF(P437&lt;-0.02,"🔴 Bán phá giá sàn",IF(P437&gt;0.05,"🔵 Bán cao hơn","🟢 Đúng giá sàn TMĐT")))</f>
        <v/>
      </c>
      <c r="R437" s="3" t="n"/>
      <c r="S437" s="4" t="n"/>
      <c r="T437" s="4" t="n"/>
    </row>
    <row r="438">
      <c r="A438" s="3" t="n">
        <v>437</v>
      </c>
      <c r="B438" s="3" t="inlineStr">
        <is>
          <t>DL002</t>
        </is>
      </c>
      <c r="C438" s="4" t="inlineStr">
        <is>
          <t>Nguyễn Hoàng Phú</t>
        </is>
      </c>
      <c r="D438" s="3" t="inlineStr">
        <is>
          <t>HCM</t>
        </is>
      </c>
      <c r="E438" s="3" t="inlineStr">
        <is>
          <t>BẢO TRÂM</t>
        </is>
      </c>
      <c r="F438" s="3" t="inlineStr">
        <is>
          <t>Shopee</t>
        </is>
      </c>
      <c r="G438" s="4" t="inlineStr">
        <is>
          <t>SHOPEE: https://s.shopee.vn/3qNt1d78Ij TIKTOK: LAZADA: WEBSITE BÁN HÀNG:</t>
        </is>
      </c>
      <c r="H438" s="3" t="inlineStr">
        <is>
          <t>KBH2F-1295</t>
        </is>
      </c>
      <c r="I438" s="4" t="inlineStr">
        <is>
          <t>Mũi khoan ĐN lục giác 2 cạnh KBH2F-12*95</t>
        </is>
      </c>
      <c r="J438" s="3" t="inlineStr">
        <is>
          <t>Cái</t>
        </is>
      </c>
      <c r="K438" s="5" t="n">
        <v>53000</v>
      </c>
      <c r="L438" s="5" t="n">
        <v>66000</v>
      </c>
      <c r="M438" s="6" t="n">
        <v>85000</v>
      </c>
      <c r="N438" s="5" t="n"/>
      <c r="O438" s="5">
        <f>IF(AND(ISNUMBER(N438),ISNUMBER(M438)),N438-M438,"")</f>
        <v/>
      </c>
      <c r="P438" s="7">
        <f>IF(AND(ISNUMBER(N438),ISNUMBER(M438),M438&gt;0),(N438-M438)/M438,"")</f>
        <v/>
      </c>
      <c r="Q438" s="3">
        <f>IF(P438="","",IF(P438&lt;-0.02,"🔴 Bán phá giá sàn",IF(P438&gt;0.05,"🔵 Bán cao hơn","🟢 Đúng giá sàn TMĐT")))</f>
        <v/>
      </c>
      <c r="R438" s="3" t="n"/>
      <c r="S438" s="4" t="n"/>
      <c r="T438" s="4" t="n"/>
    </row>
    <row r="439">
      <c r="A439" s="3" t="n">
        <v>438</v>
      </c>
      <c r="B439" s="3" t="inlineStr">
        <is>
          <t>DL002</t>
        </is>
      </c>
      <c r="C439" s="4" t="inlineStr">
        <is>
          <t>Nguyễn Hoàng Phú</t>
        </is>
      </c>
      <c r="D439" s="3" t="inlineStr">
        <is>
          <t>HCM</t>
        </is>
      </c>
      <c r="E439" s="3" t="inlineStr">
        <is>
          <t>BẢO TRÂM</t>
        </is>
      </c>
      <c r="F439" s="3" t="inlineStr">
        <is>
          <t>Shopee</t>
        </is>
      </c>
      <c r="G439" s="4" t="inlineStr">
        <is>
          <t>SHOPEE: https://s.shopee.vn/3qNt1d78Ij TIKTOK: LAZADA: WEBSITE BÁN HÀNG:</t>
        </is>
      </c>
      <c r="H439" s="3" t="inlineStr">
        <is>
          <t>KBH4S-06100</t>
        </is>
      </c>
      <c r="I439" s="4" t="inlineStr">
        <is>
          <t>Mũi khoan ĐN lục giác 4 cạnh KBH4S-06*100</t>
        </is>
      </c>
      <c r="J439" s="3" t="inlineStr">
        <is>
          <t>Cái</t>
        </is>
      </c>
      <c r="K439" s="5" t="n">
        <v>41000</v>
      </c>
      <c r="L439" s="5" t="n">
        <v>51000</v>
      </c>
      <c r="M439" s="6" t="n">
        <v>65000</v>
      </c>
      <c r="N439" s="5" t="n"/>
      <c r="O439" s="5">
        <f>IF(AND(ISNUMBER(N439),ISNUMBER(M439)),N439-M439,"")</f>
        <v/>
      </c>
      <c r="P439" s="7">
        <f>IF(AND(ISNUMBER(N439),ISNUMBER(M439),M439&gt;0),(N439-M439)/M439,"")</f>
        <v/>
      </c>
      <c r="Q439" s="3">
        <f>IF(P439="","",IF(P439&lt;-0.02,"🔴 Bán phá giá sàn",IF(P439&gt;0.05,"🔵 Bán cao hơn","🟢 Đúng giá sàn TMĐT")))</f>
        <v/>
      </c>
      <c r="R439" s="3" t="n"/>
      <c r="S439" s="4" t="n"/>
      <c r="T439" s="4" t="n"/>
    </row>
    <row r="440">
      <c r="A440" s="3" t="n">
        <v>439</v>
      </c>
      <c r="B440" s="3" t="inlineStr">
        <is>
          <t>DL002</t>
        </is>
      </c>
      <c r="C440" s="4" t="inlineStr">
        <is>
          <t>Nguyễn Hoàng Phú</t>
        </is>
      </c>
      <c r="D440" s="3" t="inlineStr">
        <is>
          <t>HCM</t>
        </is>
      </c>
      <c r="E440" s="3" t="inlineStr">
        <is>
          <t>BẢO TRÂM</t>
        </is>
      </c>
      <c r="F440" s="3" t="inlineStr">
        <is>
          <t>Shopee</t>
        </is>
      </c>
      <c r="G440" s="4" t="inlineStr">
        <is>
          <t>SHOPEE: https://s.shopee.vn/3qNt1d78Ij TIKTOK: LAZADA: WEBSITE BÁN HÀNG:</t>
        </is>
      </c>
      <c r="H440" s="3" t="inlineStr">
        <is>
          <t>KBH4S-08117</t>
        </is>
      </c>
      <c r="I440" s="4" t="inlineStr">
        <is>
          <t>Mũi khoan ĐN lục giác 4 cạnh KBH4S-08*117</t>
        </is>
      </c>
      <c r="J440" s="3" t="inlineStr">
        <is>
          <t>Cái</t>
        </is>
      </c>
      <c r="K440" s="5" t="n">
        <v>32000</v>
      </c>
      <c r="L440" s="5" t="n">
        <v>40000</v>
      </c>
      <c r="M440" s="6" t="n">
        <v>51000</v>
      </c>
      <c r="N440" s="5" t="n"/>
      <c r="O440" s="5">
        <f>IF(AND(ISNUMBER(N440),ISNUMBER(M440)),N440-M440,"")</f>
        <v/>
      </c>
      <c r="P440" s="7">
        <f>IF(AND(ISNUMBER(N440),ISNUMBER(M440),M440&gt;0),(N440-M440)/M440,"")</f>
        <v/>
      </c>
      <c r="Q440" s="3">
        <f>IF(P440="","",IF(P440&lt;-0.02,"🔴 Bán phá giá sàn",IF(P440&gt;0.05,"🔵 Bán cao hơn","🟢 Đúng giá sàn TMĐT")))</f>
        <v/>
      </c>
      <c r="R440" s="3" t="n"/>
      <c r="S440" s="4" t="n"/>
      <c r="T440" s="4" t="n"/>
    </row>
    <row r="441">
      <c r="A441" s="3" t="n">
        <v>440</v>
      </c>
      <c r="B441" s="3" t="inlineStr">
        <is>
          <t>DL002</t>
        </is>
      </c>
      <c r="C441" s="4" t="inlineStr">
        <is>
          <t>Nguyễn Hoàng Phú</t>
        </is>
      </c>
      <c r="D441" s="3" t="inlineStr">
        <is>
          <t>HCM</t>
        </is>
      </c>
      <c r="E441" s="3" t="inlineStr">
        <is>
          <t>BẢO TRÂM</t>
        </is>
      </c>
      <c r="F441" s="3" t="inlineStr">
        <is>
          <t>Shopee</t>
        </is>
      </c>
      <c r="G441" s="4" t="inlineStr">
        <is>
          <t>SHOPEE: https://s.shopee.vn/3qNt1d78Ij TIKTOK: LAZADA: WEBSITE BÁN HÀNG:</t>
        </is>
      </c>
      <c r="H441" s="3" t="inlineStr">
        <is>
          <t>KBH4S-10123</t>
        </is>
      </c>
      <c r="I441" s="4" t="inlineStr">
        <is>
          <t>Mũi khoan ĐN lục giác 4 cạnh KBH4S-10*123</t>
        </is>
      </c>
      <c r="J441" s="3" t="inlineStr">
        <is>
          <t>Cái</t>
        </is>
      </c>
      <c r="K441" s="5" t="n">
        <v>40000</v>
      </c>
      <c r="L441" s="5" t="n">
        <v>50000</v>
      </c>
      <c r="M441" s="6" t="n">
        <v>64000</v>
      </c>
      <c r="N441" s="5" t="n"/>
      <c r="O441" s="5">
        <f>IF(AND(ISNUMBER(N441),ISNUMBER(M441)),N441-M441,"")</f>
        <v/>
      </c>
      <c r="P441" s="7">
        <f>IF(AND(ISNUMBER(N441),ISNUMBER(M441),M441&gt;0),(N441-M441)/M441,"")</f>
        <v/>
      </c>
      <c r="Q441" s="3">
        <f>IF(P441="","",IF(P441&lt;-0.02,"🔴 Bán phá giá sàn",IF(P441&gt;0.05,"🔵 Bán cao hơn","🟢 Đúng giá sàn TMĐT")))</f>
        <v/>
      </c>
      <c r="R441" s="3" t="n"/>
      <c r="S441" s="4" t="n"/>
      <c r="T441" s="4" t="n"/>
    </row>
    <row r="442">
      <c r="A442" s="3" t="n">
        <v>441</v>
      </c>
      <c r="B442" s="3" t="inlineStr">
        <is>
          <t>DL002</t>
        </is>
      </c>
      <c r="C442" s="4" t="inlineStr">
        <is>
          <t>Nguyễn Hoàng Phú</t>
        </is>
      </c>
      <c r="D442" s="3" t="inlineStr">
        <is>
          <t>HCM</t>
        </is>
      </c>
      <c r="E442" s="3" t="inlineStr">
        <is>
          <t>BẢO TRÂM</t>
        </is>
      </c>
      <c r="F442" s="3" t="inlineStr">
        <is>
          <t>Shopee</t>
        </is>
      </c>
      <c r="G442" s="4" t="inlineStr">
        <is>
          <t>SHOPEE: https://s.shopee.vn/3qNt1d78Ij TIKTOK: LAZADA: WEBSITE BÁN HÀNG:</t>
        </is>
      </c>
      <c r="H442" s="3" t="inlineStr">
        <is>
          <t>KBH4S-12123</t>
        </is>
      </c>
      <c r="I442" s="4" t="inlineStr">
        <is>
          <t>Mũi khoan ĐN lục giác 4 cạnh KBH4S-12*123</t>
        </is>
      </c>
      <c r="J442" s="3" t="inlineStr">
        <is>
          <t>Cái</t>
        </is>
      </c>
      <c r="K442" s="5" t="n">
        <v>48000</v>
      </c>
      <c r="L442" s="5" t="n">
        <v>60000</v>
      </c>
      <c r="M442" s="6" t="n">
        <v>77000</v>
      </c>
      <c r="N442" s="5" t="n"/>
      <c r="O442" s="5">
        <f>IF(AND(ISNUMBER(N442),ISNUMBER(M442)),N442-M442,"")</f>
        <v/>
      </c>
      <c r="P442" s="7">
        <f>IF(AND(ISNUMBER(N442),ISNUMBER(M442),M442&gt;0),(N442-M442)/M442,"")</f>
        <v/>
      </c>
      <c r="Q442" s="3">
        <f>IF(P442="","",IF(P442&lt;-0.02,"🔴 Bán phá giá sàn",IF(P442&gt;0.05,"🔵 Bán cao hơn","🟢 Đúng giá sàn TMĐT")))</f>
        <v/>
      </c>
      <c r="R442" s="3" t="n"/>
      <c r="S442" s="4" t="n"/>
      <c r="T442" s="4" t="n"/>
    </row>
    <row r="443">
      <c r="A443" s="3" t="n">
        <v>442</v>
      </c>
      <c r="B443" s="3" t="inlineStr">
        <is>
          <t>DL002</t>
        </is>
      </c>
      <c r="C443" s="4" t="inlineStr">
        <is>
          <t>Nguyễn Hoàng Phú</t>
        </is>
      </c>
      <c r="D443" s="3" t="inlineStr">
        <is>
          <t>HCM</t>
        </is>
      </c>
      <c r="E443" s="3" t="inlineStr">
        <is>
          <t>BẢO TRÂM</t>
        </is>
      </c>
      <c r="F443" s="3" t="inlineStr">
        <is>
          <t>Shopee</t>
        </is>
      </c>
      <c r="G443" s="4" t="inlineStr">
        <is>
          <t>SHOPEE: https://s.shopee.vn/3qNt1d78Ij TIKTOK: LAZADA: WEBSITE BÁN HÀNG:</t>
        </is>
      </c>
      <c r="H443" s="3" t="inlineStr">
        <is>
          <t>KBH4S-3.592</t>
        </is>
      </c>
      <c r="I443" s="4" t="inlineStr">
        <is>
          <t>Mũi khoan ĐN lục giác 4 cạnh KBH4S-3.5*92</t>
        </is>
      </c>
      <c r="J443" s="3" t="inlineStr">
        <is>
          <t>Cái</t>
        </is>
      </c>
      <c r="K443" s="5" t="n">
        <v>23000</v>
      </c>
      <c r="L443" s="5" t="n">
        <v>29000</v>
      </c>
      <c r="M443" s="6" t="n">
        <v>37000</v>
      </c>
      <c r="N443" s="5" t="n"/>
      <c r="O443" s="5">
        <f>IF(AND(ISNUMBER(N443),ISNUMBER(M443)),N443-M443,"")</f>
        <v/>
      </c>
      <c r="P443" s="7">
        <f>IF(AND(ISNUMBER(N443),ISNUMBER(M443),M443&gt;0),(N443-M443)/M443,"")</f>
        <v/>
      </c>
      <c r="Q443" s="3">
        <f>IF(P443="","",IF(P443&lt;-0.02,"🔴 Bán phá giá sàn",IF(P443&gt;0.05,"🔵 Bán cao hơn","🟢 Đúng giá sàn TMĐT")))</f>
        <v/>
      </c>
      <c r="R443" s="3" t="n"/>
      <c r="S443" s="4" t="n"/>
      <c r="T443" s="4" t="n"/>
    </row>
    <row r="444">
      <c r="A444" s="3" t="n">
        <v>443</v>
      </c>
      <c r="B444" s="3" t="inlineStr">
        <is>
          <t>DL002</t>
        </is>
      </c>
      <c r="C444" s="4" t="inlineStr">
        <is>
          <t>Nguyễn Hoàng Phú</t>
        </is>
      </c>
      <c r="D444" s="3" t="inlineStr">
        <is>
          <t>HCM</t>
        </is>
      </c>
      <c r="E444" s="3" t="inlineStr">
        <is>
          <t>BẢO TRÂM</t>
        </is>
      </c>
      <c r="F444" s="3" t="inlineStr">
        <is>
          <t>Shopee</t>
        </is>
      </c>
      <c r="G444" s="4" t="inlineStr">
        <is>
          <t>SHOPEE: https://s.shopee.vn/3qNt1d78Ij TIKTOK: LAZADA: WEBSITE BÁN HÀNG:</t>
        </is>
      </c>
      <c r="H444" s="3" t="inlineStr">
        <is>
          <t>KBX1-06200</t>
        </is>
      </c>
      <c r="I444" s="4" t="inlineStr">
        <is>
          <t>Mũi khoan gỗ chuôi lục KBX1-06*200</t>
        </is>
      </c>
      <c r="J444" s="3" t="inlineStr">
        <is>
          <t>Cái</t>
        </is>
      </c>
      <c r="K444" s="5" t="n">
        <v>32000</v>
      </c>
      <c r="L444" s="5" t="n">
        <v>40000</v>
      </c>
      <c r="M444" s="6" t="n">
        <v>51000</v>
      </c>
      <c r="N444" s="5" t="n"/>
      <c r="O444" s="5">
        <f>IF(AND(ISNUMBER(N444),ISNUMBER(M444)),N444-M444,"")</f>
        <v/>
      </c>
      <c r="P444" s="7">
        <f>IF(AND(ISNUMBER(N444),ISNUMBER(M444),M444&gt;0),(N444-M444)/M444,"")</f>
        <v/>
      </c>
      <c r="Q444" s="3">
        <f>IF(P444="","",IF(P444&lt;-0.02,"🔴 Bán phá giá sàn",IF(P444&gt;0.05,"🔵 Bán cao hơn","🟢 Đúng giá sàn TMĐT")))</f>
        <v/>
      </c>
      <c r="R444" s="3" t="n"/>
      <c r="S444" s="4" t="n"/>
      <c r="T444" s="4" t="n"/>
    </row>
    <row r="445">
      <c r="A445" s="3" t="n">
        <v>444</v>
      </c>
      <c r="B445" s="3" t="inlineStr">
        <is>
          <t>DL002</t>
        </is>
      </c>
      <c r="C445" s="4" t="inlineStr">
        <is>
          <t>Nguyễn Hoàng Phú</t>
        </is>
      </c>
      <c r="D445" s="3" t="inlineStr">
        <is>
          <t>HCM</t>
        </is>
      </c>
      <c r="E445" s="3" t="inlineStr">
        <is>
          <t>BẢO TRÂM</t>
        </is>
      </c>
      <c r="F445" s="3" t="inlineStr">
        <is>
          <t>Shopee</t>
        </is>
      </c>
      <c r="G445" s="4" t="inlineStr">
        <is>
          <t>SHOPEE: https://s.shopee.vn/3qNt1d78Ij TIKTOK: LAZADA: WEBSITE BÁN HÀNG:</t>
        </is>
      </c>
      <c r="H445" s="3" t="inlineStr">
        <is>
          <t>KBX1-08200</t>
        </is>
      </c>
      <c r="I445" s="4" t="inlineStr">
        <is>
          <t>Mũi khoan gỗ chuôi lục KBX1-08*200</t>
        </is>
      </c>
      <c r="J445" s="3" t="inlineStr">
        <is>
          <t>Cái</t>
        </is>
      </c>
      <c r="K445" s="5" t="n">
        <v>39000</v>
      </c>
      <c r="L445" s="5" t="n">
        <v>48000</v>
      </c>
      <c r="M445" s="6" t="n">
        <v>62000</v>
      </c>
      <c r="N445" s="5" t="n"/>
      <c r="O445" s="5">
        <f>IF(AND(ISNUMBER(N445),ISNUMBER(M445)),N445-M445,"")</f>
        <v/>
      </c>
      <c r="P445" s="7">
        <f>IF(AND(ISNUMBER(N445),ISNUMBER(M445),M445&gt;0),(N445-M445)/M445,"")</f>
        <v/>
      </c>
      <c r="Q445" s="3">
        <f>IF(P445="","",IF(P445&lt;-0.02,"🔴 Bán phá giá sàn",IF(P445&gt;0.05,"🔵 Bán cao hơn","🟢 Đúng giá sàn TMĐT")))</f>
        <v/>
      </c>
      <c r="R445" s="3" t="n"/>
      <c r="S445" s="4" t="n"/>
      <c r="T445" s="4" t="n"/>
    </row>
    <row r="446">
      <c r="A446" s="3" t="n">
        <v>445</v>
      </c>
      <c r="B446" s="3" t="inlineStr">
        <is>
          <t>DL002</t>
        </is>
      </c>
      <c r="C446" s="4" t="inlineStr">
        <is>
          <t>Nguyễn Hoàng Phú</t>
        </is>
      </c>
      <c r="D446" s="3" t="inlineStr">
        <is>
          <t>HCM</t>
        </is>
      </c>
      <c r="E446" s="3" t="inlineStr">
        <is>
          <t>BẢO TRÂM</t>
        </is>
      </c>
      <c r="F446" s="3" t="inlineStr">
        <is>
          <t>Shopee</t>
        </is>
      </c>
      <c r="G446" s="4" t="inlineStr">
        <is>
          <t>SHOPEE: https://s.shopee.vn/3qNt1d78Ij TIKTOK: LAZADA: WEBSITE BÁN HÀNG:</t>
        </is>
      </c>
      <c r="H446" s="3" t="inlineStr">
        <is>
          <t>KBX1-10200</t>
        </is>
      </c>
      <c r="I446" s="4" t="inlineStr">
        <is>
          <t>Mũi khoan gỗ chuôi lục KBX1-10*200</t>
        </is>
      </c>
      <c r="J446" s="3" t="inlineStr">
        <is>
          <t>Cái</t>
        </is>
      </c>
      <c r="K446" s="5" t="n">
        <v>43000</v>
      </c>
      <c r="L446" s="5" t="n">
        <v>53000</v>
      </c>
      <c r="M446" s="6" t="n">
        <v>69000</v>
      </c>
      <c r="N446" s="5" t="n"/>
      <c r="O446" s="5">
        <f>IF(AND(ISNUMBER(N446),ISNUMBER(M446)),N446-M446,"")</f>
        <v/>
      </c>
      <c r="P446" s="7">
        <f>IF(AND(ISNUMBER(N446),ISNUMBER(M446),M446&gt;0),(N446-M446)/M446,"")</f>
        <v/>
      </c>
      <c r="Q446" s="3">
        <f>IF(P446="","",IF(P446&lt;-0.02,"🔴 Bán phá giá sàn",IF(P446&gt;0.05,"🔵 Bán cao hơn","🟢 Đúng giá sàn TMĐT")))</f>
        <v/>
      </c>
      <c r="R446" s="3" t="n"/>
      <c r="S446" s="4" t="n"/>
      <c r="T446" s="4" t="n"/>
    </row>
    <row r="447">
      <c r="A447" s="3" t="n">
        <v>446</v>
      </c>
      <c r="B447" s="3" t="inlineStr">
        <is>
          <t>DL002</t>
        </is>
      </c>
      <c r="C447" s="4" t="inlineStr">
        <is>
          <t>Nguyễn Hoàng Phú</t>
        </is>
      </c>
      <c r="D447" s="3" t="inlineStr">
        <is>
          <t>HCM</t>
        </is>
      </c>
      <c r="E447" s="3" t="inlineStr">
        <is>
          <t>BẢO TRÂM</t>
        </is>
      </c>
      <c r="F447" s="3" t="inlineStr">
        <is>
          <t>Shopee</t>
        </is>
      </c>
      <c r="G447" s="4" t="inlineStr">
        <is>
          <t>SHOPEE: https://s.shopee.vn/3qNt1d78Ij TIKTOK: LAZADA: WEBSITE BÁN HÀNG:</t>
        </is>
      </c>
      <c r="H447" s="3" t="inlineStr">
        <is>
          <t>KBX1-12200</t>
        </is>
      </c>
      <c r="I447" s="4" t="inlineStr">
        <is>
          <t>Mũi khoan gỗ chuôi lục KBX1-12*200</t>
        </is>
      </c>
      <c r="J447" s="3" t="inlineStr">
        <is>
          <t>Cái</t>
        </is>
      </c>
      <c r="K447" s="5" t="n">
        <v>50000</v>
      </c>
      <c r="L447" s="5" t="n">
        <v>62000</v>
      </c>
      <c r="M447" s="6" t="n">
        <v>80000</v>
      </c>
      <c r="N447" s="5" t="n"/>
      <c r="O447" s="5">
        <f>IF(AND(ISNUMBER(N447),ISNUMBER(M447)),N447-M447,"")</f>
        <v/>
      </c>
      <c r="P447" s="7">
        <f>IF(AND(ISNUMBER(N447),ISNUMBER(M447),M447&gt;0),(N447-M447)/M447,"")</f>
        <v/>
      </c>
      <c r="Q447" s="3">
        <f>IF(P447="","",IF(P447&lt;-0.02,"🔴 Bán phá giá sàn",IF(P447&gt;0.05,"🔵 Bán cao hơn","🟢 Đúng giá sàn TMĐT")))</f>
        <v/>
      </c>
      <c r="R447" s="3" t="n"/>
      <c r="S447" s="4" t="n"/>
      <c r="T447" s="4" t="n"/>
    </row>
    <row r="448">
      <c r="A448" s="3" t="n">
        <v>447</v>
      </c>
      <c r="B448" s="3" t="inlineStr">
        <is>
          <t>DL002</t>
        </is>
      </c>
      <c r="C448" s="4" t="inlineStr">
        <is>
          <t>Nguyễn Hoàng Phú</t>
        </is>
      </c>
      <c r="D448" s="3" t="inlineStr">
        <is>
          <t>HCM</t>
        </is>
      </c>
      <c r="E448" s="3" t="inlineStr">
        <is>
          <t>BẢO TRÂM</t>
        </is>
      </c>
      <c r="F448" s="3" t="inlineStr">
        <is>
          <t>Shopee</t>
        </is>
      </c>
      <c r="G448" s="4" t="inlineStr">
        <is>
          <t>SHOPEE: https://s.shopee.vn/3qNt1d78Ij TIKTOK: LAZADA: WEBSITE BÁN HÀNG:</t>
        </is>
      </c>
      <c r="H448" s="3" t="inlineStr">
        <is>
          <t>KBR-M101.5</t>
        </is>
      </c>
      <c r="I448" s="4" t="inlineStr">
        <is>
          <t>Mũi khoan TARO KBR-M10*1.5</t>
        </is>
      </c>
      <c r="J448" s="3" t="inlineStr">
        <is>
          <t>Cái</t>
        </is>
      </c>
      <c r="K448" s="5" t="n">
        <v>89000</v>
      </c>
      <c r="L448" s="5" t="n">
        <v>110000</v>
      </c>
      <c r="M448" s="6" t="n">
        <v>142000</v>
      </c>
      <c r="N448" s="5" t="n"/>
      <c r="O448" s="5">
        <f>IF(AND(ISNUMBER(N448),ISNUMBER(M448)),N448-M448,"")</f>
        <v/>
      </c>
      <c r="P448" s="7">
        <f>IF(AND(ISNUMBER(N448),ISNUMBER(M448),M448&gt;0),(N448-M448)/M448,"")</f>
        <v/>
      </c>
      <c r="Q448" s="3">
        <f>IF(P448="","",IF(P448&lt;-0.02,"🔴 Bán phá giá sàn",IF(P448&gt;0.05,"🔵 Bán cao hơn","🟢 Đúng giá sàn TMĐT")))</f>
        <v/>
      </c>
      <c r="R448" s="3" t="n"/>
      <c r="S448" s="4" t="n"/>
      <c r="T448" s="4" t="n"/>
    </row>
    <row r="449">
      <c r="A449" s="3" t="n">
        <v>448</v>
      </c>
      <c r="B449" s="3" t="inlineStr">
        <is>
          <t>DL002</t>
        </is>
      </c>
      <c r="C449" s="4" t="inlineStr">
        <is>
          <t>Nguyễn Hoàng Phú</t>
        </is>
      </c>
      <c r="D449" s="3" t="inlineStr">
        <is>
          <t>HCM</t>
        </is>
      </c>
      <c r="E449" s="3" t="inlineStr">
        <is>
          <t>BẢO TRÂM</t>
        </is>
      </c>
      <c r="F449" s="3" t="inlineStr">
        <is>
          <t>Shopee</t>
        </is>
      </c>
      <c r="G449" s="4" t="inlineStr">
        <is>
          <t>SHOPEE: https://s.shopee.vn/3qNt1d78Ij TIKTOK: LAZADA: WEBSITE BÁN HÀNG:</t>
        </is>
      </c>
      <c r="H449" s="3" t="inlineStr">
        <is>
          <t>KBR-M30.5</t>
        </is>
      </c>
      <c r="I449" s="4" t="inlineStr">
        <is>
          <t>Mũi khoan TARO KBR-M3*0.5</t>
        </is>
      </c>
      <c r="J449" s="3" t="inlineStr">
        <is>
          <t>Cái</t>
        </is>
      </c>
      <c r="K449" s="5" t="n">
        <v>58000</v>
      </c>
      <c r="L449" s="5" t="n">
        <v>72000</v>
      </c>
      <c r="M449" s="6" t="n">
        <v>93000</v>
      </c>
      <c r="N449" s="5" t="n"/>
      <c r="O449" s="5">
        <f>IF(AND(ISNUMBER(N449),ISNUMBER(M449)),N449-M449,"")</f>
        <v/>
      </c>
      <c r="P449" s="7">
        <f>IF(AND(ISNUMBER(N449),ISNUMBER(M449),M449&gt;0),(N449-M449)/M449,"")</f>
        <v/>
      </c>
      <c r="Q449" s="3">
        <f>IF(P449="","",IF(P449&lt;-0.02,"🔴 Bán phá giá sàn",IF(P449&gt;0.05,"🔵 Bán cao hơn","🟢 Đúng giá sàn TMĐT")))</f>
        <v/>
      </c>
      <c r="R449" s="3" t="n"/>
      <c r="S449" s="4" t="n"/>
      <c r="T449" s="4" t="n"/>
    </row>
    <row r="450">
      <c r="A450" s="3" t="n">
        <v>449</v>
      </c>
      <c r="B450" s="3" t="inlineStr">
        <is>
          <t>DL002</t>
        </is>
      </c>
      <c r="C450" s="4" t="inlineStr">
        <is>
          <t>Nguyễn Hoàng Phú</t>
        </is>
      </c>
      <c r="D450" s="3" t="inlineStr">
        <is>
          <t>HCM</t>
        </is>
      </c>
      <c r="E450" s="3" t="inlineStr">
        <is>
          <t>BẢO TRÂM</t>
        </is>
      </c>
      <c r="F450" s="3" t="inlineStr">
        <is>
          <t>Shopee</t>
        </is>
      </c>
      <c r="G450" s="4" t="inlineStr">
        <is>
          <t>SHOPEE: https://s.shopee.vn/3qNt1d78Ij TIKTOK: LAZADA: WEBSITE BÁN HÀNG:</t>
        </is>
      </c>
      <c r="H450" s="3" t="inlineStr">
        <is>
          <t>KBR-M40.7</t>
        </is>
      </c>
      <c r="I450" s="4" t="inlineStr">
        <is>
          <t>Mũi khoan TARO KBR-M4*0.7</t>
        </is>
      </c>
      <c r="J450" s="3" t="inlineStr">
        <is>
          <t>Cái</t>
        </is>
      </c>
      <c r="K450" s="5" t="n">
        <v>58000</v>
      </c>
      <c r="L450" s="5" t="n">
        <v>72000</v>
      </c>
      <c r="M450" s="6" t="n">
        <v>93000</v>
      </c>
      <c r="N450" s="5" t="n"/>
      <c r="O450" s="5">
        <f>IF(AND(ISNUMBER(N450),ISNUMBER(M450)),N450-M450,"")</f>
        <v/>
      </c>
      <c r="P450" s="7">
        <f>IF(AND(ISNUMBER(N450),ISNUMBER(M450),M450&gt;0),(N450-M450)/M450,"")</f>
        <v/>
      </c>
      <c r="Q450" s="3">
        <f>IF(P450="","",IF(P450&lt;-0.02,"🔴 Bán phá giá sàn",IF(P450&gt;0.05,"🔵 Bán cao hơn","🟢 Đúng giá sàn TMĐT")))</f>
        <v/>
      </c>
      <c r="R450" s="3" t="n"/>
      <c r="S450" s="4" t="n"/>
      <c r="T450" s="4" t="n"/>
    </row>
    <row r="451">
      <c r="A451" s="3" t="n">
        <v>450</v>
      </c>
      <c r="B451" s="3" t="inlineStr">
        <is>
          <t>DL002</t>
        </is>
      </c>
      <c r="C451" s="4" t="inlineStr">
        <is>
          <t>Nguyễn Hoàng Phú</t>
        </is>
      </c>
      <c r="D451" s="3" t="inlineStr">
        <is>
          <t>HCM</t>
        </is>
      </c>
      <c r="E451" s="3" t="inlineStr">
        <is>
          <t>BẢO TRÂM</t>
        </is>
      </c>
      <c r="F451" s="3" t="inlineStr">
        <is>
          <t>Shopee</t>
        </is>
      </c>
      <c r="G451" s="4" t="inlineStr">
        <is>
          <t>SHOPEE: https://s.shopee.vn/3qNt1d78Ij TIKTOK: LAZADA: WEBSITE BÁN HÀNG:</t>
        </is>
      </c>
      <c r="H451" s="3" t="inlineStr">
        <is>
          <t>KBR-M50.8</t>
        </is>
      </c>
      <c r="I451" s="4" t="inlineStr">
        <is>
          <t>Mũi khoan TARO KBR-M5*0.8</t>
        </is>
      </c>
      <c r="J451" s="3" t="inlineStr">
        <is>
          <t>Cái</t>
        </is>
      </c>
      <c r="K451" s="5" t="n">
        <v>58000</v>
      </c>
      <c r="L451" s="5" t="n">
        <v>72000</v>
      </c>
      <c r="M451" s="6" t="n">
        <v>93000</v>
      </c>
      <c r="N451" s="5" t="n"/>
      <c r="O451" s="5">
        <f>IF(AND(ISNUMBER(N451),ISNUMBER(M451)),N451-M451,"")</f>
        <v/>
      </c>
      <c r="P451" s="7">
        <f>IF(AND(ISNUMBER(N451),ISNUMBER(M451),M451&gt;0),(N451-M451)/M451,"")</f>
        <v/>
      </c>
      <c r="Q451" s="3">
        <f>IF(P451="","",IF(P451&lt;-0.02,"🔴 Bán phá giá sàn",IF(P451&gt;0.05,"🔵 Bán cao hơn","🟢 Đúng giá sàn TMĐT")))</f>
        <v/>
      </c>
      <c r="R451" s="3" t="n"/>
      <c r="S451" s="4" t="n"/>
      <c r="T451" s="4" t="n"/>
    </row>
    <row r="452">
      <c r="A452" s="3" t="n">
        <v>451</v>
      </c>
      <c r="B452" s="3" t="inlineStr">
        <is>
          <t>DL002</t>
        </is>
      </c>
      <c r="C452" s="4" t="inlineStr">
        <is>
          <t>Nguyễn Hoàng Phú</t>
        </is>
      </c>
      <c r="D452" s="3" t="inlineStr">
        <is>
          <t>HCM</t>
        </is>
      </c>
      <c r="E452" s="3" t="inlineStr">
        <is>
          <t>BẢO TRÂM</t>
        </is>
      </c>
      <c r="F452" s="3" t="inlineStr">
        <is>
          <t>Shopee</t>
        </is>
      </c>
      <c r="G452" s="4" t="inlineStr">
        <is>
          <t>SHOPEE: https://s.shopee.vn/3qNt1d78Ij TIKTOK: LAZADA: WEBSITE BÁN HÀNG:</t>
        </is>
      </c>
      <c r="H452" s="3" t="inlineStr">
        <is>
          <t>KBR-M61.0</t>
        </is>
      </c>
      <c r="I452" s="4" t="inlineStr">
        <is>
          <t>Mũi khoan TARO KBR-M6*1.0</t>
        </is>
      </c>
      <c r="J452" s="3" t="inlineStr">
        <is>
          <t>Cái</t>
        </is>
      </c>
      <c r="K452" s="5" t="n">
        <v>58000</v>
      </c>
      <c r="L452" s="5" t="n">
        <v>72000</v>
      </c>
      <c r="M452" s="6" t="n">
        <v>93000</v>
      </c>
      <c r="N452" s="5" t="n"/>
      <c r="O452" s="5">
        <f>IF(AND(ISNUMBER(N452),ISNUMBER(M452)),N452-M452,"")</f>
        <v/>
      </c>
      <c r="P452" s="7">
        <f>IF(AND(ISNUMBER(N452),ISNUMBER(M452),M452&gt;0),(N452-M452)/M452,"")</f>
        <v/>
      </c>
      <c r="Q452" s="3">
        <f>IF(P452="","",IF(P452&lt;-0.02,"🔴 Bán phá giá sàn",IF(P452&gt;0.05,"🔵 Bán cao hơn","🟢 Đúng giá sàn TMĐT")))</f>
        <v/>
      </c>
      <c r="R452" s="3" t="n"/>
      <c r="S452" s="4" t="n"/>
      <c r="T452" s="4" t="n"/>
    </row>
    <row r="453">
      <c r="A453" s="3" t="n">
        <v>452</v>
      </c>
      <c r="B453" s="3" t="inlineStr">
        <is>
          <t>DL002</t>
        </is>
      </c>
      <c r="C453" s="4" t="inlineStr">
        <is>
          <t>Nguyễn Hoàng Phú</t>
        </is>
      </c>
      <c r="D453" s="3" t="inlineStr">
        <is>
          <t>HCM</t>
        </is>
      </c>
      <c r="E453" s="3" t="inlineStr">
        <is>
          <t>BẢO TRÂM</t>
        </is>
      </c>
      <c r="F453" s="3" t="inlineStr">
        <is>
          <t>Shopee</t>
        </is>
      </c>
      <c r="G453" s="4" t="inlineStr">
        <is>
          <t>SHOPEE: https://s.shopee.vn/3qNt1d78Ij TIKTOK: LAZADA: WEBSITE BÁN HÀNG:</t>
        </is>
      </c>
      <c r="H453" s="3" t="inlineStr">
        <is>
          <t>KBR-M81.25</t>
        </is>
      </c>
      <c r="I453" s="4" t="inlineStr">
        <is>
          <t>Mũi khoan TARO KBR-M8*1.25</t>
        </is>
      </c>
      <c r="J453" s="3" t="inlineStr">
        <is>
          <t>Cái</t>
        </is>
      </c>
      <c r="K453" s="5" t="n">
        <v>75000</v>
      </c>
      <c r="L453" s="5" t="n">
        <v>93000</v>
      </c>
      <c r="M453" s="6" t="n">
        <v>120000</v>
      </c>
      <c r="N453" s="5" t="n"/>
      <c r="O453" s="5">
        <f>IF(AND(ISNUMBER(N453),ISNUMBER(M453)),N453-M453,"")</f>
        <v/>
      </c>
      <c r="P453" s="7">
        <f>IF(AND(ISNUMBER(N453),ISNUMBER(M453),M453&gt;0),(N453-M453)/M453,"")</f>
        <v/>
      </c>
      <c r="Q453" s="3">
        <f>IF(P453="","",IF(P453&lt;-0.02,"🔴 Bán phá giá sàn",IF(P453&gt;0.05,"🔵 Bán cao hơn","🟢 Đúng giá sàn TMĐT")))</f>
        <v/>
      </c>
      <c r="R453" s="3" t="n"/>
      <c r="S453" s="4" t="n"/>
      <c r="T453" s="4" t="n"/>
    </row>
    <row r="454">
      <c r="A454" s="3" t="n">
        <v>453</v>
      </c>
      <c r="B454" s="3" t="inlineStr">
        <is>
          <t>DL002</t>
        </is>
      </c>
      <c r="C454" s="4" t="inlineStr">
        <is>
          <t>Nguyễn Hoàng Phú</t>
        </is>
      </c>
      <c r="D454" s="3" t="inlineStr">
        <is>
          <t>HCM</t>
        </is>
      </c>
      <c r="E454" s="3" t="inlineStr">
        <is>
          <t>BẢO TRÂM</t>
        </is>
      </c>
      <c r="F454" s="3" t="inlineStr">
        <is>
          <t>Shopee</t>
        </is>
      </c>
      <c r="G454" s="4" t="inlineStr">
        <is>
          <t>SHOPEE: https://s.shopee.vn/3qNt1d78Ij TIKTOK: LAZADA: WEBSITE BÁN HÀNG:</t>
        </is>
      </c>
      <c r="H454" s="3" t="inlineStr"/>
      <c r="I454" s="4" t="inlineStr">
        <is>
          <t>Mũi khoan tường không tắc kê KBLJ - 03*100</t>
        </is>
      </c>
      <c r="J454" s="3" t="inlineStr">
        <is>
          <t>Cái</t>
        </is>
      </c>
      <c r="K454" s="5" t="n">
        <v>269000</v>
      </c>
      <c r="L454" s="5" t="n">
        <v>317000</v>
      </c>
      <c r="M454" s="6" t="n">
        <v>390000</v>
      </c>
      <c r="N454" s="5" t="n"/>
      <c r="O454" s="5">
        <f>IF(AND(ISNUMBER(N454),ISNUMBER(M454)),N454-M454,"")</f>
        <v/>
      </c>
      <c r="P454" s="7">
        <f>IF(AND(ISNUMBER(N454),ISNUMBER(M454),M454&gt;0),(N454-M454)/M454,"")</f>
        <v/>
      </c>
      <c r="Q454" s="3">
        <f>IF(P454="","",IF(P454&lt;-0.02,"🔴 Bán phá giá sàn",IF(P454&gt;0.05,"🔵 Bán cao hơn","🟢 Đúng giá sàn TMĐT")))</f>
        <v/>
      </c>
      <c r="R454" s="3" t="n"/>
      <c r="S454" s="4" t="n"/>
      <c r="T454" s="4" t="n"/>
    </row>
    <row r="455">
      <c r="A455" s="3" t="n">
        <v>454</v>
      </c>
      <c r="B455" s="3" t="inlineStr">
        <is>
          <t>DL002</t>
        </is>
      </c>
      <c r="C455" s="4" t="inlineStr">
        <is>
          <t>Nguyễn Hoàng Phú</t>
        </is>
      </c>
      <c r="D455" s="3" t="inlineStr">
        <is>
          <t>HCM</t>
        </is>
      </c>
      <c r="E455" s="3" t="inlineStr">
        <is>
          <t>BẢO TRÂM</t>
        </is>
      </c>
      <c r="F455" s="3" t="inlineStr">
        <is>
          <t>Shopee</t>
        </is>
      </c>
      <c r="G455" s="4" t="inlineStr">
        <is>
          <t>SHOPEE: https://s.shopee.vn/3qNt1d78Ij TIKTOK: LAZADA: WEBSITE BÁN HÀNG:</t>
        </is>
      </c>
      <c r="H455" s="3" t="inlineStr"/>
      <c r="I455" s="4" t="inlineStr">
        <is>
          <t>Mũi khoan tường không tắc kê KBLJ - 03.2*100</t>
        </is>
      </c>
      <c r="J455" s="3" t="inlineStr">
        <is>
          <t>Cái</t>
        </is>
      </c>
      <c r="K455" s="5" t="n">
        <v>269000</v>
      </c>
      <c r="L455" s="5" t="n">
        <v>317000</v>
      </c>
      <c r="M455" s="6" t="n">
        <v>390000</v>
      </c>
      <c r="N455" s="5" t="n"/>
      <c r="O455" s="5">
        <f>IF(AND(ISNUMBER(N455),ISNUMBER(M455)),N455-M455,"")</f>
        <v/>
      </c>
      <c r="P455" s="7">
        <f>IF(AND(ISNUMBER(N455),ISNUMBER(M455),M455&gt;0),(N455-M455)/M455,"")</f>
        <v/>
      </c>
      <c r="Q455" s="3">
        <f>IF(P455="","",IF(P455&lt;-0.02,"🔴 Bán phá giá sàn",IF(P455&gt;0.05,"🔵 Bán cao hơn","🟢 Đúng giá sàn TMĐT")))</f>
        <v/>
      </c>
      <c r="R455" s="3" t="n"/>
      <c r="S455" s="4" t="n"/>
      <c r="T455" s="4" t="n"/>
    </row>
    <row r="456">
      <c r="A456" s="3" t="n">
        <v>455</v>
      </c>
      <c r="B456" s="3" t="inlineStr">
        <is>
          <t>DL002</t>
        </is>
      </c>
      <c r="C456" s="4" t="inlineStr">
        <is>
          <t>Nguyễn Hoàng Phú</t>
        </is>
      </c>
      <c r="D456" s="3" t="inlineStr">
        <is>
          <t>HCM</t>
        </is>
      </c>
      <c r="E456" s="3" t="inlineStr">
        <is>
          <t>BẢO TRÂM</t>
        </is>
      </c>
      <c r="F456" s="3" t="inlineStr">
        <is>
          <t>Shopee</t>
        </is>
      </c>
      <c r="G456" s="4" t="inlineStr">
        <is>
          <t>SHOPEE: https://s.shopee.vn/3qNt1d78Ij TIKTOK: LAZADA: WEBSITE BÁN HÀNG:</t>
        </is>
      </c>
      <c r="H456" s="3" t="inlineStr"/>
      <c r="I456" s="4" t="inlineStr">
        <is>
          <t>Mũi khoan tường không tắc kê KBLJ - 03.5*100</t>
        </is>
      </c>
      <c r="J456" s="3" t="inlineStr">
        <is>
          <t>Cái</t>
        </is>
      </c>
      <c r="K456" s="5" t="n">
        <v>269000</v>
      </c>
      <c r="L456" s="5" t="n">
        <v>317000</v>
      </c>
      <c r="M456" s="6" t="n">
        <v>390000</v>
      </c>
      <c r="N456" s="5" t="n"/>
      <c r="O456" s="5">
        <f>IF(AND(ISNUMBER(N456),ISNUMBER(M456)),N456-M456,"")</f>
        <v/>
      </c>
      <c r="P456" s="7">
        <f>IF(AND(ISNUMBER(N456),ISNUMBER(M456),M456&gt;0),(N456-M456)/M456,"")</f>
        <v/>
      </c>
      <c r="Q456" s="3">
        <f>IF(P456="","",IF(P456&lt;-0.02,"🔴 Bán phá giá sàn",IF(P456&gt;0.05,"🔵 Bán cao hơn","🟢 Đúng giá sàn TMĐT")))</f>
        <v/>
      </c>
      <c r="R456" s="3" t="n"/>
      <c r="S456" s="4" t="n"/>
      <c r="T456" s="4" t="n"/>
    </row>
    <row r="457">
      <c r="A457" s="3" t="n">
        <v>456</v>
      </c>
      <c r="B457" s="3" t="inlineStr">
        <is>
          <t>DL002</t>
        </is>
      </c>
      <c r="C457" s="4" t="inlineStr">
        <is>
          <t>Nguyễn Hoàng Phú</t>
        </is>
      </c>
      <c r="D457" s="3" t="inlineStr">
        <is>
          <t>HCM</t>
        </is>
      </c>
      <c r="E457" s="3" t="inlineStr">
        <is>
          <t>BẢO TRÂM</t>
        </is>
      </c>
      <c r="F457" s="3" t="inlineStr">
        <is>
          <t>Shopee</t>
        </is>
      </c>
      <c r="G457" s="4" t="inlineStr">
        <is>
          <t>SHOPEE: https://s.shopee.vn/3qNt1d78Ij TIKTOK: LAZADA: WEBSITE BÁN HÀNG:</t>
        </is>
      </c>
      <c r="H457" s="3" t="inlineStr"/>
      <c r="I457" s="4" t="inlineStr">
        <is>
          <t>Mũi khoan tường không tắc kê KBLJ - 04*100</t>
        </is>
      </c>
      <c r="J457" s="3" t="inlineStr">
        <is>
          <t>Cái</t>
        </is>
      </c>
      <c r="K457" s="5" t="n">
        <v>269000</v>
      </c>
      <c r="L457" s="5" t="n">
        <v>317000</v>
      </c>
      <c r="M457" s="6" t="n">
        <v>390000</v>
      </c>
      <c r="N457" s="5" t="n"/>
      <c r="O457" s="5">
        <f>IF(AND(ISNUMBER(N457),ISNUMBER(M457)),N457-M457,"")</f>
        <v/>
      </c>
      <c r="P457" s="7">
        <f>IF(AND(ISNUMBER(N457),ISNUMBER(M457),M457&gt;0),(N457-M457)/M457,"")</f>
        <v/>
      </c>
      <c r="Q457" s="3">
        <f>IF(P457="","",IF(P457&lt;-0.02,"🔴 Bán phá giá sàn",IF(P457&gt;0.05,"🔵 Bán cao hơn","🟢 Đúng giá sàn TMĐT")))</f>
        <v/>
      </c>
      <c r="R457" s="3" t="n"/>
      <c r="S457" s="4" t="n"/>
      <c r="T457" s="4" t="n"/>
    </row>
    <row r="458">
      <c r="A458" s="3" t="n">
        <v>457</v>
      </c>
      <c r="B458" s="3" t="inlineStr">
        <is>
          <t>DL002</t>
        </is>
      </c>
      <c r="C458" s="4" t="inlineStr">
        <is>
          <t>Nguyễn Hoàng Phú</t>
        </is>
      </c>
      <c r="D458" s="3" t="inlineStr">
        <is>
          <t>HCM</t>
        </is>
      </c>
      <c r="E458" s="3" t="inlineStr">
        <is>
          <t>BẢO TRÂM</t>
        </is>
      </c>
      <c r="F458" s="3" t="inlineStr">
        <is>
          <t>Shopee</t>
        </is>
      </c>
      <c r="G458" s="4" t="inlineStr">
        <is>
          <t>SHOPEE: https://s.shopee.vn/3qNt1d78Ij TIKTOK: LAZADA: WEBSITE BÁN HÀNG:</t>
        </is>
      </c>
      <c r="H458" s="3" t="inlineStr"/>
      <c r="I458" s="4" t="inlineStr">
        <is>
          <t>Mũi khoan tường không tắc kê KBLJ - 04.2*100</t>
        </is>
      </c>
      <c r="J458" s="3" t="inlineStr">
        <is>
          <t>Cái</t>
        </is>
      </c>
      <c r="K458" s="5" t="n">
        <v>269000</v>
      </c>
      <c r="L458" s="5" t="n">
        <v>317000</v>
      </c>
      <c r="M458" s="6" t="n">
        <v>390000</v>
      </c>
      <c r="N458" s="5" t="n"/>
      <c r="O458" s="5">
        <f>IF(AND(ISNUMBER(N458),ISNUMBER(M458)),N458-M458,"")</f>
        <v/>
      </c>
      <c r="P458" s="7">
        <f>IF(AND(ISNUMBER(N458),ISNUMBER(M458),M458&gt;0),(N458-M458)/M458,"")</f>
        <v/>
      </c>
      <c r="Q458" s="3">
        <f>IF(P458="","",IF(P458&lt;-0.02,"🔴 Bán phá giá sàn",IF(P458&gt;0.05,"🔵 Bán cao hơn","🟢 Đúng giá sàn TMĐT")))</f>
        <v/>
      </c>
      <c r="R458" s="3" t="n"/>
      <c r="S458" s="4" t="n"/>
      <c r="T458" s="4" t="n"/>
    </row>
    <row r="459">
      <c r="A459" s="3" t="n">
        <v>458</v>
      </c>
      <c r="B459" s="3" t="inlineStr">
        <is>
          <t>DL002</t>
        </is>
      </c>
      <c r="C459" s="4" t="inlineStr">
        <is>
          <t>Nguyễn Hoàng Phú</t>
        </is>
      </c>
      <c r="D459" s="3" t="inlineStr">
        <is>
          <t>HCM</t>
        </is>
      </c>
      <c r="E459" s="3" t="inlineStr">
        <is>
          <t>BẢO TRÂM</t>
        </is>
      </c>
      <c r="F459" s="3" t="inlineStr">
        <is>
          <t>Shopee</t>
        </is>
      </c>
      <c r="G459" s="4" t="inlineStr">
        <is>
          <t>SHOPEE: https://s.shopee.vn/3qNt1d78Ij TIKTOK: LAZADA: WEBSITE BÁN HÀNG:</t>
        </is>
      </c>
      <c r="H459" s="3" t="inlineStr"/>
      <c r="I459" s="4" t="inlineStr">
        <is>
          <t>Mũi khoan tường không tắc kê KBLJ - 04.5*100</t>
        </is>
      </c>
      <c r="J459" s="3" t="inlineStr">
        <is>
          <t>Cái</t>
        </is>
      </c>
      <c r="K459" s="5" t="n">
        <v>269000</v>
      </c>
      <c r="L459" s="5" t="n">
        <v>317000</v>
      </c>
      <c r="M459" s="6" t="n">
        <v>390000</v>
      </c>
      <c r="N459" s="5" t="n"/>
      <c r="O459" s="5">
        <f>IF(AND(ISNUMBER(N459),ISNUMBER(M459)),N459-M459,"")</f>
        <v/>
      </c>
      <c r="P459" s="7">
        <f>IF(AND(ISNUMBER(N459),ISNUMBER(M459),M459&gt;0),(N459-M459)/M459,"")</f>
        <v/>
      </c>
      <c r="Q459" s="3">
        <f>IF(P459="","",IF(P459&lt;-0.02,"🔴 Bán phá giá sàn",IF(P459&gt;0.05,"🔵 Bán cao hơn","🟢 Đúng giá sàn TMĐT")))</f>
        <v/>
      </c>
      <c r="R459" s="3" t="n"/>
      <c r="S459" s="4" t="n"/>
      <c r="T459" s="4" t="n"/>
    </row>
    <row r="460">
      <c r="A460" s="3" t="n">
        <v>459</v>
      </c>
      <c r="B460" s="3" t="inlineStr">
        <is>
          <t>DL002</t>
        </is>
      </c>
      <c r="C460" s="4" t="inlineStr">
        <is>
          <t>Nguyễn Hoàng Phú</t>
        </is>
      </c>
      <c r="D460" s="3" t="inlineStr">
        <is>
          <t>HCM</t>
        </is>
      </c>
      <c r="E460" s="3" t="inlineStr">
        <is>
          <t>BẢO TRÂM</t>
        </is>
      </c>
      <c r="F460" s="3" t="inlineStr">
        <is>
          <t>Shopee</t>
        </is>
      </c>
      <c r="G460" s="4" t="inlineStr">
        <is>
          <t>SHOPEE: https://s.shopee.vn/3qNt1d78Ij TIKTOK: LAZADA: WEBSITE BÁN HÀNG:</t>
        </is>
      </c>
      <c r="H460" s="3" t="inlineStr"/>
      <c r="I460" s="4" t="inlineStr">
        <is>
          <t>Mũi khoan tường không tắc kê KBLJ - 05*100</t>
        </is>
      </c>
      <c r="J460" s="3" t="inlineStr">
        <is>
          <t>Cái</t>
        </is>
      </c>
      <c r="K460" s="5" t="n">
        <v>269000</v>
      </c>
      <c r="L460" s="5" t="n">
        <v>317000</v>
      </c>
      <c r="M460" s="6" t="n">
        <v>390000</v>
      </c>
      <c r="N460" s="5" t="n"/>
      <c r="O460" s="5">
        <f>IF(AND(ISNUMBER(N460),ISNUMBER(M460)),N460-M460,"")</f>
        <v/>
      </c>
      <c r="P460" s="7">
        <f>IF(AND(ISNUMBER(N460),ISNUMBER(M460),M460&gt;0),(N460-M460)/M460,"")</f>
        <v/>
      </c>
      <c r="Q460" s="3">
        <f>IF(P460="","",IF(P460&lt;-0.02,"🔴 Bán phá giá sàn",IF(P460&gt;0.05,"🔵 Bán cao hơn","🟢 Đúng giá sàn TMĐT")))</f>
        <v/>
      </c>
      <c r="R460" s="3" t="n"/>
      <c r="S460" s="4" t="n"/>
      <c r="T460" s="4" t="n"/>
    </row>
    <row r="461">
      <c r="A461" s="3" t="n">
        <v>460</v>
      </c>
      <c r="B461" s="3" t="inlineStr">
        <is>
          <t>DL002</t>
        </is>
      </c>
      <c r="C461" s="4" t="inlineStr">
        <is>
          <t>Nguyễn Hoàng Phú</t>
        </is>
      </c>
      <c r="D461" s="3" t="inlineStr">
        <is>
          <t>HCM</t>
        </is>
      </c>
      <c r="E461" s="3" t="inlineStr">
        <is>
          <t>BẢO TRÂM</t>
        </is>
      </c>
      <c r="F461" s="3" t="inlineStr">
        <is>
          <t>Shopee</t>
        </is>
      </c>
      <c r="G461" s="4" t="inlineStr">
        <is>
          <t>SHOPEE: https://s.shopee.vn/3qNt1d78Ij TIKTOK: LAZADA: WEBSITE BÁN HÀNG:</t>
        </is>
      </c>
      <c r="H461" s="3" t="inlineStr"/>
      <c r="I461" s="4" t="inlineStr">
        <is>
          <t>Mũi khoan tường không tắc kê KBLJ - 05.5*100</t>
        </is>
      </c>
      <c r="J461" s="3" t="inlineStr">
        <is>
          <t>Cái</t>
        </is>
      </c>
      <c r="K461" s="5" t="n">
        <v>269000</v>
      </c>
      <c r="L461" s="5" t="n">
        <v>317000</v>
      </c>
      <c r="M461" s="6" t="n">
        <v>390000</v>
      </c>
      <c r="N461" s="5" t="n"/>
      <c r="O461" s="5">
        <f>IF(AND(ISNUMBER(N461),ISNUMBER(M461)),N461-M461,"")</f>
        <v/>
      </c>
      <c r="P461" s="7">
        <f>IF(AND(ISNUMBER(N461),ISNUMBER(M461),M461&gt;0),(N461-M461)/M461,"")</f>
        <v/>
      </c>
      <c r="Q461" s="3">
        <f>IF(P461="","",IF(P461&lt;-0.02,"🔴 Bán phá giá sàn",IF(P461&gt;0.05,"🔵 Bán cao hơn","🟢 Đúng giá sàn TMĐT")))</f>
        <v/>
      </c>
      <c r="R461" s="3" t="n"/>
      <c r="S461" s="4" t="n"/>
      <c r="T461" s="4" t="n"/>
    </row>
    <row r="462">
      <c r="A462" s="3" t="n">
        <v>461</v>
      </c>
      <c r="B462" s="3" t="inlineStr">
        <is>
          <t>DL002</t>
        </is>
      </c>
      <c r="C462" s="4" t="inlineStr">
        <is>
          <t>Nguyễn Hoàng Phú</t>
        </is>
      </c>
      <c r="D462" s="3" t="inlineStr">
        <is>
          <t>HCM</t>
        </is>
      </c>
      <c r="E462" s="3" t="inlineStr">
        <is>
          <t>BẢO TRÂM</t>
        </is>
      </c>
      <c r="F462" s="3" t="inlineStr">
        <is>
          <t>Shopee</t>
        </is>
      </c>
      <c r="G462" s="4" t="inlineStr">
        <is>
          <t>SHOPEE: https://s.shopee.vn/3qNt1d78Ij TIKTOK: LAZADA: WEBSITE BÁN HÀNG:</t>
        </is>
      </c>
      <c r="H462" s="3" t="inlineStr"/>
      <c r="I462" s="4" t="inlineStr">
        <is>
          <t>Mũi khoan tường không tắc kê KBLJ - 06*125</t>
        </is>
      </c>
      <c r="J462" s="3" t="inlineStr">
        <is>
          <t>Cái</t>
        </is>
      </c>
      <c r="K462" s="5" t="n">
        <v>269000</v>
      </c>
      <c r="L462" s="5" t="n">
        <v>317000</v>
      </c>
      <c r="M462" s="6" t="n">
        <v>390000</v>
      </c>
      <c r="N462" s="5" t="n"/>
      <c r="O462" s="5">
        <f>IF(AND(ISNUMBER(N462),ISNUMBER(M462)),N462-M462,"")</f>
        <v/>
      </c>
      <c r="P462" s="7">
        <f>IF(AND(ISNUMBER(N462),ISNUMBER(M462),M462&gt;0),(N462-M462)/M462,"")</f>
        <v/>
      </c>
      <c r="Q462" s="3">
        <f>IF(P462="","",IF(P462&lt;-0.02,"🔴 Bán phá giá sàn",IF(P462&gt;0.05,"🔵 Bán cao hơn","🟢 Đúng giá sàn TMĐT")))</f>
        <v/>
      </c>
      <c r="R462" s="3" t="n"/>
      <c r="S462" s="4" t="n"/>
      <c r="T462" s="4" t="n"/>
    </row>
    <row r="463">
      <c r="A463" s="3" t="n">
        <v>462</v>
      </c>
      <c r="B463" s="3" t="inlineStr">
        <is>
          <t>DL002</t>
        </is>
      </c>
      <c r="C463" s="4" t="inlineStr">
        <is>
          <t>Nguyễn Hoàng Phú</t>
        </is>
      </c>
      <c r="D463" s="3" t="inlineStr">
        <is>
          <t>HCM</t>
        </is>
      </c>
      <c r="E463" s="3" t="inlineStr">
        <is>
          <t>BẢO TRÂM</t>
        </is>
      </c>
      <c r="F463" s="3" t="inlineStr">
        <is>
          <t>Shopee</t>
        </is>
      </c>
      <c r="G463" s="4" t="inlineStr">
        <is>
          <t>SHOPEE: https://s.shopee.vn/3qNt1d78Ij TIKTOK: LAZADA: WEBSITE BÁN HÀNG:</t>
        </is>
      </c>
      <c r="H463" s="3" t="inlineStr"/>
      <c r="I463" s="4" t="inlineStr">
        <is>
          <t>Mũi khoan tường không tắc kê KBLJ - 06.5*125</t>
        </is>
      </c>
      <c r="J463" s="3" t="inlineStr">
        <is>
          <t>Cái</t>
        </is>
      </c>
      <c r="K463" s="5" t="n">
        <v>269000</v>
      </c>
      <c r="L463" s="5" t="n">
        <v>317000</v>
      </c>
      <c r="M463" s="6" t="n">
        <v>390000</v>
      </c>
      <c r="N463" s="5" t="n"/>
      <c r="O463" s="5">
        <f>IF(AND(ISNUMBER(N463),ISNUMBER(M463)),N463-M463,"")</f>
        <v/>
      </c>
      <c r="P463" s="7">
        <f>IF(AND(ISNUMBER(N463),ISNUMBER(M463),M463&gt;0),(N463-M463)/M463,"")</f>
        <v/>
      </c>
      <c r="Q463" s="3">
        <f>IF(P463="","",IF(P463&lt;-0.02,"🔴 Bán phá giá sàn",IF(P463&gt;0.05,"🔵 Bán cao hơn","🟢 Đúng giá sàn TMĐT")))</f>
        <v/>
      </c>
      <c r="R463" s="3" t="n"/>
      <c r="S463" s="4" t="n"/>
      <c r="T463" s="4" t="n"/>
    </row>
    <row r="464">
      <c r="A464" s="3" t="n">
        <v>463</v>
      </c>
      <c r="B464" s="3" t="inlineStr">
        <is>
          <t>DL002</t>
        </is>
      </c>
      <c r="C464" s="4" t="inlineStr">
        <is>
          <t>Nguyễn Hoàng Phú</t>
        </is>
      </c>
      <c r="D464" s="3" t="inlineStr">
        <is>
          <t>HCM</t>
        </is>
      </c>
      <c r="E464" s="3" t="inlineStr">
        <is>
          <t>BẢO TRÂM</t>
        </is>
      </c>
      <c r="F464" s="3" t="inlineStr">
        <is>
          <t>Shopee</t>
        </is>
      </c>
      <c r="G464" s="4" t="inlineStr">
        <is>
          <t>SHOPEE: https://s.shopee.vn/3qNt1d78Ij TIKTOK: LAZADA: WEBSITE BÁN HÀNG:</t>
        </is>
      </c>
      <c r="H464" s="3" t="inlineStr"/>
      <c r="I464" s="4" t="inlineStr">
        <is>
          <t>Mũi khoan tường không tắc kê KBLJ - 07*125</t>
        </is>
      </c>
      <c r="J464" s="3" t="inlineStr">
        <is>
          <t>Cái</t>
        </is>
      </c>
      <c r="K464" s="5" t="n">
        <v>269000</v>
      </c>
      <c r="L464" s="5" t="n">
        <v>317000</v>
      </c>
      <c r="M464" s="6" t="n">
        <v>390000</v>
      </c>
      <c r="N464" s="5" t="n"/>
      <c r="O464" s="5">
        <f>IF(AND(ISNUMBER(N464),ISNUMBER(M464)),N464-M464,"")</f>
        <v/>
      </c>
      <c r="P464" s="7">
        <f>IF(AND(ISNUMBER(N464),ISNUMBER(M464),M464&gt;0),(N464-M464)/M464,"")</f>
        <v/>
      </c>
      <c r="Q464" s="3">
        <f>IF(P464="","",IF(P464&lt;-0.02,"🔴 Bán phá giá sàn",IF(P464&gt;0.05,"🔵 Bán cao hơn","🟢 Đúng giá sàn TMĐT")))</f>
        <v/>
      </c>
      <c r="R464" s="3" t="n"/>
      <c r="S464" s="4" t="n"/>
      <c r="T464" s="4" t="n"/>
    </row>
    <row r="465">
      <c r="A465" s="3" t="n">
        <v>464</v>
      </c>
      <c r="B465" s="3" t="inlineStr">
        <is>
          <t>DL002</t>
        </is>
      </c>
      <c r="C465" s="4" t="inlineStr">
        <is>
          <t>Nguyễn Hoàng Phú</t>
        </is>
      </c>
      <c r="D465" s="3" t="inlineStr">
        <is>
          <t>HCM</t>
        </is>
      </c>
      <c r="E465" s="3" t="inlineStr">
        <is>
          <t>BẢO TRÂM</t>
        </is>
      </c>
      <c r="F465" s="3" t="inlineStr">
        <is>
          <t>Shopee</t>
        </is>
      </c>
      <c r="G465" s="4" t="inlineStr">
        <is>
          <t>SHOPEE: https://s.shopee.vn/3qNt1d78Ij TIKTOK: LAZADA: WEBSITE BÁN HÀNG:</t>
        </is>
      </c>
      <c r="H465" s="3" t="inlineStr"/>
      <c r="I465" s="4" t="inlineStr">
        <is>
          <t>Mũi khoan tường không tắc kê KBLJ - 08*125</t>
        </is>
      </c>
      <c r="J465" s="3" t="inlineStr">
        <is>
          <t>Cái</t>
        </is>
      </c>
      <c r="K465" s="5" t="n">
        <v>269000</v>
      </c>
      <c r="L465" s="5" t="n">
        <v>317000</v>
      </c>
      <c r="M465" s="6" t="n">
        <v>390000</v>
      </c>
      <c r="N465" s="5" t="n"/>
      <c r="O465" s="5">
        <f>IF(AND(ISNUMBER(N465),ISNUMBER(M465)),N465-M465,"")</f>
        <v/>
      </c>
      <c r="P465" s="7">
        <f>IF(AND(ISNUMBER(N465),ISNUMBER(M465),M465&gt;0),(N465-M465)/M465,"")</f>
        <v/>
      </c>
      <c r="Q465" s="3">
        <f>IF(P465="","",IF(P465&lt;-0.02,"🔴 Bán phá giá sàn",IF(P465&gt;0.05,"🔵 Bán cao hơn","🟢 Đúng giá sàn TMĐT")))</f>
        <v/>
      </c>
      <c r="R465" s="3" t="n"/>
      <c r="S465" s="4" t="n"/>
      <c r="T465" s="4" t="n"/>
    </row>
    <row r="466">
      <c r="A466" s="3" t="n">
        <v>465</v>
      </c>
      <c r="B466" s="3" t="inlineStr">
        <is>
          <t>DL002</t>
        </is>
      </c>
      <c r="C466" s="4" t="inlineStr">
        <is>
          <t>Nguyễn Hoàng Phú</t>
        </is>
      </c>
      <c r="D466" s="3" t="inlineStr">
        <is>
          <t>HCM</t>
        </is>
      </c>
      <c r="E466" s="3" t="inlineStr">
        <is>
          <t>BẢO TRÂM</t>
        </is>
      </c>
      <c r="F466" s="3" t="inlineStr">
        <is>
          <t>Shopee</t>
        </is>
      </c>
      <c r="G466" s="4" t="inlineStr">
        <is>
          <t>SHOPEE: https://s.shopee.vn/3qNt1d78Ij TIKTOK: LAZADA: WEBSITE BÁN HÀNG:</t>
        </is>
      </c>
      <c r="H466" s="3" t="inlineStr"/>
      <c r="I466" s="4" t="inlineStr">
        <is>
          <t>Mũi khoan tường không tắc kê KBLJ - 10*148</t>
        </is>
      </c>
      <c r="J466" s="3" t="inlineStr">
        <is>
          <t>Cái</t>
        </is>
      </c>
      <c r="K466" s="5" t="n">
        <v>269000</v>
      </c>
      <c r="L466" s="5" t="n">
        <v>317000</v>
      </c>
      <c r="M466" s="6" t="n">
        <v>390000</v>
      </c>
      <c r="N466" s="5" t="n"/>
      <c r="O466" s="5">
        <f>IF(AND(ISNUMBER(N466),ISNUMBER(M466)),N466-M466,"")</f>
        <v/>
      </c>
      <c r="P466" s="7">
        <f>IF(AND(ISNUMBER(N466),ISNUMBER(M466),M466&gt;0),(N466-M466)/M466,"")</f>
        <v/>
      </c>
      <c r="Q466" s="3">
        <f>IF(P466="","",IF(P466&lt;-0.02,"🔴 Bán phá giá sàn",IF(P466&gt;0.05,"🔵 Bán cao hơn","🟢 Đúng giá sàn TMĐT")))</f>
        <v/>
      </c>
      <c r="R466" s="3" t="n"/>
      <c r="S466" s="4" t="n"/>
      <c r="T466" s="4" t="n"/>
    </row>
    <row r="467">
      <c r="A467" s="3" t="n">
        <v>466</v>
      </c>
      <c r="B467" s="3" t="inlineStr">
        <is>
          <t>DL002</t>
        </is>
      </c>
      <c r="C467" s="4" t="inlineStr">
        <is>
          <t>Nguyễn Hoàng Phú</t>
        </is>
      </c>
      <c r="D467" s="3" t="inlineStr">
        <is>
          <t>HCM</t>
        </is>
      </c>
      <c r="E467" s="3" t="inlineStr">
        <is>
          <t>BẢO TRÂM</t>
        </is>
      </c>
      <c r="F467" s="3" t="inlineStr">
        <is>
          <t>Shopee</t>
        </is>
      </c>
      <c r="G467" s="4" t="inlineStr">
        <is>
          <t>SHOPEE: https://s.shopee.vn/3qNt1d78Ij TIKTOK: LAZADA: WEBSITE BÁN HÀNG:</t>
        </is>
      </c>
      <c r="H467" s="3" t="inlineStr">
        <is>
          <t>KBT-0412</t>
        </is>
      </c>
      <c r="I467" s="4" t="inlineStr">
        <is>
          <t>Mũi khoan tháp M2 KBT-04*12</t>
        </is>
      </c>
      <c r="J467" s="3" t="inlineStr">
        <is>
          <t>Cái</t>
        </is>
      </c>
      <c r="K467" s="5" t="n">
        <v>88000</v>
      </c>
      <c r="L467" s="5" t="n">
        <v>109000</v>
      </c>
      <c r="M467" s="6" t="n">
        <v>141000</v>
      </c>
      <c r="N467" s="5" t="n"/>
      <c r="O467" s="5">
        <f>IF(AND(ISNUMBER(N467),ISNUMBER(M467)),N467-M467,"")</f>
        <v/>
      </c>
      <c r="P467" s="7">
        <f>IF(AND(ISNUMBER(N467),ISNUMBER(M467),M467&gt;0),(N467-M467)/M467,"")</f>
        <v/>
      </c>
      <c r="Q467" s="3">
        <f>IF(P467="","",IF(P467&lt;-0.02,"🔴 Bán phá giá sàn",IF(P467&gt;0.05,"🔵 Bán cao hơn","🟢 Đúng giá sàn TMĐT")))</f>
        <v/>
      </c>
      <c r="R467" s="3" t="n"/>
      <c r="S467" s="4" t="n"/>
      <c r="T467" s="4" t="n"/>
    </row>
    <row r="468">
      <c r="A468" s="3" t="n">
        <v>467</v>
      </c>
      <c r="B468" s="3" t="inlineStr">
        <is>
          <t>DL002</t>
        </is>
      </c>
      <c r="C468" s="4" t="inlineStr">
        <is>
          <t>Nguyễn Hoàng Phú</t>
        </is>
      </c>
      <c r="D468" s="3" t="inlineStr">
        <is>
          <t>HCM</t>
        </is>
      </c>
      <c r="E468" s="3" t="inlineStr">
        <is>
          <t>BẢO TRÂM</t>
        </is>
      </c>
      <c r="F468" s="3" t="inlineStr">
        <is>
          <t>Shopee</t>
        </is>
      </c>
      <c r="G468" s="4" t="inlineStr">
        <is>
          <t>SHOPEE: https://s.shopee.vn/3qNt1d78Ij TIKTOK: LAZADA: WEBSITE BÁN HÀNG:</t>
        </is>
      </c>
      <c r="H468" s="3" t="inlineStr">
        <is>
          <t>KBT-0420</t>
        </is>
      </c>
      <c r="I468" s="4" t="inlineStr">
        <is>
          <t>Mũi khoan tháp M2 KBT-04*20</t>
        </is>
      </c>
      <c r="J468" s="3" t="inlineStr">
        <is>
          <t>Cái</t>
        </is>
      </c>
      <c r="K468" s="5" t="n">
        <v>170000</v>
      </c>
      <c r="L468" s="5" t="n">
        <v>211000</v>
      </c>
      <c r="M468" s="6" t="n">
        <v>272000</v>
      </c>
      <c r="N468" s="5" t="n"/>
      <c r="O468" s="5">
        <f>IF(AND(ISNUMBER(N468),ISNUMBER(M468)),N468-M468,"")</f>
        <v/>
      </c>
      <c r="P468" s="7">
        <f>IF(AND(ISNUMBER(N468),ISNUMBER(M468),M468&gt;0),(N468-M468)/M468,"")</f>
        <v/>
      </c>
      <c r="Q468" s="3">
        <f>IF(P468="","",IF(P468&lt;-0.02,"🔴 Bán phá giá sàn",IF(P468&gt;0.05,"🔵 Bán cao hơn","🟢 Đúng giá sàn TMĐT")))</f>
        <v/>
      </c>
      <c r="R468" s="3" t="n"/>
      <c r="S468" s="4" t="n"/>
      <c r="T468" s="4" t="n"/>
    </row>
    <row r="469">
      <c r="A469" s="3" t="n">
        <v>468</v>
      </c>
      <c r="B469" s="3" t="inlineStr">
        <is>
          <t>DL002</t>
        </is>
      </c>
      <c r="C469" s="4" t="inlineStr">
        <is>
          <t>Nguyễn Hoàng Phú</t>
        </is>
      </c>
      <c r="D469" s="3" t="inlineStr">
        <is>
          <t>HCM</t>
        </is>
      </c>
      <c r="E469" s="3" t="inlineStr">
        <is>
          <t>BẢO TRÂM</t>
        </is>
      </c>
      <c r="F469" s="3" t="inlineStr">
        <is>
          <t>Shopee</t>
        </is>
      </c>
      <c r="G469" s="4" t="inlineStr">
        <is>
          <t>SHOPEE: https://s.shopee.vn/3qNt1d78Ij TIKTOK: LAZADA: WEBSITE BÁN HÀNG:</t>
        </is>
      </c>
      <c r="H469" s="3" t="inlineStr">
        <is>
          <t>KBT-0432</t>
        </is>
      </c>
      <c r="I469" s="4" t="inlineStr">
        <is>
          <t>Mũi khoan tháp M2 KBT-04*32</t>
        </is>
      </c>
      <c r="J469" s="3" t="inlineStr">
        <is>
          <t>Cái</t>
        </is>
      </c>
      <c r="K469" s="5" t="n">
        <v>319000</v>
      </c>
      <c r="L469" s="5" t="n">
        <v>395000</v>
      </c>
      <c r="M469" s="6" t="n">
        <v>510000</v>
      </c>
      <c r="N469" s="5" t="n"/>
      <c r="O469" s="5">
        <f>IF(AND(ISNUMBER(N469),ISNUMBER(M469)),N469-M469,"")</f>
        <v/>
      </c>
      <c r="P469" s="7">
        <f>IF(AND(ISNUMBER(N469),ISNUMBER(M469),M469&gt;0),(N469-M469)/M469,"")</f>
        <v/>
      </c>
      <c r="Q469" s="3">
        <f>IF(P469="","",IF(P469&lt;-0.02,"🔴 Bán phá giá sàn",IF(P469&gt;0.05,"🔵 Bán cao hơn","🟢 Đúng giá sàn TMĐT")))</f>
        <v/>
      </c>
      <c r="R469" s="3" t="n"/>
      <c r="S469" s="4" t="n"/>
      <c r="T469" s="4" t="n"/>
    </row>
    <row r="470">
      <c r="A470" s="3" t="n">
        <v>469</v>
      </c>
      <c r="B470" s="3" t="inlineStr">
        <is>
          <t>DL002</t>
        </is>
      </c>
      <c r="C470" s="4" t="inlineStr">
        <is>
          <t>Nguyễn Hoàng Phú</t>
        </is>
      </c>
      <c r="D470" s="3" t="inlineStr">
        <is>
          <t>HCM</t>
        </is>
      </c>
      <c r="E470" s="3" t="inlineStr">
        <is>
          <t>BẢO TRÂM</t>
        </is>
      </c>
      <c r="F470" s="3" t="inlineStr">
        <is>
          <t>Shopee</t>
        </is>
      </c>
      <c r="G470" s="4" t="inlineStr">
        <is>
          <t>SHOPEE: https://s.shopee.vn/3qNt1d78Ij TIKTOK: LAZADA: WEBSITE BÁN HÀNG:</t>
        </is>
      </c>
      <c r="H470" s="3" t="inlineStr">
        <is>
          <t>KBY1-020</t>
        </is>
      </c>
      <c r="I470" s="4" t="inlineStr">
        <is>
          <t>Mũi khoan thép KBY1-020</t>
        </is>
      </c>
      <c r="J470" s="3" t="inlineStr">
        <is>
          <t>Cái</t>
        </is>
      </c>
      <c r="K470" s="5" t="n">
        <v>6000</v>
      </c>
      <c r="L470" s="5" t="n">
        <v>8000</v>
      </c>
      <c r="M470" s="6" t="n">
        <v>10000</v>
      </c>
      <c r="N470" s="5" t="n"/>
      <c r="O470" s="5">
        <f>IF(AND(ISNUMBER(N470),ISNUMBER(M470)),N470-M470,"")</f>
        <v/>
      </c>
      <c r="P470" s="7">
        <f>IF(AND(ISNUMBER(N470),ISNUMBER(M470),M470&gt;0),(N470-M470)/M470,"")</f>
        <v/>
      </c>
      <c r="Q470" s="3">
        <f>IF(P470="","",IF(P470&lt;-0.02,"🔴 Bán phá giá sàn",IF(P470&gt;0.05,"🔵 Bán cao hơn","🟢 Đúng giá sàn TMĐT")))</f>
        <v/>
      </c>
      <c r="R470" s="3" t="n"/>
      <c r="S470" s="4" t="n"/>
      <c r="T470" s="4" t="n"/>
    </row>
    <row r="471">
      <c r="A471" s="3" t="n">
        <v>470</v>
      </c>
      <c r="B471" s="3" t="inlineStr">
        <is>
          <t>DL002</t>
        </is>
      </c>
      <c r="C471" s="4" t="inlineStr">
        <is>
          <t>Nguyễn Hoàng Phú</t>
        </is>
      </c>
      <c r="D471" s="3" t="inlineStr">
        <is>
          <t>HCM</t>
        </is>
      </c>
      <c r="E471" s="3" t="inlineStr">
        <is>
          <t>BẢO TRÂM</t>
        </is>
      </c>
      <c r="F471" s="3" t="inlineStr">
        <is>
          <t>Shopee</t>
        </is>
      </c>
      <c r="G471" s="4" t="inlineStr">
        <is>
          <t>SHOPEE: https://s.shopee.vn/3qNt1d78Ij TIKTOK: LAZADA: WEBSITE BÁN HÀNG:</t>
        </is>
      </c>
      <c r="H471" s="3" t="inlineStr">
        <is>
          <t>KBY1-030</t>
        </is>
      </c>
      <c r="I471" s="4" t="inlineStr">
        <is>
          <t>Mũi khoan thép KBY1-030</t>
        </is>
      </c>
      <c r="J471" s="3" t="inlineStr">
        <is>
          <t>Cái</t>
        </is>
      </c>
      <c r="K471" s="5" t="n">
        <v>8000</v>
      </c>
      <c r="L471" s="5" t="n">
        <v>10000</v>
      </c>
      <c r="M471" s="6" t="n">
        <v>13000</v>
      </c>
      <c r="N471" s="5" t="n"/>
      <c r="O471" s="5">
        <f>IF(AND(ISNUMBER(N471),ISNUMBER(M471)),N471-M471,"")</f>
        <v/>
      </c>
      <c r="P471" s="7">
        <f>IF(AND(ISNUMBER(N471),ISNUMBER(M471),M471&gt;0),(N471-M471)/M471,"")</f>
        <v/>
      </c>
      <c r="Q471" s="3">
        <f>IF(P471="","",IF(P471&lt;-0.02,"🔴 Bán phá giá sàn",IF(P471&gt;0.05,"🔵 Bán cao hơn","🟢 Đúng giá sàn TMĐT")))</f>
        <v/>
      </c>
      <c r="R471" s="3" t="n"/>
      <c r="S471" s="4" t="n"/>
      <c r="T471" s="4" t="n"/>
    </row>
    <row r="472">
      <c r="A472" s="3" t="n">
        <v>471</v>
      </c>
      <c r="B472" s="3" t="inlineStr">
        <is>
          <t>DL002</t>
        </is>
      </c>
      <c r="C472" s="4" t="inlineStr">
        <is>
          <t>Nguyễn Hoàng Phú</t>
        </is>
      </c>
      <c r="D472" s="3" t="inlineStr">
        <is>
          <t>HCM</t>
        </is>
      </c>
      <c r="E472" s="3" t="inlineStr">
        <is>
          <t>BẢO TRÂM</t>
        </is>
      </c>
      <c r="F472" s="3" t="inlineStr">
        <is>
          <t>Shopee</t>
        </is>
      </c>
      <c r="G472" s="4" t="inlineStr">
        <is>
          <t>SHOPEE: https://s.shopee.vn/3qNt1d78Ij TIKTOK: LAZADA: WEBSITE BÁN HÀNG:</t>
        </is>
      </c>
      <c r="H472" s="3" t="inlineStr">
        <is>
          <t>KBY1-050</t>
        </is>
      </c>
      <c r="I472" s="4" t="inlineStr">
        <is>
          <t>Mũi khoan thép KBY1-050</t>
        </is>
      </c>
      <c r="J472" s="3" t="inlineStr">
        <is>
          <t>Cái</t>
        </is>
      </c>
      <c r="K472" s="5" t="n">
        <v>17000</v>
      </c>
      <c r="L472" s="5" t="n">
        <v>21000</v>
      </c>
      <c r="M472" s="6" t="n">
        <v>27000</v>
      </c>
      <c r="N472" s="5" t="n"/>
      <c r="O472" s="5">
        <f>IF(AND(ISNUMBER(N472),ISNUMBER(M472)),N472-M472,"")</f>
        <v/>
      </c>
      <c r="P472" s="7">
        <f>IF(AND(ISNUMBER(N472),ISNUMBER(M472),M472&gt;0),(N472-M472)/M472,"")</f>
        <v/>
      </c>
      <c r="Q472" s="3">
        <f>IF(P472="","",IF(P472&lt;-0.02,"🔴 Bán phá giá sàn",IF(P472&gt;0.05,"🔵 Bán cao hơn","🟢 Đúng giá sàn TMĐT")))</f>
        <v/>
      </c>
      <c r="R472" s="3" t="n"/>
      <c r="S472" s="4" t="n"/>
      <c r="T472" s="4" t="n"/>
    </row>
    <row r="473">
      <c r="A473" s="3" t="n">
        <v>472</v>
      </c>
      <c r="B473" s="3" t="inlineStr">
        <is>
          <t>DL002</t>
        </is>
      </c>
      <c r="C473" s="4" t="inlineStr">
        <is>
          <t>Nguyễn Hoàng Phú</t>
        </is>
      </c>
      <c r="D473" s="3" t="inlineStr">
        <is>
          <t>HCM</t>
        </is>
      </c>
      <c r="E473" s="3" t="inlineStr">
        <is>
          <t>BẢO TRÂM</t>
        </is>
      </c>
      <c r="F473" s="3" t="inlineStr">
        <is>
          <t>Shopee</t>
        </is>
      </c>
      <c r="G473" s="4" t="inlineStr">
        <is>
          <t>SHOPEE: https://s.shopee.vn/3qNt1d78Ij TIKTOK: LAZADA: WEBSITE BÁN HÀNG:</t>
        </is>
      </c>
      <c r="H473" s="3" t="inlineStr">
        <is>
          <t>KBY1-060</t>
        </is>
      </c>
      <c r="I473" s="4" t="inlineStr">
        <is>
          <t>Mũi khoan thép KBY1-060</t>
        </is>
      </c>
      <c r="J473" s="3" t="inlineStr">
        <is>
          <t>Cái</t>
        </is>
      </c>
      <c r="K473" s="5" t="n">
        <v>25000</v>
      </c>
      <c r="L473" s="5" t="n">
        <v>31000</v>
      </c>
      <c r="M473" s="6" t="n">
        <v>40000</v>
      </c>
      <c r="N473" s="5" t="n"/>
      <c r="O473" s="5">
        <f>IF(AND(ISNUMBER(N473),ISNUMBER(M473)),N473-M473,"")</f>
        <v/>
      </c>
      <c r="P473" s="7">
        <f>IF(AND(ISNUMBER(N473),ISNUMBER(M473),M473&gt;0),(N473-M473)/M473,"")</f>
        <v/>
      </c>
      <c r="Q473" s="3">
        <f>IF(P473="","",IF(P473&lt;-0.02,"🔴 Bán phá giá sàn",IF(P473&gt;0.05,"🔵 Bán cao hơn","🟢 Đúng giá sàn TMĐT")))</f>
        <v/>
      </c>
      <c r="R473" s="3" t="n"/>
      <c r="S473" s="4" t="n"/>
      <c r="T473" s="4" t="n"/>
    </row>
    <row r="474">
      <c r="A474" s="3" t="n">
        <v>473</v>
      </c>
      <c r="B474" s="3" t="inlineStr">
        <is>
          <t>DL002</t>
        </is>
      </c>
      <c r="C474" s="4" t="inlineStr">
        <is>
          <t>Nguyễn Hoàng Phú</t>
        </is>
      </c>
      <c r="D474" s="3" t="inlineStr">
        <is>
          <t>HCM</t>
        </is>
      </c>
      <c r="E474" s="3" t="inlineStr">
        <is>
          <t>BẢO TRÂM</t>
        </is>
      </c>
      <c r="F474" s="3" t="inlineStr">
        <is>
          <t>Shopee</t>
        </is>
      </c>
      <c r="G474" s="4" t="inlineStr">
        <is>
          <t>SHOPEE: https://s.shopee.vn/3qNt1d78Ij TIKTOK: LAZADA: WEBSITE BÁN HÀNG:</t>
        </is>
      </c>
      <c r="H474" s="3" t="inlineStr">
        <is>
          <t>KBY1-070</t>
        </is>
      </c>
      <c r="I474" s="4" t="inlineStr">
        <is>
          <t>Mũi khoan thép KBY1-070</t>
        </is>
      </c>
      <c r="J474" s="3" t="inlineStr">
        <is>
          <t>Cái</t>
        </is>
      </c>
      <c r="K474" s="5" t="n">
        <v>31000</v>
      </c>
      <c r="L474" s="5" t="n">
        <v>39000</v>
      </c>
      <c r="M474" s="6" t="n">
        <v>50000</v>
      </c>
      <c r="N474" s="5" t="n"/>
      <c r="O474" s="5">
        <f>IF(AND(ISNUMBER(N474),ISNUMBER(M474)),N474-M474,"")</f>
        <v/>
      </c>
      <c r="P474" s="7">
        <f>IF(AND(ISNUMBER(N474),ISNUMBER(M474),M474&gt;0),(N474-M474)/M474,"")</f>
        <v/>
      </c>
      <c r="Q474" s="3">
        <f>IF(P474="","",IF(P474&lt;-0.02,"🔴 Bán phá giá sàn",IF(P474&gt;0.05,"🔵 Bán cao hơn","🟢 Đúng giá sàn TMĐT")))</f>
        <v/>
      </c>
      <c r="R474" s="3" t="n"/>
      <c r="S474" s="4" t="n"/>
      <c r="T474" s="4" t="n"/>
    </row>
    <row r="475">
      <c r="A475" s="3" t="n">
        <v>474</v>
      </c>
      <c r="B475" s="3" t="inlineStr">
        <is>
          <t>DL002</t>
        </is>
      </c>
      <c r="C475" s="4" t="inlineStr">
        <is>
          <t>Nguyễn Hoàng Phú</t>
        </is>
      </c>
      <c r="D475" s="3" t="inlineStr">
        <is>
          <t>HCM</t>
        </is>
      </c>
      <c r="E475" s="3" t="inlineStr">
        <is>
          <t>BẢO TRÂM</t>
        </is>
      </c>
      <c r="F475" s="3" t="inlineStr">
        <is>
          <t>Shopee</t>
        </is>
      </c>
      <c r="G475" s="4" t="inlineStr">
        <is>
          <t>SHOPEE: https://s.shopee.vn/3qNt1d78Ij TIKTOK: LAZADA: WEBSITE BÁN HÀNG:</t>
        </is>
      </c>
      <c r="H475" s="3" t="inlineStr">
        <is>
          <t>KBY1-080</t>
        </is>
      </c>
      <c r="I475" s="4" t="inlineStr">
        <is>
          <t>Mũi khoan thép KBY1-080</t>
        </is>
      </c>
      <c r="J475" s="3" t="inlineStr">
        <is>
          <t>Cái</t>
        </is>
      </c>
      <c r="K475" s="5" t="n">
        <v>46000</v>
      </c>
      <c r="L475" s="5" t="n">
        <v>57000</v>
      </c>
      <c r="M475" s="6" t="n">
        <v>74000</v>
      </c>
      <c r="N475" s="5" t="n"/>
      <c r="O475" s="5">
        <f>IF(AND(ISNUMBER(N475),ISNUMBER(M475)),N475-M475,"")</f>
        <v/>
      </c>
      <c r="P475" s="7">
        <f>IF(AND(ISNUMBER(N475),ISNUMBER(M475),M475&gt;0),(N475-M475)/M475,"")</f>
        <v/>
      </c>
      <c r="Q475" s="3">
        <f>IF(P475="","",IF(P475&lt;-0.02,"🔴 Bán phá giá sàn",IF(P475&gt;0.05,"🔵 Bán cao hơn","🟢 Đúng giá sàn TMĐT")))</f>
        <v/>
      </c>
      <c r="R475" s="3" t="n"/>
      <c r="S475" s="4" t="n"/>
      <c r="T475" s="4" t="n"/>
    </row>
    <row r="476">
      <c r="A476" s="3" t="n">
        <v>475</v>
      </c>
      <c r="B476" s="3" t="inlineStr">
        <is>
          <t>DL002</t>
        </is>
      </c>
      <c r="C476" s="4" t="inlineStr">
        <is>
          <t>Nguyễn Hoàng Phú</t>
        </is>
      </c>
      <c r="D476" s="3" t="inlineStr">
        <is>
          <t>HCM</t>
        </is>
      </c>
      <c r="E476" s="3" t="inlineStr">
        <is>
          <t>BẢO TRÂM</t>
        </is>
      </c>
      <c r="F476" s="3" t="inlineStr">
        <is>
          <t>Shopee</t>
        </is>
      </c>
      <c r="G476" s="4" t="inlineStr">
        <is>
          <t>SHOPEE: https://s.shopee.vn/3qNt1d78Ij TIKTOK: LAZADA: WEBSITE BÁN HÀNG:</t>
        </is>
      </c>
      <c r="H476" s="3" t="inlineStr">
        <is>
          <t>KBY1-090</t>
        </is>
      </c>
      <c r="I476" s="4" t="inlineStr">
        <is>
          <t>Mũi khoan thép KBY1-090</t>
        </is>
      </c>
      <c r="J476" s="3" t="inlineStr">
        <is>
          <t>Cái</t>
        </is>
      </c>
      <c r="K476" s="5" t="n">
        <v>56000</v>
      </c>
      <c r="L476" s="5" t="n">
        <v>70000</v>
      </c>
      <c r="M476" s="6" t="n">
        <v>90000</v>
      </c>
      <c r="N476" s="5" t="n"/>
      <c r="O476" s="5">
        <f>IF(AND(ISNUMBER(N476),ISNUMBER(M476)),N476-M476,"")</f>
        <v/>
      </c>
      <c r="P476" s="7">
        <f>IF(AND(ISNUMBER(N476),ISNUMBER(M476),M476&gt;0),(N476-M476)/M476,"")</f>
        <v/>
      </c>
      <c r="Q476" s="3">
        <f>IF(P476="","",IF(P476&lt;-0.02,"🔴 Bán phá giá sàn",IF(P476&gt;0.05,"🔵 Bán cao hơn","🟢 Đúng giá sàn TMĐT")))</f>
        <v/>
      </c>
      <c r="R476" s="3" t="n"/>
      <c r="S476" s="4" t="n"/>
      <c r="T476" s="4" t="n"/>
    </row>
    <row r="477">
      <c r="A477" s="3" t="n">
        <v>476</v>
      </c>
      <c r="B477" s="3" t="inlineStr">
        <is>
          <t>DL002</t>
        </is>
      </c>
      <c r="C477" s="4" t="inlineStr">
        <is>
          <t>Nguyễn Hoàng Phú</t>
        </is>
      </c>
      <c r="D477" s="3" t="inlineStr">
        <is>
          <t>HCM</t>
        </is>
      </c>
      <c r="E477" s="3" t="inlineStr">
        <is>
          <t>BẢO TRÂM</t>
        </is>
      </c>
      <c r="F477" s="3" t="inlineStr">
        <is>
          <t>Shopee</t>
        </is>
      </c>
      <c r="G477" s="4" t="inlineStr">
        <is>
          <t>SHOPEE: https://s.shopee.vn/3qNt1d78Ij TIKTOK: LAZADA: WEBSITE BÁN HÀNG:</t>
        </is>
      </c>
      <c r="H477" s="3" t="inlineStr">
        <is>
          <t>KBY1-120</t>
        </is>
      </c>
      <c r="I477" s="4" t="inlineStr">
        <is>
          <t>Mũi khoan thép KBY1-120</t>
        </is>
      </c>
      <c r="J477" s="3" t="inlineStr">
        <is>
          <t>Cái</t>
        </is>
      </c>
      <c r="K477" s="5" t="n">
        <v>103000</v>
      </c>
      <c r="L477" s="5" t="n">
        <v>128000</v>
      </c>
      <c r="M477" s="6" t="n">
        <v>165000</v>
      </c>
      <c r="N477" s="5" t="n"/>
      <c r="O477" s="5">
        <f>IF(AND(ISNUMBER(N477),ISNUMBER(M477)),N477-M477,"")</f>
        <v/>
      </c>
      <c r="P477" s="7">
        <f>IF(AND(ISNUMBER(N477),ISNUMBER(M477),M477&gt;0),(N477-M477)/M477,"")</f>
        <v/>
      </c>
      <c r="Q477" s="3">
        <f>IF(P477="","",IF(P477&lt;-0.02,"🔴 Bán phá giá sàn",IF(P477&gt;0.05,"🔵 Bán cao hơn","🟢 Đúng giá sàn TMĐT")))</f>
        <v/>
      </c>
      <c r="R477" s="3" t="n"/>
      <c r="S477" s="4" t="n"/>
      <c r="T477" s="4" t="n"/>
    </row>
    <row r="478">
      <c r="A478" s="3" t="n">
        <v>477</v>
      </c>
      <c r="B478" s="3" t="inlineStr">
        <is>
          <t>DL002</t>
        </is>
      </c>
      <c r="C478" s="4" t="inlineStr">
        <is>
          <t>Nguyễn Hoàng Phú</t>
        </is>
      </c>
      <c r="D478" s="3" t="inlineStr">
        <is>
          <t>HCM</t>
        </is>
      </c>
      <c r="E478" s="3" t="inlineStr">
        <is>
          <t>BẢO TRÂM</t>
        </is>
      </c>
      <c r="F478" s="3" t="inlineStr">
        <is>
          <t>Shopee</t>
        </is>
      </c>
      <c r="G478" s="4" t="inlineStr">
        <is>
          <t>SHOPEE: https://s.shopee.vn/3qNt1d78Ij TIKTOK: LAZADA: WEBSITE BÁN HÀNG:</t>
        </is>
      </c>
      <c r="H478" s="3" t="inlineStr">
        <is>
          <t>KBL4-20350</t>
        </is>
      </c>
      <c r="I478" s="4" t="inlineStr">
        <is>
          <t>Mũi khoan xuyên tường 4 cạnh KBL4-20*350</t>
        </is>
      </c>
      <c r="J478" s="3" t="inlineStr">
        <is>
          <t>Cái</t>
        </is>
      </c>
      <c r="K478" s="5" t="n">
        <v>183000</v>
      </c>
      <c r="L478" s="5" t="n">
        <v>223000</v>
      </c>
      <c r="M478" s="6" t="n">
        <v>284000</v>
      </c>
      <c r="N478" s="5" t="n"/>
      <c r="O478" s="5">
        <f>IF(AND(ISNUMBER(N478),ISNUMBER(M478)),N478-M478,"")</f>
        <v/>
      </c>
      <c r="P478" s="7">
        <f>IF(AND(ISNUMBER(N478),ISNUMBER(M478),M478&gt;0),(N478-M478)/M478,"")</f>
        <v/>
      </c>
      <c r="Q478" s="3">
        <f>IF(P478="","",IF(P478&lt;-0.02,"🔴 Bán phá giá sàn",IF(P478&gt;0.05,"🔵 Bán cao hơn","🟢 Đúng giá sàn TMĐT")))</f>
        <v/>
      </c>
      <c r="R478" s="3" t="n"/>
      <c r="S478" s="4" t="n"/>
      <c r="T478" s="4" t="n"/>
    </row>
    <row r="479">
      <c r="A479" s="3" t="n">
        <v>478</v>
      </c>
      <c r="B479" s="3" t="inlineStr">
        <is>
          <t>DL002</t>
        </is>
      </c>
      <c r="C479" s="4" t="inlineStr">
        <is>
          <t>Nguyễn Hoàng Phú</t>
        </is>
      </c>
      <c r="D479" s="3" t="inlineStr">
        <is>
          <t>HCM</t>
        </is>
      </c>
      <c r="E479" s="3" t="inlineStr">
        <is>
          <t>BẢO TRÂM</t>
        </is>
      </c>
      <c r="F479" s="3" t="inlineStr">
        <is>
          <t>Shopee</t>
        </is>
      </c>
      <c r="G479" s="4" t="inlineStr">
        <is>
          <t>SHOPEE: https://s.shopee.vn/3qNt1d78Ij TIKTOK: LAZADA: WEBSITE BÁN HÀNG:</t>
        </is>
      </c>
      <c r="H479" s="3" t="inlineStr">
        <is>
          <t>KBX2-16</t>
        </is>
      </c>
      <c r="I479" s="4" t="inlineStr">
        <is>
          <t>Mũi khoét gỗ KBX2-16</t>
        </is>
      </c>
      <c r="J479" s="3" t="inlineStr">
        <is>
          <t>Cái</t>
        </is>
      </c>
      <c r="K479" s="5" t="n">
        <v>59000</v>
      </c>
      <c r="L479" s="5" t="n">
        <v>70000</v>
      </c>
      <c r="M479" s="6" t="n">
        <v>86000</v>
      </c>
      <c r="N479" s="5" t="n"/>
      <c r="O479" s="5">
        <f>IF(AND(ISNUMBER(N479),ISNUMBER(M479)),N479-M479,"")</f>
        <v/>
      </c>
      <c r="P479" s="7">
        <f>IF(AND(ISNUMBER(N479),ISNUMBER(M479),M479&gt;0),(N479-M479)/M479,"")</f>
        <v/>
      </c>
      <c r="Q479" s="3">
        <f>IF(P479="","",IF(P479&lt;-0.02,"🔴 Bán phá giá sàn",IF(P479&gt;0.05,"🔵 Bán cao hơn","🟢 Đúng giá sàn TMĐT")))</f>
        <v/>
      </c>
      <c r="R479" s="3" t="n"/>
      <c r="S479" s="4" t="n"/>
      <c r="T479" s="4" t="n"/>
    </row>
    <row r="480">
      <c r="A480" s="3" t="n">
        <v>479</v>
      </c>
      <c r="B480" s="3" t="inlineStr">
        <is>
          <t>DL002</t>
        </is>
      </c>
      <c r="C480" s="4" t="inlineStr">
        <is>
          <t>Nguyễn Hoàng Phú</t>
        </is>
      </c>
      <c r="D480" s="3" t="inlineStr">
        <is>
          <t>HCM</t>
        </is>
      </c>
      <c r="E480" s="3" t="inlineStr">
        <is>
          <t>BẢO TRÂM</t>
        </is>
      </c>
      <c r="F480" s="3" t="inlineStr">
        <is>
          <t>Shopee</t>
        </is>
      </c>
      <c r="G480" s="4" t="inlineStr">
        <is>
          <t>SHOPEE: https://s.shopee.vn/3qNt1d78Ij TIKTOK: LAZADA: WEBSITE BÁN HÀNG:</t>
        </is>
      </c>
      <c r="H480" s="3" t="inlineStr">
        <is>
          <t>KBX2-25</t>
        </is>
      </c>
      <c r="I480" s="4" t="inlineStr">
        <is>
          <t>Mũi khoét gỗ KBX2-25</t>
        </is>
      </c>
      <c r="J480" s="3" t="inlineStr">
        <is>
          <t>Cái</t>
        </is>
      </c>
      <c r="K480" s="5" t="n">
        <v>83000</v>
      </c>
      <c r="L480" s="5" t="n">
        <v>98000</v>
      </c>
      <c r="M480" s="6" t="n">
        <v>120000</v>
      </c>
      <c r="N480" s="5" t="n"/>
      <c r="O480" s="5">
        <f>IF(AND(ISNUMBER(N480),ISNUMBER(M480)),N480-M480,"")</f>
        <v/>
      </c>
      <c r="P480" s="7">
        <f>IF(AND(ISNUMBER(N480),ISNUMBER(M480),M480&gt;0),(N480-M480)/M480,"")</f>
        <v/>
      </c>
      <c r="Q480" s="3">
        <f>IF(P480="","",IF(P480&lt;-0.02,"🔴 Bán phá giá sàn",IF(P480&gt;0.05,"🔵 Bán cao hơn","🟢 Đúng giá sàn TMĐT")))</f>
        <v/>
      </c>
      <c r="R480" s="3" t="n"/>
      <c r="S480" s="4" t="n"/>
      <c r="T480" s="4" t="n"/>
    </row>
    <row r="481">
      <c r="A481" s="3" t="n">
        <v>480</v>
      </c>
      <c r="B481" s="3" t="inlineStr">
        <is>
          <t>DL002</t>
        </is>
      </c>
      <c r="C481" s="4" t="inlineStr">
        <is>
          <t>Nguyễn Hoàng Phú</t>
        </is>
      </c>
      <c r="D481" s="3" t="inlineStr">
        <is>
          <t>HCM</t>
        </is>
      </c>
      <c r="E481" s="3" t="inlineStr">
        <is>
          <t>BẢO TRÂM</t>
        </is>
      </c>
      <c r="F481" s="3" t="inlineStr">
        <is>
          <t>Shopee</t>
        </is>
      </c>
      <c r="G481" s="4" t="inlineStr">
        <is>
          <t>SHOPEE: https://s.shopee.vn/3qNt1d78Ij TIKTOK: LAZADA: WEBSITE BÁN HÀNG:</t>
        </is>
      </c>
      <c r="H481" s="3" t="inlineStr">
        <is>
          <t>KBX2-27</t>
        </is>
      </c>
      <c r="I481" s="4" t="inlineStr">
        <is>
          <t>Mũi khoét gỗ KBX2-27</t>
        </is>
      </c>
      <c r="J481" s="3" t="inlineStr">
        <is>
          <t>Cái</t>
        </is>
      </c>
      <c r="K481" s="5" t="n">
        <v>92000</v>
      </c>
      <c r="L481" s="5" t="n">
        <v>108000</v>
      </c>
      <c r="M481" s="6" t="n">
        <v>133000</v>
      </c>
      <c r="N481" s="5" t="n"/>
      <c r="O481" s="5">
        <f>IF(AND(ISNUMBER(N481),ISNUMBER(M481)),N481-M481,"")</f>
        <v/>
      </c>
      <c r="P481" s="7">
        <f>IF(AND(ISNUMBER(N481),ISNUMBER(M481),M481&gt;0),(N481-M481)/M481,"")</f>
        <v/>
      </c>
      <c r="Q481" s="3">
        <f>IF(P481="","",IF(P481&lt;-0.02,"🔴 Bán phá giá sàn",IF(P481&gt;0.05,"🔵 Bán cao hơn","🟢 Đúng giá sàn TMĐT")))</f>
        <v/>
      </c>
      <c r="R481" s="3" t="n"/>
      <c r="S481" s="4" t="n"/>
      <c r="T481" s="4" t="n"/>
    </row>
    <row r="482">
      <c r="A482" s="3" t="n">
        <v>481</v>
      </c>
      <c r="B482" s="3" t="inlineStr">
        <is>
          <t>DL002</t>
        </is>
      </c>
      <c r="C482" s="4" t="inlineStr">
        <is>
          <t>Nguyễn Hoàng Phú</t>
        </is>
      </c>
      <c r="D482" s="3" t="inlineStr">
        <is>
          <t>HCM</t>
        </is>
      </c>
      <c r="E482" s="3" t="inlineStr">
        <is>
          <t>BẢO TRÂM</t>
        </is>
      </c>
      <c r="F482" s="3" t="inlineStr">
        <is>
          <t>Shopee</t>
        </is>
      </c>
      <c r="G482" s="4" t="inlineStr">
        <is>
          <t>SHOPEE: https://s.shopee.vn/3qNt1d78Ij TIKTOK: LAZADA: WEBSITE BÁN HÀNG:</t>
        </is>
      </c>
      <c r="H482" s="3" t="inlineStr">
        <is>
          <t>KBX2-30</t>
        </is>
      </c>
      <c r="I482" s="4" t="inlineStr">
        <is>
          <t>Mũi khoét gỗ KBX2-30</t>
        </is>
      </c>
      <c r="J482" s="3" t="inlineStr">
        <is>
          <t>Cái</t>
        </is>
      </c>
      <c r="K482" s="5" t="n">
        <v>103000</v>
      </c>
      <c r="L482" s="5" t="n">
        <v>121000</v>
      </c>
      <c r="M482" s="6" t="n">
        <v>149000</v>
      </c>
      <c r="N482" s="5" t="n"/>
      <c r="O482" s="5">
        <f>IF(AND(ISNUMBER(N482),ISNUMBER(M482)),N482-M482,"")</f>
        <v/>
      </c>
      <c r="P482" s="7">
        <f>IF(AND(ISNUMBER(N482),ISNUMBER(M482),M482&gt;0),(N482-M482)/M482,"")</f>
        <v/>
      </c>
      <c r="Q482" s="3">
        <f>IF(P482="","",IF(P482&lt;-0.02,"🔴 Bán phá giá sàn",IF(P482&gt;0.05,"🔵 Bán cao hơn","🟢 Đúng giá sàn TMĐT")))</f>
        <v/>
      </c>
      <c r="R482" s="3" t="n"/>
      <c r="S482" s="4" t="n"/>
      <c r="T482" s="4" t="n"/>
    </row>
    <row r="483">
      <c r="A483" s="3" t="n">
        <v>482</v>
      </c>
      <c r="B483" s="3" t="inlineStr">
        <is>
          <t>DL002</t>
        </is>
      </c>
      <c r="C483" s="4" t="inlineStr">
        <is>
          <t>Nguyễn Hoàng Phú</t>
        </is>
      </c>
      <c r="D483" s="3" t="inlineStr">
        <is>
          <t>HCM</t>
        </is>
      </c>
      <c r="E483" s="3" t="inlineStr">
        <is>
          <t>BẢO TRÂM</t>
        </is>
      </c>
      <c r="F483" s="3" t="inlineStr">
        <is>
          <t>Shopee</t>
        </is>
      </c>
      <c r="G483" s="4" t="inlineStr">
        <is>
          <t>SHOPEE: https://s.shopee.vn/3qNt1d78Ij TIKTOK: LAZADA: WEBSITE BÁN HÀNG:</t>
        </is>
      </c>
      <c r="H483" s="3" t="inlineStr">
        <is>
          <t>KBX2-35</t>
        </is>
      </c>
      <c r="I483" s="4" t="inlineStr">
        <is>
          <t>Mũi khoét gỗ KBX2-35</t>
        </is>
      </c>
      <c r="J483" s="3" t="inlineStr">
        <is>
          <t>Cái</t>
        </is>
      </c>
      <c r="K483" s="5" t="n">
        <v>119000</v>
      </c>
      <c r="L483" s="5" t="n">
        <v>141000</v>
      </c>
      <c r="M483" s="6" t="n">
        <v>173000</v>
      </c>
      <c r="N483" s="5" t="n"/>
      <c r="O483" s="5">
        <f>IF(AND(ISNUMBER(N483),ISNUMBER(M483)),N483-M483,"")</f>
        <v/>
      </c>
      <c r="P483" s="7">
        <f>IF(AND(ISNUMBER(N483),ISNUMBER(M483),M483&gt;0),(N483-M483)/M483,"")</f>
        <v/>
      </c>
      <c r="Q483" s="3">
        <f>IF(P483="","",IF(P483&lt;-0.02,"🔴 Bán phá giá sàn",IF(P483&gt;0.05,"🔵 Bán cao hơn","🟢 Đúng giá sàn TMĐT")))</f>
        <v/>
      </c>
      <c r="R483" s="3" t="n"/>
      <c r="S483" s="4" t="n"/>
      <c r="T483" s="4" t="n"/>
    </row>
    <row r="484">
      <c r="A484" s="3" t="n">
        <v>483</v>
      </c>
      <c r="B484" s="3" t="inlineStr">
        <is>
          <t>DL002</t>
        </is>
      </c>
      <c r="C484" s="4" t="inlineStr">
        <is>
          <t>Nguyễn Hoàng Phú</t>
        </is>
      </c>
      <c r="D484" s="3" t="inlineStr">
        <is>
          <t>HCM</t>
        </is>
      </c>
      <c r="E484" s="3" t="inlineStr">
        <is>
          <t>BẢO TRÂM</t>
        </is>
      </c>
      <c r="F484" s="3" t="inlineStr">
        <is>
          <t>Shopee</t>
        </is>
      </c>
      <c r="G484" s="4" t="inlineStr">
        <is>
          <t>SHOPEE: https://s.shopee.vn/3qNt1d78Ij TIKTOK: LAZADA: WEBSITE BÁN HÀNG:</t>
        </is>
      </c>
      <c r="H484" s="3" t="inlineStr">
        <is>
          <t>KBX2-42</t>
        </is>
      </c>
      <c r="I484" s="4" t="inlineStr">
        <is>
          <t>Mũi khoét gỗ KBX2-42</t>
        </is>
      </c>
      <c r="J484" s="3" t="inlineStr">
        <is>
          <t>Cái</t>
        </is>
      </c>
      <c r="K484" s="5" t="n">
        <v>140000</v>
      </c>
      <c r="L484" s="5" t="n">
        <v>165000</v>
      </c>
      <c r="M484" s="6" t="n">
        <v>203000</v>
      </c>
      <c r="N484" s="5" t="n"/>
      <c r="O484" s="5">
        <f>IF(AND(ISNUMBER(N484),ISNUMBER(M484)),N484-M484,"")</f>
        <v/>
      </c>
      <c r="P484" s="7">
        <f>IF(AND(ISNUMBER(N484),ISNUMBER(M484),M484&gt;0),(N484-M484)/M484,"")</f>
        <v/>
      </c>
      <c r="Q484" s="3">
        <f>IF(P484="","",IF(P484&lt;-0.02,"🔴 Bán phá giá sàn",IF(P484&gt;0.05,"🔵 Bán cao hơn","🟢 Đúng giá sàn TMĐT")))</f>
        <v/>
      </c>
      <c r="R484" s="3" t="n"/>
      <c r="S484" s="4" t="n"/>
      <c r="T484" s="4" t="n"/>
    </row>
    <row r="485">
      <c r="A485" s="3" t="n">
        <v>484</v>
      </c>
      <c r="B485" s="3" t="inlineStr">
        <is>
          <t>DL002</t>
        </is>
      </c>
      <c r="C485" s="4" t="inlineStr">
        <is>
          <t>Nguyễn Hoàng Phú</t>
        </is>
      </c>
      <c r="D485" s="3" t="inlineStr">
        <is>
          <t>HCM</t>
        </is>
      </c>
      <c r="E485" s="3" t="inlineStr">
        <is>
          <t>BẢO TRÂM</t>
        </is>
      </c>
      <c r="F485" s="3" t="inlineStr">
        <is>
          <t>Shopee</t>
        </is>
      </c>
      <c r="G485" s="4" t="inlineStr">
        <is>
          <t>SHOPEE: https://s.shopee.vn/3qNt1d78Ij TIKTOK: LAZADA: WEBSITE BÁN HÀNG:</t>
        </is>
      </c>
      <c r="H485" s="3" t="inlineStr">
        <is>
          <t>KBX2-60</t>
        </is>
      </c>
      <c r="I485" s="4" t="inlineStr">
        <is>
          <t>Mũi khoét gỗ KBX2-60</t>
        </is>
      </c>
      <c r="J485" s="3" t="inlineStr">
        <is>
          <t>Cái</t>
        </is>
      </c>
      <c r="K485" s="5" t="n">
        <v>191000</v>
      </c>
      <c r="L485" s="5" t="n">
        <v>225000</v>
      </c>
      <c r="M485" s="6" t="n">
        <v>277000</v>
      </c>
      <c r="N485" s="5" t="n"/>
      <c r="O485" s="5">
        <f>IF(AND(ISNUMBER(N485),ISNUMBER(M485)),N485-M485,"")</f>
        <v/>
      </c>
      <c r="P485" s="7">
        <f>IF(AND(ISNUMBER(N485),ISNUMBER(M485),M485&gt;0),(N485-M485)/M485,"")</f>
        <v/>
      </c>
      <c r="Q485" s="3">
        <f>IF(P485="","",IF(P485&lt;-0.02,"🔴 Bán phá giá sàn",IF(P485&gt;0.05,"🔵 Bán cao hơn","🟢 Đúng giá sàn TMĐT")))</f>
        <v/>
      </c>
      <c r="R485" s="3" t="n"/>
      <c r="S485" s="4" t="n"/>
      <c r="T485" s="4" t="n"/>
    </row>
    <row r="486">
      <c r="A486" s="3" t="n">
        <v>485</v>
      </c>
      <c r="B486" s="3" t="inlineStr">
        <is>
          <t>DL002</t>
        </is>
      </c>
      <c r="C486" s="4" t="inlineStr">
        <is>
          <t>Nguyễn Hoàng Phú</t>
        </is>
      </c>
      <c r="D486" s="3" t="inlineStr">
        <is>
          <t>HCM</t>
        </is>
      </c>
      <c r="E486" s="3" t="inlineStr">
        <is>
          <t>BẢO TRÂM</t>
        </is>
      </c>
      <c r="F486" s="3" t="inlineStr">
        <is>
          <t>Shopee</t>
        </is>
      </c>
      <c r="G486" s="4" t="inlineStr">
        <is>
          <t>SHOPEE: https://s.shopee.vn/3qNt1d78Ij TIKTOK: LAZADA: WEBSITE BÁN HÀNG:</t>
        </is>
      </c>
      <c r="H486" s="3" t="inlineStr">
        <is>
          <t>R1-35/25</t>
        </is>
      </c>
      <c r="I486" s="4" t="inlineStr">
        <is>
          <t>Mũi khoét hợp kim BlueBird R1-35/25</t>
        </is>
      </c>
      <c r="J486" s="3" t="inlineStr">
        <is>
          <t>Cái</t>
        </is>
      </c>
      <c r="K486" s="5" t="n">
        <v>129000</v>
      </c>
      <c r="L486" s="5" t="n">
        <v>157000</v>
      </c>
      <c r="M486" s="6" t="n">
        <v>200000</v>
      </c>
      <c r="N486" s="5" t="n"/>
      <c r="O486" s="5">
        <f>IF(AND(ISNUMBER(N486),ISNUMBER(M486)),N486-M486,"")</f>
        <v/>
      </c>
      <c r="P486" s="7">
        <f>IF(AND(ISNUMBER(N486),ISNUMBER(M486),M486&gt;0),(N486-M486)/M486,"")</f>
        <v/>
      </c>
      <c r="Q486" s="3">
        <f>IF(P486="","",IF(P486&lt;-0.02,"🔴 Bán phá giá sàn",IF(P486&gt;0.05,"🔵 Bán cao hơn","🟢 Đúng giá sàn TMĐT")))</f>
        <v/>
      </c>
      <c r="R486" s="3" t="n"/>
      <c r="S486" s="4" t="n"/>
      <c r="T486" s="4" t="n"/>
    </row>
    <row r="487">
      <c r="A487" s="3" t="n">
        <v>486</v>
      </c>
      <c r="B487" s="3" t="inlineStr">
        <is>
          <t>DL002</t>
        </is>
      </c>
      <c r="C487" s="4" t="inlineStr">
        <is>
          <t>Nguyễn Hoàng Phú</t>
        </is>
      </c>
      <c r="D487" s="3" t="inlineStr">
        <is>
          <t>HCM</t>
        </is>
      </c>
      <c r="E487" s="3" t="inlineStr">
        <is>
          <t>BẢO TRÂM</t>
        </is>
      </c>
      <c r="F487" s="3" t="inlineStr">
        <is>
          <t>Shopee</t>
        </is>
      </c>
      <c r="G487" s="4" t="inlineStr">
        <is>
          <t>SHOPEE: https://s.shopee.vn/3qNt1d78Ij TIKTOK: LAZADA: WEBSITE BÁN HÀNG:</t>
        </is>
      </c>
      <c r="H487" s="3" t="inlineStr">
        <is>
          <t>R1-38/25</t>
        </is>
      </c>
      <c r="I487" s="4" t="inlineStr">
        <is>
          <t>Mũi khoét hợp kim Bluebird R1-38/25</t>
        </is>
      </c>
      <c r="J487" s="3" t="inlineStr">
        <is>
          <t>Cái</t>
        </is>
      </c>
      <c r="K487" s="5" t="n">
        <v>140000</v>
      </c>
      <c r="L487" s="5" t="n">
        <v>171000</v>
      </c>
      <c r="M487" s="6" t="n">
        <v>217000</v>
      </c>
      <c r="N487" s="5" t="n"/>
      <c r="O487" s="5">
        <f>IF(AND(ISNUMBER(N487),ISNUMBER(M487)),N487-M487,"")</f>
        <v/>
      </c>
      <c r="P487" s="7">
        <f>IF(AND(ISNUMBER(N487),ISNUMBER(M487),M487&gt;0),(N487-M487)/M487,"")</f>
        <v/>
      </c>
      <c r="Q487" s="3">
        <f>IF(P487="","",IF(P487&lt;-0.02,"🔴 Bán phá giá sàn",IF(P487&gt;0.05,"🔵 Bán cao hơn","🟢 Đúng giá sàn TMĐT")))</f>
        <v/>
      </c>
      <c r="R487" s="3" t="n"/>
      <c r="S487" s="4" t="n"/>
      <c r="T487" s="4" t="n"/>
    </row>
    <row r="488">
      <c r="A488" s="3" t="n">
        <v>487</v>
      </c>
      <c r="B488" s="3" t="inlineStr">
        <is>
          <t>DL002</t>
        </is>
      </c>
      <c r="C488" s="4" t="inlineStr">
        <is>
          <t>Nguyễn Hoàng Phú</t>
        </is>
      </c>
      <c r="D488" s="3" t="inlineStr">
        <is>
          <t>HCM</t>
        </is>
      </c>
      <c r="E488" s="3" t="inlineStr">
        <is>
          <t>BẢO TRÂM</t>
        </is>
      </c>
      <c r="F488" s="3" t="inlineStr">
        <is>
          <t>Shopee</t>
        </is>
      </c>
      <c r="G488" s="4" t="inlineStr">
        <is>
          <t>SHOPEE: https://s.shopee.vn/3qNt1d78Ij TIKTOK: LAZADA: WEBSITE BÁN HÀNG:</t>
        </is>
      </c>
      <c r="H488" s="3" t="inlineStr">
        <is>
          <t>R1-42/25</t>
        </is>
      </c>
      <c r="I488" s="4" t="inlineStr">
        <is>
          <t>Mũi khoét hợp kim Bluebird R1-42/25</t>
        </is>
      </c>
      <c r="J488" s="3" t="inlineStr">
        <is>
          <t>Cái</t>
        </is>
      </c>
      <c r="K488" s="5" t="n">
        <v>153000</v>
      </c>
      <c r="L488" s="5" t="n">
        <v>187000</v>
      </c>
      <c r="M488" s="6" t="n">
        <v>237000</v>
      </c>
      <c r="N488" s="5" t="n"/>
      <c r="O488" s="5">
        <f>IF(AND(ISNUMBER(N488),ISNUMBER(M488)),N488-M488,"")</f>
        <v/>
      </c>
      <c r="P488" s="7">
        <f>IF(AND(ISNUMBER(N488),ISNUMBER(M488),M488&gt;0),(N488-M488)/M488,"")</f>
        <v/>
      </c>
      <c r="Q488" s="3">
        <f>IF(P488="","",IF(P488&lt;-0.02,"🔴 Bán phá giá sàn",IF(P488&gt;0.05,"🔵 Bán cao hơn","🟢 Đúng giá sàn TMĐT")))</f>
        <v/>
      </c>
      <c r="R488" s="3" t="n"/>
      <c r="S488" s="4" t="n"/>
      <c r="T488" s="4" t="n"/>
    </row>
    <row r="489">
      <c r="A489" s="3" t="n">
        <v>488</v>
      </c>
      <c r="B489" s="3" t="inlineStr">
        <is>
          <t>DL002</t>
        </is>
      </c>
      <c r="C489" s="4" t="inlineStr">
        <is>
          <t>Nguyễn Hoàng Phú</t>
        </is>
      </c>
      <c r="D489" s="3" t="inlineStr">
        <is>
          <t>HCM</t>
        </is>
      </c>
      <c r="E489" s="3" t="inlineStr">
        <is>
          <t>BẢO TRÂM</t>
        </is>
      </c>
      <c r="F489" s="3" t="inlineStr">
        <is>
          <t>Shopee</t>
        </is>
      </c>
      <c r="G489" s="4" t="inlineStr">
        <is>
          <t>SHOPEE: https://s.shopee.vn/3qNt1d78Ij TIKTOK: LAZADA: WEBSITE BÁN HÀNG:</t>
        </is>
      </c>
      <c r="H489" s="3" t="inlineStr">
        <is>
          <t>R1-45/25</t>
        </is>
      </c>
      <c r="I489" s="4" t="inlineStr">
        <is>
          <t>Mũi khoét hợp kim BlueBird R1-45/25</t>
        </is>
      </c>
      <c r="J489" s="3" t="inlineStr">
        <is>
          <t>Cái</t>
        </is>
      </c>
      <c r="K489" s="5" t="n">
        <v>162000</v>
      </c>
      <c r="L489" s="5" t="n">
        <v>198000</v>
      </c>
      <c r="M489" s="6" t="n">
        <v>251000</v>
      </c>
      <c r="N489" s="5" t="n"/>
      <c r="O489" s="5">
        <f>IF(AND(ISNUMBER(N489),ISNUMBER(M489)),N489-M489,"")</f>
        <v/>
      </c>
      <c r="P489" s="7">
        <f>IF(AND(ISNUMBER(N489),ISNUMBER(M489),M489&gt;0),(N489-M489)/M489,"")</f>
        <v/>
      </c>
      <c r="Q489" s="3">
        <f>IF(P489="","",IF(P489&lt;-0.02,"🔴 Bán phá giá sàn",IF(P489&gt;0.05,"🔵 Bán cao hơn","🟢 Đúng giá sàn TMĐT")))</f>
        <v/>
      </c>
      <c r="R489" s="3" t="n"/>
      <c r="S489" s="4" t="n"/>
      <c r="T489" s="4" t="n"/>
    </row>
    <row r="490">
      <c r="A490" s="3" t="n">
        <v>489</v>
      </c>
      <c r="B490" s="3" t="inlineStr">
        <is>
          <t>DL002</t>
        </is>
      </c>
      <c r="C490" s="4" t="inlineStr">
        <is>
          <t>Nguyễn Hoàng Phú</t>
        </is>
      </c>
      <c r="D490" s="3" t="inlineStr">
        <is>
          <t>HCM</t>
        </is>
      </c>
      <c r="E490" s="3" t="inlineStr">
        <is>
          <t>BẢO TRÂM</t>
        </is>
      </c>
      <c r="F490" s="3" t="inlineStr">
        <is>
          <t>Shopee</t>
        </is>
      </c>
      <c r="G490" s="4" t="inlineStr">
        <is>
          <t>SHOPEE: https://s.shopee.vn/3qNt1d78Ij TIKTOK: LAZADA: WEBSITE BÁN HÀNG:</t>
        </is>
      </c>
      <c r="H490" s="3" t="inlineStr">
        <is>
          <t>R1-50/25</t>
        </is>
      </c>
      <c r="I490" s="4" t="inlineStr">
        <is>
          <t>Mũi khoét hợp kim Bluebird R1-50/25</t>
        </is>
      </c>
      <c r="J490" s="3" t="inlineStr">
        <is>
          <t>Cái</t>
        </is>
      </c>
      <c r="K490" s="5" t="n">
        <v>183000</v>
      </c>
      <c r="L490" s="5" t="n">
        <v>223000</v>
      </c>
      <c r="M490" s="6" t="n">
        <v>284000</v>
      </c>
      <c r="N490" s="5" t="n"/>
      <c r="O490" s="5">
        <f>IF(AND(ISNUMBER(N490),ISNUMBER(M490)),N490-M490,"")</f>
        <v/>
      </c>
      <c r="P490" s="7">
        <f>IF(AND(ISNUMBER(N490),ISNUMBER(M490),M490&gt;0),(N490-M490)/M490,"")</f>
        <v/>
      </c>
      <c r="Q490" s="3">
        <f>IF(P490="","",IF(P490&lt;-0.02,"🔴 Bán phá giá sàn",IF(P490&gt;0.05,"🔵 Bán cao hơn","🟢 Đúng giá sàn TMĐT")))</f>
        <v/>
      </c>
      <c r="R490" s="3" t="n"/>
      <c r="S490" s="4" t="n"/>
      <c r="T490" s="4" t="n"/>
    </row>
    <row r="491">
      <c r="A491" s="3" t="n">
        <v>490</v>
      </c>
      <c r="B491" s="3" t="inlineStr">
        <is>
          <t>DL002</t>
        </is>
      </c>
      <c r="C491" s="4" t="inlineStr">
        <is>
          <t>Nguyễn Hoàng Phú</t>
        </is>
      </c>
      <c r="D491" s="3" t="inlineStr">
        <is>
          <t>HCM</t>
        </is>
      </c>
      <c r="E491" s="3" t="inlineStr">
        <is>
          <t>BẢO TRÂM</t>
        </is>
      </c>
      <c r="F491" s="3" t="inlineStr">
        <is>
          <t>Shopee</t>
        </is>
      </c>
      <c r="G491" s="4" t="inlineStr">
        <is>
          <t>SHOPEE: https://s.shopee.vn/3qNt1d78Ij TIKTOK: LAZADA: WEBSITE BÁN HÀNG:</t>
        </is>
      </c>
      <c r="H491" s="3" t="inlineStr">
        <is>
          <t>R1-60/25</t>
        </is>
      </c>
      <c r="I491" s="4" t="inlineStr">
        <is>
          <t>Mũi khoét hợp kim Bluebird R1-60/25</t>
        </is>
      </c>
      <c r="J491" s="3" t="inlineStr">
        <is>
          <t>Cái</t>
        </is>
      </c>
      <c r="K491" s="5" t="n">
        <v>219000</v>
      </c>
      <c r="L491" s="5" t="n">
        <v>267000</v>
      </c>
      <c r="M491" s="6" t="n">
        <v>340000</v>
      </c>
      <c r="N491" s="5" t="n"/>
      <c r="O491" s="5">
        <f>IF(AND(ISNUMBER(N491),ISNUMBER(M491)),N491-M491,"")</f>
        <v/>
      </c>
      <c r="P491" s="7">
        <f>IF(AND(ISNUMBER(N491),ISNUMBER(M491),M491&gt;0),(N491-M491)/M491,"")</f>
        <v/>
      </c>
      <c r="Q491" s="3">
        <f>IF(P491="","",IF(P491&lt;-0.02,"🔴 Bán phá giá sàn",IF(P491&gt;0.05,"🔵 Bán cao hơn","🟢 Đúng giá sàn TMĐT")))</f>
        <v/>
      </c>
      <c r="R491" s="3" t="n"/>
      <c r="S491" s="4" t="n"/>
      <c r="T491" s="4" t="n"/>
    </row>
    <row r="492">
      <c r="A492" s="3" t="n">
        <v>491</v>
      </c>
      <c r="B492" s="3" t="inlineStr">
        <is>
          <t>DL002</t>
        </is>
      </c>
      <c r="C492" s="4" t="inlineStr">
        <is>
          <t>Nguyễn Hoàng Phú</t>
        </is>
      </c>
      <c r="D492" s="3" t="inlineStr">
        <is>
          <t>HCM</t>
        </is>
      </c>
      <c r="E492" s="3" t="inlineStr">
        <is>
          <t>BẢO TRÂM</t>
        </is>
      </c>
      <c r="F492" s="3" t="inlineStr">
        <is>
          <t>Shopee</t>
        </is>
      </c>
      <c r="G492" s="4" t="inlineStr">
        <is>
          <t>SHOPEE: https://s.shopee.vn/3qNt1d78Ij TIKTOK: LAZADA: WEBSITE BÁN HÀNG:</t>
        </is>
      </c>
      <c r="H492" s="3" t="inlineStr">
        <is>
          <t>R1-16/25</t>
        </is>
      </c>
      <c r="I492" s="4" t="inlineStr">
        <is>
          <t>Mũi khoét hợp kim Kingblue R1-16/25</t>
        </is>
      </c>
      <c r="J492" s="3" t="inlineStr">
        <is>
          <t>Cái</t>
        </is>
      </c>
      <c r="K492" s="5" t="n">
        <v>59000</v>
      </c>
      <c r="L492" s="5" t="n">
        <v>72000</v>
      </c>
      <c r="M492" s="6" t="n">
        <v>92000</v>
      </c>
      <c r="N492" s="5" t="n"/>
      <c r="O492" s="5">
        <f>IF(AND(ISNUMBER(N492),ISNUMBER(M492)),N492-M492,"")</f>
        <v/>
      </c>
      <c r="P492" s="7">
        <f>IF(AND(ISNUMBER(N492),ISNUMBER(M492),M492&gt;0),(N492-M492)/M492,"")</f>
        <v/>
      </c>
      <c r="Q492" s="3">
        <f>IF(P492="","",IF(P492&lt;-0.02,"🔴 Bán phá giá sàn",IF(P492&gt;0.05,"🔵 Bán cao hơn","🟢 Đúng giá sàn TMĐT")))</f>
        <v/>
      </c>
      <c r="R492" s="3" t="n"/>
      <c r="S492" s="4" t="n"/>
      <c r="T492" s="4" t="n"/>
    </row>
    <row r="493">
      <c r="A493" s="3" t="n">
        <v>492</v>
      </c>
      <c r="B493" s="3" t="inlineStr">
        <is>
          <t>DL002</t>
        </is>
      </c>
      <c r="C493" s="4" t="inlineStr">
        <is>
          <t>Nguyễn Hoàng Phú</t>
        </is>
      </c>
      <c r="D493" s="3" t="inlineStr">
        <is>
          <t>HCM</t>
        </is>
      </c>
      <c r="E493" s="3" t="inlineStr">
        <is>
          <t>BẢO TRÂM</t>
        </is>
      </c>
      <c r="F493" s="3" t="inlineStr">
        <is>
          <t>Shopee</t>
        </is>
      </c>
      <c r="G493" s="4" t="inlineStr">
        <is>
          <t>SHOPEE: https://s.shopee.vn/3qNt1d78Ij TIKTOK: LAZADA: WEBSITE BÁN HÀNG:</t>
        </is>
      </c>
      <c r="H493" s="3" t="inlineStr">
        <is>
          <t>R1-18/25</t>
        </is>
      </c>
      <c r="I493" s="4" t="inlineStr">
        <is>
          <t>Mũi khoét hợp kim Kingblue R1-18/25</t>
        </is>
      </c>
      <c r="J493" s="3" t="inlineStr">
        <is>
          <t>Cái</t>
        </is>
      </c>
      <c r="K493" s="5" t="n">
        <v>68000</v>
      </c>
      <c r="L493" s="5" t="n">
        <v>83000</v>
      </c>
      <c r="M493" s="6" t="n">
        <v>105000</v>
      </c>
      <c r="N493" s="5" t="n"/>
      <c r="O493" s="5">
        <f>IF(AND(ISNUMBER(N493),ISNUMBER(M493)),N493-M493,"")</f>
        <v/>
      </c>
      <c r="P493" s="7">
        <f>IF(AND(ISNUMBER(N493),ISNUMBER(M493),M493&gt;0),(N493-M493)/M493,"")</f>
        <v/>
      </c>
      <c r="Q493" s="3">
        <f>IF(P493="","",IF(P493&lt;-0.02,"🔴 Bán phá giá sàn",IF(P493&gt;0.05,"🔵 Bán cao hơn","🟢 Đúng giá sàn TMĐT")))</f>
        <v/>
      </c>
      <c r="R493" s="3" t="n"/>
      <c r="S493" s="4" t="n"/>
      <c r="T493" s="4" t="n"/>
    </row>
    <row r="494">
      <c r="A494" s="3" t="n">
        <v>493</v>
      </c>
      <c r="B494" s="3" t="inlineStr">
        <is>
          <t>DL002</t>
        </is>
      </c>
      <c r="C494" s="4" t="inlineStr">
        <is>
          <t>Nguyễn Hoàng Phú</t>
        </is>
      </c>
      <c r="D494" s="3" t="inlineStr">
        <is>
          <t>HCM</t>
        </is>
      </c>
      <c r="E494" s="3" t="inlineStr">
        <is>
          <t>BẢO TRÂM</t>
        </is>
      </c>
      <c r="F494" s="3" t="inlineStr">
        <is>
          <t>Shopee</t>
        </is>
      </c>
      <c r="G494" s="4" t="inlineStr">
        <is>
          <t>SHOPEE: https://s.shopee.vn/3qNt1d78Ij TIKTOK: LAZADA: WEBSITE BÁN HÀNG:</t>
        </is>
      </c>
      <c r="H494" s="3" t="inlineStr">
        <is>
          <t>R1-21/25</t>
        </is>
      </c>
      <c r="I494" s="4" t="inlineStr">
        <is>
          <t>Mũi khoét hợp kim Kingblue R1-21/25</t>
        </is>
      </c>
      <c r="J494" s="3" t="inlineStr">
        <is>
          <t>Cái</t>
        </is>
      </c>
      <c r="K494" s="5" t="n">
        <v>77000</v>
      </c>
      <c r="L494" s="5" t="n">
        <v>94000</v>
      </c>
      <c r="M494" s="6" t="n">
        <v>119000</v>
      </c>
      <c r="N494" s="5" t="n"/>
      <c r="O494" s="5">
        <f>IF(AND(ISNUMBER(N494),ISNUMBER(M494)),N494-M494,"")</f>
        <v/>
      </c>
      <c r="P494" s="7">
        <f>IF(AND(ISNUMBER(N494),ISNUMBER(M494),M494&gt;0),(N494-M494)/M494,"")</f>
        <v/>
      </c>
      <c r="Q494" s="3">
        <f>IF(P494="","",IF(P494&lt;-0.02,"🔴 Bán phá giá sàn",IF(P494&gt;0.05,"🔵 Bán cao hơn","🟢 Đúng giá sàn TMĐT")))</f>
        <v/>
      </c>
      <c r="R494" s="3" t="n"/>
      <c r="S494" s="4" t="n"/>
      <c r="T494" s="4" t="n"/>
    </row>
    <row r="495">
      <c r="A495" s="3" t="n">
        <v>494</v>
      </c>
      <c r="B495" s="3" t="inlineStr">
        <is>
          <t>DL002</t>
        </is>
      </c>
      <c r="C495" s="4" t="inlineStr">
        <is>
          <t>Nguyễn Hoàng Phú</t>
        </is>
      </c>
      <c r="D495" s="3" t="inlineStr">
        <is>
          <t>HCM</t>
        </is>
      </c>
      <c r="E495" s="3" t="inlineStr">
        <is>
          <t>BẢO TRÂM</t>
        </is>
      </c>
      <c r="F495" s="3" t="inlineStr">
        <is>
          <t>Shopee</t>
        </is>
      </c>
      <c r="G495" s="4" t="inlineStr">
        <is>
          <t>SHOPEE: https://s.shopee.vn/3qNt1d78Ij TIKTOK: LAZADA: WEBSITE BÁN HÀNG:</t>
        </is>
      </c>
      <c r="H495" s="3" t="inlineStr">
        <is>
          <t>R1-22/25</t>
        </is>
      </c>
      <c r="I495" s="4" t="inlineStr">
        <is>
          <t>Mũi khoét hợp kim Kingblue R1-22/25</t>
        </is>
      </c>
      <c r="J495" s="3" t="inlineStr">
        <is>
          <t>Cái</t>
        </is>
      </c>
      <c r="K495" s="5" t="n">
        <v>82000</v>
      </c>
      <c r="L495" s="5" t="n">
        <v>100000</v>
      </c>
      <c r="M495" s="6" t="n">
        <v>127000</v>
      </c>
      <c r="N495" s="5" t="n"/>
      <c r="O495" s="5">
        <f>IF(AND(ISNUMBER(N495),ISNUMBER(M495)),N495-M495,"")</f>
        <v/>
      </c>
      <c r="P495" s="7">
        <f>IF(AND(ISNUMBER(N495),ISNUMBER(M495),M495&gt;0),(N495-M495)/M495,"")</f>
        <v/>
      </c>
      <c r="Q495" s="3">
        <f>IF(P495="","",IF(P495&lt;-0.02,"🔴 Bán phá giá sàn",IF(P495&gt;0.05,"🔵 Bán cao hơn","🟢 Đúng giá sàn TMĐT")))</f>
        <v/>
      </c>
      <c r="R495" s="3" t="n"/>
      <c r="S495" s="4" t="n"/>
      <c r="T495" s="4" t="n"/>
    </row>
    <row r="496">
      <c r="A496" s="3" t="n">
        <v>495</v>
      </c>
      <c r="B496" s="3" t="inlineStr">
        <is>
          <t>DL002</t>
        </is>
      </c>
      <c r="C496" s="4" t="inlineStr">
        <is>
          <t>Nguyễn Hoàng Phú</t>
        </is>
      </c>
      <c r="D496" s="3" t="inlineStr">
        <is>
          <t>HCM</t>
        </is>
      </c>
      <c r="E496" s="3" t="inlineStr">
        <is>
          <t>BẢO TRÂM</t>
        </is>
      </c>
      <c r="F496" s="3" t="inlineStr">
        <is>
          <t>Shopee</t>
        </is>
      </c>
      <c r="G496" s="4" t="inlineStr">
        <is>
          <t>SHOPEE: https://s.shopee.vn/3qNt1d78Ij TIKTOK: LAZADA: WEBSITE BÁN HÀNG:</t>
        </is>
      </c>
      <c r="H496" s="3" t="inlineStr">
        <is>
          <t>R1-25/25</t>
        </is>
      </c>
      <c r="I496" s="4" t="inlineStr">
        <is>
          <t>Mũi khoét hợp kim Kingblue R1-25/25</t>
        </is>
      </c>
      <c r="J496" s="3" t="inlineStr">
        <is>
          <t>Cái</t>
        </is>
      </c>
      <c r="K496" s="5" t="n">
        <v>91000</v>
      </c>
      <c r="L496" s="5" t="n">
        <v>111000</v>
      </c>
      <c r="M496" s="6" t="n">
        <v>141000</v>
      </c>
      <c r="N496" s="5" t="n"/>
      <c r="O496" s="5">
        <f>IF(AND(ISNUMBER(N496),ISNUMBER(M496)),N496-M496,"")</f>
        <v/>
      </c>
      <c r="P496" s="7">
        <f>IF(AND(ISNUMBER(N496),ISNUMBER(M496),M496&gt;0),(N496-M496)/M496,"")</f>
        <v/>
      </c>
      <c r="Q496" s="3">
        <f>IF(P496="","",IF(P496&lt;-0.02,"🔴 Bán phá giá sàn",IF(P496&gt;0.05,"🔵 Bán cao hơn","🟢 Đúng giá sàn TMĐT")))</f>
        <v/>
      </c>
      <c r="R496" s="3" t="n"/>
      <c r="S496" s="4" t="n"/>
      <c r="T496" s="4" t="n"/>
    </row>
    <row r="497">
      <c r="A497" s="3" t="n">
        <v>496</v>
      </c>
      <c r="B497" s="3" t="inlineStr">
        <is>
          <t>DL002</t>
        </is>
      </c>
      <c r="C497" s="4" t="inlineStr">
        <is>
          <t>Nguyễn Hoàng Phú</t>
        </is>
      </c>
      <c r="D497" s="3" t="inlineStr">
        <is>
          <t>HCM</t>
        </is>
      </c>
      <c r="E497" s="3" t="inlineStr">
        <is>
          <t>BẢO TRÂM</t>
        </is>
      </c>
      <c r="F497" s="3" t="inlineStr">
        <is>
          <t>Shopee</t>
        </is>
      </c>
      <c r="G497" s="4" t="inlineStr">
        <is>
          <t>SHOPEE: https://s.shopee.vn/3qNt1d78Ij TIKTOK: LAZADA: WEBSITE BÁN HÀNG:</t>
        </is>
      </c>
      <c r="H497" s="3" t="inlineStr">
        <is>
          <t>R1-27/25</t>
        </is>
      </c>
      <c r="I497" s="4" t="inlineStr">
        <is>
          <t>Mũi khoét hợp kim Kingblue R1-27/25</t>
        </is>
      </c>
      <c r="J497" s="3" t="inlineStr">
        <is>
          <t>Cái</t>
        </is>
      </c>
      <c r="K497" s="5" t="n">
        <v>99000</v>
      </c>
      <c r="L497" s="5" t="n">
        <v>121000</v>
      </c>
      <c r="M497" s="6" t="n">
        <v>154000</v>
      </c>
      <c r="N497" s="5" t="n"/>
      <c r="O497" s="5">
        <f>IF(AND(ISNUMBER(N497),ISNUMBER(M497)),N497-M497,"")</f>
        <v/>
      </c>
      <c r="P497" s="7">
        <f>IF(AND(ISNUMBER(N497),ISNUMBER(M497),M497&gt;0),(N497-M497)/M497,"")</f>
        <v/>
      </c>
      <c r="Q497" s="3">
        <f>IF(P497="","",IF(P497&lt;-0.02,"🔴 Bán phá giá sàn",IF(P497&gt;0.05,"🔵 Bán cao hơn","🟢 Đúng giá sàn TMĐT")))</f>
        <v/>
      </c>
      <c r="R497" s="3" t="n"/>
      <c r="S497" s="4" t="n"/>
      <c r="T497" s="4" t="n"/>
    </row>
    <row r="498">
      <c r="A498" s="3" t="n">
        <v>497</v>
      </c>
      <c r="B498" s="3" t="inlineStr">
        <is>
          <t>DL002</t>
        </is>
      </c>
      <c r="C498" s="4" t="inlineStr">
        <is>
          <t>Nguyễn Hoàng Phú</t>
        </is>
      </c>
      <c r="D498" s="3" t="inlineStr">
        <is>
          <t>HCM</t>
        </is>
      </c>
      <c r="E498" s="3" t="inlineStr">
        <is>
          <t>BẢO TRÂM</t>
        </is>
      </c>
      <c r="F498" s="3" t="inlineStr">
        <is>
          <t>Shopee</t>
        </is>
      </c>
      <c r="G498" s="4" t="inlineStr">
        <is>
          <t>SHOPEE: https://s.shopee.vn/3qNt1d78Ij TIKTOK: LAZADA: WEBSITE BÁN HÀNG:</t>
        </is>
      </c>
      <c r="H498" s="3" t="inlineStr">
        <is>
          <t>R1-30/25</t>
        </is>
      </c>
      <c r="I498" s="4" t="inlineStr">
        <is>
          <t>Mũi khoét hợp kim Kingblue R1-30/25</t>
        </is>
      </c>
      <c r="J498" s="3" t="inlineStr">
        <is>
          <t>Cái</t>
        </is>
      </c>
      <c r="K498" s="5" t="n">
        <v>112000</v>
      </c>
      <c r="L498" s="5" t="n">
        <v>137000</v>
      </c>
      <c r="M498" s="6" t="n">
        <v>174000</v>
      </c>
      <c r="N498" s="5" t="n"/>
      <c r="O498" s="5">
        <f>IF(AND(ISNUMBER(N498),ISNUMBER(M498)),N498-M498,"")</f>
        <v/>
      </c>
      <c r="P498" s="7">
        <f>IF(AND(ISNUMBER(N498),ISNUMBER(M498),M498&gt;0),(N498-M498)/M498,"")</f>
        <v/>
      </c>
      <c r="Q498" s="3">
        <f>IF(P498="","",IF(P498&lt;-0.02,"🔴 Bán phá giá sàn",IF(P498&gt;0.05,"🔵 Bán cao hơn","🟢 Đúng giá sàn TMĐT")))</f>
        <v/>
      </c>
      <c r="R498" s="3" t="n"/>
      <c r="S498" s="4" t="n"/>
      <c r="T498" s="4" t="n"/>
    </row>
    <row r="499">
      <c r="A499" s="3" t="n">
        <v>498</v>
      </c>
      <c r="B499" s="3" t="inlineStr">
        <is>
          <t>DL002</t>
        </is>
      </c>
      <c r="C499" s="4" t="inlineStr">
        <is>
          <t>Nguyễn Hoàng Phú</t>
        </is>
      </c>
      <c r="D499" s="3" t="inlineStr">
        <is>
          <t>HCM</t>
        </is>
      </c>
      <c r="E499" s="3" t="inlineStr">
        <is>
          <t>BẢO TRÂM</t>
        </is>
      </c>
      <c r="F499" s="3" t="inlineStr">
        <is>
          <t>Shopee</t>
        </is>
      </c>
      <c r="G499" s="4" t="inlineStr">
        <is>
          <t>SHOPEE: https://s.shopee.vn/3qNt1d78Ij TIKTOK: LAZADA: WEBSITE BÁN HÀNG:</t>
        </is>
      </c>
      <c r="H499" s="3" t="inlineStr">
        <is>
          <t>R1-40/25</t>
        </is>
      </c>
      <c r="I499" s="4" t="inlineStr">
        <is>
          <t>Mũi khoét hợp kim Kingblue R1-40/25</t>
        </is>
      </c>
      <c r="J499" s="3" t="inlineStr">
        <is>
          <t>Cái</t>
        </is>
      </c>
      <c r="K499" s="5" t="n">
        <v>145000</v>
      </c>
      <c r="L499" s="5" t="n">
        <v>177000</v>
      </c>
      <c r="M499" s="6" t="n">
        <v>225000</v>
      </c>
      <c r="N499" s="5" t="n"/>
      <c r="O499" s="5">
        <f>IF(AND(ISNUMBER(N499),ISNUMBER(M499)),N499-M499,"")</f>
        <v/>
      </c>
      <c r="P499" s="7">
        <f>IF(AND(ISNUMBER(N499),ISNUMBER(M499),M499&gt;0),(N499-M499)/M499,"")</f>
        <v/>
      </c>
      <c r="Q499" s="3">
        <f>IF(P499="","",IF(P499&lt;-0.02,"🔴 Bán phá giá sàn",IF(P499&gt;0.05,"🔵 Bán cao hơn","🟢 Đúng giá sàn TMĐT")))</f>
        <v/>
      </c>
      <c r="R499" s="3" t="n"/>
      <c r="S499" s="4" t="n"/>
      <c r="T499" s="4" t="n"/>
    </row>
    <row r="500">
      <c r="A500" s="3" t="n">
        <v>499</v>
      </c>
      <c r="B500" s="3" t="inlineStr">
        <is>
          <t>DL002</t>
        </is>
      </c>
      <c r="C500" s="4" t="inlineStr">
        <is>
          <t>Nguyễn Hoàng Phú</t>
        </is>
      </c>
      <c r="D500" s="3" t="inlineStr">
        <is>
          <t>HCM</t>
        </is>
      </c>
      <c r="E500" s="3" t="inlineStr">
        <is>
          <t>BẢO TRÂM</t>
        </is>
      </c>
      <c r="F500" s="3" t="inlineStr">
        <is>
          <t>Shopee</t>
        </is>
      </c>
      <c r="G500" s="4" t="inlineStr">
        <is>
          <t>SHOPEE: https://s.shopee.vn/3qNt1d78Ij TIKTOK: LAZADA: WEBSITE BÁN HÀNG:</t>
        </is>
      </c>
      <c r="H500" s="3" t="inlineStr">
        <is>
          <t>KZ-40</t>
        </is>
      </c>
      <c r="I500" s="4" t="inlineStr">
        <is>
          <t>Nhám xếp KingBlue KZ-40 (NEW)</t>
        </is>
      </c>
      <c r="J500" s="3" t="inlineStr">
        <is>
          <t>Cái</t>
        </is>
      </c>
      <c r="K500" s="5" t="n">
        <v>269000</v>
      </c>
      <c r="L500" s="5" t="n">
        <v>317000</v>
      </c>
      <c r="M500" s="6" t="n">
        <v>390000</v>
      </c>
      <c r="N500" s="5" t="n"/>
      <c r="O500" s="5">
        <f>IF(AND(ISNUMBER(N500),ISNUMBER(M500)),N500-M500,"")</f>
        <v/>
      </c>
      <c r="P500" s="7">
        <f>IF(AND(ISNUMBER(N500),ISNUMBER(M500),M500&gt;0),(N500-M500)/M500,"")</f>
        <v/>
      </c>
      <c r="Q500" s="3">
        <f>IF(P500="","",IF(P500&lt;-0.02,"🔴 Bán phá giá sàn",IF(P500&gt;0.05,"🔵 Bán cao hơn","🟢 Đúng giá sàn TMĐT")))</f>
        <v/>
      </c>
      <c r="R500" s="3" t="n"/>
      <c r="S500" s="4" t="n"/>
      <c r="T500" s="4" t="n"/>
    </row>
    <row r="501">
      <c r="A501" s="3" t="n">
        <v>500</v>
      </c>
      <c r="B501" s="3" t="inlineStr">
        <is>
          <t>DL002</t>
        </is>
      </c>
      <c r="C501" s="4" t="inlineStr">
        <is>
          <t>Nguyễn Hoàng Phú</t>
        </is>
      </c>
      <c r="D501" s="3" t="inlineStr">
        <is>
          <t>HCM</t>
        </is>
      </c>
      <c r="E501" s="3" t="inlineStr">
        <is>
          <t>BẢO TRÂM</t>
        </is>
      </c>
      <c r="F501" s="3" t="inlineStr">
        <is>
          <t>Shopee</t>
        </is>
      </c>
      <c r="G501" s="4" t="inlineStr">
        <is>
          <t>SHOPEE: https://s.shopee.vn/3qNt1d78Ij TIKTOK: LAZADA: WEBSITE BÁN HÀNG:</t>
        </is>
      </c>
      <c r="H501" s="3" t="inlineStr">
        <is>
          <t>KZ-80</t>
        </is>
      </c>
      <c r="I501" s="4" t="inlineStr">
        <is>
          <t>Nhám xếp KingBlue KZ-80 (NEW)</t>
        </is>
      </c>
      <c r="J501" s="3" t="inlineStr">
        <is>
          <t>Cái</t>
        </is>
      </c>
      <c r="K501" s="5" t="n">
        <v>269000</v>
      </c>
      <c r="L501" s="5" t="n">
        <v>317000</v>
      </c>
      <c r="M501" s="6" t="n">
        <v>390000</v>
      </c>
      <c r="N501" s="5" t="n"/>
      <c r="O501" s="5">
        <f>IF(AND(ISNUMBER(N501),ISNUMBER(M501)),N501-M501,"")</f>
        <v/>
      </c>
      <c r="P501" s="7">
        <f>IF(AND(ISNUMBER(N501),ISNUMBER(M501),M501&gt;0),(N501-M501)/M501,"")</f>
        <v/>
      </c>
      <c r="Q501" s="3">
        <f>IF(P501="","",IF(P501&lt;-0.02,"🔴 Bán phá giá sàn",IF(P501&gt;0.05,"🔵 Bán cao hơn","🟢 Đúng giá sàn TMĐT")))</f>
        <v/>
      </c>
      <c r="R501" s="3" t="n"/>
      <c r="S501" s="4" t="n"/>
      <c r="T501" s="4" t="n"/>
    </row>
    <row r="502">
      <c r="A502" s="3" t="n">
        <v>501</v>
      </c>
      <c r="B502" s="3" t="inlineStr">
        <is>
          <t>DL002</t>
        </is>
      </c>
      <c r="C502" s="4" t="inlineStr">
        <is>
          <t>Nguyễn Hoàng Phú</t>
        </is>
      </c>
      <c r="D502" s="3" t="inlineStr">
        <is>
          <t>HCM</t>
        </is>
      </c>
      <c r="E502" s="3" t="inlineStr">
        <is>
          <t>BẢO TRÂM</t>
        </is>
      </c>
      <c r="F502" s="3" t="inlineStr">
        <is>
          <t>Shopee</t>
        </is>
      </c>
      <c r="G502" s="4" t="inlineStr">
        <is>
          <t>SHOPEE: https://s.shopee.vn/3qNt1d78Ij TIKTOK: LAZADA: WEBSITE BÁN HÀNG:</t>
        </is>
      </c>
      <c r="H502" s="3" t="inlineStr">
        <is>
          <t>KYV40</t>
        </is>
      </c>
      <c r="I502" s="4" t="inlineStr">
        <is>
          <t>Ổ khóa KYV40</t>
        </is>
      </c>
      <c r="J502" s="3" t="inlineStr">
        <is>
          <t>Cái</t>
        </is>
      </c>
      <c r="K502" s="5" t="n">
        <v>62000</v>
      </c>
      <c r="L502" s="5" t="n">
        <v>72000</v>
      </c>
      <c r="M502" s="6" t="n">
        <v>87000</v>
      </c>
      <c r="N502" s="5" t="n"/>
      <c r="O502" s="5">
        <f>IF(AND(ISNUMBER(N502),ISNUMBER(M502)),N502-M502,"")</f>
        <v/>
      </c>
      <c r="P502" s="7">
        <f>IF(AND(ISNUMBER(N502),ISNUMBER(M502),M502&gt;0),(N502-M502)/M502,"")</f>
        <v/>
      </c>
      <c r="Q502" s="3">
        <f>IF(P502="","",IF(P502&lt;-0.02,"🔴 Bán phá giá sàn",IF(P502&gt;0.05,"🔵 Bán cao hơn","🟢 Đúng giá sàn TMĐT")))</f>
        <v/>
      </c>
      <c r="R502" s="3" t="n"/>
      <c r="S502" s="4" t="n"/>
      <c r="T502" s="4" t="n"/>
    </row>
    <row r="503">
      <c r="A503" s="3" t="n">
        <v>502</v>
      </c>
      <c r="B503" s="3" t="inlineStr">
        <is>
          <t>DL002</t>
        </is>
      </c>
      <c r="C503" s="4" t="inlineStr">
        <is>
          <t>Nguyễn Hoàng Phú</t>
        </is>
      </c>
      <c r="D503" s="3" t="inlineStr">
        <is>
          <t>HCM</t>
        </is>
      </c>
      <c r="E503" s="3" t="inlineStr">
        <is>
          <t>BẢO TRÂM</t>
        </is>
      </c>
      <c r="F503" s="3" t="inlineStr">
        <is>
          <t>Shopee</t>
        </is>
      </c>
      <c r="G503" s="4" t="inlineStr">
        <is>
          <t>SHOPEE: https://s.shopee.vn/3qNt1d78Ij TIKTOK: LAZADA: WEBSITE BÁN HÀNG:</t>
        </is>
      </c>
      <c r="H503" s="3" t="inlineStr">
        <is>
          <t>KF-103</t>
        </is>
      </c>
      <c r="I503" s="4" t="inlineStr">
        <is>
          <t>Súng bắn ghim KF-103</t>
        </is>
      </c>
      <c r="J503" s="3" t="inlineStr">
        <is>
          <t>Cái</t>
        </is>
      </c>
      <c r="K503" s="5" t="n">
        <v>143000</v>
      </c>
      <c r="L503" s="5" t="n">
        <v>169000</v>
      </c>
      <c r="M503" s="6" t="n">
        <v>207000</v>
      </c>
      <c r="N503" s="5" t="n"/>
      <c r="O503" s="5">
        <f>IF(AND(ISNUMBER(N503),ISNUMBER(M503)),N503-M503,"")</f>
        <v/>
      </c>
      <c r="P503" s="7">
        <f>IF(AND(ISNUMBER(N503),ISNUMBER(M503),M503&gt;0),(N503-M503)/M503,"")</f>
        <v/>
      </c>
      <c r="Q503" s="3">
        <f>IF(P503="","",IF(P503&lt;-0.02,"🔴 Bán phá giá sàn",IF(P503&gt;0.05,"🔵 Bán cao hơn","🟢 Đúng giá sàn TMĐT")))</f>
        <v/>
      </c>
      <c r="R503" s="3" t="n"/>
      <c r="S503" s="4" t="n"/>
      <c r="T503" s="4" t="n"/>
    </row>
    <row r="504">
      <c r="A504" s="3" t="n">
        <v>503</v>
      </c>
      <c r="B504" s="3" t="inlineStr">
        <is>
          <t>DL002</t>
        </is>
      </c>
      <c r="C504" s="4" t="inlineStr">
        <is>
          <t>Nguyễn Hoàng Phú</t>
        </is>
      </c>
      <c r="D504" s="3" t="inlineStr">
        <is>
          <t>HCM</t>
        </is>
      </c>
      <c r="E504" s="3" t="inlineStr">
        <is>
          <t>BẢO TRÂM</t>
        </is>
      </c>
      <c r="F504" s="3" t="inlineStr">
        <is>
          <t>Shopee</t>
        </is>
      </c>
      <c r="G504" s="4" t="inlineStr">
        <is>
          <t>SHOPEE: https://s.shopee.vn/3qNt1d78Ij TIKTOK: LAZADA: WEBSITE BÁN HÀNG:</t>
        </is>
      </c>
      <c r="H504" s="3" t="inlineStr">
        <is>
          <t>KAC100</t>
        </is>
      </c>
      <c r="I504" s="4" t="inlineStr">
        <is>
          <t>Súng bắn keo nến KAC100</t>
        </is>
      </c>
      <c r="J504" s="3" t="inlineStr">
        <is>
          <t>Cái</t>
        </is>
      </c>
      <c r="K504" s="5" t="n">
        <v>149000</v>
      </c>
      <c r="L504" s="5" t="n">
        <v>176000</v>
      </c>
      <c r="M504" s="6" t="n">
        <v>216000</v>
      </c>
      <c r="N504" s="5" t="n"/>
      <c r="O504" s="5">
        <f>IF(AND(ISNUMBER(N504),ISNUMBER(M504)),N504-M504,"")</f>
        <v/>
      </c>
      <c r="P504" s="7">
        <f>IF(AND(ISNUMBER(N504),ISNUMBER(M504),M504&gt;0),(N504-M504)/M504,"")</f>
        <v/>
      </c>
      <c r="Q504" s="3">
        <f>IF(P504="","",IF(P504&lt;-0.02,"🔴 Bán phá giá sàn",IF(P504&gt;0.05,"🔵 Bán cao hơn","🟢 Đúng giá sàn TMĐT")))</f>
        <v/>
      </c>
      <c r="R504" s="3" t="n"/>
      <c r="S504" s="4" t="n"/>
      <c r="T504" s="4" t="n"/>
    </row>
    <row r="505">
      <c r="A505" s="3" t="n">
        <v>504</v>
      </c>
      <c r="B505" s="3" t="inlineStr">
        <is>
          <t>DL002</t>
        </is>
      </c>
      <c r="C505" s="4" t="inlineStr">
        <is>
          <t>Nguyễn Hoàng Phú</t>
        </is>
      </c>
      <c r="D505" s="3" t="inlineStr">
        <is>
          <t>HCM</t>
        </is>
      </c>
      <c r="E505" s="3" t="inlineStr">
        <is>
          <t>BẢO TRÂM</t>
        </is>
      </c>
      <c r="F505" s="3" t="inlineStr">
        <is>
          <t>Shopee</t>
        </is>
      </c>
      <c r="G505" s="4" t="inlineStr">
        <is>
          <t>SHOPEE: https://s.shopee.vn/3qNt1d78Ij TIKTOK: LAZADA: WEBSITE BÁN HÀNG:</t>
        </is>
      </c>
      <c r="H505" s="3" t="inlineStr">
        <is>
          <t>KAC20</t>
        </is>
      </c>
      <c r="I505" s="4" t="inlineStr">
        <is>
          <t>Súng bắn keo nến KAC20</t>
        </is>
      </c>
      <c r="J505" s="3" t="inlineStr">
        <is>
          <t>Cái</t>
        </is>
      </c>
      <c r="K505" s="5" t="n">
        <v>87000</v>
      </c>
      <c r="L505" s="5" t="n">
        <v>103000</v>
      </c>
      <c r="M505" s="6" t="n">
        <v>126000</v>
      </c>
      <c r="N505" s="5" t="n"/>
      <c r="O505" s="5">
        <f>IF(AND(ISNUMBER(N505),ISNUMBER(M505)),N505-M505,"")</f>
        <v/>
      </c>
      <c r="P505" s="7">
        <f>IF(AND(ISNUMBER(N505),ISNUMBER(M505),M505&gt;0),(N505-M505)/M505,"")</f>
        <v/>
      </c>
      <c r="Q505" s="3">
        <f>IF(P505="","",IF(P505&lt;-0.02,"🔴 Bán phá giá sàn",IF(P505&gt;0.05,"🔵 Bán cao hơn","🟢 Đúng giá sàn TMĐT")))</f>
        <v/>
      </c>
      <c r="R505" s="3" t="n"/>
      <c r="S505" s="4" t="n"/>
      <c r="T505" s="4" t="n"/>
    </row>
    <row r="506">
      <c r="A506" s="3" t="n">
        <v>505</v>
      </c>
      <c r="B506" s="3" t="inlineStr">
        <is>
          <t>DL002</t>
        </is>
      </c>
      <c r="C506" s="4" t="inlineStr">
        <is>
          <t>Nguyễn Hoàng Phú</t>
        </is>
      </c>
      <c r="D506" s="3" t="inlineStr">
        <is>
          <t>HCM</t>
        </is>
      </c>
      <c r="E506" s="3" t="inlineStr">
        <is>
          <t>BẢO TRÂM</t>
        </is>
      </c>
      <c r="F506" s="3" t="inlineStr">
        <is>
          <t>Shopee</t>
        </is>
      </c>
      <c r="G506" s="4" t="inlineStr">
        <is>
          <t>SHOPEE: https://s.shopee.vn/3qNt1d78Ij TIKTOK: LAZADA: WEBSITE BÁN HÀNG:</t>
        </is>
      </c>
      <c r="H506" s="3" t="inlineStr">
        <is>
          <t>KBO-X0215</t>
        </is>
      </c>
      <c r="I506" s="4" t="inlineStr">
        <is>
          <t>Súng Xịt Hơi KBO-X0215</t>
        </is>
      </c>
      <c r="J506" s="3" t="inlineStr">
        <is>
          <t>Cái</t>
        </is>
      </c>
      <c r="K506" s="5" t="n">
        <v>97000</v>
      </c>
      <c r="L506" s="5" t="n">
        <v>115000</v>
      </c>
      <c r="M506" s="6" t="n">
        <v>141000</v>
      </c>
      <c r="N506" s="5" t="n"/>
      <c r="O506" s="5">
        <f>IF(AND(ISNUMBER(N506),ISNUMBER(M506)),N506-M506,"")</f>
        <v/>
      </c>
      <c r="P506" s="7">
        <f>IF(AND(ISNUMBER(N506),ISNUMBER(M506),M506&gt;0),(N506-M506)/M506,"")</f>
        <v/>
      </c>
      <c r="Q506" s="3">
        <f>IF(P506="","",IF(P506&lt;-0.02,"🔴 Bán phá giá sàn",IF(P506&gt;0.05,"🔵 Bán cao hơn","🟢 Đúng giá sàn TMĐT")))</f>
        <v/>
      </c>
      <c r="R506" s="3" t="n"/>
      <c r="S506" s="4" t="n"/>
      <c r="T506" s="4" t="n"/>
    </row>
    <row r="507">
      <c r="A507" s="3" t="n">
        <v>506</v>
      </c>
      <c r="B507" s="3" t="inlineStr">
        <is>
          <t>DL002</t>
        </is>
      </c>
      <c r="C507" s="4" t="inlineStr">
        <is>
          <t>Nguyễn Hoàng Phú</t>
        </is>
      </c>
      <c r="D507" s="3" t="inlineStr">
        <is>
          <t>HCM</t>
        </is>
      </c>
      <c r="E507" s="3" t="inlineStr">
        <is>
          <t>BẢO TRÂM</t>
        </is>
      </c>
      <c r="F507" s="3" t="inlineStr">
        <is>
          <t>Shopee</t>
        </is>
      </c>
      <c r="G507" s="4" t="inlineStr">
        <is>
          <t>SHOPEE: https://s.shopee.vn/3qNt1d78Ij TIKTOK: LAZADA: WEBSITE BÁN HÀNG:</t>
        </is>
      </c>
      <c r="H507" s="3" t="inlineStr">
        <is>
          <t>KV3-6150</t>
        </is>
      </c>
      <c r="I507" s="4" t="inlineStr">
        <is>
          <t>Tuốc nơ vít 2 đầu tịnh tiến KV3-6*150</t>
        </is>
      </c>
      <c r="J507" s="3" t="inlineStr">
        <is>
          <t>Cái</t>
        </is>
      </c>
      <c r="K507" s="5" t="n">
        <v>51000</v>
      </c>
      <c r="L507" s="5" t="n">
        <v>60000</v>
      </c>
      <c r="M507" s="6" t="n">
        <v>74000</v>
      </c>
      <c r="N507" s="5" t="n"/>
      <c r="O507" s="5">
        <f>IF(AND(ISNUMBER(N507),ISNUMBER(M507)),N507-M507,"")</f>
        <v/>
      </c>
      <c r="P507" s="7">
        <f>IF(AND(ISNUMBER(N507),ISNUMBER(M507),M507&gt;0),(N507-M507)/M507,"")</f>
        <v/>
      </c>
      <c r="Q507" s="3">
        <f>IF(P507="","",IF(P507&lt;-0.02,"🔴 Bán phá giá sàn",IF(P507&gt;0.05,"🔵 Bán cao hơn","🟢 Đúng giá sàn TMĐT")))</f>
        <v/>
      </c>
      <c r="R507" s="3" t="n"/>
      <c r="S507" s="4" t="n"/>
      <c r="T507" s="4" t="n"/>
    </row>
    <row r="508">
      <c r="A508" s="3" t="n">
        <v>507</v>
      </c>
      <c r="B508" s="3" t="inlineStr">
        <is>
          <t>DL002</t>
        </is>
      </c>
      <c r="C508" s="4" t="inlineStr">
        <is>
          <t>Nguyễn Hoàng Phú</t>
        </is>
      </c>
      <c r="D508" s="3" t="inlineStr">
        <is>
          <t>HCM</t>
        </is>
      </c>
      <c r="E508" s="3" t="inlineStr">
        <is>
          <t>BẢO TRÂM</t>
        </is>
      </c>
      <c r="F508" s="3" t="inlineStr">
        <is>
          <t>Shopee</t>
        </is>
      </c>
      <c r="G508" s="4" t="inlineStr">
        <is>
          <t>SHOPEE: https://s.shopee.vn/3qNt1d78Ij TIKTOK: LAZADA: WEBSITE BÁN HÀNG:</t>
        </is>
      </c>
      <c r="H508" s="3" t="inlineStr">
        <is>
          <t>KV4-638</t>
        </is>
      </c>
      <c r="I508" s="4" t="inlineStr">
        <is>
          <t>Tuốc nơ vít tự động 3 chức năng S2 KV4-6*38</t>
        </is>
      </c>
      <c r="J508" s="3" t="inlineStr">
        <is>
          <t>Cái</t>
        </is>
      </c>
      <c r="K508" s="5" t="n">
        <v>68000</v>
      </c>
      <c r="L508" s="5" t="n">
        <v>80000</v>
      </c>
      <c r="M508" s="6" t="n">
        <v>99000</v>
      </c>
      <c r="N508" s="5" t="n"/>
      <c r="O508" s="5">
        <f>IF(AND(ISNUMBER(N508),ISNUMBER(M508)),N508-M508,"")</f>
        <v/>
      </c>
      <c r="P508" s="7">
        <f>IF(AND(ISNUMBER(N508),ISNUMBER(M508),M508&gt;0),(N508-M508)/M508,"")</f>
        <v/>
      </c>
      <c r="Q508" s="3">
        <f>IF(P508="","",IF(P508&lt;-0.02,"🔴 Bán phá giá sàn",IF(P508&gt;0.05,"🔵 Bán cao hơn","🟢 Đúng giá sàn TMĐT")))</f>
        <v/>
      </c>
      <c r="R508" s="3" t="n"/>
      <c r="S508" s="4" t="n"/>
      <c r="T508" s="4" t="n"/>
    </row>
    <row r="509">
      <c r="A509" s="3" t="n">
        <v>508</v>
      </c>
      <c r="B509" s="3" t="inlineStr">
        <is>
          <t>DL002</t>
        </is>
      </c>
      <c r="C509" s="4" t="inlineStr">
        <is>
          <t>Nguyễn Hoàng Phú</t>
        </is>
      </c>
      <c r="D509" s="3" t="inlineStr">
        <is>
          <t>HCM</t>
        </is>
      </c>
      <c r="E509" s="3" t="inlineStr">
        <is>
          <t>BẢO TRÂM</t>
        </is>
      </c>
      <c r="F509" s="3" t="inlineStr">
        <is>
          <t>Shopee</t>
        </is>
      </c>
      <c r="G509" s="4" t="inlineStr">
        <is>
          <t>SHOPEE: https://s.shopee.vn/3qNt1d78Ij TIKTOK: LAZADA: WEBSITE BÁN HÀNG:</t>
        </is>
      </c>
      <c r="H509" s="3" t="inlineStr">
        <is>
          <t>MC-30.16</t>
        </is>
      </c>
      <c r="I509" s="4" t="inlineStr">
        <is>
          <t>Thước Cuộn MC-30.16</t>
        </is>
      </c>
      <c r="J509" s="3" t="inlineStr">
        <is>
          <t>Cái</t>
        </is>
      </c>
      <c r="K509" s="5" t="n">
        <v>37000</v>
      </c>
      <c r="L509" s="5" t="n">
        <v>44000</v>
      </c>
      <c r="M509" s="6" t="n">
        <v>54000</v>
      </c>
      <c r="N509" s="5" t="n"/>
      <c r="O509" s="5">
        <f>IF(AND(ISNUMBER(N509),ISNUMBER(M509)),N509-M509,"")</f>
        <v/>
      </c>
      <c r="P509" s="7">
        <f>IF(AND(ISNUMBER(N509),ISNUMBER(M509),M509&gt;0),(N509-M509)/M509,"")</f>
        <v/>
      </c>
      <c r="Q509" s="3">
        <f>IF(P509="","",IF(P509&lt;-0.02,"🔴 Bán phá giá sàn",IF(P509&gt;0.05,"🔵 Bán cao hơn","🟢 Đúng giá sàn TMĐT")))</f>
        <v/>
      </c>
      <c r="R509" s="3" t="n"/>
      <c r="S509" s="4" t="n"/>
      <c r="T509" s="4" t="n"/>
    </row>
    <row r="510">
      <c r="A510" s="3" t="n">
        <v>509</v>
      </c>
      <c r="B510" s="3" t="inlineStr">
        <is>
          <t>DL002</t>
        </is>
      </c>
      <c r="C510" s="4" t="inlineStr">
        <is>
          <t>Nguyễn Hoàng Phú</t>
        </is>
      </c>
      <c r="D510" s="3" t="inlineStr">
        <is>
          <t>HCM</t>
        </is>
      </c>
      <c r="E510" s="3" t="inlineStr">
        <is>
          <t>BẢO TRÂM</t>
        </is>
      </c>
      <c r="F510" s="3" t="inlineStr">
        <is>
          <t>Shopee</t>
        </is>
      </c>
      <c r="G510" s="4" t="inlineStr">
        <is>
          <t>SHOPEE: https://s.shopee.vn/3qNt1d78Ij TIKTOK: LAZADA: WEBSITE BÁN HÀNG:</t>
        </is>
      </c>
      <c r="H510" s="3" t="inlineStr">
        <is>
          <t>MC-50.25</t>
        </is>
      </c>
      <c r="I510" s="4" t="inlineStr">
        <is>
          <t>Thước Cuộn MC-50.25</t>
        </is>
      </c>
      <c r="J510" s="3" t="inlineStr">
        <is>
          <t>Cái</t>
        </is>
      </c>
      <c r="K510" s="5" t="n">
        <v>59000</v>
      </c>
      <c r="L510" s="5" t="n">
        <v>70000</v>
      </c>
      <c r="M510" s="6" t="n">
        <v>86000</v>
      </c>
      <c r="N510" s="5" t="n"/>
      <c r="O510" s="5">
        <f>IF(AND(ISNUMBER(N510),ISNUMBER(M510)),N510-M510,"")</f>
        <v/>
      </c>
      <c r="P510" s="7">
        <f>IF(AND(ISNUMBER(N510),ISNUMBER(M510),M510&gt;0),(N510-M510)/M510,"")</f>
        <v/>
      </c>
      <c r="Q510" s="3">
        <f>IF(P510="","",IF(P510&lt;-0.02,"🔴 Bán phá giá sàn",IF(P510&gt;0.05,"🔵 Bán cao hơn","🟢 Đúng giá sàn TMĐT")))</f>
        <v/>
      </c>
      <c r="R510" s="3" t="n"/>
      <c r="S510" s="4" t="n"/>
      <c r="T510" s="4" t="n"/>
    </row>
    <row r="511">
      <c r="A511" s="3" t="n">
        <v>510</v>
      </c>
      <c r="B511" s="3" t="inlineStr">
        <is>
          <t>DL002</t>
        </is>
      </c>
      <c r="C511" s="4" t="inlineStr">
        <is>
          <t>Nguyễn Hoàng Phú</t>
        </is>
      </c>
      <c r="D511" s="3" t="inlineStr">
        <is>
          <t>HCM</t>
        </is>
      </c>
      <c r="E511" s="3" t="inlineStr">
        <is>
          <t>BẢO TRÂM</t>
        </is>
      </c>
      <c r="F511" s="3" t="inlineStr">
        <is>
          <t>Shopee</t>
        </is>
      </c>
      <c r="G511" s="4" t="inlineStr">
        <is>
          <t>SHOPEE: https://s.shopee.vn/3qNt1d78Ij TIKTOK: LAZADA: WEBSITE BÁN HÀNG:</t>
        </is>
      </c>
      <c r="H511" s="3" t="inlineStr">
        <is>
          <t>MC-80.25</t>
        </is>
      </c>
      <c r="I511" s="4" t="inlineStr">
        <is>
          <t>Thước Cuộn MC-80.25</t>
        </is>
      </c>
      <c r="J511" s="3" t="inlineStr">
        <is>
          <t>Cái</t>
        </is>
      </c>
      <c r="K511" s="5" t="n">
        <v>79000</v>
      </c>
      <c r="L511" s="5" t="n">
        <v>93000</v>
      </c>
      <c r="M511" s="6" t="n">
        <v>115000</v>
      </c>
      <c r="N511" s="5" t="n"/>
      <c r="O511" s="5">
        <f>IF(AND(ISNUMBER(N511),ISNUMBER(M511)),N511-M511,"")</f>
        <v/>
      </c>
      <c r="P511" s="7">
        <f>IF(AND(ISNUMBER(N511),ISNUMBER(M511),M511&gt;0),(N511-M511)/M511,"")</f>
        <v/>
      </c>
      <c r="Q511" s="3">
        <f>IF(P511="","",IF(P511&lt;-0.02,"🔴 Bán phá giá sàn",IF(P511&gt;0.05,"🔵 Bán cao hơn","🟢 Đúng giá sàn TMĐT")))</f>
        <v/>
      </c>
      <c r="R511" s="3" t="n"/>
      <c r="S511" s="4" t="n"/>
      <c r="T511" s="4" t="n"/>
    </row>
    <row r="512">
      <c r="A512" s="3" t="n">
        <v>511</v>
      </c>
      <c r="B512" s="3" t="inlineStr">
        <is>
          <t>DL002</t>
        </is>
      </c>
      <c r="C512" s="4" t="inlineStr">
        <is>
          <t>Nguyễn Hoàng Phú</t>
        </is>
      </c>
      <c r="D512" s="3" t="inlineStr">
        <is>
          <t>HCM</t>
        </is>
      </c>
      <c r="E512" s="3" t="inlineStr">
        <is>
          <t>BẢO TRÂM</t>
        </is>
      </c>
      <c r="F512" s="3" t="inlineStr">
        <is>
          <t>Shopee</t>
        </is>
      </c>
      <c r="G512" s="4" t="inlineStr">
        <is>
          <t>SHOPEE: https://s.shopee.vn/3qNt1d78Ij TIKTOK: LAZADA: WEBSITE BÁN HÀNG:</t>
        </is>
      </c>
      <c r="H512" s="3" t="inlineStr">
        <is>
          <t>LC-20.13</t>
        </is>
      </c>
      <c r="I512" s="4" t="inlineStr">
        <is>
          <t>Thước kéo LC-20.13</t>
        </is>
      </c>
      <c r="J512" s="3" t="inlineStr">
        <is>
          <t>Cái</t>
        </is>
      </c>
      <c r="K512" s="5" t="n">
        <v>25000</v>
      </c>
      <c r="L512" s="5" t="n">
        <v>29000</v>
      </c>
      <c r="M512" s="6" t="n">
        <v>36000</v>
      </c>
      <c r="N512" s="5" t="n"/>
      <c r="O512" s="5">
        <f>IF(AND(ISNUMBER(N512),ISNUMBER(M512)),N512-M512,"")</f>
        <v/>
      </c>
      <c r="P512" s="7">
        <f>IF(AND(ISNUMBER(N512),ISNUMBER(M512),M512&gt;0),(N512-M512)/M512,"")</f>
        <v/>
      </c>
      <c r="Q512" s="3">
        <f>IF(P512="","",IF(P512&lt;-0.02,"🔴 Bán phá giá sàn",IF(P512&gt;0.05,"🔵 Bán cao hơn","🟢 Đúng giá sàn TMĐT")))</f>
        <v/>
      </c>
      <c r="R512" s="3" t="n"/>
      <c r="S512" s="4" t="n"/>
      <c r="T512" s="4" t="n"/>
    </row>
    <row r="513">
      <c r="A513" s="3" t="n">
        <v>512</v>
      </c>
      <c r="B513" s="3" t="inlineStr">
        <is>
          <t>DL002</t>
        </is>
      </c>
      <c r="C513" s="4" t="inlineStr">
        <is>
          <t>Nguyễn Hoàng Phú</t>
        </is>
      </c>
      <c r="D513" s="3" t="inlineStr">
        <is>
          <t>HCM</t>
        </is>
      </c>
      <c r="E513" s="3" t="inlineStr">
        <is>
          <t>BẢO TRÂM</t>
        </is>
      </c>
      <c r="F513" s="3" t="inlineStr">
        <is>
          <t>Shopee</t>
        </is>
      </c>
      <c r="G513" s="4" t="inlineStr">
        <is>
          <t>SHOPEE: https://s.shopee.vn/3qNt1d78Ij TIKTOK: LAZADA: WEBSITE BÁN HÀNG:</t>
        </is>
      </c>
      <c r="H513" s="3" t="inlineStr">
        <is>
          <t>TK-150</t>
        </is>
      </c>
      <c r="I513" s="4" t="inlineStr">
        <is>
          <t>Thước kẹp cơ TK-150</t>
        </is>
      </c>
      <c r="J513" s="3" t="inlineStr">
        <is>
          <t>Cái</t>
        </is>
      </c>
      <c r="K513" s="5" t="n">
        <v>182000</v>
      </c>
      <c r="L513" s="5" t="n">
        <v>215000</v>
      </c>
      <c r="M513" s="6" t="n">
        <v>264000</v>
      </c>
      <c r="N513" s="5" t="n"/>
      <c r="O513" s="5">
        <f>IF(AND(ISNUMBER(N513),ISNUMBER(M513)),N513-M513,"")</f>
        <v/>
      </c>
      <c r="P513" s="7">
        <f>IF(AND(ISNUMBER(N513),ISNUMBER(M513),M513&gt;0),(N513-M513)/M513,"")</f>
        <v/>
      </c>
      <c r="Q513" s="3">
        <f>IF(P513="","",IF(P513&lt;-0.02,"🔴 Bán phá giá sàn",IF(P513&gt;0.05,"🔵 Bán cao hơn","🟢 Đúng giá sàn TMĐT")))</f>
        <v/>
      </c>
      <c r="R513" s="3" t="n"/>
      <c r="S513" s="4" t="n"/>
      <c r="T513" s="4" t="n"/>
    </row>
    <row r="514">
      <c r="A514" s="3" t="n">
        <v>513</v>
      </c>
      <c r="B514" s="3" t="inlineStr">
        <is>
          <t>DL002</t>
        </is>
      </c>
      <c r="C514" s="4" t="inlineStr">
        <is>
          <t>Nguyễn Hoàng Phú</t>
        </is>
      </c>
      <c r="D514" s="3" t="inlineStr">
        <is>
          <t>HCM</t>
        </is>
      </c>
      <c r="E514" s="3" t="inlineStr">
        <is>
          <t>BẢO TRÂM</t>
        </is>
      </c>
      <c r="F514" s="3" t="inlineStr">
        <is>
          <t>Shopee</t>
        </is>
      </c>
      <c r="G514" s="4" t="inlineStr">
        <is>
          <t>SHOPEE: https://s.shopee.vn/3qNt1d78Ij TIKTOK: LAZADA: WEBSITE BÁN HÀNG:</t>
        </is>
      </c>
      <c r="H514" s="3" t="inlineStr">
        <is>
          <t>KTT-25A</t>
        </is>
      </c>
      <c r="I514" s="4" t="inlineStr">
        <is>
          <t>Thước thủy KTT-25A</t>
        </is>
      </c>
      <c r="J514" s="3" t="inlineStr">
        <is>
          <t>Cái</t>
        </is>
      </c>
      <c r="K514" s="5" t="n">
        <v>35000</v>
      </c>
      <c r="L514" s="5" t="n">
        <v>41000</v>
      </c>
      <c r="M514" s="6" t="n">
        <v>51000</v>
      </c>
      <c r="N514" s="5" t="n"/>
      <c r="O514" s="5">
        <f>IF(AND(ISNUMBER(N514),ISNUMBER(M514)),N514-M514,"")</f>
        <v/>
      </c>
      <c r="P514" s="7">
        <f>IF(AND(ISNUMBER(N514),ISNUMBER(M514),M514&gt;0),(N514-M514)/M514,"")</f>
        <v/>
      </c>
      <c r="Q514" s="3">
        <f>IF(P514="","",IF(P514&lt;-0.02,"🔴 Bán phá giá sàn",IF(P514&gt;0.05,"🔵 Bán cao hơn","🟢 Đúng giá sàn TMĐT")))</f>
        <v/>
      </c>
      <c r="R514" s="3" t="n"/>
      <c r="S514" s="4" t="n"/>
      <c r="T514" s="4" t="n"/>
    </row>
    <row r="515">
      <c r="A515" s="3" t="n">
        <v>514</v>
      </c>
      <c r="B515" s="3" t="inlineStr">
        <is>
          <t>DL002</t>
        </is>
      </c>
      <c r="C515" s="4" t="inlineStr">
        <is>
          <t>Nguyễn Hoàng Phú</t>
        </is>
      </c>
      <c r="D515" s="3" t="inlineStr">
        <is>
          <t>HCM</t>
        </is>
      </c>
      <c r="E515" s="3" t="inlineStr">
        <is>
          <t>BẢO TRÂM</t>
        </is>
      </c>
      <c r="F515" s="3" t="inlineStr">
        <is>
          <t>Shopee</t>
        </is>
      </c>
      <c r="G515" s="4" t="inlineStr">
        <is>
          <t>SHOPEE: https://s.shopee.vn/3qNt1d78Ij TIKTOK: LAZADA: WEBSITE BÁN HÀNG:</t>
        </is>
      </c>
      <c r="H515" s="3" t="inlineStr">
        <is>
          <t>KFJ-432</t>
        </is>
      </c>
      <c r="I515" s="4" t="inlineStr">
        <is>
          <t>Vít bê tông không dùng tắc kê KFJ-432</t>
        </is>
      </c>
      <c r="J515" s="3" t="inlineStr">
        <is>
          <t>Hộp</t>
        </is>
      </c>
      <c r="K515" s="5" t="n">
        <v>81000</v>
      </c>
      <c r="L515" s="5" t="n">
        <v>101000</v>
      </c>
      <c r="M515" s="6" t="n">
        <v>130000</v>
      </c>
      <c r="N515" s="5" t="n"/>
      <c r="O515" s="5">
        <f>IF(AND(ISNUMBER(N515),ISNUMBER(M515)),N515-M515,"")</f>
        <v/>
      </c>
      <c r="P515" s="7">
        <f>IF(AND(ISNUMBER(N515),ISNUMBER(M515),M515&gt;0),(N515-M515)/M515,"")</f>
        <v/>
      </c>
      <c r="Q515" s="3">
        <f>IF(P515="","",IF(P515&lt;-0.02,"🔴 Bán phá giá sàn",IF(P515&gt;0.05,"🔵 Bán cao hơn","🟢 Đúng giá sàn TMĐT")))</f>
        <v/>
      </c>
      <c r="R515" s="3" t="n"/>
      <c r="S515" s="4" t="n"/>
      <c r="T515" s="4" t="n"/>
    </row>
    <row r="516">
      <c r="A516" s="3" t="n">
        <v>515</v>
      </c>
      <c r="B516" s="3" t="inlineStr">
        <is>
          <t>DL002</t>
        </is>
      </c>
      <c r="C516" s="4" t="inlineStr">
        <is>
          <t>Nguyễn Hoàng Phú</t>
        </is>
      </c>
      <c r="D516" s="3" t="inlineStr">
        <is>
          <t>HCM</t>
        </is>
      </c>
      <c r="E516" s="3" t="inlineStr">
        <is>
          <t>BẢO TRÂM</t>
        </is>
      </c>
      <c r="F516" s="3" t="inlineStr">
        <is>
          <t>Shopee</t>
        </is>
      </c>
      <c r="G516" s="4" t="inlineStr">
        <is>
          <t>SHOPEE: https://s.shopee.vn/3qNt1d78Ij TIKTOK: LAZADA: WEBSITE BÁN HÀNG:</t>
        </is>
      </c>
      <c r="H516" s="3" t="inlineStr">
        <is>
          <t>KFJ-438</t>
        </is>
      </c>
      <c r="I516" s="4" t="inlineStr">
        <is>
          <t>Vít bê tông không dùng tắc kê KFJ-438</t>
        </is>
      </c>
      <c r="J516" s="3" t="inlineStr">
        <is>
          <t>Hộp</t>
        </is>
      </c>
      <c r="K516" s="5" t="n">
        <v>81000</v>
      </c>
      <c r="L516" s="5" t="n">
        <v>101000</v>
      </c>
      <c r="M516" s="6" t="n">
        <v>130000</v>
      </c>
      <c r="N516" s="5" t="n"/>
      <c r="O516" s="5">
        <f>IF(AND(ISNUMBER(N516),ISNUMBER(M516)),N516-M516,"")</f>
        <v/>
      </c>
      <c r="P516" s="7">
        <f>IF(AND(ISNUMBER(N516),ISNUMBER(M516),M516&gt;0),(N516-M516)/M516,"")</f>
        <v/>
      </c>
      <c r="Q516" s="3">
        <f>IF(P516="","",IF(P516&lt;-0.02,"🔴 Bán phá giá sàn",IF(P516&gt;0.05,"🔵 Bán cao hơn","🟢 Đúng giá sàn TMĐT")))</f>
        <v/>
      </c>
      <c r="R516" s="3" t="n"/>
      <c r="S516" s="4" t="n"/>
      <c r="T516" s="4" t="n"/>
    </row>
    <row r="517">
      <c r="A517" s="3" t="n">
        <v>516</v>
      </c>
      <c r="B517" s="3" t="inlineStr">
        <is>
          <t>DL002</t>
        </is>
      </c>
      <c r="C517" s="4" t="inlineStr">
        <is>
          <t>Nguyễn Hoàng Phú</t>
        </is>
      </c>
      <c r="D517" s="3" t="inlineStr">
        <is>
          <t>HCM</t>
        </is>
      </c>
      <c r="E517" s="3" t="inlineStr">
        <is>
          <t>BẢO TRÂM</t>
        </is>
      </c>
      <c r="F517" s="3" t="inlineStr">
        <is>
          <t>Shopee</t>
        </is>
      </c>
      <c r="G517" s="4" t="inlineStr">
        <is>
          <t>SHOPEE: https://s.shopee.vn/3qNt1d78Ij TIKTOK: LAZADA: WEBSITE BÁN HÀNG:</t>
        </is>
      </c>
      <c r="H517" s="3" t="inlineStr">
        <is>
          <t>KFJ-445</t>
        </is>
      </c>
      <c r="I517" s="4" t="inlineStr">
        <is>
          <t>Vít bê tông không dùng tắc kê KFJ-445</t>
        </is>
      </c>
      <c r="J517" s="3" t="inlineStr">
        <is>
          <t>Hộp</t>
        </is>
      </c>
      <c r="K517" s="5" t="n">
        <v>81000</v>
      </c>
      <c r="L517" s="5" t="n">
        <v>101000</v>
      </c>
      <c r="M517" s="6" t="n">
        <v>130000</v>
      </c>
      <c r="N517" s="5" t="n"/>
      <c r="O517" s="5">
        <f>IF(AND(ISNUMBER(N517),ISNUMBER(M517)),N517-M517,"")</f>
        <v/>
      </c>
      <c r="P517" s="7">
        <f>IF(AND(ISNUMBER(N517),ISNUMBER(M517),M517&gt;0),(N517-M517)/M517,"")</f>
        <v/>
      </c>
      <c r="Q517" s="3">
        <f>IF(P517="","",IF(P517&lt;-0.02,"🔴 Bán phá giá sàn",IF(P517&gt;0.05,"🔵 Bán cao hơn","🟢 Đúng giá sàn TMĐT")))</f>
        <v/>
      </c>
      <c r="R517" s="3" t="n"/>
      <c r="S517" s="4" t="n"/>
      <c r="T517" s="4" t="n"/>
    </row>
    <row r="518">
      <c r="A518" s="3" t="n">
        <v>517</v>
      </c>
      <c r="B518" s="3" t="inlineStr">
        <is>
          <t>DL002</t>
        </is>
      </c>
      <c r="C518" s="4" t="inlineStr">
        <is>
          <t>Nguyễn Hoàng Phú</t>
        </is>
      </c>
      <c r="D518" s="3" t="inlineStr">
        <is>
          <t>HCM</t>
        </is>
      </c>
      <c r="E518" s="3" t="inlineStr">
        <is>
          <t>BẢO TRÂM</t>
        </is>
      </c>
      <c r="F518" s="3" t="inlineStr">
        <is>
          <t>Shopee</t>
        </is>
      </c>
      <c r="G518" s="4" t="inlineStr">
        <is>
          <t>SHOPEE: https://s.shopee.vn/3qNt1d78Ij TIKTOK: LAZADA: WEBSITE BÁN HÀNG:</t>
        </is>
      </c>
      <c r="H518" s="3" t="inlineStr">
        <is>
          <t>KFJ-535</t>
        </is>
      </c>
      <c r="I518" s="4" t="inlineStr">
        <is>
          <t>Vít bê tông không dùng tắc kê KFJ-535</t>
        </is>
      </c>
      <c r="J518" s="3" t="inlineStr">
        <is>
          <t>Hộp</t>
        </is>
      </c>
      <c r="K518" s="5" t="n">
        <v>81000</v>
      </c>
      <c r="L518" s="5" t="n">
        <v>101000</v>
      </c>
      <c r="M518" s="6" t="n">
        <v>130000</v>
      </c>
      <c r="N518" s="5" t="n"/>
      <c r="O518" s="5">
        <f>IF(AND(ISNUMBER(N518),ISNUMBER(M518)),N518-M518,"")</f>
        <v/>
      </c>
      <c r="P518" s="7">
        <f>IF(AND(ISNUMBER(N518),ISNUMBER(M518),M518&gt;0),(N518-M518)/M518,"")</f>
        <v/>
      </c>
      <c r="Q518" s="3">
        <f>IF(P518="","",IF(P518&lt;-0.02,"🔴 Bán phá giá sàn",IF(P518&gt;0.05,"🔵 Bán cao hơn","🟢 Đúng giá sàn TMĐT")))</f>
        <v/>
      </c>
      <c r="R518" s="3" t="n"/>
      <c r="S518" s="4" t="n"/>
      <c r="T518" s="4" t="n"/>
    </row>
    <row r="519">
      <c r="A519" s="3" t="n">
        <v>518</v>
      </c>
      <c r="B519" s="3" t="inlineStr">
        <is>
          <t>DL002</t>
        </is>
      </c>
      <c r="C519" s="4" t="inlineStr">
        <is>
          <t>Nguyễn Hoàng Phú</t>
        </is>
      </c>
      <c r="D519" s="3" t="inlineStr">
        <is>
          <t>HCM</t>
        </is>
      </c>
      <c r="E519" s="3" t="inlineStr">
        <is>
          <t>BẢO TRÂM</t>
        </is>
      </c>
      <c r="F519" s="3" t="inlineStr">
        <is>
          <t>Shopee</t>
        </is>
      </c>
      <c r="G519" s="4" t="inlineStr">
        <is>
          <t>SHOPEE: https://s.shopee.vn/3qNt1d78Ij TIKTOK: LAZADA: WEBSITE BÁN HÀNG:</t>
        </is>
      </c>
      <c r="H519" s="3" t="inlineStr">
        <is>
          <t>KFJ-545</t>
        </is>
      </c>
      <c r="I519" s="4" t="inlineStr">
        <is>
          <t>Vít bê tông không dùng tắc kê KFJ-545</t>
        </is>
      </c>
      <c r="J519" s="3" t="inlineStr">
        <is>
          <t>Hộp</t>
        </is>
      </c>
      <c r="K519" s="5" t="n">
        <v>81000</v>
      </c>
      <c r="L519" s="5" t="n">
        <v>101000</v>
      </c>
      <c r="M519" s="6" t="n">
        <v>130000</v>
      </c>
      <c r="N519" s="5" t="n"/>
      <c r="O519" s="5">
        <f>IF(AND(ISNUMBER(N519),ISNUMBER(M519)),N519-M519,"")</f>
        <v/>
      </c>
      <c r="P519" s="7">
        <f>IF(AND(ISNUMBER(N519),ISNUMBER(M519),M519&gt;0),(N519-M519)/M519,"")</f>
        <v/>
      </c>
      <c r="Q519" s="3">
        <f>IF(P519="","",IF(P519&lt;-0.02,"🔴 Bán phá giá sàn",IF(P519&gt;0.05,"🔵 Bán cao hơn","🟢 Đúng giá sàn TMĐT")))</f>
        <v/>
      </c>
      <c r="R519" s="3" t="n"/>
      <c r="S519" s="4" t="n"/>
      <c r="T519" s="4" t="n"/>
    </row>
    <row r="520">
      <c r="A520" s="3" t="n">
        <v>519</v>
      </c>
      <c r="B520" s="3" t="inlineStr">
        <is>
          <t>DL003</t>
        </is>
      </c>
      <c r="C520" s="4" t="inlineStr">
        <is>
          <t>CÔNG TY TNHH ĐỒ NGHỀ CẦM TAY PHƯƠNG MY</t>
        </is>
      </c>
      <c r="D520" s="3" t="inlineStr">
        <is>
          <t>HCM</t>
        </is>
      </c>
      <c r="E520" s="3" t="inlineStr">
        <is>
          <t>BẢO TRÂM</t>
        </is>
      </c>
      <c r="F520" s="3" t="inlineStr">
        <is>
          <t>Youtube</t>
        </is>
      </c>
      <c r="G520" s="4" t="inlineStr">
        <is>
          <t>SHOPEE: TIKTOK: LAZADA: WEBSITE BÁN HÀNG: YOUTUBE : https://www.youtube.com/@nguyenchiam2706</t>
        </is>
      </c>
      <c r="H520" s="3" t="inlineStr">
        <is>
          <t>K10000</t>
        </is>
      </c>
      <c r="I520" s="4" t="inlineStr">
        <is>
          <t>Bộ bơm lốp, kích bình đa năng K10000</t>
        </is>
      </c>
      <c r="J520" s="3" t="inlineStr">
        <is>
          <t>Cái</t>
        </is>
      </c>
      <c r="K520" s="5" t="n">
        <v>269000</v>
      </c>
      <c r="L520" s="5" t="n">
        <v>317000</v>
      </c>
      <c r="M520" s="6" t="n">
        <v>390000</v>
      </c>
      <c r="N520" s="5" t="n"/>
      <c r="O520" s="5">
        <f>IF(AND(ISNUMBER(N520),ISNUMBER(M520)),N520-M520,"")</f>
        <v/>
      </c>
      <c r="P520" s="7">
        <f>IF(AND(ISNUMBER(N520),ISNUMBER(M520),M520&gt;0),(N520-M520)/M520,"")</f>
        <v/>
      </c>
      <c r="Q520" s="3">
        <f>IF(P520="","",IF(P520&lt;-0.02,"🔴 Bán phá giá sàn",IF(P520&gt;0.05,"🔵 Bán cao hơn","🟢 Đúng giá sàn TMĐT")))</f>
        <v/>
      </c>
      <c r="R520" s="3" t="n"/>
      <c r="S520" s="4" t="n"/>
      <c r="T520" s="4" t="n"/>
    </row>
    <row r="521">
      <c r="A521" s="3" t="n">
        <v>520</v>
      </c>
      <c r="B521" s="3" t="inlineStr">
        <is>
          <t>DL003</t>
        </is>
      </c>
      <c r="C521" s="4" t="inlineStr">
        <is>
          <t>CÔNG TY TNHH ĐỒ NGHỀ CẦM TAY PHƯƠNG MY</t>
        </is>
      </c>
      <c r="D521" s="3" t="inlineStr">
        <is>
          <t>HCM</t>
        </is>
      </c>
      <c r="E521" s="3" t="inlineStr">
        <is>
          <t>BẢO TRÂM</t>
        </is>
      </c>
      <c r="F521" s="3" t="inlineStr">
        <is>
          <t>Youtube</t>
        </is>
      </c>
      <c r="G521" s="4" t="inlineStr">
        <is>
          <t>SHOPEE: TIKTOK: LAZADA: WEBSITE BÁN HÀNG: YOUTUBE : https://www.youtube.com/@nguyenchiam2706</t>
        </is>
      </c>
      <c r="H521" s="3" t="inlineStr">
        <is>
          <t>K12000</t>
        </is>
      </c>
      <c r="I521" s="4" t="inlineStr">
        <is>
          <t>Bộ bơm lốp, kích bình đa năng K12000</t>
        </is>
      </c>
      <c r="J521" s="3" t="inlineStr">
        <is>
          <t>Cái</t>
        </is>
      </c>
      <c r="K521" s="5" t="n">
        <v>269000</v>
      </c>
      <c r="L521" s="5" t="n">
        <v>317000</v>
      </c>
      <c r="M521" s="6" t="n">
        <v>390000</v>
      </c>
      <c r="N521" s="5" t="n"/>
      <c r="O521" s="5">
        <f>IF(AND(ISNUMBER(N521),ISNUMBER(M521)),N521-M521,"")</f>
        <v/>
      </c>
      <c r="P521" s="7">
        <f>IF(AND(ISNUMBER(N521),ISNUMBER(M521),M521&gt;0),(N521-M521)/M521,"")</f>
        <v/>
      </c>
      <c r="Q521" s="3">
        <f>IF(P521="","",IF(P521&lt;-0.02,"🔴 Bán phá giá sàn",IF(P521&gt;0.05,"🔵 Bán cao hơn","🟢 Đúng giá sàn TMĐT")))</f>
        <v/>
      </c>
      <c r="R521" s="3" t="n"/>
      <c r="S521" s="4" t="n"/>
      <c r="T521" s="4" t="n"/>
    </row>
    <row r="522">
      <c r="A522" s="3" t="n">
        <v>521</v>
      </c>
      <c r="B522" s="3" t="inlineStr">
        <is>
          <t>DL003</t>
        </is>
      </c>
      <c r="C522" s="4" t="inlineStr">
        <is>
          <t>CÔNG TY TNHH ĐỒ NGHỀ CẦM TAY PHƯƠNG MY</t>
        </is>
      </c>
      <c r="D522" s="3" t="inlineStr">
        <is>
          <t>HCM</t>
        </is>
      </c>
      <c r="E522" s="3" t="inlineStr">
        <is>
          <t>BẢO TRÂM</t>
        </is>
      </c>
      <c r="F522" s="3" t="inlineStr">
        <is>
          <t>Youtube</t>
        </is>
      </c>
      <c r="G522" s="4" t="inlineStr">
        <is>
          <t>SHOPEE: TIKTOK: LAZADA: WEBSITE BÁN HÀNG: YOUTUBE : https://www.youtube.com/@nguyenchiam2706</t>
        </is>
      </c>
      <c r="H522" s="3" t="inlineStr"/>
      <c r="I522" s="4" t="inlineStr">
        <is>
          <t>Bộ chuyển đổi chân pin KingBlue</t>
        </is>
      </c>
      <c r="J522" s="3" t="inlineStr">
        <is>
          <t>Cái</t>
        </is>
      </c>
      <c r="K522" s="5" t="n">
        <v>269000</v>
      </c>
      <c r="L522" s="5" t="n">
        <v>317000</v>
      </c>
      <c r="M522" s="6" t="n">
        <v>390000</v>
      </c>
      <c r="N522" s="5" t="n"/>
      <c r="O522" s="5">
        <f>IF(AND(ISNUMBER(N522),ISNUMBER(M522)),N522-M522,"")</f>
        <v/>
      </c>
      <c r="P522" s="7">
        <f>IF(AND(ISNUMBER(N522),ISNUMBER(M522),M522&gt;0),(N522-M522)/M522,"")</f>
        <v/>
      </c>
      <c r="Q522" s="3">
        <f>IF(P522="","",IF(P522&lt;-0.02,"🔴 Bán phá giá sàn",IF(P522&gt;0.05,"🔵 Bán cao hơn","🟢 Đúng giá sàn TMĐT")))</f>
        <v/>
      </c>
      <c r="R522" s="3" t="n"/>
      <c r="S522" s="4" t="n"/>
      <c r="T522" s="4" t="n"/>
    </row>
    <row r="523">
      <c r="A523" s="3" t="n">
        <v>522</v>
      </c>
      <c r="B523" s="3" t="inlineStr">
        <is>
          <t>DL003</t>
        </is>
      </c>
      <c r="C523" s="4" t="inlineStr">
        <is>
          <t>CÔNG TY TNHH ĐỒ NGHỀ CẦM TAY PHƯƠNG MY</t>
        </is>
      </c>
      <c r="D523" s="3" t="inlineStr">
        <is>
          <t>HCM</t>
        </is>
      </c>
      <c r="E523" s="3" t="inlineStr">
        <is>
          <t>BẢO TRÂM</t>
        </is>
      </c>
      <c r="F523" s="3" t="inlineStr">
        <is>
          <t>Youtube</t>
        </is>
      </c>
      <c r="G523" s="4" t="inlineStr">
        <is>
          <t>SHOPEE: TIKTOK: LAZADA: WEBSITE BÁN HÀNG: YOUTUBE : https://www.youtube.com/@nguyenchiam2706</t>
        </is>
      </c>
      <c r="H523" s="3" t="inlineStr">
        <is>
          <t>T9100E</t>
        </is>
      </c>
      <c r="I523" s="4" t="inlineStr">
        <is>
          <t>Bộ đầu hoa thị T9100E</t>
        </is>
      </c>
      <c r="J523" s="3" t="inlineStr">
        <is>
          <t>Bộ</t>
        </is>
      </c>
      <c r="K523" s="5" t="n">
        <v>86000</v>
      </c>
      <c r="L523" s="5" t="n">
        <v>108000</v>
      </c>
      <c r="M523" s="6" t="n">
        <v>142000</v>
      </c>
      <c r="N523" s="5" t="n"/>
      <c r="O523" s="5">
        <f>IF(AND(ISNUMBER(N523),ISNUMBER(M523)),N523-M523,"")</f>
        <v/>
      </c>
      <c r="P523" s="7">
        <f>IF(AND(ISNUMBER(N523),ISNUMBER(M523),M523&gt;0),(N523-M523)/M523,"")</f>
        <v/>
      </c>
      <c r="Q523" s="3">
        <f>IF(P523="","",IF(P523&lt;-0.02,"🔴 Bán phá giá sàn",IF(P523&gt;0.05,"🔵 Bán cao hơn","🟢 Đúng giá sàn TMĐT")))</f>
        <v/>
      </c>
      <c r="R523" s="3" t="n"/>
      <c r="S523" s="4" t="n"/>
      <c r="T523" s="4" t="n"/>
    </row>
    <row r="524">
      <c r="A524" s="3" t="n">
        <v>523</v>
      </c>
      <c r="B524" s="3" t="inlineStr">
        <is>
          <t>DL003</t>
        </is>
      </c>
      <c r="C524" s="4" t="inlineStr">
        <is>
          <t>CÔNG TY TNHH ĐỒ NGHỀ CẦM TAY PHƯƠNG MY</t>
        </is>
      </c>
      <c r="D524" s="3" t="inlineStr">
        <is>
          <t>HCM</t>
        </is>
      </c>
      <c r="E524" s="3" t="inlineStr">
        <is>
          <t>BẢO TRÂM</t>
        </is>
      </c>
      <c r="F524" s="3" t="inlineStr">
        <is>
          <t>Youtube</t>
        </is>
      </c>
      <c r="G524" s="4" t="inlineStr">
        <is>
          <t>SHOPEE: TIKTOK: LAZADA: WEBSITE BÁN HÀNG: YOUTUBE : https://www.youtube.com/@nguyenchiam2706</t>
        </is>
      </c>
      <c r="H524" s="3" t="inlineStr">
        <is>
          <t>L8100E</t>
        </is>
      </c>
      <c r="I524" s="4" t="inlineStr">
        <is>
          <t>Bộ đầu lục giác L8100E</t>
        </is>
      </c>
      <c r="J524" s="3" t="inlineStr">
        <is>
          <t>Bộ</t>
        </is>
      </c>
      <c r="K524" s="5" t="n">
        <v>86000</v>
      </c>
      <c r="L524" s="5" t="n">
        <v>108000</v>
      </c>
      <c r="M524" s="6" t="n">
        <v>142000</v>
      </c>
      <c r="N524" s="5" t="n"/>
      <c r="O524" s="5">
        <f>IF(AND(ISNUMBER(N524),ISNUMBER(M524)),N524-M524,"")</f>
        <v/>
      </c>
      <c r="P524" s="7">
        <f>IF(AND(ISNUMBER(N524),ISNUMBER(M524),M524&gt;0),(N524-M524)/M524,"")</f>
        <v/>
      </c>
      <c r="Q524" s="3">
        <f>IF(P524="","",IF(P524&lt;-0.02,"🔴 Bán phá giá sàn",IF(P524&gt;0.05,"🔵 Bán cao hơn","🟢 Đúng giá sàn TMĐT")))</f>
        <v/>
      </c>
      <c r="R524" s="3" t="n"/>
      <c r="S524" s="4" t="n"/>
      <c r="T524" s="4" t="n"/>
    </row>
    <row r="525">
      <c r="A525" s="3" t="n">
        <v>524</v>
      </c>
      <c r="B525" s="3" t="inlineStr">
        <is>
          <t>DL003</t>
        </is>
      </c>
      <c r="C525" s="4" t="inlineStr">
        <is>
          <t>CÔNG TY TNHH ĐỒ NGHỀ CẦM TAY PHƯƠNG MY</t>
        </is>
      </c>
      <c r="D525" s="3" t="inlineStr">
        <is>
          <t>HCM</t>
        </is>
      </c>
      <c r="E525" s="3" t="inlineStr">
        <is>
          <t>BẢO TRÂM</t>
        </is>
      </c>
      <c r="F525" s="3" t="inlineStr">
        <is>
          <t>Youtube</t>
        </is>
      </c>
      <c r="G525" s="4" t="inlineStr">
        <is>
          <t>SHOPEE: TIKTOK: LAZADA: WEBSITE BÁN HÀNG: YOUTUBE : https://www.youtube.com/@nguyenchiam2706</t>
        </is>
      </c>
      <c r="H525" s="3" t="inlineStr">
        <is>
          <t>KBYT6</t>
        </is>
      </c>
      <c r="I525" s="4" t="inlineStr">
        <is>
          <t>Bộ lấy ốc gãy KingBlue KBYT6</t>
        </is>
      </c>
      <c r="J525" s="3" t="inlineStr">
        <is>
          <t>Bộ</t>
        </is>
      </c>
      <c r="K525" s="5" t="n">
        <v>68000</v>
      </c>
      <c r="L525" s="5" t="n">
        <v>80000</v>
      </c>
      <c r="M525" s="6" t="n">
        <v>99000</v>
      </c>
      <c r="N525" s="5" t="n"/>
      <c r="O525" s="5">
        <f>IF(AND(ISNUMBER(N525),ISNUMBER(M525)),N525-M525,"")</f>
        <v/>
      </c>
      <c r="P525" s="7">
        <f>IF(AND(ISNUMBER(N525),ISNUMBER(M525),M525&gt;0),(N525-M525)/M525,"")</f>
        <v/>
      </c>
      <c r="Q525" s="3">
        <f>IF(P525="","",IF(P525&lt;-0.02,"🔴 Bán phá giá sàn",IF(P525&gt;0.05,"🔵 Bán cao hơn","🟢 Đúng giá sàn TMĐT")))</f>
        <v/>
      </c>
      <c r="R525" s="3" t="n"/>
      <c r="S525" s="4" t="n"/>
      <c r="T525" s="4" t="n"/>
    </row>
    <row r="526">
      <c r="A526" s="3" t="n">
        <v>525</v>
      </c>
      <c r="B526" s="3" t="inlineStr">
        <is>
          <t>DL003</t>
        </is>
      </c>
      <c r="C526" s="4" t="inlineStr">
        <is>
          <t>CÔNG TY TNHH ĐỒ NGHỀ CẦM TAY PHƯƠNG MY</t>
        </is>
      </c>
      <c r="D526" s="3" t="inlineStr">
        <is>
          <t>HCM</t>
        </is>
      </c>
      <c r="E526" s="3" t="inlineStr">
        <is>
          <t>BẢO TRÂM</t>
        </is>
      </c>
      <c r="F526" s="3" t="inlineStr">
        <is>
          <t>Youtube</t>
        </is>
      </c>
      <c r="G526" s="4" t="inlineStr">
        <is>
          <t>SHOPEE: TIKTOK: LAZADA: WEBSITE BÁN HÀNG: YOUTUBE : https://www.youtube.com/@nguyenchiam2706</t>
        </is>
      </c>
      <c r="H526" s="3" t="inlineStr">
        <is>
          <t>KL018</t>
        </is>
      </c>
      <c r="I526" s="4" t="inlineStr">
        <is>
          <t>Bộ lục giác KL018</t>
        </is>
      </c>
      <c r="J526" s="3" t="inlineStr">
        <is>
          <t>Cái</t>
        </is>
      </c>
      <c r="K526" s="5" t="n">
        <v>269000</v>
      </c>
      <c r="L526" s="5" t="n">
        <v>317000</v>
      </c>
      <c r="M526" s="6" t="n">
        <v>390000</v>
      </c>
      <c r="N526" s="5" t="n"/>
      <c r="O526" s="5">
        <f>IF(AND(ISNUMBER(N526),ISNUMBER(M526)),N526-M526,"")</f>
        <v/>
      </c>
      <c r="P526" s="7">
        <f>IF(AND(ISNUMBER(N526),ISNUMBER(M526),M526&gt;0),(N526-M526)/M526,"")</f>
        <v/>
      </c>
      <c r="Q526" s="3">
        <f>IF(P526="","",IF(P526&lt;-0.02,"🔴 Bán phá giá sàn",IF(P526&gt;0.05,"🔵 Bán cao hơn","🟢 Đúng giá sàn TMĐT")))</f>
        <v/>
      </c>
      <c r="R526" s="3" t="n"/>
      <c r="S526" s="4" t="n"/>
      <c r="T526" s="4" t="n"/>
    </row>
    <row r="527">
      <c r="A527" s="3" t="n">
        <v>526</v>
      </c>
      <c r="B527" s="3" t="inlineStr">
        <is>
          <t>DL003</t>
        </is>
      </c>
      <c r="C527" s="4" t="inlineStr">
        <is>
          <t>CÔNG TY TNHH ĐỒ NGHỀ CẦM TAY PHƯƠNG MY</t>
        </is>
      </c>
      <c r="D527" s="3" t="inlineStr">
        <is>
          <t>HCM</t>
        </is>
      </c>
      <c r="E527" s="3" t="inlineStr">
        <is>
          <t>BẢO TRÂM</t>
        </is>
      </c>
      <c r="F527" s="3" t="inlineStr">
        <is>
          <t>Youtube</t>
        </is>
      </c>
      <c r="G527" s="4" t="inlineStr">
        <is>
          <t>SHOPEE: TIKTOK: LAZADA: WEBSITE BÁN HÀNG: YOUTUBE : https://www.youtube.com/@nguyenchiam2706</t>
        </is>
      </c>
      <c r="H527" s="3" t="inlineStr">
        <is>
          <t>KL5-09</t>
        </is>
      </c>
      <c r="I527" s="4" t="inlineStr">
        <is>
          <t>Bộ lục giác KL5-09 ( đầu bi)</t>
        </is>
      </c>
      <c r="J527" s="3" t="inlineStr">
        <is>
          <t>Cái</t>
        </is>
      </c>
      <c r="K527" s="5" t="n">
        <v>269000</v>
      </c>
      <c r="L527" s="5" t="n">
        <v>317000</v>
      </c>
      <c r="M527" s="6" t="n">
        <v>390000</v>
      </c>
      <c r="N527" s="5" t="n"/>
      <c r="O527" s="5">
        <f>IF(AND(ISNUMBER(N527),ISNUMBER(M527)),N527-M527,"")</f>
        <v/>
      </c>
      <c r="P527" s="7">
        <f>IF(AND(ISNUMBER(N527),ISNUMBER(M527),M527&gt;0),(N527-M527)/M527,"")</f>
        <v/>
      </c>
      <c r="Q527" s="3">
        <f>IF(P527="","",IF(P527&lt;-0.02,"🔴 Bán phá giá sàn",IF(P527&gt;0.05,"🔵 Bán cao hơn","🟢 Đúng giá sàn TMĐT")))</f>
        <v/>
      </c>
      <c r="R527" s="3" t="n"/>
      <c r="S527" s="4" t="n"/>
      <c r="T527" s="4" t="n"/>
    </row>
    <row r="528">
      <c r="A528" s="3" t="n">
        <v>527</v>
      </c>
      <c r="B528" s="3" t="inlineStr">
        <is>
          <t>DL003</t>
        </is>
      </c>
      <c r="C528" s="4" t="inlineStr">
        <is>
          <t>CÔNG TY TNHH ĐỒ NGHỀ CẦM TAY PHƯƠNG MY</t>
        </is>
      </c>
      <c r="D528" s="3" t="inlineStr">
        <is>
          <t>HCM</t>
        </is>
      </c>
      <c r="E528" s="3" t="inlineStr">
        <is>
          <t>BẢO TRÂM</t>
        </is>
      </c>
      <c r="F528" s="3" t="inlineStr">
        <is>
          <t>Youtube</t>
        </is>
      </c>
      <c r="G528" s="4" t="inlineStr">
        <is>
          <t>SHOPEE: TIKTOK: LAZADA: WEBSITE BÁN HÀNG: YOUTUBE : https://www.youtube.com/@nguyenchiam2706</t>
        </is>
      </c>
      <c r="H528" s="3" t="inlineStr">
        <is>
          <t>KL7-09</t>
        </is>
      </c>
      <c r="I528" s="4" t="inlineStr">
        <is>
          <t>Bộ lục giác KL7-09 ( đầu bi)</t>
        </is>
      </c>
      <c r="J528" s="3" t="inlineStr">
        <is>
          <t>Cái</t>
        </is>
      </c>
      <c r="K528" s="5" t="n">
        <v>269000</v>
      </c>
      <c r="L528" s="5" t="n">
        <v>317000</v>
      </c>
      <c r="M528" s="6" t="n">
        <v>390000</v>
      </c>
      <c r="N528" s="5" t="n"/>
      <c r="O528" s="5">
        <f>IF(AND(ISNUMBER(N528),ISNUMBER(M528)),N528-M528,"")</f>
        <v/>
      </c>
      <c r="P528" s="7">
        <f>IF(AND(ISNUMBER(N528),ISNUMBER(M528),M528&gt;0),(N528-M528)/M528,"")</f>
        <v/>
      </c>
      <c r="Q528" s="3">
        <f>IF(P528="","",IF(P528&lt;-0.02,"🔴 Bán phá giá sàn",IF(P528&gt;0.05,"🔵 Bán cao hơn","🟢 Đúng giá sàn TMĐT")))</f>
        <v/>
      </c>
      <c r="R528" s="3" t="n"/>
      <c r="S528" s="4" t="n"/>
      <c r="T528" s="4" t="n"/>
    </row>
    <row r="529">
      <c r="A529" s="3" t="n">
        <v>528</v>
      </c>
      <c r="B529" s="3" t="inlineStr">
        <is>
          <t>DL003</t>
        </is>
      </c>
      <c r="C529" s="4" t="inlineStr">
        <is>
          <t>CÔNG TY TNHH ĐỒ NGHỀ CẦM TAY PHƯƠNG MY</t>
        </is>
      </c>
      <c r="D529" s="3" t="inlineStr">
        <is>
          <t>HCM</t>
        </is>
      </c>
      <c r="E529" s="3" t="inlineStr">
        <is>
          <t>BẢO TRÂM</t>
        </is>
      </c>
      <c r="F529" s="3" t="inlineStr">
        <is>
          <t>Youtube</t>
        </is>
      </c>
      <c r="G529" s="4" t="inlineStr">
        <is>
          <t>SHOPEE: TIKTOK: LAZADA: WEBSITE BÁN HÀNG: YOUTUBE : https://www.youtube.com/@nguyenchiam2706</t>
        </is>
      </c>
      <c r="H529" s="3" t="inlineStr">
        <is>
          <t>KL9-09</t>
        </is>
      </c>
      <c r="I529" s="4" t="inlineStr">
        <is>
          <t>Bộ lục giác KL9-09 (đầu hoa thị)</t>
        </is>
      </c>
      <c r="J529" s="3" t="inlineStr">
        <is>
          <t>Cái</t>
        </is>
      </c>
      <c r="K529" s="5" t="n">
        <v>269000</v>
      </c>
      <c r="L529" s="5" t="n">
        <v>317000</v>
      </c>
      <c r="M529" s="6" t="n">
        <v>390000</v>
      </c>
      <c r="N529" s="5" t="n"/>
      <c r="O529" s="5">
        <f>IF(AND(ISNUMBER(N529),ISNUMBER(M529)),N529-M529,"")</f>
        <v/>
      </c>
      <c r="P529" s="7">
        <f>IF(AND(ISNUMBER(N529),ISNUMBER(M529),M529&gt;0),(N529-M529)/M529,"")</f>
        <v/>
      </c>
      <c r="Q529" s="3">
        <f>IF(P529="","",IF(P529&lt;-0.02,"🔴 Bán phá giá sàn",IF(P529&gt;0.05,"🔵 Bán cao hơn","🟢 Đúng giá sàn TMĐT")))</f>
        <v/>
      </c>
      <c r="R529" s="3" t="n"/>
      <c r="S529" s="4" t="n"/>
      <c r="T529" s="4" t="n"/>
    </row>
    <row r="530">
      <c r="A530" s="3" t="n">
        <v>529</v>
      </c>
      <c r="B530" s="3" t="inlineStr">
        <is>
          <t>DL003</t>
        </is>
      </c>
      <c r="C530" s="4" t="inlineStr">
        <is>
          <t>CÔNG TY TNHH ĐỒ NGHỀ CẦM TAY PHƯƠNG MY</t>
        </is>
      </c>
      <c r="D530" s="3" t="inlineStr">
        <is>
          <t>HCM</t>
        </is>
      </c>
      <c r="E530" s="3" t="inlineStr">
        <is>
          <t>BẢO TRÂM</t>
        </is>
      </c>
      <c r="F530" s="3" t="inlineStr">
        <is>
          <t>Youtube</t>
        </is>
      </c>
      <c r="G530" s="4" t="inlineStr">
        <is>
          <t>SHOPEE: TIKTOK: LAZADA: WEBSITE BÁN HÀNG: YOUTUBE : https://www.youtube.com/@nguyenchiam2706</t>
        </is>
      </c>
      <c r="H530" s="3" t="inlineStr">
        <is>
          <t>KV10-13</t>
        </is>
      </c>
      <c r="I530" s="4" t="inlineStr">
        <is>
          <t>Bộ tuvit đóng KV10-13</t>
        </is>
      </c>
      <c r="J530" s="3" t="inlineStr">
        <is>
          <t>Cái</t>
        </is>
      </c>
      <c r="K530" s="5" t="n">
        <v>269000</v>
      </c>
      <c r="L530" s="5" t="n">
        <v>317000</v>
      </c>
      <c r="M530" s="6" t="n">
        <v>390000</v>
      </c>
      <c r="N530" s="5" t="n"/>
      <c r="O530" s="5">
        <f>IF(AND(ISNUMBER(N530),ISNUMBER(M530)),N530-M530,"")</f>
        <v/>
      </c>
      <c r="P530" s="7">
        <f>IF(AND(ISNUMBER(N530),ISNUMBER(M530),M530&gt;0),(N530-M530)/M530,"")</f>
        <v/>
      </c>
      <c r="Q530" s="3">
        <f>IF(P530="","",IF(P530&lt;-0.02,"🔴 Bán phá giá sàn",IF(P530&gt;0.05,"🔵 Bán cao hơn","🟢 Đúng giá sàn TMĐT")))</f>
        <v/>
      </c>
      <c r="R530" s="3" t="n"/>
      <c r="S530" s="4" t="n"/>
      <c r="T530" s="4" t="n"/>
    </row>
    <row r="531">
      <c r="A531" s="3" t="n">
        <v>530</v>
      </c>
      <c r="B531" s="3" t="inlineStr">
        <is>
          <t>DL003</t>
        </is>
      </c>
      <c r="C531" s="4" t="inlineStr">
        <is>
          <t>CÔNG TY TNHH ĐỒ NGHỀ CẦM TAY PHƯƠNG MY</t>
        </is>
      </c>
      <c r="D531" s="3" t="inlineStr">
        <is>
          <t>HCM</t>
        </is>
      </c>
      <c r="E531" s="3" t="inlineStr">
        <is>
          <t>BẢO TRÂM</t>
        </is>
      </c>
      <c r="F531" s="3" t="inlineStr">
        <is>
          <t>Youtube</t>
        </is>
      </c>
      <c r="G531" s="4" t="inlineStr">
        <is>
          <t>SHOPEE: TIKTOK: LAZADA: WEBSITE BÁN HÀNG: YOUTUBE : https://www.youtube.com/@nguyenchiam2706</t>
        </is>
      </c>
      <c r="H531" s="3" t="inlineStr">
        <is>
          <t>KB-ST18</t>
        </is>
      </c>
      <c r="I531" s="4" t="inlineStr">
        <is>
          <t>Công cụ đóng đinh bán tự động KB-ST18</t>
        </is>
      </c>
      <c r="J531" s="3" t="inlineStr">
        <is>
          <t>Cái</t>
        </is>
      </c>
      <c r="K531" s="5" t="n">
        <v>242000</v>
      </c>
      <c r="L531" s="5" t="n">
        <v>286000</v>
      </c>
      <c r="M531" s="6" t="n">
        <v>351000</v>
      </c>
      <c r="N531" s="5" t="n"/>
      <c r="O531" s="5">
        <f>IF(AND(ISNUMBER(N531),ISNUMBER(M531)),N531-M531,"")</f>
        <v/>
      </c>
      <c r="P531" s="7">
        <f>IF(AND(ISNUMBER(N531),ISNUMBER(M531),M531&gt;0),(N531-M531)/M531,"")</f>
        <v/>
      </c>
      <c r="Q531" s="3">
        <f>IF(P531="","",IF(P531&lt;-0.02,"🔴 Bán phá giá sàn",IF(P531&gt;0.05,"🔵 Bán cao hơn","🟢 Đúng giá sàn TMĐT")))</f>
        <v/>
      </c>
      <c r="R531" s="3" t="n"/>
      <c r="S531" s="4" t="n"/>
      <c r="T531" s="4" t="n"/>
    </row>
    <row r="532">
      <c r="A532" s="3" t="n">
        <v>531</v>
      </c>
      <c r="B532" s="3" t="inlineStr">
        <is>
          <t>DL003</t>
        </is>
      </c>
      <c r="C532" s="4" t="inlineStr">
        <is>
          <t>CÔNG TY TNHH ĐỒ NGHỀ CẦM TAY PHƯƠNG MY</t>
        </is>
      </c>
      <c r="D532" s="3" t="inlineStr">
        <is>
          <t>HCM</t>
        </is>
      </c>
      <c r="E532" s="3" t="inlineStr">
        <is>
          <t>BẢO TRÂM</t>
        </is>
      </c>
      <c r="F532" s="3" t="inlineStr">
        <is>
          <t>Youtube</t>
        </is>
      </c>
      <c r="G532" s="4" t="inlineStr">
        <is>
          <t>SHOPEE: TIKTOK: LAZADA: WEBSITE BÁN HÀNG: YOUTUBE : https://www.youtube.com/@nguyenchiam2706</t>
        </is>
      </c>
      <c r="H532" s="3" t="inlineStr">
        <is>
          <t>ES180i</t>
        </is>
      </c>
      <c r="I532" s="4" t="inlineStr">
        <is>
          <t>Cưa gấp KingBlue ES180i</t>
        </is>
      </c>
      <c r="J532" s="3" t="inlineStr">
        <is>
          <t>Cái</t>
        </is>
      </c>
      <c r="K532" s="5" t="n">
        <v>139000</v>
      </c>
      <c r="L532" s="5" t="n">
        <v>164000</v>
      </c>
      <c r="M532" s="6" t="n">
        <v>202000</v>
      </c>
      <c r="N532" s="5" t="n"/>
      <c r="O532" s="5">
        <f>IF(AND(ISNUMBER(N532),ISNUMBER(M532)),N532-M532,"")</f>
        <v/>
      </c>
      <c r="P532" s="7">
        <f>IF(AND(ISNUMBER(N532),ISNUMBER(M532),M532&gt;0),(N532-M532)/M532,"")</f>
        <v/>
      </c>
      <c r="Q532" s="3">
        <f>IF(P532="","",IF(P532&lt;-0.02,"🔴 Bán phá giá sàn",IF(P532&gt;0.05,"🔵 Bán cao hơn","🟢 Đúng giá sàn TMĐT")))</f>
        <v/>
      </c>
      <c r="R532" s="3" t="n"/>
      <c r="S532" s="4" t="n"/>
      <c r="T532" s="4" t="n"/>
    </row>
    <row r="533">
      <c r="A533" s="3" t="n">
        <v>532</v>
      </c>
      <c r="B533" s="3" t="inlineStr">
        <is>
          <t>DL003</t>
        </is>
      </c>
      <c r="C533" s="4" t="inlineStr">
        <is>
          <t>CÔNG TY TNHH ĐỒ NGHỀ CẦM TAY PHƯƠNG MY</t>
        </is>
      </c>
      <c r="D533" s="3" t="inlineStr">
        <is>
          <t>HCM</t>
        </is>
      </c>
      <c r="E533" s="3" t="inlineStr">
        <is>
          <t>BẢO TRÂM</t>
        </is>
      </c>
      <c r="F533" s="3" t="inlineStr">
        <is>
          <t>Youtube</t>
        </is>
      </c>
      <c r="G533" s="4" t="inlineStr">
        <is>
          <t>SHOPEE: TIKTOK: LAZADA: WEBSITE BÁN HÀNG: YOUTUBE : https://www.youtube.com/@nguyenchiam2706</t>
        </is>
      </c>
      <c r="H533" s="3" t="inlineStr">
        <is>
          <t>ES250</t>
        </is>
      </c>
      <c r="I533" s="4" t="inlineStr">
        <is>
          <t>Cưa gấp KingBlue ES250</t>
        </is>
      </c>
      <c r="J533" s="3" t="inlineStr">
        <is>
          <t>Cái</t>
        </is>
      </c>
      <c r="K533" s="5" t="n">
        <v>185000</v>
      </c>
      <c r="L533" s="5" t="n">
        <v>218000</v>
      </c>
      <c r="M533" s="6" t="n">
        <v>268000</v>
      </c>
      <c r="N533" s="5" t="n"/>
      <c r="O533" s="5">
        <f>IF(AND(ISNUMBER(N533),ISNUMBER(M533)),N533-M533,"")</f>
        <v/>
      </c>
      <c r="P533" s="7">
        <f>IF(AND(ISNUMBER(N533),ISNUMBER(M533),M533&gt;0),(N533-M533)/M533,"")</f>
        <v/>
      </c>
      <c r="Q533" s="3">
        <f>IF(P533="","",IF(P533&lt;-0.02,"🔴 Bán phá giá sàn",IF(P533&gt;0.05,"🔵 Bán cao hơn","🟢 Đúng giá sàn TMĐT")))</f>
        <v/>
      </c>
      <c r="R533" s="3" t="n"/>
      <c r="S533" s="4" t="n"/>
      <c r="T533" s="4" t="n"/>
    </row>
    <row r="534">
      <c r="A534" s="3" t="n">
        <v>533</v>
      </c>
      <c r="B534" s="3" t="inlineStr">
        <is>
          <t>DL003</t>
        </is>
      </c>
      <c r="C534" s="4" t="inlineStr">
        <is>
          <t>CÔNG TY TNHH ĐỒ NGHỀ CẦM TAY PHƯƠNG MY</t>
        </is>
      </c>
      <c r="D534" s="3" t="inlineStr">
        <is>
          <t>HCM</t>
        </is>
      </c>
      <c r="E534" s="3" t="inlineStr">
        <is>
          <t>BẢO TRÂM</t>
        </is>
      </c>
      <c r="F534" s="3" t="inlineStr">
        <is>
          <t>Youtube</t>
        </is>
      </c>
      <c r="G534" s="4" t="inlineStr">
        <is>
          <t>SHOPEE: TIKTOK: LAZADA: WEBSITE BÁN HÀNG: YOUTUBE : https://www.youtube.com/@nguyenchiam2706</t>
        </is>
      </c>
      <c r="H534" s="3" t="inlineStr">
        <is>
          <t>KB-E350</t>
        </is>
      </c>
      <c r="I534" s="4" t="inlineStr">
        <is>
          <t>Cưa KingBlue KB-E350</t>
        </is>
      </c>
      <c r="J534" s="3" t="inlineStr">
        <is>
          <t>Cái</t>
        </is>
      </c>
      <c r="K534" s="5" t="n">
        <v>242000</v>
      </c>
      <c r="L534" s="5" t="n">
        <v>286000</v>
      </c>
      <c r="M534" s="6" t="n">
        <v>351000</v>
      </c>
      <c r="N534" s="5" t="n"/>
      <c r="O534" s="5">
        <f>IF(AND(ISNUMBER(N534),ISNUMBER(M534)),N534-M534,"")</f>
        <v/>
      </c>
      <c r="P534" s="7">
        <f>IF(AND(ISNUMBER(N534),ISNUMBER(M534),M534&gt;0),(N534-M534)/M534,"")</f>
        <v/>
      </c>
      <c r="Q534" s="3">
        <f>IF(P534="","",IF(P534&lt;-0.02,"🔴 Bán phá giá sàn",IF(P534&gt;0.05,"🔵 Bán cao hơn","🟢 Đúng giá sàn TMĐT")))</f>
        <v/>
      </c>
      <c r="R534" s="3" t="n"/>
      <c r="S534" s="4" t="n"/>
      <c r="T534" s="4" t="n"/>
    </row>
    <row r="535">
      <c r="A535" s="3" t="n">
        <v>534</v>
      </c>
      <c r="B535" s="3" t="inlineStr">
        <is>
          <t>DL003</t>
        </is>
      </c>
      <c r="C535" s="4" t="inlineStr">
        <is>
          <t>CÔNG TY TNHH ĐỒ NGHỀ CẦM TAY PHƯƠNG MY</t>
        </is>
      </c>
      <c r="D535" s="3" t="inlineStr">
        <is>
          <t>HCM</t>
        </is>
      </c>
      <c r="E535" s="3" t="inlineStr">
        <is>
          <t>BẢO TRÂM</t>
        </is>
      </c>
      <c r="F535" s="3" t="inlineStr">
        <is>
          <t>Youtube</t>
        </is>
      </c>
      <c r="G535" s="4" t="inlineStr">
        <is>
          <t>SHOPEE: TIKTOK: LAZADA: WEBSITE BÁN HÀNG: YOUTUBE : https://www.youtube.com/@nguyenchiam2706</t>
        </is>
      </c>
      <c r="H535" s="3" t="inlineStr">
        <is>
          <t>KJC300</t>
        </is>
      </c>
      <c r="I535" s="4" t="inlineStr">
        <is>
          <t>Cưa tay KJC300</t>
        </is>
      </c>
      <c r="J535" s="3" t="inlineStr">
        <is>
          <t>Cái</t>
        </is>
      </c>
      <c r="K535" s="5" t="n">
        <v>269000</v>
      </c>
      <c r="L535" s="5" t="n">
        <v>317000</v>
      </c>
      <c r="M535" s="6" t="n">
        <v>390000</v>
      </c>
      <c r="N535" s="5" t="n"/>
      <c r="O535" s="5">
        <f>IF(AND(ISNUMBER(N535),ISNUMBER(M535)),N535-M535,"")</f>
        <v/>
      </c>
      <c r="P535" s="7">
        <f>IF(AND(ISNUMBER(N535),ISNUMBER(M535),M535&gt;0),(N535-M535)/M535,"")</f>
        <v/>
      </c>
      <c r="Q535" s="3">
        <f>IF(P535="","",IF(P535&lt;-0.02,"🔴 Bán phá giá sàn",IF(P535&gt;0.05,"🔵 Bán cao hơn","🟢 Đúng giá sàn TMĐT")))</f>
        <v/>
      </c>
      <c r="R535" s="3" t="n"/>
      <c r="S535" s="4" t="n"/>
      <c r="T535" s="4" t="n"/>
    </row>
    <row r="536">
      <c r="A536" s="3" t="n">
        <v>535</v>
      </c>
      <c r="B536" s="3" t="inlineStr">
        <is>
          <t>DL003</t>
        </is>
      </c>
      <c r="C536" s="4" t="inlineStr">
        <is>
          <t>CÔNG TY TNHH ĐỒ NGHỀ CẦM TAY PHƯƠNG MY</t>
        </is>
      </c>
      <c r="D536" s="3" t="inlineStr">
        <is>
          <t>HCM</t>
        </is>
      </c>
      <c r="E536" s="3" t="inlineStr">
        <is>
          <t>BẢO TRÂM</t>
        </is>
      </c>
      <c r="F536" s="3" t="inlineStr">
        <is>
          <t>Youtube</t>
        </is>
      </c>
      <c r="G536" s="4" t="inlineStr">
        <is>
          <t>SHOPEE: TIKTOK: LAZADA: WEBSITE BÁN HÀNG: YOUTUBE : https://www.youtube.com/@nguyenchiam2706</t>
        </is>
      </c>
      <c r="H536" s="3" t="inlineStr">
        <is>
          <t>KPG-032</t>
        </is>
      </c>
      <c r="I536" s="4" t="inlineStr">
        <is>
          <t>Dao cắt ống kim loại KPG-032</t>
        </is>
      </c>
      <c r="J536" s="3" t="inlineStr">
        <is>
          <t>Cái</t>
        </is>
      </c>
      <c r="K536" s="5" t="n">
        <v>259000</v>
      </c>
      <c r="L536" s="5" t="n">
        <v>306000</v>
      </c>
      <c r="M536" s="6" t="n">
        <v>376000</v>
      </c>
      <c r="N536" s="5" t="n"/>
      <c r="O536" s="5">
        <f>IF(AND(ISNUMBER(N536),ISNUMBER(M536)),N536-M536,"")</f>
        <v/>
      </c>
      <c r="P536" s="7">
        <f>IF(AND(ISNUMBER(N536),ISNUMBER(M536),M536&gt;0),(N536-M536)/M536,"")</f>
        <v/>
      </c>
      <c r="Q536" s="3">
        <f>IF(P536="","",IF(P536&lt;-0.02,"🔴 Bán phá giá sàn",IF(P536&gt;0.05,"🔵 Bán cao hơn","🟢 Đúng giá sàn TMĐT")))</f>
        <v/>
      </c>
      <c r="R536" s="3" t="n"/>
      <c r="S536" s="4" t="n"/>
      <c r="T536" s="4" t="n"/>
    </row>
    <row r="537">
      <c r="A537" s="3" t="n">
        <v>536</v>
      </c>
      <c r="B537" s="3" t="inlineStr">
        <is>
          <t>DL003</t>
        </is>
      </c>
      <c r="C537" s="4" t="inlineStr">
        <is>
          <t>CÔNG TY TNHH ĐỒ NGHỀ CẦM TAY PHƯƠNG MY</t>
        </is>
      </c>
      <c r="D537" s="3" t="inlineStr">
        <is>
          <t>HCM</t>
        </is>
      </c>
      <c r="E537" s="3" t="inlineStr">
        <is>
          <t>BẢO TRÂM</t>
        </is>
      </c>
      <c r="F537" s="3" t="inlineStr">
        <is>
          <t>Youtube</t>
        </is>
      </c>
      <c r="G537" s="4" t="inlineStr">
        <is>
          <t>SHOPEE: TIKTOK: LAZADA: WEBSITE BÁN HÀNG: YOUTUBE : https://www.youtube.com/@nguyenchiam2706</t>
        </is>
      </c>
      <c r="H537" s="3" t="inlineStr">
        <is>
          <t>KJH-05</t>
        </is>
      </c>
      <c r="I537" s="4" t="inlineStr">
        <is>
          <t>Dao rọc cáp đa năng KJH-05</t>
        </is>
      </c>
      <c r="J537" s="3" t="inlineStr">
        <is>
          <t>Cái</t>
        </is>
      </c>
      <c r="K537" s="5" t="n">
        <v>119000</v>
      </c>
      <c r="L537" s="5" t="n">
        <v>141000</v>
      </c>
      <c r="M537" s="6" t="n">
        <v>173000</v>
      </c>
      <c r="N537" s="5" t="n"/>
      <c r="O537" s="5">
        <f>IF(AND(ISNUMBER(N537),ISNUMBER(M537)),N537-M537,"")</f>
        <v/>
      </c>
      <c r="P537" s="7">
        <f>IF(AND(ISNUMBER(N537),ISNUMBER(M537),M537&gt;0),(N537-M537)/M537,"")</f>
        <v/>
      </c>
      <c r="Q537" s="3">
        <f>IF(P537="","",IF(P537&lt;-0.02,"🔴 Bán phá giá sàn",IF(P537&gt;0.05,"🔵 Bán cao hơn","🟢 Đúng giá sàn TMĐT")))</f>
        <v/>
      </c>
      <c r="R537" s="3" t="n"/>
      <c r="S537" s="4" t="n"/>
      <c r="T537" s="4" t="n"/>
    </row>
    <row r="538">
      <c r="A538" s="3" t="n">
        <v>537</v>
      </c>
      <c r="B538" s="3" t="inlineStr">
        <is>
          <t>DL003</t>
        </is>
      </c>
      <c r="C538" s="4" t="inlineStr">
        <is>
          <t>CÔNG TY TNHH ĐỒ NGHỀ CẦM TAY PHƯƠNG MY</t>
        </is>
      </c>
      <c r="D538" s="3" t="inlineStr">
        <is>
          <t>HCM</t>
        </is>
      </c>
      <c r="E538" s="3" t="inlineStr">
        <is>
          <t>BẢO TRÂM</t>
        </is>
      </c>
      <c r="F538" s="3" t="inlineStr">
        <is>
          <t>Youtube</t>
        </is>
      </c>
      <c r="G538" s="4" t="inlineStr">
        <is>
          <t>SHOPEE: TIKTOK: LAZADA: WEBSITE BÁN HÀNG: YOUTUBE : https://www.youtube.com/@nguyenchiam2706</t>
        </is>
      </c>
      <c r="H538" s="3" t="inlineStr">
        <is>
          <t>KJH-06</t>
        </is>
      </c>
      <c r="I538" s="4" t="inlineStr">
        <is>
          <t>Dao rọc cáp đa năng KJH-06</t>
        </is>
      </c>
      <c r="J538" s="3" t="inlineStr">
        <is>
          <t>Cái</t>
        </is>
      </c>
      <c r="K538" s="5" t="n">
        <v>171000</v>
      </c>
      <c r="L538" s="5" t="n">
        <v>202000</v>
      </c>
      <c r="M538" s="6" t="n">
        <v>248000</v>
      </c>
      <c r="N538" s="5" t="n"/>
      <c r="O538" s="5">
        <f>IF(AND(ISNUMBER(N538),ISNUMBER(M538)),N538-M538,"")</f>
        <v/>
      </c>
      <c r="P538" s="7">
        <f>IF(AND(ISNUMBER(N538),ISNUMBER(M538),M538&gt;0),(N538-M538)/M538,"")</f>
        <v/>
      </c>
      <c r="Q538" s="3">
        <f>IF(P538="","",IF(P538&lt;-0.02,"🔴 Bán phá giá sàn",IF(P538&gt;0.05,"🔵 Bán cao hơn","🟢 Đúng giá sàn TMĐT")))</f>
        <v/>
      </c>
      <c r="R538" s="3" t="n"/>
      <c r="S538" s="4" t="n"/>
      <c r="T538" s="4" t="n"/>
    </row>
    <row r="539">
      <c r="A539" s="3" t="n">
        <v>538</v>
      </c>
      <c r="B539" s="3" t="inlineStr">
        <is>
          <t>DL003</t>
        </is>
      </c>
      <c r="C539" s="4" t="inlineStr">
        <is>
          <t>CÔNG TY TNHH ĐỒ NGHỀ CẦM TAY PHƯƠNG MY</t>
        </is>
      </c>
      <c r="D539" s="3" t="inlineStr">
        <is>
          <t>HCM</t>
        </is>
      </c>
      <c r="E539" s="3" t="inlineStr">
        <is>
          <t>BẢO TRÂM</t>
        </is>
      </c>
      <c r="F539" s="3" t="inlineStr">
        <is>
          <t>Youtube</t>
        </is>
      </c>
      <c r="G539" s="4" t="inlineStr">
        <is>
          <t>SHOPEE: TIKTOK: LAZADA: WEBSITE BÁN HÀNG: YOUTUBE : https://www.youtube.com/@nguyenchiam2706</t>
        </is>
      </c>
      <c r="H539" s="3" t="inlineStr">
        <is>
          <t>KJH-01</t>
        </is>
      </c>
      <c r="I539" s="4" t="inlineStr">
        <is>
          <t>Dao rọc giấy KJH-01</t>
        </is>
      </c>
      <c r="J539" s="3" t="inlineStr">
        <is>
          <t>Cái</t>
        </is>
      </c>
      <c r="K539" s="5" t="n">
        <v>21000</v>
      </c>
      <c r="L539" s="5" t="n">
        <v>25000</v>
      </c>
      <c r="M539" s="6" t="n">
        <v>31000</v>
      </c>
      <c r="N539" s="5" t="n"/>
      <c r="O539" s="5">
        <f>IF(AND(ISNUMBER(N539),ISNUMBER(M539)),N539-M539,"")</f>
        <v/>
      </c>
      <c r="P539" s="7">
        <f>IF(AND(ISNUMBER(N539),ISNUMBER(M539),M539&gt;0),(N539-M539)/M539,"")</f>
        <v/>
      </c>
      <c r="Q539" s="3">
        <f>IF(P539="","",IF(P539&lt;-0.02,"🔴 Bán phá giá sàn",IF(P539&gt;0.05,"🔵 Bán cao hơn","🟢 Đúng giá sàn TMĐT")))</f>
        <v/>
      </c>
      <c r="R539" s="3" t="n"/>
      <c r="S539" s="4" t="n"/>
      <c r="T539" s="4" t="n"/>
    </row>
    <row r="540">
      <c r="A540" s="3" t="n">
        <v>539</v>
      </c>
      <c r="B540" s="3" t="inlineStr">
        <is>
          <t>DL003</t>
        </is>
      </c>
      <c r="C540" s="4" t="inlineStr">
        <is>
          <t>CÔNG TY TNHH ĐỒ NGHỀ CẦM TAY PHƯƠNG MY</t>
        </is>
      </c>
      <c r="D540" s="3" t="inlineStr">
        <is>
          <t>HCM</t>
        </is>
      </c>
      <c r="E540" s="3" t="inlineStr">
        <is>
          <t>BẢO TRÂM</t>
        </is>
      </c>
      <c r="F540" s="3" t="inlineStr">
        <is>
          <t>Youtube</t>
        </is>
      </c>
      <c r="G540" s="4" t="inlineStr">
        <is>
          <t>SHOPEE: TIKTOK: LAZADA: WEBSITE BÁN HÀNG: YOUTUBE : https://www.youtube.com/@nguyenchiam2706</t>
        </is>
      </c>
      <c r="H540" s="3" t="inlineStr">
        <is>
          <t>K54M</t>
        </is>
      </c>
      <c r="I540" s="4" t="inlineStr">
        <is>
          <t>Dụng cụ khò gas mini K54M</t>
        </is>
      </c>
      <c r="J540" s="3" t="inlineStr">
        <is>
          <t>Cái</t>
        </is>
      </c>
      <c r="K540" s="5" t="n">
        <v>209000</v>
      </c>
      <c r="L540" s="5" t="n">
        <v>247000</v>
      </c>
      <c r="M540" s="6" t="n">
        <v>303000</v>
      </c>
      <c r="N540" s="5" t="n"/>
      <c r="O540" s="5">
        <f>IF(AND(ISNUMBER(N540),ISNUMBER(M540)),N540-M540,"")</f>
        <v/>
      </c>
      <c r="P540" s="7">
        <f>IF(AND(ISNUMBER(N540),ISNUMBER(M540),M540&gt;0),(N540-M540)/M540,"")</f>
        <v/>
      </c>
      <c r="Q540" s="3">
        <f>IF(P540="","",IF(P540&lt;-0.02,"🔴 Bán phá giá sàn",IF(P540&gt;0.05,"🔵 Bán cao hơn","🟢 Đúng giá sàn TMĐT")))</f>
        <v/>
      </c>
      <c r="R540" s="3" t="n"/>
      <c r="S540" s="4" t="n"/>
      <c r="T540" s="4" t="n"/>
    </row>
    <row r="541">
      <c r="A541" s="3" t="n">
        <v>540</v>
      </c>
      <c r="B541" s="3" t="inlineStr">
        <is>
          <t>DL003</t>
        </is>
      </c>
      <c r="C541" s="4" t="inlineStr">
        <is>
          <t>CÔNG TY TNHH ĐỒ NGHỀ CẦM TAY PHƯƠNG MY</t>
        </is>
      </c>
      <c r="D541" s="3" t="inlineStr">
        <is>
          <t>HCM</t>
        </is>
      </c>
      <c r="E541" s="3" t="inlineStr">
        <is>
          <t>BẢO TRÂM</t>
        </is>
      </c>
      <c r="F541" s="3" t="inlineStr">
        <is>
          <t>Youtube</t>
        </is>
      </c>
      <c r="G541" s="4" t="inlineStr">
        <is>
          <t>SHOPEE: TIKTOK: LAZADA: WEBSITE BÁN HÀNG: YOUTUBE : https://www.youtube.com/@nguyenchiam2706</t>
        </is>
      </c>
      <c r="H541" s="3" t="inlineStr">
        <is>
          <t>KB-1301</t>
        </is>
      </c>
      <c r="I541" s="4" t="inlineStr">
        <is>
          <t>Dụng cụ vát mép (ba via) ống đồng KingBlue, KB-1301</t>
        </is>
      </c>
      <c r="J541" s="3" t="inlineStr">
        <is>
          <t>Cái</t>
        </is>
      </c>
      <c r="K541" s="5" t="n">
        <v>135000</v>
      </c>
      <c r="L541" s="5" t="n">
        <v>159000</v>
      </c>
      <c r="M541" s="6" t="n">
        <v>196000</v>
      </c>
      <c r="N541" s="5" t="n"/>
      <c r="O541" s="5">
        <f>IF(AND(ISNUMBER(N541),ISNUMBER(M541)),N541-M541,"")</f>
        <v/>
      </c>
      <c r="P541" s="7">
        <f>IF(AND(ISNUMBER(N541),ISNUMBER(M541),M541&gt;0),(N541-M541)/M541,"")</f>
        <v/>
      </c>
      <c r="Q541" s="3">
        <f>IF(P541="","",IF(P541&lt;-0.02,"🔴 Bán phá giá sàn",IF(P541&gt;0.05,"🔵 Bán cao hơn","🟢 Đúng giá sàn TMĐT")))</f>
        <v/>
      </c>
      <c r="R541" s="3" t="n"/>
      <c r="S541" s="4" t="n"/>
      <c r="T541" s="4" t="n"/>
    </row>
    <row r="542">
      <c r="A542" s="3" t="n">
        <v>541</v>
      </c>
      <c r="B542" s="3" t="inlineStr">
        <is>
          <t>DL003</t>
        </is>
      </c>
      <c r="C542" s="4" t="inlineStr">
        <is>
          <t>CÔNG TY TNHH ĐỒ NGHỀ CẦM TAY PHƯƠNG MY</t>
        </is>
      </c>
      <c r="D542" s="3" t="inlineStr">
        <is>
          <t>HCM</t>
        </is>
      </c>
      <c r="E542" s="3" t="inlineStr">
        <is>
          <t>BẢO TRÂM</t>
        </is>
      </c>
      <c r="F542" s="3" t="inlineStr">
        <is>
          <t>Youtube</t>
        </is>
      </c>
      <c r="G542" s="4" t="inlineStr">
        <is>
          <t>SHOPEE: TIKTOK: LAZADA: WEBSITE BÁN HÀNG: YOUTUBE : https://www.youtube.com/@nguyenchiam2706</t>
        </is>
      </c>
      <c r="H542" s="3" t="inlineStr">
        <is>
          <t>K45M</t>
        </is>
      </c>
      <c r="I542" s="4" t="inlineStr">
        <is>
          <t>Đầu khò gas K45M</t>
        </is>
      </c>
      <c r="J542" s="3" t="inlineStr">
        <is>
          <t>Cái</t>
        </is>
      </c>
      <c r="K542" s="5" t="n">
        <v>269000</v>
      </c>
      <c r="L542" s="5" t="n">
        <v>317000</v>
      </c>
      <c r="M542" s="6" t="n">
        <v>390000</v>
      </c>
      <c r="N542" s="5" t="n"/>
      <c r="O542" s="5">
        <f>IF(AND(ISNUMBER(N542),ISNUMBER(M542)),N542-M542,"")</f>
        <v/>
      </c>
      <c r="P542" s="7">
        <f>IF(AND(ISNUMBER(N542),ISNUMBER(M542),M542&gt;0),(N542-M542)/M542,"")</f>
        <v/>
      </c>
      <c r="Q542" s="3">
        <f>IF(P542="","",IF(P542&lt;-0.02,"🔴 Bán phá giá sàn",IF(P542&gt;0.05,"🔵 Bán cao hơn","🟢 Đúng giá sàn TMĐT")))</f>
        <v/>
      </c>
      <c r="R542" s="3" t="n"/>
      <c r="S542" s="4" t="n"/>
      <c r="T542" s="4" t="n"/>
    </row>
    <row r="543">
      <c r="A543" s="3" t="n">
        <v>542</v>
      </c>
      <c r="B543" s="3" t="inlineStr">
        <is>
          <t>DL003</t>
        </is>
      </c>
      <c r="C543" s="4" t="inlineStr">
        <is>
          <t>CÔNG TY TNHH ĐỒ NGHỀ CẦM TAY PHƯƠNG MY</t>
        </is>
      </c>
      <c r="D543" s="3" t="inlineStr">
        <is>
          <t>HCM</t>
        </is>
      </c>
      <c r="E543" s="3" t="inlineStr">
        <is>
          <t>BẢO TRÂM</t>
        </is>
      </c>
      <c r="F543" s="3" t="inlineStr">
        <is>
          <t>Youtube</t>
        </is>
      </c>
      <c r="G543" s="4" t="inlineStr">
        <is>
          <t>SHOPEE: TIKTOK: LAZADA: WEBSITE BÁN HÀNG: YOUTUBE : https://www.youtube.com/@nguyenchiam2706</t>
        </is>
      </c>
      <c r="H543" s="3" t="inlineStr">
        <is>
          <t>K49M</t>
        </is>
      </c>
      <c r="I543" s="4" t="inlineStr">
        <is>
          <t>Đầu khò gas K49M</t>
        </is>
      </c>
      <c r="J543" s="3" t="inlineStr">
        <is>
          <t>Cái</t>
        </is>
      </c>
      <c r="K543" s="5" t="n">
        <v>269000</v>
      </c>
      <c r="L543" s="5" t="n">
        <v>317000</v>
      </c>
      <c r="M543" s="6" t="n">
        <v>390000</v>
      </c>
      <c r="N543" s="5" t="n"/>
      <c r="O543" s="5">
        <f>IF(AND(ISNUMBER(N543),ISNUMBER(M543)),N543-M543,"")</f>
        <v/>
      </c>
      <c r="P543" s="7">
        <f>IF(AND(ISNUMBER(N543),ISNUMBER(M543),M543&gt;0),(N543-M543)/M543,"")</f>
        <v/>
      </c>
      <c r="Q543" s="3">
        <f>IF(P543="","",IF(P543&lt;-0.02,"🔴 Bán phá giá sàn",IF(P543&gt;0.05,"🔵 Bán cao hơn","🟢 Đúng giá sàn TMĐT")))</f>
        <v/>
      </c>
      <c r="R543" s="3" t="n"/>
      <c r="S543" s="4" t="n"/>
      <c r="T543" s="4" t="n"/>
    </row>
    <row r="544">
      <c r="A544" s="3" t="n">
        <v>543</v>
      </c>
      <c r="B544" s="3" t="inlineStr">
        <is>
          <t>DL003</t>
        </is>
      </c>
      <c r="C544" s="4" t="inlineStr">
        <is>
          <t>CÔNG TY TNHH ĐỒ NGHỀ CẦM TAY PHƯƠNG MY</t>
        </is>
      </c>
      <c r="D544" s="3" t="inlineStr">
        <is>
          <t>HCM</t>
        </is>
      </c>
      <c r="E544" s="3" t="inlineStr">
        <is>
          <t>BẢO TRÂM</t>
        </is>
      </c>
      <c r="F544" s="3" t="inlineStr">
        <is>
          <t>Youtube</t>
        </is>
      </c>
      <c r="G544" s="4" t="inlineStr">
        <is>
          <t>SHOPEE: TIKTOK: LAZADA: WEBSITE BÁN HÀNG: YOUTUBE : https://www.youtube.com/@nguyenchiam2706</t>
        </is>
      </c>
      <c r="H544" s="3" t="inlineStr"/>
      <c r="I544" s="4" t="inlineStr">
        <is>
          <t>Đầu nạp gas</t>
        </is>
      </c>
      <c r="J544" s="3" t="inlineStr">
        <is>
          <t>Cái</t>
        </is>
      </c>
      <c r="K544" s="5" t="n">
        <v>269000</v>
      </c>
      <c r="L544" s="5" t="n">
        <v>317000</v>
      </c>
      <c r="M544" s="6" t="n">
        <v>390000</v>
      </c>
      <c r="N544" s="5" t="n"/>
      <c r="O544" s="5">
        <f>IF(AND(ISNUMBER(N544),ISNUMBER(M544)),N544-M544,"")</f>
        <v/>
      </c>
      <c r="P544" s="7">
        <f>IF(AND(ISNUMBER(N544),ISNUMBER(M544),M544&gt;0),(N544-M544)/M544,"")</f>
        <v/>
      </c>
      <c r="Q544" s="3">
        <f>IF(P544="","",IF(P544&lt;-0.02,"🔴 Bán phá giá sàn",IF(P544&gt;0.05,"🔵 Bán cao hơn","🟢 Đúng giá sàn TMĐT")))</f>
        <v/>
      </c>
      <c r="R544" s="3" t="n"/>
      <c r="S544" s="4" t="n"/>
      <c r="T544" s="4" t="n"/>
    </row>
    <row r="545">
      <c r="A545" s="3" t="n">
        <v>544</v>
      </c>
      <c r="B545" s="3" t="inlineStr">
        <is>
          <t>DL003</t>
        </is>
      </c>
      <c r="C545" s="4" t="inlineStr">
        <is>
          <t>CÔNG TY TNHH ĐỒ NGHỀ CẦM TAY PHƯƠNG MY</t>
        </is>
      </c>
      <c r="D545" s="3" t="inlineStr">
        <is>
          <t>HCM</t>
        </is>
      </c>
      <c r="E545" s="3" t="inlineStr">
        <is>
          <t>BẢO TRÂM</t>
        </is>
      </c>
      <c r="F545" s="3" t="inlineStr">
        <is>
          <t>Youtube</t>
        </is>
      </c>
      <c r="G545" s="4" t="inlineStr">
        <is>
          <t>SHOPEE: TIKTOK: LAZADA: WEBSITE BÁN HÀNG: YOUTUBE : https://www.youtube.com/@nguyenchiam2706</t>
        </is>
      </c>
      <c r="H545" s="3" t="inlineStr">
        <is>
          <t>LED750</t>
        </is>
      </c>
      <c r="I545" s="4" t="inlineStr">
        <is>
          <t>Đèn Led cài áo LED750</t>
        </is>
      </c>
      <c r="J545" s="3" t="inlineStr">
        <is>
          <t>Cái</t>
        </is>
      </c>
      <c r="K545" s="5" t="n">
        <v>269000</v>
      </c>
      <c r="L545" s="5" t="n">
        <v>317000</v>
      </c>
      <c r="M545" s="6" t="n">
        <v>390000</v>
      </c>
      <c r="N545" s="5" t="n"/>
      <c r="O545" s="5">
        <f>IF(AND(ISNUMBER(N545),ISNUMBER(M545)),N545-M545,"")</f>
        <v/>
      </c>
      <c r="P545" s="7">
        <f>IF(AND(ISNUMBER(N545),ISNUMBER(M545),M545&gt;0),(N545-M545)/M545,"")</f>
        <v/>
      </c>
      <c r="Q545" s="3">
        <f>IF(P545="","",IF(P545&lt;-0.02,"🔴 Bán phá giá sàn",IF(P545&gt;0.05,"🔵 Bán cao hơn","🟢 Đúng giá sàn TMĐT")))</f>
        <v/>
      </c>
      <c r="R545" s="3" t="n"/>
      <c r="S545" s="4" t="n"/>
      <c r="T545" s="4" t="n"/>
    </row>
    <row r="546">
      <c r="A546" s="3" t="n">
        <v>545</v>
      </c>
      <c r="B546" s="3" t="inlineStr">
        <is>
          <t>DL003</t>
        </is>
      </c>
      <c r="C546" s="4" t="inlineStr">
        <is>
          <t>CÔNG TY TNHH ĐỒ NGHỀ CẦM TAY PHƯƠNG MY</t>
        </is>
      </c>
      <c r="D546" s="3" t="inlineStr">
        <is>
          <t>HCM</t>
        </is>
      </c>
      <c r="E546" s="3" t="inlineStr">
        <is>
          <t>BẢO TRÂM</t>
        </is>
      </c>
      <c r="F546" s="3" t="inlineStr">
        <is>
          <t>Youtube</t>
        </is>
      </c>
      <c r="G546" s="4" t="inlineStr">
        <is>
          <t>SHOPEE: TIKTOK: LAZADA: WEBSITE BÁN HÀNG: YOUTUBE : https://www.youtube.com/@nguyenchiam2706</t>
        </is>
      </c>
      <c r="H546" s="3" t="inlineStr">
        <is>
          <t>LED6500</t>
        </is>
      </c>
      <c r="I546" s="4" t="inlineStr">
        <is>
          <t>Đèn Led công trình dùng pin  LED6500</t>
        </is>
      </c>
      <c r="J546" s="3" t="inlineStr">
        <is>
          <t>Cái</t>
        </is>
      </c>
      <c r="K546" s="5" t="n">
        <v>1800000</v>
      </c>
      <c r="L546" s="5" t="n">
        <v>2052000</v>
      </c>
      <c r="M546" s="6" t="n">
        <v>2430000</v>
      </c>
      <c r="N546" s="5" t="n"/>
      <c r="O546" s="5">
        <f>IF(AND(ISNUMBER(N546),ISNUMBER(M546)),N546-M546,"")</f>
        <v/>
      </c>
      <c r="P546" s="7">
        <f>IF(AND(ISNUMBER(N546),ISNUMBER(M546),M546&gt;0),(N546-M546)/M546,"")</f>
        <v/>
      </c>
      <c r="Q546" s="3">
        <f>IF(P546="","",IF(P546&lt;-0.02,"🔴 Bán phá giá sàn",IF(P546&gt;0.05,"🔵 Bán cao hơn","🟢 Đúng giá sàn TMĐT")))</f>
        <v/>
      </c>
      <c r="R546" s="3" t="n"/>
      <c r="S546" s="4" t="n"/>
      <c r="T546" s="4" t="n"/>
    </row>
    <row r="547">
      <c r="A547" s="3" t="n">
        <v>546</v>
      </c>
      <c r="B547" s="3" t="inlineStr">
        <is>
          <t>DL003</t>
        </is>
      </c>
      <c r="C547" s="4" t="inlineStr">
        <is>
          <t>CÔNG TY TNHH ĐỒ NGHỀ CẦM TAY PHƯƠNG MY</t>
        </is>
      </c>
      <c r="D547" s="3" t="inlineStr">
        <is>
          <t>HCM</t>
        </is>
      </c>
      <c r="E547" s="3" t="inlineStr">
        <is>
          <t>BẢO TRÂM</t>
        </is>
      </c>
      <c r="F547" s="3" t="inlineStr">
        <is>
          <t>Youtube</t>
        </is>
      </c>
      <c r="G547" s="4" t="inlineStr">
        <is>
          <t>SHOPEE: TIKTOK: LAZADA: WEBSITE BÁN HÀNG: YOUTUBE : https://www.youtube.com/@nguyenchiam2706</t>
        </is>
      </c>
      <c r="H547" s="3" t="inlineStr">
        <is>
          <t>LED500</t>
        </is>
      </c>
      <c r="I547" s="4" t="inlineStr">
        <is>
          <t>Đèn Led đội đầu LED500</t>
        </is>
      </c>
      <c r="J547" s="3" t="inlineStr">
        <is>
          <t>Cái</t>
        </is>
      </c>
      <c r="K547" s="5" t="n">
        <v>440000</v>
      </c>
      <c r="L547" s="5" t="n">
        <v>502000</v>
      </c>
      <c r="M547" s="6" t="n">
        <v>594000</v>
      </c>
      <c r="N547" s="5" t="n"/>
      <c r="O547" s="5">
        <f>IF(AND(ISNUMBER(N547),ISNUMBER(M547)),N547-M547,"")</f>
        <v/>
      </c>
      <c r="P547" s="7">
        <f>IF(AND(ISNUMBER(N547),ISNUMBER(M547),M547&gt;0),(N547-M547)/M547,"")</f>
        <v/>
      </c>
      <c r="Q547" s="3">
        <f>IF(P547="","",IF(P547&lt;-0.02,"🔴 Bán phá giá sàn",IF(P547&gt;0.05,"🔵 Bán cao hơn","🟢 Đúng giá sàn TMĐT")))</f>
        <v/>
      </c>
      <c r="R547" s="3" t="n"/>
      <c r="S547" s="4" t="n"/>
      <c r="T547" s="4" t="n"/>
    </row>
    <row r="548">
      <c r="A548" s="3" t="n">
        <v>547</v>
      </c>
      <c r="B548" s="3" t="inlineStr">
        <is>
          <t>DL003</t>
        </is>
      </c>
      <c r="C548" s="4" t="inlineStr">
        <is>
          <t>CÔNG TY TNHH ĐỒ NGHỀ CẦM TAY PHƯƠNG MY</t>
        </is>
      </c>
      <c r="D548" s="3" t="inlineStr">
        <is>
          <t>HCM</t>
        </is>
      </c>
      <c r="E548" s="3" t="inlineStr">
        <is>
          <t>BẢO TRÂM</t>
        </is>
      </c>
      <c r="F548" s="3" t="inlineStr">
        <is>
          <t>Youtube</t>
        </is>
      </c>
      <c r="G548" s="4" t="inlineStr">
        <is>
          <t>SHOPEE: TIKTOK: LAZADA: WEBSITE BÁN HÀNG: YOUTUBE : https://www.youtube.com/@nguyenchiam2706</t>
        </is>
      </c>
      <c r="H548" s="3" t="inlineStr">
        <is>
          <t>MINI20GKD</t>
        </is>
      </c>
      <c r="I548" s="4" t="inlineStr">
        <is>
          <t>Đinh MINI20GKD</t>
        </is>
      </c>
      <c r="J548" s="3" t="inlineStr">
        <is>
          <t>Cái</t>
        </is>
      </c>
      <c r="K548" s="5" t="n">
        <v>269000</v>
      </c>
      <c r="L548" s="5" t="n">
        <v>317000</v>
      </c>
      <c r="M548" s="6" t="n">
        <v>390000</v>
      </c>
      <c r="N548" s="5" t="n"/>
      <c r="O548" s="5">
        <f>IF(AND(ISNUMBER(N548),ISNUMBER(M548)),N548-M548,"")</f>
        <v/>
      </c>
      <c r="P548" s="7">
        <f>IF(AND(ISNUMBER(N548),ISNUMBER(M548),M548&gt;0),(N548-M548)/M548,"")</f>
        <v/>
      </c>
      <c r="Q548" s="3">
        <f>IF(P548="","",IF(P548&lt;-0.02,"🔴 Bán phá giá sàn",IF(P548&gt;0.05,"🔵 Bán cao hơn","🟢 Đúng giá sàn TMĐT")))</f>
        <v/>
      </c>
      <c r="R548" s="3" t="n"/>
      <c r="S548" s="4" t="n"/>
      <c r="T548" s="4" t="n"/>
    </row>
    <row r="549">
      <c r="A549" s="3" t="n">
        <v>548</v>
      </c>
      <c r="B549" s="3" t="inlineStr">
        <is>
          <t>DL003</t>
        </is>
      </c>
      <c r="C549" s="4" t="inlineStr">
        <is>
          <t>CÔNG TY TNHH ĐỒ NGHỀ CẦM TAY PHƯƠNG MY</t>
        </is>
      </c>
      <c r="D549" s="3" t="inlineStr">
        <is>
          <t>HCM</t>
        </is>
      </c>
      <c r="E549" s="3" t="inlineStr">
        <is>
          <t>BẢO TRÂM</t>
        </is>
      </c>
      <c r="F549" s="3" t="inlineStr">
        <is>
          <t>Youtube</t>
        </is>
      </c>
      <c r="G549" s="4" t="inlineStr">
        <is>
          <t>SHOPEE: TIKTOK: LAZADA: WEBSITE BÁN HÀNG: YOUTUBE : https://www.youtube.com/@nguyenchiam2706</t>
        </is>
      </c>
      <c r="H549" s="3" t="inlineStr"/>
      <c r="I549" s="4" t="inlineStr">
        <is>
          <t>Đinh MINIGJD</t>
        </is>
      </c>
      <c r="J549" s="3" t="inlineStr">
        <is>
          <t>Cái</t>
        </is>
      </c>
      <c r="K549" s="5" t="n">
        <v>269000</v>
      </c>
      <c r="L549" s="5" t="n">
        <v>317000</v>
      </c>
      <c r="M549" s="6" t="n">
        <v>390000</v>
      </c>
      <c r="N549" s="5" t="n"/>
      <c r="O549" s="5">
        <f>IF(AND(ISNUMBER(N549),ISNUMBER(M549)),N549-M549,"")</f>
        <v/>
      </c>
      <c r="P549" s="7">
        <f>IF(AND(ISNUMBER(N549),ISNUMBER(M549),M549&gt;0),(N549-M549)/M549,"")</f>
        <v/>
      </c>
      <c r="Q549" s="3">
        <f>IF(P549="","",IF(P549&lt;-0.02,"🔴 Bán phá giá sàn",IF(P549&gt;0.05,"🔵 Bán cao hơn","🟢 Đúng giá sàn TMĐT")))</f>
        <v/>
      </c>
      <c r="R549" s="3" t="n"/>
      <c r="S549" s="4" t="n"/>
      <c r="T549" s="4" t="n"/>
    </row>
    <row r="550">
      <c r="A550" s="3" t="n">
        <v>549</v>
      </c>
      <c r="B550" s="3" t="inlineStr">
        <is>
          <t>DL003</t>
        </is>
      </c>
      <c r="C550" s="4" t="inlineStr">
        <is>
          <t>CÔNG TY TNHH ĐỒ NGHỀ CẦM TAY PHƯƠNG MY</t>
        </is>
      </c>
      <c r="D550" s="3" t="inlineStr">
        <is>
          <t>HCM</t>
        </is>
      </c>
      <c r="E550" s="3" t="inlineStr">
        <is>
          <t>BẢO TRÂM</t>
        </is>
      </c>
      <c r="F550" s="3" t="inlineStr">
        <is>
          <t>Youtube</t>
        </is>
      </c>
      <c r="G550" s="4" t="inlineStr">
        <is>
          <t>SHOPEE: TIKTOK: LAZADA: WEBSITE BÁN HÀNG: YOUTUBE : https://www.youtube.com/@nguyenchiam2706</t>
        </is>
      </c>
      <c r="H550" s="3" t="inlineStr"/>
      <c r="I550" s="4" t="inlineStr">
        <is>
          <t>Đinh MINISFD</t>
        </is>
      </c>
      <c r="J550" s="3" t="inlineStr">
        <is>
          <t>Cái</t>
        </is>
      </c>
      <c r="K550" s="5" t="n">
        <v>269000</v>
      </c>
      <c r="L550" s="5" t="n">
        <v>317000</v>
      </c>
      <c r="M550" s="6" t="n">
        <v>390000</v>
      </c>
      <c r="N550" s="5" t="n"/>
      <c r="O550" s="5">
        <f>IF(AND(ISNUMBER(N550),ISNUMBER(M550)),N550-M550,"")</f>
        <v/>
      </c>
      <c r="P550" s="7">
        <f>IF(AND(ISNUMBER(N550),ISNUMBER(M550),M550&gt;0),(N550-M550)/M550,"")</f>
        <v/>
      </c>
      <c r="Q550" s="3">
        <f>IF(P550="","",IF(P550&lt;-0.02,"🔴 Bán phá giá sàn",IF(P550&gt;0.05,"🔵 Bán cao hơn","🟢 Đúng giá sàn TMĐT")))</f>
        <v/>
      </c>
      <c r="R550" s="3" t="n"/>
      <c r="S550" s="4" t="n"/>
      <c r="T550" s="4" t="n"/>
    </row>
    <row r="551">
      <c r="A551" s="3" t="n">
        <v>550</v>
      </c>
      <c r="B551" s="3" t="inlineStr">
        <is>
          <t>DL003</t>
        </is>
      </c>
      <c r="C551" s="4" t="inlineStr">
        <is>
          <t>CÔNG TY TNHH ĐỒ NGHỀ CẦM TAY PHƯƠNG MY</t>
        </is>
      </c>
      <c r="D551" s="3" t="inlineStr">
        <is>
          <t>HCM</t>
        </is>
      </c>
      <c r="E551" s="3" t="inlineStr">
        <is>
          <t>BẢO TRÂM</t>
        </is>
      </c>
      <c r="F551" s="3" t="inlineStr">
        <is>
          <t>Youtube</t>
        </is>
      </c>
      <c r="G551" s="4" t="inlineStr">
        <is>
          <t>SHOPEE: TIKTOK: LAZADA: WEBSITE BÁN HÀNG: YOUTUBE : https://www.youtube.com/@nguyenchiam2706</t>
        </is>
      </c>
      <c r="H551" s="3" t="inlineStr">
        <is>
          <t>KIW-600</t>
        </is>
      </c>
      <c r="I551" s="4" t="inlineStr">
        <is>
          <t>Đồng hồ vạn năng điện tử KIW-600</t>
        </is>
      </c>
      <c r="J551" s="3" t="inlineStr">
        <is>
          <t>Cái</t>
        </is>
      </c>
      <c r="K551" s="5" t="n">
        <v>269000</v>
      </c>
      <c r="L551" s="5" t="n">
        <v>317000</v>
      </c>
      <c r="M551" s="6" t="n">
        <v>390000</v>
      </c>
      <c r="N551" s="5" t="n"/>
      <c r="O551" s="5">
        <f>IF(AND(ISNUMBER(N551),ISNUMBER(M551)),N551-M551,"")</f>
        <v/>
      </c>
      <c r="P551" s="7">
        <f>IF(AND(ISNUMBER(N551),ISNUMBER(M551),M551&gt;0),(N551-M551)/M551,"")</f>
        <v/>
      </c>
      <c r="Q551" s="3">
        <f>IF(P551="","",IF(P551&lt;-0.02,"🔴 Bán phá giá sàn",IF(P551&gt;0.05,"🔵 Bán cao hơn","🟢 Đúng giá sàn TMĐT")))</f>
        <v/>
      </c>
      <c r="R551" s="3" t="n"/>
      <c r="S551" s="4" t="n"/>
      <c r="T551" s="4" t="n"/>
    </row>
    <row r="552">
      <c r="A552" s="3" t="n">
        <v>551</v>
      </c>
      <c r="B552" s="3" t="inlineStr">
        <is>
          <t>DL003</t>
        </is>
      </c>
      <c r="C552" s="4" t="inlineStr">
        <is>
          <t>CÔNG TY TNHH ĐỒ NGHỀ CẦM TAY PHƯƠNG MY</t>
        </is>
      </c>
      <c r="D552" s="3" t="inlineStr">
        <is>
          <t>HCM</t>
        </is>
      </c>
      <c r="E552" s="3" t="inlineStr">
        <is>
          <t>BẢO TRÂM</t>
        </is>
      </c>
      <c r="F552" s="3" t="inlineStr">
        <is>
          <t>Youtube</t>
        </is>
      </c>
      <c r="G552" s="4" t="inlineStr">
        <is>
          <t>SHOPEE: TIKTOK: LAZADA: WEBSITE BÁN HÀNG: YOUTUBE : https://www.youtube.com/@nguyenchiam2706</t>
        </is>
      </c>
      <c r="H552" s="3" t="inlineStr">
        <is>
          <t>KFG-1.2/8/11.3</t>
        </is>
      </c>
      <c r="I552" s="4" t="inlineStr">
        <is>
          <t>Ghim KFG-1.2/8/11.3</t>
        </is>
      </c>
      <c r="J552" s="3" t="inlineStr">
        <is>
          <t>Hộp</t>
        </is>
      </c>
      <c r="K552" s="5" t="n">
        <v>52000</v>
      </c>
      <c r="L552" s="5" t="n">
        <v>61000</v>
      </c>
      <c r="M552" s="6" t="n">
        <v>75000</v>
      </c>
      <c r="N552" s="5" t="n"/>
      <c r="O552" s="5">
        <f>IF(AND(ISNUMBER(N552),ISNUMBER(M552)),N552-M552,"")</f>
        <v/>
      </c>
      <c r="P552" s="7">
        <f>IF(AND(ISNUMBER(N552),ISNUMBER(M552),M552&gt;0),(N552-M552)/M552,"")</f>
        <v/>
      </c>
      <c r="Q552" s="3">
        <f>IF(P552="","",IF(P552&lt;-0.02,"🔴 Bán phá giá sàn",IF(P552&gt;0.05,"🔵 Bán cao hơn","🟢 Đúng giá sàn TMĐT")))</f>
        <v/>
      </c>
      <c r="R552" s="3" t="n"/>
      <c r="S552" s="4" t="n"/>
      <c r="T552" s="4" t="n"/>
    </row>
    <row r="553">
      <c r="A553" s="3" t="n">
        <v>552</v>
      </c>
      <c r="B553" s="3" t="inlineStr">
        <is>
          <t>DL003</t>
        </is>
      </c>
      <c r="C553" s="4" t="inlineStr">
        <is>
          <t>CÔNG TY TNHH ĐỒ NGHỀ CẦM TAY PHƯƠNG MY</t>
        </is>
      </c>
      <c r="D553" s="3" t="inlineStr">
        <is>
          <t>HCM</t>
        </is>
      </c>
      <c r="E553" s="3" t="inlineStr">
        <is>
          <t>BẢO TRÂM</t>
        </is>
      </c>
      <c r="F553" s="3" t="inlineStr">
        <is>
          <t>Youtube</t>
        </is>
      </c>
      <c r="G553" s="4" t="inlineStr">
        <is>
          <t>SHOPEE: TIKTOK: LAZADA: WEBSITE BÁN HÀNG: YOUTUBE : https://www.youtube.com/@nguyenchiam2706</t>
        </is>
      </c>
      <c r="H553" s="3" t="inlineStr">
        <is>
          <t>KFG-16/6</t>
        </is>
      </c>
      <c r="I553" s="4" t="inlineStr">
        <is>
          <t>Ghim KFG-16/6</t>
        </is>
      </c>
      <c r="J553" s="3" t="inlineStr">
        <is>
          <t>Hộp</t>
        </is>
      </c>
      <c r="K553" s="5" t="n">
        <v>27000</v>
      </c>
      <c r="L553" s="5" t="n">
        <v>32000</v>
      </c>
      <c r="M553" s="6" t="n">
        <v>39000</v>
      </c>
      <c r="N553" s="5" t="n"/>
      <c r="O553" s="5">
        <f>IF(AND(ISNUMBER(N553),ISNUMBER(M553)),N553-M553,"")</f>
        <v/>
      </c>
      <c r="P553" s="7">
        <f>IF(AND(ISNUMBER(N553),ISNUMBER(M553),M553&gt;0),(N553-M553)/M553,"")</f>
        <v/>
      </c>
      <c r="Q553" s="3">
        <f>IF(P553="","",IF(P553&lt;-0.02,"🔴 Bán phá giá sàn",IF(P553&gt;0.05,"🔵 Bán cao hơn","🟢 Đúng giá sàn TMĐT")))</f>
        <v/>
      </c>
      <c r="R553" s="3" t="n"/>
      <c r="S553" s="4" t="n"/>
      <c r="T553" s="4" t="n"/>
    </row>
    <row r="554">
      <c r="A554" s="3" t="n">
        <v>553</v>
      </c>
      <c r="B554" s="3" t="inlineStr">
        <is>
          <t>DL003</t>
        </is>
      </c>
      <c r="C554" s="4" t="inlineStr">
        <is>
          <t>CÔNG TY TNHH ĐỒ NGHỀ CẦM TAY PHƯƠNG MY</t>
        </is>
      </c>
      <c r="D554" s="3" t="inlineStr">
        <is>
          <t>HCM</t>
        </is>
      </c>
      <c r="E554" s="3" t="inlineStr">
        <is>
          <t>BẢO TRÂM</t>
        </is>
      </c>
      <c r="F554" s="3" t="inlineStr">
        <is>
          <t>Youtube</t>
        </is>
      </c>
      <c r="G554" s="4" t="inlineStr">
        <is>
          <t>SHOPEE: TIKTOK: LAZADA: WEBSITE BÁN HÀNG: YOUTUBE : https://www.youtube.com/@nguyenchiam2706</t>
        </is>
      </c>
      <c r="H554" s="3" t="inlineStr">
        <is>
          <t>KFG-16/8</t>
        </is>
      </c>
      <c r="I554" s="4" t="inlineStr">
        <is>
          <t>Ghim KFG-16/8</t>
        </is>
      </c>
      <c r="J554" s="3" t="inlineStr">
        <is>
          <t>Hộp</t>
        </is>
      </c>
      <c r="K554" s="5" t="n">
        <v>31000</v>
      </c>
      <c r="L554" s="5" t="n">
        <v>37000</v>
      </c>
      <c r="M554" s="6" t="n">
        <v>45000</v>
      </c>
      <c r="N554" s="5" t="n"/>
      <c r="O554" s="5">
        <f>IF(AND(ISNUMBER(N554),ISNUMBER(M554)),N554-M554,"")</f>
        <v/>
      </c>
      <c r="P554" s="7">
        <f>IF(AND(ISNUMBER(N554),ISNUMBER(M554),M554&gt;0),(N554-M554)/M554,"")</f>
        <v/>
      </c>
      <c r="Q554" s="3">
        <f>IF(P554="","",IF(P554&lt;-0.02,"🔴 Bán phá giá sàn",IF(P554&gt;0.05,"🔵 Bán cao hơn","🟢 Đúng giá sàn TMĐT")))</f>
        <v/>
      </c>
      <c r="R554" s="3" t="n"/>
      <c r="S554" s="4" t="n"/>
      <c r="T554" s="4" t="n"/>
    </row>
    <row r="555">
      <c r="A555" s="3" t="n">
        <v>554</v>
      </c>
      <c r="B555" s="3" t="inlineStr">
        <is>
          <t>DL003</t>
        </is>
      </c>
      <c r="C555" s="4" t="inlineStr">
        <is>
          <t>CÔNG TY TNHH ĐỒ NGHỀ CẦM TAY PHƯƠNG MY</t>
        </is>
      </c>
      <c r="D555" s="3" t="inlineStr">
        <is>
          <t>HCM</t>
        </is>
      </c>
      <c r="E555" s="3" t="inlineStr">
        <is>
          <t>BẢO TRÂM</t>
        </is>
      </c>
      <c r="F555" s="3" t="inlineStr">
        <is>
          <t>Youtube</t>
        </is>
      </c>
      <c r="G555" s="4" t="inlineStr">
        <is>
          <t>SHOPEE: TIKTOK: LAZADA: WEBSITE BÁN HÀNG: YOUTUBE : https://www.youtube.com/@nguyenchiam2706</t>
        </is>
      </c>
      <c r="H555" s="3" t="inlineStr">
        <is>
          <t>HKE-924</t>
        </is>
      </c>
      <c r="I555" s="4" t="inlineStr">
        <is>
          <t>Hít gạch điện tử HKE-924</t>
        </is>
      </c>
      <c r="J555" s="3" t="inlineStr">
        <is>
          <t>Cái</t>
        </is>
      </c>
      <c r="K555" s="5" t="n">
        <v>680000</v>
      </c>
      <c r="L555" s="5" t="n">
        <v>789000</v>
      </c>
      <c r="M555" s="6" t="n">
        <v>952000</v>
      </c>
      <c r="N555" s="5" t="n"/>
      <c r="O555" s="5">
        <f>IF(AND(ISNUMBER(N555),ISNUMBER(M555)),N555-M555,"")</f>
        <v/>
      </c>
      <c r="P555" s="7">
        <f>IF(AND(ISNUMBER(N555),ISNUMBER(M555),M555&gt;0),(N555-M555)/M555,"")</f>
        <v/>
      </c>
      <c r="Q555" s="3">
        <f>IF(P555="","",IF(P555&lt;-0.02,"🔴 Bán phá giá sàn",IF(P555&gt;0.05,"🔵 Bán cao hơn","🟢 Đúng giá sàn TMĐT")))</f>
        <v/>
      </c>
      <c r="R555" s="3" t="n"/>
      <c r="S555" s="4" t="n"/>
      <c r="T555" s="4" t="n"/>
    </row>
    <row r="556">
      <c r="A556" s="3" t="n">
        <v>555</v>
      </c>
      <c r="B556" s="3" t="inlineStr">
        <is>
          <t>DL003</t>
        </is>
      </c>
      <c r="C556" s="4" t="inlineStr">
        <is>
          <t>CÔNG TY TNHH ĐỒ NGHỀ CẦM TAY PHƯƠNG MY</t>
        </is>
      </c>
      <c r="D556" s="3" t="inlineStr">
        <is>
          <t>HCM</t>
        </is>
      </c>
      <c r="E556" s="3" t="inlineStr">
        <is>
          <t>BẢO TRÂM</t>
        </is>
      </c>
      <c r="F556" s="3" t="inlineStr">
        <is>
          <t>Youtube</t>
        </is>
      </c>
      <c r="G556" s="4" t="inlineStr">
        <is>
          <t>SHOPEE: TIKTOK: LAZADA: WEBSITE BÁN HÀNG: YOUTUBE : https://www.youtube.com/@nguyenchiam2706</t>
        </is>
      </c>
      <c r="H556" s="3" t="inlineStr">
        <is>
          <t>HKE-200</t>
        </is>
      </c>
      <c r="I556" s="4" t="inlineStr">
        <is>
          <t>Hít kính điện tử HKE-200</t>
        </is>
      </c>
      <c r="J556" s="3" t="inlineStr">
        <is>
          <t>Cái</t>
        </is>
      </c>
      <c r="K556" s="5" t="n">
        <v>583000</v>
      </c>
      <c r="L556" s="5" t="n">
        <v>676000</v>
      </c>
      <c r="M556" s="6" t="n">
        <v>816000</v>
      </c>
      <c r="N556" s="5" t="n"/>
      <c r="O556" s="5">
        <f>IF(AND(ISNUMBER(N556),ISNUMBER(M556)),N556-M556,"")</f>
        <v/>
      </c>
      <c r="P556" s="7">
        <f>IF(AND(ISNUMBER(N556),ISNUMBER(M556),M556&gt;0),(N556-M556)/M556,"")</f>
        <v/>
      </c>
      <c r="Q556" s="3">
        <f>IF(P556="","",IF(P556&lt;-0.02,"🔴 Bán phá giá sàn",IF(P556&gt;0.05,"🔵 Bán cao hơn","🟢 Đúng giá sàn TMĐT")))</f>
        <v/>
      </c>
      <c r="R556" s="3" t="n"/>
      <c r="S556" s="4" t="n"/>
      <c r="T556" s="4" t="n"/>
    </row>
    <row r="557">
      <c r="A557" s="3" t="n">
        <v>556</v>
      </c>
      <c r="B557" s="3" t="inlineStr">
        <is>
          <t>DL003</t>
        </is>
      </c>
      <c r="C557" s="4" t="inlineStr">
        <is>
          <t>CÔNG TY TNHH ĐỒ NGHỀ CẦM TAY PHƯƠNG MY</t>
        </is>
      </c>
      <c r="D557" s="3" t="inlineStr">
        <is>
          <t>HCM</t>
        </is>
      </c>
      <c r="E557" s="3" t="inlineStr">
        <is>
          <t>BẢO TRÂM</t>
        </is>
      </c>
      <c r="F557" s="3" t="inlineStr">
        <is>
          <t>Youtube</t>
        </is>
      </c>
      <c r="G557" s="4" t="inlineStr">
        <is>
          <t>SHOPEE: TIKTOK: LAZADA: WEBSITE BÁN HÀNG: YOUTUBE : https://www.youtube.com/@nguyenchiam2706</t>
        </is>
      </c>
      <c r="H557" s="3" t="inlineStr">
        <is>
          <t>HK2-130</t>
        </is>
      </c>
      <c r="I557" s="4" t="inlineStr">
        <is>
          <t>Hít kính HK2-130</t>
        </is>
      </c>
      <c r="J557" s="3" t="inlineStr">
        <is>
          <t>Cái</t>
        </is>
      </c>
      <c r="K557" s="5" t="n">
        <v>308000</v>
      </c>
      <c r="L557" s="5" t="n">
        <v>364000</v>
      </c>
      <c r="M557" s="6" t="n">
        <v>447000</v>
      </c>
      <c r="N557" s="5" t="n"/>
      <c r="O557" s="5">
        <f>IF(AND(ISNUMBER(N557),ISNUMBER(M557)),N557-M557,"")</f>
        <v/>
      </c>
      <c r="P557" s="7">
        <f>IF(AND(ISNUMBER(N557),ISNUMBER(M557),M557&gt;0),(N557-M557)/M557,"")</f>
        <v/>
      </c>
      <c r="Q557" s="3">
        <f>IF(P557="","",IF(P557&lt;-0.02,"🔴 Bán phá giá sàn",IF(P557&gt;0.05,"🔵 Bán cao hơn","🟢 Đúng giá sàn TMĐT")))</f>
        <v/>
      </c>
      <c r="R557" s="3" t="n"/>
      <c r="S557" s="4" t="n"/>
      <c r="T557" s="4" t="n"/>
    </row>
    <row r="558">
      <c r="A558" s="3" t="n">
        <v>557</v>
      </c>
      <c r="B558" s="3" t="inlineStr">
        <is>
          <t>DL003</t>
        </is>
      </c>
      <c r="C558" s="4" t="inlineStr">
        <is>
          <t>CÔNG TY TNHH ĐỒ NGHỀ CẦM TAY PHƯƠNG MY</t>
        </is>
      </c>
      <c r="D558" s="3" t="inlineStr">
        <is>
          <t>HCM</t>
        </is>
      </c>
      <c r="E558" s="3" t="inlineStr">
        <is>
          <t>BẢO TRÂM</t>
        </is>
      </c>
      <c r="F558" s="3" t="inlineStr">
        <is>
          <t>Youtube</t>
        </is>
      </c>
      <c r="G558" s="4" t="inlineStr">
        <is>
          <t>SHOPEE: TIKTOK: LAZADA: WEBSITE BÁN HÀNG: YOUTUBE : https://www.youtube.com/@nguyenchiam2706</t>
        </is>
      </c>
      <c r="H558" s="3" t="inlineStr">
        <is>
          <t>KPQ-32</t>
        </is>
      </c>
      <c r="I558" s="4" t="inlineStr">
        <is>
          <t>Kéo cắt góc nẹp điện KPQ-32</t>
        </is>
      </c>
      <c r="J558" s="3" t="inlineStr">
        <is>
          <t>Cái</t>
        </is>
      </c>
      <c r="K558" s="5" t="n">
        <v>163000</v>
      </c>
      <c r="L558" s="5" t="n">
        <v>192000</v>
      </c>
      <c r="M558" s="6" t="n">
        <v>236000</v>
      </c>
      <c r="N558" s="5" t="n"/>
      <c r="O558" s="5">
        <f>IF(AND(ISNUMBER(N558),ISNUMBER(M558)),N558-M558,"")</f>
        <v/>
      </c>
      <c r="P558" s="7">
        <f>IF(AND(ISNUMBER(N558),ISNUMBER(M558),M558&gt;0),(N558-M558)/M558,"")</f>
        <v/>
      </c>
      <c r="Q558" s="3">
        <f>IF(P558="","",IF(P558&lt;-0.02,"🔴 Bán phá giá sàn",IF(P558&gt;0.05,"🔵 Bán cao hơn","🟢 Đúng giá sàn TMĐT")))</f>
        <v/>
      </c>
      <c r="R558" s="3" t="n"/>
      <c r="S558" s="4" t="n"/>
      <c r="T558" s="4" t="n"/>
    </row>
    <row r="559">
      <c r="A559" s="3" t="n">
        <v>558</v>
      </c>
      <c r="B559" s="3" t="inlineStr">
        <is>
          <t>DL003</t>
        </is>
      </c>
      <c r="C559" s="4" t="inlineStr">
        <is>
          <t>CÔNG TY TNHH ĐỒ NGHỀ CẦM TAY PHƯƠNG MY</t>
        </is>
      </c>
      <c r="D559" s="3" t="inlineStr">
        <is>
          <t>HCM</t>
        </is>
      </c>
      <c r="E559" s="3" t="inlineStr">
        <is>
          <t>BẢO TRÂM</t>
        </is>
      </c>
      <c r="F559" s="3" t="inlineStr">
        <is>
          <t>Youtube</t>
        </is>
      </c>
      <c r="G559" s="4" t="inlineStr">
        <is>
          <t>SHOPEE: TIKTOK: LAZADA: WEBSITE BÁN HÀNG: YOUTUBE : https://www.youtube.com/@nguyenchiam2706</t>
        </is>
      </c>
      <c r="H559" s="3" t="inlineStr">
        <is>
          <t>KPC-132</t>
        </is>
      </c>
      <c r="I559" s="4" t="inlineStr">
        <is>
          <t>Kéo cắt ống KPC-132</t>
        </is>
      </c>
      <c r="J559" s="3" t="inlineStr">
        <is>
          <t>Cái</t>
        </is>
      </c>
      <c r="K559" s="5" t="n">
        <v>101000</v>
      </c>
      <c r="L559" s="5" t="n">
        <v>119000</v>
      </c>
      <c r="M559" s="6" t="n">
        <v>147000</v>
      </c>
      <c r="N559" s="5" t="n"/>
      <c r="O559" s="5">
        <f>IF(AND(ISNUMBER(N559),ISNUMBER(M559)),N559-M559,"")</f>
        <v/>
      </c>
      <c r="P559" s="7">
        <f>IF(AND(ISNUMBER(N559),ISNUMBER(M559),M559&gt;0),(N559-M559)/M559,"")</f>
        <v/>
      </c>
      <c r="Q559" s="3">
        <f>IF(P559="","",IF(P559&lt;-0.02,"🔴 Bán phá giá sàn",IF(P559&gt;0.05,"🔵 Bán cao hơn","🟢 Đúng giá sàn TMĐT")))</f>
        <v/>
      </c>
      <c r="R559" s="3" t="n"/>
      <c r="S559" s="4" t="n"/>
      <c r="T559" s="4" t="n"/>
    </row>
    <row r="560">
      <c r="A560" s="3" t="n">
        <v>559</v>
      </c>
      <c r="B560" s="3" t="inlineStr">
        <is>
          <t>DL003</t>
        </is>
      </c>
      <c r="C560" s="4" t="inlineStr">
        <is>
          <t>CÔNG TY TNHH ĐỒ NGHỀ CẦM TAY PHƯƠNG MY</t>
        </is>
      </c>
      <c r="D560" s="3" t="inlineStr">
        <is>
          <t>HCM</t>
        </is>
      </c>
      <c r="E560" s="3" t="inlineStr">
        <is>
          <t>BẢO TRÂM</t>
        </is>
      </c>
      <c r="F560" s="3" t="inlineStr">
        <is>
          <t>Youtube</t>
        </is>
      </c>
      <c r="G560" s="4" t="inlineStr">
        <is>
          <t>SHOPEE: TIKTOK: LAZADA: WEBSITE BÁN HÀNG: YOUTUBE : https://www.youtube.com/@nguyenchiam2706</t>
        </is>
      </c>
      <c r="H560" s="3" t="inlineStr">
        <is>
          <t>KPC-164</t>
        </is>
      </c>
      <c r="I560" s="4" t="inlineStr">
        <is>
          <t>Kéo cắt ống KPC-164</t>
        </is>
      </c>
      <c r="J560" s="3" t="inlineStr">
        <is>
          <t>Cái</t>
        </is>
      </c>
      <c r="K560" s="5" t="n">
        <v>262000</v>
      </c>
      <c r="L560" s="5" t="n">
        <v>309000</v>
      </c>
      <c r="M560" s="6" t="n">
        <v>380000</v>
      </c>
      <c r="N560" s="5" t="n"/>
      <c r="O560" s="5">
        <f>IF(AND(ISNUMBER(N560),ISNUMBER(M560)),N560-M560,"")</f>
        <v/>
      </c>
      <c r="P560" s="7">
        <f>IF(AND(ISNUMBER(N560),ISNUMBER(M560),M560&gt;0),(N560-M560)/M560,"")</f>
        <v/>
      </c>
      <c r="Q560" s="3">
        <f>IF(P560="","",IF(P560&lt;-0.02,"🔴 Bán phá giá sàn",IF(P560&gt;0.05,"🔵 Bán cao hơn","🟢 Đúng giá sàn TMĐT")))</f>
        <v/>
      </c>
      <c r="R560" s="3" t="n"/>
      <c r="S560" s="4" t="n"/>
      <c r="T560" s="4" t="n"/>
    </row>
    <row r="561">
      <c r="A561" s="3" t="n">
        <v>560</v>
      </c>
      <c r="B561" s="3" t="inlineStr">
        <is>
          <t>DL003</t>
        </is>
      </c>
      <c r="C561" s="4" t="inlineStr">
        <is>
          <t>CÔNG TY TNHH ĐỒ NGHỀ CẦM TAY PHƯƠNG MY</t>
        </is>
      </c>
      <c r="D561" s="3" t="inlineStr">
        <is>
          <t>HCM</t>
        </is>
      </c>
      <c r="E561" s="3" t="inlineStr">
        <is>
          <t>BẢO TRÂM</t>
        </is>
      </c>
      <c r="F561" s="3" t="inlineStr">
        <is>
          <t>Youtube</t>
        </is>
      </c>
      <c r="G561" s="4" t="inlineStr">
        <is>
          <t>SHOPEE: TIKTOK: LAZADA: WEBSITE BÁN HÀNG: YOUTUBE : https://www.youtube.com/@nguyenchiam2706</t>
        </is>
      </c>
      <c r="H561" s="3" t="inlineStr">
        <is>
          <t>KPC-242</t>
        </is>
      </c>
      <c r="I561" s="4" t="inlineStr">
        <is>
          <t>Kéo cắt ống KPC-242</t>
        </is>
      </c>
      <c r="J561" s="3" t="inlineStr">
        <is>
          <t>Cái</t>
        </is>
      </c>
      <c r="K561" s="5" t="n">
        <v>172000</v>
      </c>
      <c r="L561" s="5" t="n">
        <v>203000</v>
      </c>
      <c r="M561" s="6" t="n">
        <v>249000</v>
      </c>
      <c r="N561" s="5" t="n"/>
      <c r="O561" s="5">
        <f>IF(AND(ISNUMBER(N561),ISNUMBER(M561)),N561-M561,"")</f>
        <v/>
      </c>
      <c r="P561" s="7">
        <f>IF(AND(ISNUMBER(N561),ISNUMBER(M561),M561&gt;0),(N561-M561)/M561,"")</f>
        <v/>
      </c>
      <c r="Q561" s="3">
        <f>IF(P561="","",IF(P561&lt;-0.02,"🔴 Bán phá giá sàn",IF(P561&gt;0.05,"🔵 Bán cao hơn","🟢 Đúng giá sàn TMĐT")))</f>
        <v/>
      </c>
      <c r="R561" s="3" t="n"/>
      <c r="S561" s="4" t="n"/>
      <c r="T561" s="4" t="n"/>
    </row>
    <row r="562">
      <c r="A562" s="3" t="n">
        <v>561</v>
      </c>
      <c r="B562" s="3" t="inlineStr">
        <is>
          <t>DL003</t>
        </is>
      </c>
      <c r="C562" s="4" t="inlineStr">
        <is>
          <t>CÔNG TY TNHH ĐỒ NGHỀ CẦM TAY PHƯƠNG MY</t>
        </is>
      </c>
      <c r="D562" s="3" t="inlineStr">
        <is>
          <t>HCM</t>
        </is>
      </c>
      <c r="E562" s="3" t="inlineStr">
        <is>
          <t>BẢO TRÂM</t>
        </is>
      </c>
      <c r="F562" s="3" t="inlineStr">
        <is>
          <t>Youtube</t>
        </is>
      </c>
      <c r="G562" s="4" t="inlineStr">
        <is>
          <t>SHOPEE: TIKTOK: LAZADA: WEBSITE BÁN HÀNG: YOUTUBE : https://www.youtube.com/@nguyenchiam2706</t>
        </is>
      </c>
      <c r="H562" s="3" t="inlineStr">
        <is>
          <t>QC1</t>
        </is>
      </c>
      <c r="I562" s="4" t="inlineStr">
        <is>
          <t>Kéo cắt trái cây QC1</t>
        </is>
      </c>
      <c r="J562" s="3" t="inlineStr">
        <is>
          <t>Cái</t>
        </is>
      </c>
      <c r="K562" s="5" t="n">
        <v>38000</v>
      </c>
      <c r="L562" s="5" t="n">
        <v>45000</v>
      </c>
      <c r="M562" s="6" t="n">
        <v>55000</v>
      </c>
      <c r="N562" s="5" t="n"/>
      <c r="O562" s="5">
        <f>IF(AND(ISNUMBER(N562),ISNUMBER(M562)),N562-M562,"")</f>
        <v/>
      </c>
      <c r="P562" s="7">
        <f>IF(AND(ISNUMBER(N562),ISNUMBER(M562),M562&gt;0),(N562-M562)/M562,"")</f>
        <v/>
      </c>
      <c r="Q562" s="3">
        <f>IF(P562="","",IF(P562&lt;-0.02,"🔴 Bán phá giá sàn",IF(P562&gt;0.05,"🔵 Bán cao hơn","🟢 Đúng giá sàn TMĐT")))</f>
        <v/>
      </c>
      <c r="R562" s="3" t="n"/>
      <c r="S562" s="4" t="n"/>
      <c r="T562" s="4" t="n"/>
    </row>
    <row r="563">
      <c r="A563" s="3" t="n">
        <v>562</v>
      </c>
      <c r="B563" s="3" t="inlineStr">
        <is>
          <t>DL003</t>
        </is>
      </c>
      <c r="C563" s="4" t="inlineStr">
        <is>
          <t>CÔNG TY TNHH ĐỒ NGHỀ CẦM TAY PHƯƠNG MY</t>
        </is>
      </c>
      <c r="D563" s="3" t="inlineStr">
        <is>
          <t>HCM</t>
        </is>
      </c>
      <c r="E563" s="3" t="inlineStr">
        <is>
          <t>BẢO TRÂM</t>
        </is>
      </c>
      <c r="F563" s="3" t="inlineStr">
        <is>
          <t>Youtube</t>
        </is>
      </c>
      <c r="G563" s="4" t="inlineStr">
        <is>
          <t>SHOPEE: TIKTOK: LAZADA: WEBSITE BÁN HÀNG: YOUTUBE : https://www.youtube.com/@nguyenchiam2706</t>
        </is>
      </c>
      <c r="H563" s="3" t="inlineStr">
        <is>
          <t>QC2</t>
        </is>
      </c>
      <c r="I563" s="4" t="inlineStr">
        <is>
          <t>Kéo cắt trái cây QC2</t>
        </is>
      </c>
      <c r="J563" s="3" t="inlineStr">
        <is>
          <t>Cái</t>
        </is>
      </c>
      <c r="K563" s="5" t="n">
        <v>65000</v>
      </c>
      <c r="L563" s="5" t="n">
        <v>77000</v>
      </c>
      <c r="M563" s="6" t="n">
        <v>94000</v>
      </c>
      <c r="N563" s="5" t="n"/>
      <c r="O563" s="5">
        <f>IF(AND(ISNUMBER(N563),ISNUMBER(M563)),N563-M563,"")</f>
        <v/>
      </c>
      <c r="P563" s="7">
        <f>IF(AND(ISNUMBER(N563),ISNUMBER(M563),M563&gt;0),(N563-M563)/M563,"")</f>
        <v/>
      </c>
      <c r="Q563" s="3">
        <f>IF(P563="","",IF(P563&lt;-0.02,"🔴 Bán phá giá sàn",IF(P563&gt;0.05,"🔵 Bán cao hơn","🟢 Đúng giá sàn TMĐT")))</f>
        <v/>
      </c>
      <c r="R563" s="3" t="n"/>
      <c r="S563" s="4" t="n"/>
      <c r="T563" s="4" t="n"/>
    </row>
    <row r="564">
      <c r="A564" s="3" t="n">
        <v>563</v>
      </c>
      <c r="B564" s="3" t="inlineStr">
        <is>
          <t>DL003</t>
        </is>
      </c>
      <c r="C564" s="4" t="inlineStr">
        <is>
          <t>CÔNG TY TNHH ĐỒ NGHỀ CẦM TAY PHƯƠNG MY</t>
        </is>
      </c>
      <c r="D564" s="3" t="inlineStr">
        <is>
          <t>HCM</t>
        </is>
      </c>
      <c r="E564" s="3" t="inlineStr">
        <is>
          <t>BẢO TRÂM</t>
        </is>
      </c>
      <c r="F564" s="3" t="inlineStr">
        <is>
          <t>Youtube</t>
        </is>
      </c>
      <c r="G564" s="4" t="inlineStr">
        <is>
          <t>SHOPEE: TIKTOK: LAZADA: WEBSITE BÁN HÀNG: YOUTUBE : https://www.youtube.com/@nguyenchiam2706</t>
        </is>
      </c>
      <c r="H564" s="3" t="inlineStr">
        <is>
          <t>NG107</t>
        </is>
      </c>
      <c r="I564" s="4" t="inlineStr">
        <is>
          <t>Kích nâng gạch NG107</t>
        </is>
      </c>
      <c r="J564" s="3" t="inlineStr">
        <is>
          <t>Cái</t>
        </is>
      </c>
      <c r="K564" s="5" t="n">
        <v>105000</v>
      </c>
      <c r="L564" s="5" t="n">
        <v>124000</v>
      </c>
      <c r="M564" s="6" t="n">
        <v>152000</v>
      </c>
      <c r="N564" s="5" t="n"/>
      <c r="O564" s="5">
        <f>IF(AND(ISNUMBER(N564),ISNUMBER(M564)),N564-M564,"")</f>
        <v/>
      </c>
      <c r="P564" s="7">
        <f>IF(AND(ISNUMBER(N564),ISNUMBER(M564),M564&gt;0),(N564-M564)/M564,"")</f>
        <v/>
      </c>
      <c r="Q564" s="3">
        <f>IF(P564="","",IF(P564&lt;-0.02,"🔴 Bán phá giá sàn",IF(P564&gt;0.05,"🔵 Bán cao hơn","🟢 Đúng giá sàn TMĐT")))</f>
        <v/>
      </c>
      <c r="R564" s="3" t="n"/>
      <c r="S564" s="4" t="n"/>
      <c r="T564" s="4" t="n"/>
    </row>
    <row r="565">
      <c r="A565" s="3" t="n">
        <v>564</v>
      </c>
      <c r="B565" s="3" t="inlineStr">
        <is>
          <t>DL003</t>
        </is>
      </c>
      <c r="C565" s="4" t="inlineStr">
        <is>
          <t>CÔNG TY TNHH ĐỒ NGHỀ CẦM TAY PHƯƠNG MY</t>
        </is>
      </c>
      <c r="D565" s="3" t="inlineStr">
        <is>
          <t>HCM</t>
        </is>
      </c>
      <c r="E565" s="3" t="inlineStr">
        <is>
          <t>BẢO TRÂM</t>
        </is>
      </c>
      <c r="F565" s="3" t="inlineStr">
        <is>
          <t>Youtube</t>
        </is>
      </c>
      <c r="G565" s="4" t="inlineStr">
        <is>
          <t>SHOPEE: TIKTOK: LAZADA: WEBSITE BÁN HÀNG: YOUTUBE : https://www.youtube.com/@nguyenchiam2706</t>
        </is>
      </c>
      <c r="H565" s="3" t="inlineStr">
        <is>
          <t>KND150</t>
        </is>
      </c>
      <c r="I565" s="4" t="inlineStr">
        <is>
          <t>Kìm cắt chân mạch đa năng KND150</t>
        </is>
      </c>
      <c r="J565" s="3" t="inlineStr">
        <is>
          <t>Cái</t>
        </is>
      </c>
      <c r="K565" s="5" t="n">
        <v>64000</v>
      </c>
      <c r="L565" s="5" t="n">
        <v>76000</v>
      </c>
      <c r="M565" s="6" t="n">
        <v>93000</v>
      </c>
      <c r="N565" s="5" t="n"/>
      <c r="O565" s="5">
        <f>IF(AND(ISNUMBER(N565),ISNUMBER(M565)),N565-M565,"")</f>
        <v/>
      </c>
      <c r="P565" s="7">
        <f>IF(AND(ISNUMBER(N565),ISNUMBER(M565),M565&gt;0),(N565-M565)/M565,"")</f>
        <v/>
      </c>
      <c r="Q565" s="3">
        <f>IF(P565="","",IF(P565&lt;-0.02,"🔴 Bán phá giá sàn",IF(P565&gt;0.05,"🔵 Bán cao hơn","🟢 Đúng giá sàn TMĐT")))</f>
        <v/>
      </c>
      <c r="R565" s="3" t="n"/>
      <c r="S565" s="4" t="n"/>
      <c r="T565" s="4" t="n"/>
    </row>
    <row r="566">
      <c r="A566" s="3" t="n">
        <v>565</v>
      </c>
      <c r="B566" s="3" t="inlineStr">
        <is>
          <t>DL003</t>
        </is>
      </c>
      <c r="C566" s="4" t="inlineStr">
        <is>
          <t>CÔNG TY TNHH ĐỒ NGHỀ CẦM TAY PHƯƠNG MY</t>
        </is>
      </c>
      <c r="D566" s="3" t="inlineStr">
        <is>
          <t>HCM</t>
        </is>
      </c>
      <c r="E566" s="3" t="inlineStr">
        <is>
          <t>BẢO TRÂM</t>
        </is>
      </c>
      <c r="F566" s="3" t="inlineStr">
        <is>
          <t>Youtube</t>
        </is>
      </c>
      <c r="G566" s="4" t="inlineStr">
        <is>
          <t>SHOPEE: TIKTOK: LAZADA: WEBSITE BÁN HÀNG: YOUTUBE : https://www.youtube.com/@nguyenchiam2706</t>
        </is>
      </c>
      <c r="H566" s="3" t="inlineStr">
        <is>
          <t>KC3-09</t>
        </is>
      </c>
      <c r="I566" s="4" t="inlineStr">
        <is>
          <t>Kìm cắt đa năng KC3-09</t>
        </is>
      </c>
      <c r="J566" s="3" t="inlineStr">
        <is>
          <t>Cái</t>
        </is>
      </c>
      <c r="K566" s="5" t="n">
        <v>269000</v>
      </c>
      <c r="L566" s="5" t="n">
        <v>317000</v>
      </c>
      <c r="M566" s="6" t="n">
        <v>390000</v>
      </c>
      <c r="N566" s="5" t="n"/>
      <c r="O566" s="5">
        <f>IF(AND(ISNUMBER(N566),ISNUMBER(M566)),N566-M566,"")</f>
        <v/>
      </c>
      <c r="P566" s="7">
        <f>IF(AND(ISNUMBER(N566),ISNUMBER(M566),M566&gt;0),(N566-M566)/M566,"")</f>
        <v/>
      </c>
      <c r="Q566" s="3">
        <f>IF(P566="","",IF(P566&lt;-0.02,"🔴 Bán phá giá sàn",IF(P566&gt;0.05,"🔵 Bán cao hơn","🟢 Đúng giá sàn TMĐT")))</f>
        <v/>
      </c>
      <c r="R566" s="3" t="n"/>
      <c r="S566" s="4" t="n"/>
      <c r="T566" s="4" t="n"/>
    </row>
    <row r="567">
      <c r="A567" s="3" t="n">
        <v>566</v>
      </c>
      <c r="B567" s="3" t="inlineStr">
        <is>
          <t>DL003</t>
        </is>
      </c>
      <c r="C567" s="4" t="inlineStr">
        <is>
          <t>CÔNG TY TNHH ĐỒ NGHỀ CẦM TAY PHƯƠNG MY</t>
        </is>
      </c>
      <c r="D567" s="3" t="inlineStr">
        <is>
          <t>HCM</t>
        </is>
      </c>
      <c r="E567" s="3" t="inlineStr">
        <is>
          <t>BẢO TRÂM</t>
        </is>
      </c>
      <c r="F567" s="3" t="inlineStr">
        <is>
          <t>Youtube</t>
        </is>
      </c>
      <c r="G567" s="4" t="inlineStr">
        <is>
          <t>SHOPEE: TIKTOK: LAZADA: WEBSITE BÁN HÀNG: YOUTUBE : https://www.youtube.com/@nguyenchiam2706</t>
        </is>
      </c>
      <c r="H567" s="3" t="inlineStr">
        <is>
          <t>KND200</t>
        </is>
      </c>
      <c r="I567" s="4" t="inlineStr">
        <is>
          <t>Kìm cắt tuốt đa năng 5 in1 KND200</t>
        </is>
      </c>
      <c r="J567" s="3" t="inlineStr">
        <is>
          <t>Cái</t>
        </is>
      </c>
      <c r="K567" s="5" t="n">
        <v>72000</v>
      </c>
      <c r="L567" s="5" t="n">
        <v>85000</v>
      </c>
      <c r="M567" s="6" t="n">
        <v>104000</v>
      </c>
      <c r="N567" s="5" t="n"/>
      <c r="O567" s="5">
        <f>IF(AND(ISNUMBER(N567),ISNUMBER(M567)),N567-M567,"")</f>
        <v/>
      </c>
      <c r="P567" s="7">
        <f>IF(AND(ISNUMBER(N567),ISNUMBER(M567),M567&gt;0),(N567-M567)/M567,"")</f>
        <v/>
      </c>
      <c r="Q567" s="3">
        <f>IF(P567="","",IF(P567&lt;-0.02,"🔴 Bán phá giá sàn",IF(P567&gt;0.05,"🔵 Bán cao hơn","🟢 Đúng giá sàn TMĐT")))</f>
        <v/>
      </c>
      <c r="R567" s="3" t="n"/>
      <c r="S567" s="4" t="n"/>
      <c r="T567" s="4" t="n"/>
    </row>
    <row r="568">
      <c r="A568" s="3" t="n">
        <v>567</v>
      </c>
      <c r="B568" s="3" t="inlineStr">
        <is>
          <t>DL003</t>
        </is>
      </c>
      <c r="C568" s="4" t="inlineStr">
        <is>
          <t>CÔNG TY TNHH ĐỒ NGHỀ CẦM TAY PHƯƠNG MY</t>
        </is>
      </c>
      <c r="D568" s="3" t="inlineStr">
        <is>
          <t>HCM</t>
        </is>
      </c>
      <c r="E568" s="3" t="inlineStr">
        <is>
          <t>BẢO TRÂM</t>
        </is>
      </c>
      <c r="F568" s="3" t="inlineStr">
        <is>
          <t>Youtube</t>
        </is>
      </c>
      <c r="G568" s="4" t="inlineStr">
        <is>
          <t>SHOPEE: TIKTOK: LAZADA: WEBSITE BÁN HÀNG: YOUTUBE : https://www.youtube.com/@nguyenchiam2706</t>
        </is>
      </c>
      <c r="H568" s="3" t="inlineStr"/>
      <c r="I568" s="4" t="inlineStr">
        <is>
          <t>Kìm cong phe ngoài KCE 180</t>
        </is>
      </c>
      <c r="J568" s="3" t="inlineStr">
        <is>
          <t>Cái</t>
        </is>
      </c>
      <c r="K568" s="5" t="n">
        <v>269000</v>
      </c>
      <c r="L568" s="5" t="n">
        <v>317000</v>
      </c>
      <c r="M568" s="6" t="n">
        <v>390000</v>
      </c>
      <c r="N568" s="5" t="n"/>
      <c r="O568" s="5">
        <f>IF(AND(ISNUMBER(N568),ISNUMBER(M568)),N568-M568,"")</f>
        <v/>
      </c>
      <c r="P568" s="7">
        <f>IF(AND(ISNUMBER(N568),ISNUMBER(M568),M568&gt;0),(N568-M568)/M568,"")</f>
        <v/>
      </c>
      <c r="Q568" s="3">
        <f>IF(P568="","",IF(P568&lt;-0.02,"🔴 Bán phá giá sàn",IF(P568&gt;0.05,"🔵 Bán cao hơn","🟢 Đúng giá sàn TMĐT")))</f>
        <v/>
      </c>
      <c r="R568" s="3" t="n"/>
      <c r="S568" s="4" t="n"/>
      <c r="T568" s="4" t="n"/>
    </row>
    <row r="569">
      <c r="A569" s="3" t="n">
        <v>568</v>
      </c>
      <c r="B569" s="3" t="inlineStr">
        <is>
          <t>DL003</t>
        </is>
      </c>
      <c r="C569" s="4" t="inlineStr">
        <is>
          <t>CÔNG TY TNHH ĐỒ NGHỀ CẦM TAY PHƯƠNG MY</t>
        </is>
      </c>
      <c r="D569" s="3" t="inlineStr">
        <is>
          <t>HCM</t>
        </is>
      </c>
      <c r="E569" s="3" t="inlineStr">
        <is>
          <t>BẢO TRÂM</t>
        </is>
      </c>
      <c r="F569" s="3" t="inlineStr">
        <is>
          <t>Youtube</t>
        </is>
      </c>
      <c r="G569" s="4" t="inlineStr">
        <is>
          <t>SHOPEE: TIKTOK: LAZADA: WEBSITE BÁN HÀNG: YOUTUBE : https://www.youtube.com/@nguyenchiam2706</t>
        </is>
      </c>
      <c r="H569" s="3" t="inlineStr"/>
      <c r="I569" s="4" t="inlineStr">
        <is>
          <t>Kìm cong phe trong KCD 180</t>
        </is>
      </c>
      <c r="J569" s="3" t="inlineStr">
        <is>
          <t>Cái</t>
        </is>
      </c>
      <c r="K569" s="5" t="n">
        <v>269000</v>
      </c>
      <c r="L569" s="5" t="n">
        <v>317000</v>
      </c>
      <c r="M569" s="6" t="n">
        <v>390000</v>
      </c>
      <c r="N569" s="5" t="n"/>
      <c r="O569" s="5">
        <f>IF(AND(ISNUMBER(N569),ISNUMBER(M569)),N569-M569,"")</f>
        <v/>
      </c>
      <c r="P569" s="7">
        <f>IF(AND(ISNUMBER(N569),ISNUMBER(M569),M569&gt;0),(N569-M569)/M569,"")</f>
        <v/>
      </c>
      <c r="Q569" s="3">
        <f>IF(P569="","",IF(P569&lt;-0.02,"🔴 Bán phá giá sàn",IF(P569&gt;0.05,"🔵 Bán cao hơn","🟢 Đúng giá sàn TMĐT")))</f>
        <v/>
      </c>
      <c r="R569" s="3" t="n"/>
      <c r="S569" s="4" t="n"/>
      <c r="T569" s="4" t="n"/>
    </row>
    <row r="570">
      <c r="A570" s="3" t="n">
        <v>569</v>
      </c>
      <c r="B570" s="3" t="inlineStr">
        <is>
          <t>DL003</t>
        </is>
      </c>
      <c r="C570" s="4" t="inlineStr">
        <is>
          <t>CÔNG TY TNHH ĐỒ NGHỀ CẦM TAY PHƯƠNG MY</t>
        </is>
      </c>
      <c r="D570" s="3" t="inlineStr">
        <is>
          <t>HCM</t>
        </is>
      </c>
      <c r="E570" s="3" t="inlineStr">
        <is>
          <t>BẢO TRÂM</t>
        </is>
      </c>
      <c r="F570" s="3" t="inlineStr">
        <is>
          <t>Youtube</t>
        </is>
      </c>
      <c r="G570" s="4" t="inlineStr">
        <is>
          <t>SHOPEE: TIKTOK: LAZADA: WEBSITE BÁN HÀNG: YOUTUBE : https://www.youtube.com/@nguyenchiam2706</t>
        </is>
      </c>
      <c r="H570" s="3" t="inlineStr">
        <is>
          <t>KS2-250</t>
        </is>
      </c>
      <c r="I570" s="4" t="inlineStr">
        <is>
          <t>Kìm chết KS2-250</t>
        </is>
      </c>
      <c r="J570" s="3" t="inlineStr">
        <is>
          <t>Cái</t>
        </is>
      </c>
      <c r="K570" s="5" t="n">
        <v>149000</v>
      </c>
      <c r="L570" s="5" t="n">
        <v>176000</v>
      </c>
      <c r="M570" s="6" t="n">
        <v>216000</v>
      </c>
      <c r="N570" s="5" t="n"/>
      <c r="O570" s="5">
        <f>IF(AND(ISNUMBER(N570),ISNUMBER(M570)),N570-M570,"")</f>
        <v/>
      </c>
      <c r="P570" s="7">
        <f>IF(AND(ISNUMBER(N570),ISNUMBER(M570),M570&gt;0),(N570-M570)/M570,"")</f>
        <v/>
      </c>
      <c r="Q570" s="3">
        <f>IF(P570="","",IF(P570&lt;-0.02,"🔴 Bán phá giá sàn",IF(P570&gt;0.05,"🔵 Bán cao hơn","🟢 Đúng giá sàn TMĐT")))</f>
        <v/>
      </c>
      <c r="R570" s="3" t="n"/>
      <c r="S570" s="4" t="n"/>
      <c r="T570" s="4" t="n"/>
    </row>
    <row r="571">
      <c r="A571" s="3" t="n">
        <v>570</v>
      </c>
      <c r="B571" s="3" t="inlineStr">
        <is>
          <t>DL003</t>
        </is>
      </c>
      <c r="C571" s="4" t="inlineStr">
        <is>
          <t>CÔNG TY TNHH ĐỒ NGHỀ CẦM TAY PHƯƠNG MY</t>
        </is>
      </c>
      <c r="D571" s="3" t="inlineStr">
        <is>
          <t>HCM</t>
        </is>
      </c>
      <c r="E571" s="3" t="inlineStr">
        <is>
          <t>BẢO TRÂM</t>
        </is>
      </c>
      <c r="F571" s="3" t="inlineStr">
        <is>
          <t>Youtube</t>
        </is>
      </c>
      <c r="G571" s="4" t="inlineStr">
        <is>
          <t>SHOPEE: TIKTOK: LAZADA: WEBSITE BÁN HÀNG: YOUTUBE : https://www.youtube.com/@nguyenchiam2706</t>
        </is>
      </c>
      <c r="H571" s="3" t="inlineStr">
        <is>
          <t>KS4-260</t>
        </is>
      </c>
      <c r="I571" s="4" t="inlineStr">
        <is>
          <t>Kìm chết ngàm rộng 4 chế độ KS4-260</t>
        </is>
      </c>
      <c r="J571" s="3" t="inlineStr">
        <is>
          <t>Cái</t>
        </is>
      </c>
      <c r="K571" s="5" t="n">
        <v>270000</v>
      </c>
      <c r="L571" s="5" t="n">
        <v>319000</v>
      </c>
      <c r="M571" s="6" t="n">
        <v>392000</v>
      </c>
      <c r="N571" s="5" t="n"/>
      <c r="O571" s="5">
        <f>IF(AND(ISNUMBER(N571),ISNUMBER(M571)),N571-M571,"")</f>
        <v/>
      </c>
      <c r="P571" s="7">
        <f>IF(AND(ISNUMBER(N571),ISNUMBER(M571),M571&gt;0),(N571-M571)/M571,"")</f>
        <v/>
      </c>
      <c r="Q571" s="3">
        <f>IF(P571="","",IF(P571&lt;-0.02,"🔴 Bán phá giá sàn",IF(P571&gt;0.05,"🔵 Bán cao hơn","🟢 Đúng giá sàn TMĐT")))</f>
        <v/>
      </c>
      <c r="R571" s="3" t="n"/>
      <c r="S571" s="4" t="n"/>
      <c r="T571" s="4" t="n"/>
    </row>
    <row r="572">
      <c r="A572" s="3" t="n">
        <v>571</v>
      </c>
      <c r="B572" s="3" t="inlineStr">
        <is>
          <t>DL003</t>
        </is>
      </c>
      <c r="C572" s="4" t="inlineStr">
        <is>
          <t>CÔNG TY TNHH ĐỒ NGHỀ CẦM TAY PHƯƠNG MY</t>
        </is>
      </c>
      <c r="D572" s="3" t="inlineStr">
        <is>
          <t>HCM</t>
        </is>
      </c>
      <c r="E572" s="3" t="inlineStr">
        <is>
          <t>BẢO TRÂM</t>
        </is>
      </c>
      <c r="F572" s="3" t="inlineStr">
        <is>
          <t>Youtube</t>
        </is>
      </c>
      <c r="G572" s="4" t="inlineStr">
        <is>
          <t>SHOPEE: TIKTOK: LAZADA: WEBSITE BÁN HÀNG: YOUTUBE : https://www.youtube.com/@nguyenchiam2706</t>
        </is>
      </c>
      <c r="H572" s="3" t="inlineStr">
        <is>
          <t>KC1-09</t>
        </is>
      </c>
      <c r="I572" s="4" t="inlineStr">
        <is>
          <t>Kìm điện đa năng KC1-09</t>
        </is>
      </c>
      <c r="J572" s="3" t="inlineStr">
        <is>
          <t>Cái</t>
        </is>
      </c>
      <c r="K572" s="5" t="n">
        <v>127000</v>
      </c>
      <c r="L572" s="5" t="n">
        <v>150000</v>
      </c>
      <c r="M572" s="6" t="n">
        <v>184000</v>
      </c>
      <c r="N572" s="5" t="n"/>
      <c r="O572" s="5">
        <f>IF(AND(ISNUMBER(N572),ISNUMBER(M572)),N572-M572,"")</f>
        <v/>
      </c>
      <c r="P572" s="7">
        <f>IF(AND(ISNUMBER(N572),ISNUMBER(M572),M572&gt;0),(N572-M572)/M572,"")</f>
        <v/>
      </c>
      <c r="Q572" s="3">
        <f>IF(P572="","",IF(P572&lt;-0.02,"🔴 Bán phá giá sàn",IF(P572&gt;0.05,"🔵 Bán cao hơn","🟢 Đúng giá sàn TMĐT")))</f>
        <v/>
      </c>
      <c r="R572" s="3" t="n"/>
      <c r="S572" s="4" t="n"/>
      <c r="T572" s="4" t="n"/>
    </row>
    <row r="573">
      <c r="A573" s="3" t="n">
        <v>572</v>
      </c>
      <c r="B573" s="3" t="inlineStr">
        <is>
          <t>DL003</t>
        </is>
      </c>
      <c r="C573" s="4" t="inlineStr">
        <is>
          <t>CÔNG TY TNHH ĐỒ NGHỀ CẦM TAY PHƯƠNG MY</t>
        </is>
      </c>
      <c r="D573" s="3" t="inlineStr">
        <is>
          <t>HCM</t>
        </is>
      </c>
      <c r="E573" s="3" t="inlineStr">
        <is>
          <t>BẢO TRÂM</t>
        </is>
      </c>
      <c r="F573" s="3" t="inlineStr">
        <is>
          <t>Youtube</t>
        </is>
      </c>
      <c r="G573" s="4" t="inlineStr">
        <is>
          <t>SHOPEE: TIKTOK: LAZADA: WEBSITE BÁN HÀNG: YOUTUBE : https://www.youtube.com/@nguyenchiam2706</t>
        </is>
      </c>
      <c r="H573" s="3" t="inlineStr">
        <is>
          <t>KC2-09</t>
        </is>
      </c>
      <c r="I573" s="4" t="inlineStr">
        <is>
          <t>Kìm mỏ nhọn đa năng KC2-09</t>
        </is>
      </c>
      <c r="J573" s="3" t="inlineStr">
        <is>
          <t>Cái</t>
        </is>
      </c>
      <c r="K573" s="5" t="n">
        <v>127000</v>
      </c>
      <c r="L573" s="5" t="n">
        <v>150000</v>
      </c>
      <c r="M573" s="6" t="n">
        <v>184000</v>
      </c>
      <c r="N573" s="5" t="n"/>
      <c r="O573" s="5">
        <f>IF(AND(ISNUMBER(N573),ISNUMBER(M573)),N573-M573,"")</f>
        <v/>
      </c>
      <c r="P573" s="7">
        <f>IF(AND(ISNUMBER(N573),ISNUMBER(M573),M573&gt;0),(N573-M573)/M573,"")</f>
        <v/>
      </c>
      <c r="Q573" s="3">
        <f>IF(P573="","",IF(P573&lt;-0.02,"🔴 Bán phá giá sàn",IF(P573&gt;0.05,"🔵 Bán cao hơn","🟢 Đúng giá sàn TMĐT")))</f>
        <v/>
      </c>
      <c r="R573" s="3" t="n"/>
      <c r="S573" s="4" t="n"/>
      <c r="T573" s="4" t="n"/>
    </row>
    <row r="574">
      <c r="A574" s="3" t="n">
        <v>573</v>
      </c>
      <c r="B574" s="3" t="inlineStr">
        <is>
          <t>DL003</t>
        </is>
      </c>
      <c r="C574" s="4" t="inlineStr">
        <is>
          <t>CÔNG TY TNHH ĐỒ NGHỀ CẦM TAY PHƯƠNG MY</t>
        </is>
      </c>
      <c r="D574" s="3" t="inlineStr">
        <is>
          <t>HCM</t>
        </is>
      </c>
      <c r="E574" s="3" t="inlineStr">
        <is>
          <t>BẢO TRÂM</t>
        </is>
      </c>
      <c r="F574" s="3" t="inlineStr">
        <is>
          <t>Youtube</t>
        </is>
      </c>
      <c r="G574" s="4" t="inlineStr">
        <is>
          <t>SHOPEE: TIKTOK: LAZADA: WEBSITE BÁN HÀNG: YOUTUBE : https://www.youtube.com/@nguyenchiam2706</t>
        </is>
      </c>
      <c r="H574" s="3" t="inlineStr">
        <is>
          <t>KC4-300</t>
        </is>
      </c>
      <c r="I574" s="4" t="inlineStr">
        <is>
          <t>Kìm mỏ quạ KC4-300</t>
        </is>
      </c>
      <c r="J574" s="3" t="inlineStr">
        <is>
          <t>Cái</t>
        </is>
      </c>
      <c r="K574" s="5" t="n">
        <v>193000</v>
      </c>
      <c r="L574" s="5" t="n">
        <v>228000</v>
      </c>
      <c r="M574" s="6" t="n">
        <v>280000</v>
      </c>
      <c r="N574" s="5" t="n"/>
      <c r="O574" s="5">
        <f>IF(AND(ISNUMBER(N574),ISNUMBER(M574)),N574-M574,"")</f>
        <v/>
      </c>
      <c r="P574" s="7">
        <f>IF(AND(ISNUMBER(N574),ISNUMBER(M574),M574&gt;0),(N574-M574)/M574,"")</f>
        <v/>
      </c>
      <c r="Q574" s="3">
        <f>IF(P574="","",IF(P574&lt;-0.02,"🔴 Bán phá giá sàn",IF(P574&gt;0.05,"🔵 Bán cao hơn","🟢 Đúng giá sàn TMĐT")))</f>
        <v/>
      </c>
      <c r="R574" s="3" t="n"/>
      <c r="S574" s="4" t="n"/>
      <c r="T574" s="4" t="n"/>
    </row>
    <row r="575">
      <c r="A575" s="3" t="n">
        <v>574</v>
      </c>
      <c r="B575" s="3" t="inlineStr">
        <is>
          <t>DL003</t>
        </is>
      </c>
      <c r="C575" s="4" t="inlineStr">
        <is>
          <t>CÔNG TY TNHH ĐỒ NGHỀ CẦM TAY PHƯƠNG MY</t>
        </is>
      </c>
      <c r="D575" s="3" t="inlineStr">
        <is>
          <t>HCM</t>
        </is>
      </c>
      <c r="E575" s="3" t="inlineStr">
        <is>
          <t>BẢO TRÂM</t>
        </is>
      </c>
      <c r="F575" s="3" t="inlineStr">
        <is>
          <t>Youtube</t>
        </is>
      </c>
      <c r="G575" s="4" t="inlineStr">
        <is>
          <t>SHOPEE: TIKTOK: LAZADA: WEBSITE BÁN HÀNG: YOUTUBE : https://www.youtube.com/@nguyenchiam2706</t>
        </is>
      </c>
      <c r="H575" s="3" t="inlineStr">
        <is>
          <t>KJ-230</t>
        </is>
      </c>
      <c r="I575" s="4" t="inlineStr">
        <is>
          <t>Kìm rút đinh công nghiệp KJ-230</t>
        </is>
      </c>
      <c r="J575" s="3" t="inlineStr">
        <is>
          <t>Cái</t>
        </is>
      </c>
      <c r="K575" s="5" t="n">
        <v>249000</v>
      </c>
      <c r="L575" s="5" t="n">
        <v>294000</v>
      </c>
      <c r="M575" s="6" t="n">
        <v>361000</v>
      </c>
      <c r="N575" s="5" t="n"/>
      <c r="O575" s="5">
        <f>IF(AND(ISNUMBER(N575),ISNUMBER(M575)),N575-M575,"")</f>
        <v/>
      </c>
      <c r="P575" s="7">
        <f>IF(AND(ISNUMBER(N575),ISNUMBER(M575),M575&gt;0),(N575-M575)/M575,"")</f>
        <v/>
      </c>
      <c r="Q575" s="3">
        <f>IF(P575="","",IF(P575&lt;-0.02,"🔴 Bán phá giá sàn",IF(P575&gt;0.05,"🔵 Bán cao hơn","🟢 Đúng giá sàn TMĐT")))</f>
        <v/>
      </c>
      <c r="R575" s="3" t="n"/>
      <c r="S575" s="4" t="n"/>
      <c r="T575" s="4" t="n"/>
    </row>
    <row r="576">
      <c r="A576" s="3" t="n">
        <v>575</v>
      </c>
      <c r="B576" s="3" t="inlineStr">
        <is>
          <t>DL003</t>
        </is>
      </c>
      <c r="C576" s="4" t="inlineStr">
        <is>
          <t>CÔNG TY TNHH ĐỒ NGHỀ CẦM TAY PHƯƠNG MY</t>
        </is>
      </c>
      <c r="D576" s="3" t="inlineStr">
        <is>
          <t>HCM</t>
        </is>
      </c>
      <c r="E576" s="3" t="inlineStr">
        <is>
          <t>BẢO TRÂM</t>
        </is>
      </c>
      <c r="F576" s="3" t="inlineStr">
        <is>
          <t>Youtube</t>
        </is>
      </c>
      <c r="G576" s="4" t="inlineStr">
        <is>
          <t>SHOPEE: TIKTOK: LAZADA: WEBSITE BÁN HÀNG: YOUTUBE : https://www.youtube.com/@nguyenchiam2706</t>
        </is>
      </c>
      <c r="H576" s="3" t="inlineStr">
        <is>
          <t>KJ-103</t>
        </is>
      </c>
      <c r="I576" s="4" t="inlineStr">
        <is>
          <t>Kìm rút đinh KJ-103</t>
        </is>
      </c>
      <c r="J576" s="3" t="inlineStr">
        <is>
          <t>Cái</t>
        </is>
      </c>
      <c r="K576" s="5" t="n">
        <v>94000</v>
      </c>
      <c r="L576" s="5" t="n">
        <v>111000</v>
      </c>
      <c r="M576" s="6" t="n">
        <v>136000</v>
      </c>
      <c r="N576" s="5" t="n"/>
      <c r="O576" s="5">
        <f>IF(AND(ISNUMBER(N576),ISNUMBER(M576)),N576-M576,"")</f>
        <v/>
      </c>
      <c r="P576" s="7">
        <f>IF(AND(ISNUMBER(N576),ISNUMBER(M576),M576&gt;0),(N576-M576)/M576,"")</f>
        <v/>
      </c>
      <c r="Q576" s="3">
        <f>IF(P576="","",IF(P576&lt;-0.02,"🔴 Bán phá giá sàn",IF(P576&gt;0.05,"🔵 Bán cao hơn","🟢 Đúng giá sàn TMĐT")))</f>
        <v/>
      </c>
      <c r="R576" s="3" t="n"/>
      <c r="S576" s="4" t="n"/>
      <c r="T576" s="4" t="n"/>
    </row>
    <row r="577">
      <c r="A577" s="3" t="n">
        <v>576</v>
      </c>
      <c r="B577" s="3" t="inlineStr">
        <is>
          <t>DL003</t>
        </is>
      </c>
      <c r="C577" s="4" t="inlineStr">
        <is>
          <t>CÔNG TY TNHH ĐỒ NGHỀ CẦM TAY PHƯƠNG MY</t>
        </is>
      </c>
      <c r="D577" s="3" t="inlineStr">
        <is>
          <t>HCM</t>
        </is>
      </c>
      <c r="E577" s="3" t="inlineStr">
        <is>
          <t>BẢO TRÂM</t>
        </is>
      </c>
      <c r="F577" s="3" t="inlineStr">
        <is>
          <t>Youtube</t>
        </is>
      </c>
      <c r="G577" s="4" t="inlineStr">
        <is>
          <t>SHOPEE: TIKTOK: LAZADA: WEBSITE BÁN HÀNG: YOUTUBE : https://www.youtube.com/@nguyenchiam2706</t>
        </is>
      </c>
      <c r="H577" s="3" t="inlineStr">
        <is>
          <t>KJ-105</t>
        </is>
      </c>
      <c r="I577" s="4" t="inlineStr">
        <is>
          <t>Kìm rút đinh rút KJ-105</t>
        </is>
      </c>
      <c r="J577" s="3" t="inlineStr">
        <is>
          <t>Cái</t>
        </is>
      </c>
      <c r="K577" s="5" t="n">
        <v>154000</v>
      </c>
      <c r="L577" s="5" t="n">
        <v>182000</v>
      </c>
      <c r="M577" s="6" t="n">
        <v>223000</v>
      </c>
      <c r="N577" s="5" t="n"/>
      <c r="O577" s="5">
        <f>IF(AND(ISNUMBER(N577),ISNUMBER(M577)),N577-M577,"")</f>
        <v/>
      </c>
      <c r="P577" s="7">
        <f>IF(AND(ISNUMBER(N577),ISNUMBER(M577),M577&gt;0),(N577-M577)/M577,"")</f>
        <v/>
      </c>
      <c r="Q577" s="3">
        <f>IF(P577="","",IF(P577&lt;-0.02,"🔴 Bán phá giá sàn",IF(P577&gt;0.05,"🔵 Bán cao hơn","🟢 Đúng giá sàn TMĐT")))</f>
        <v/>
      </c>
      <c r="R577" s="3" t="n"/>
      <c r="S577" s="4" t="n"/>
      <c r="T577" s="4" t="n"/>
    </row>
    <row r="578">
      <c r="A578" s="3" t="n">
        <v>577</v>
      </c>
      <c r="B578" s="3" t="inlineStr">
        <is>
          <t>DL003</t>
        </is>
      </c>
      <c r="C578" s="4" t="inlineStr">
        <is>
          <t>CÔNG TY TNHH ĐỒ NGHỀ CẦM TAY PHƯƠNG MY</t>
        </is>
      </c>
      <c r="D578" s="3" t="inlineStr">
        <is>
          <t>HCM</t>
        </is>
      </c>
      <c r="E578" s="3" t="inlineStr">
        <is>
          <t>BẢO TRÂM</t>
        </is>
      </c>
      <c r="F578" s="3" t="inlineStr">
        <is>
          <t>Youtube</t>
        </is>
      </c>
      <c r="G578" s="4" t="inlineStr">
        <is>
          <t>SHOPEE: TIKTOK: LAZADA: WEBSITE BÁN HÀNG: YOUTUBE : https://www.youtube.com/@nguyenchiam2706</t>
        </is>
      </c>
      <c r="H578" s="3" t="inlineStr">
        <is>
          <t>KJ-104</t>
        </is>
      </c>
      <c r="I578" s="4" t="inlineStr">
        <is>
          <t>Kìm rút đinh rút trợ lực KJ-104</t>
        </is>
      </c>
      <c r="J578" s="3" t="inlineStr">
        <is>
          <t>Cái</t>
        </is>
      </c>
      <c r="K578" s="5" t="n">
        <v>204000</v>
      </c>
      <c r="L578" s="5" t="n">
        <v>241000</v>
      </c>
      <c r="M578" s="6" t="n">
        <v>296000</v>
      </c>
      <c r="N578" s="5" t="n"/>
      <c r="O578" s="5">
        <f>IF(AND(ISNUMBER(N578),ISNUMBER(M578)),N578-M578,"")</f>
        <v/>
      </c>
      <c r="P578" s="7">
        <f>IF(AND(ISNUMBER(N578),ISNUMBER(M578),M578&gt;0),(N578-M578)/M578,"")</f>
        <v/>
      </c>
      <c r="Q578" s="3">
        <f>IF(P578="","",IF(P578&lt;-0.02,"🔴 Bán phá giá sàn",IF(P578&gt;0.05,"🔵 Bán cao hơn","🟢 Đúng giá sàn TMĐT")))</f>
        <v/>
      </c>
      <c r="R578" s="3" t="n"/>
      <c r="S578" s="4" t="n"/>
      <c r="T578" s="4" t="n"/>
    </row>
    <row r="579">
      <c r="A579" s="3" t="n">
        <v>578</v>
      </c>
      <c r="B579" s="3" t="inlineStr">
        <is>
          <t>DL003</t>
        </is>
      </c>
      <c r="C579" s="4" t="inlineStr">
        <is>
          <t>CÔNG TY TNHH ĐỒ NGHỀ CẦM TAY PHƯƠNG MY</t>
        </is>
      </c>
      <c r="D579" s="3" t="inlineStr">
        <is>
          <t>HCM</t>
        </is>
      </c>
      <c r="E579" s="3" t="inlineStr">
        <is>
          <t>BẢO TRÂM</t>
        </is>
      </c>
      <c r="F579" s="3" t="inlineStr">
        <is>
          <t>Youtube</t>
        </is>
      </c>
      <c r="G579" s="4" t="inlineStr">
        <is>
          <t>SHOPEE: TIKTOK: LAZADA: WEBSITE BÁN HÀNG: YOUTUBE : https://www.youtube.com/@nguyenchiam2706</t>
        </is>
      </c>
      <c r="H579" s="3" t="inlineStr">
        <is>
          <t>KND180</t>
        </is>
      </c>
      <c r="I579" s="4" t="inlineStr">
        <is>
          <t>Kìm tuốt dây điện đa năng KND180</t>
        </is>
      </c>
      <c r="J579" s="3" t="inlineStr">
        <is>
          <t>Cái</t>
        </is>
      </c>
      <c r="K579" s="5" t="n">
        <v>127000</v>
      </c>
      <c r="L579" s="5" t="n">
        <v>150000</v>
      </c>
      <c r="M579" s="6" t="n">
        <v>184000</v>
      </c>
      <c r="N579" s="5" t="n"/>
      <c r="O579" s="5">
        <f>IF(AND(ISNUMBER(N579),ISNUMBER(M579)),N579-M579,"")</f>
        <v/>
      </c>
      <c r="P579" s="7">
        <f>IF(AND(ISNUMBER(N579),ISNUMBER(M579),M579&gt;0),(N579-M579)/M579,"")</f>
        <v/>
      </c>
      <c r="Q579" s="3">
        <f>IF(P579="","",IF(P579&lt;-0.02,"🔴 Bán phá giá sàn",IF(P579&gt;0.05,"🔵 Bán cao hơn","🟢 Đúng giá sàn TMĐT")))</f>
        <v/>
      </c>
      <c r="R579" s="3" t="n"/>
      <c r="S579" s="4" t="n"/>
      <c r="T579" s="4" t="n"/>
    </row>
    <row r="580">
      <c r="A580" s="3" t="n">
        <v>579</v>
      </c>
      <c r="B580" s="3" t="inlineStr">
        <is>
          <t>DL003</t>
        </is>
      </c>
      <c r="C580" s="4" t="inlineStr">
        <is>
          <t>CÔNG TY TNHH ĐỒ NGHỀ CẦM TAY PHƯƠNG MY</t>
        </is>
      </c>
      <c r="D580" s="3" t="inlineStr">
        <is>
          <t>HCM</t>
        </is>
      </c>
      <c r="E580" s="3" t="inlineStr">
        <is>
          <t>BẢO TRÂM</t>
        </is>
      </c>
      <c r="F580" s="3" t="inlineStr">
        <is>
          <t>Youtube</t>
        </is>
      </c>
      <c r="G580" s="4" t="inlineStr">
        <is>
          <t>SHOPEE: TIKTOK: LAZADA: WEBSITE BÁN HÀNG: YOUTUBE : https://www.youtube.com/@nguyenchiam2706</t>
        </is>
      </c>
      <c r="H580" s="3" t="inlineStr"/>
      <c r="I580" s="4" t="inlineStr">
        <is>
          <t>Kìm thẳng phe ngoài KCB 180</t>
        </is>
      </c>
      <c r="J580" s="3" t="inlineStr">
        <is>
          <t>Cái</t>
        </is>
      </c>
      <c r="K580" s="5" t="n">
        <v>269000</v>
      </c>
      <c r="L580" s="5" t="n">
        <v>317000</v>
      </c>
      <c r="M580" s="6" t="n">
        <v>390000</v>
      </c>
      <c r="N580" s="5" t="n"/>
      <c r="O580" s="5">
        <f>IF(AND(ISNUMBER(N580),ISNUMBER(M580)),N580-M580,"")</f>
        <v/>
      </c>
      <c r="P580" s="7">
        <f>IF(AND(ISNUMBER(N580),ISNUMBER(M580),M580&gt;0),(N580-M580)/M580,"")</f>
        <v/>
      </c>
      <c r="Q580" s="3">
        <f>IF(P580="","",IF(P580&lt;-0.02,"🔴 Bán phá giá sàn",IF(P580&gt;0.05,"🔵 Bán cao hơn","🟢 Đúng giá sàn TMĐT")))</f>
        <v/>
      </c>
      <c r="R580" s="3" t="n"/>
      <c r="S580" s="4" t="n"/>
      <c r="T580" s="4" t="n"/>
    </row>
    <row r="581">
      <c r="A581" s="3" t="n">
        <v>580</v>
      </c>
      <c r="B581" s="3" t="inlineStr">
        <is>
          <t>DL003</t>
        </is>
      </c>
      <c r="C581" s="4" t="inlineStr">
        <is>
          <t>CÔNG TY TNHH ĐỒ NGHỀ CẦM TAY PHƯƠNG MY</t>
        </is>
      </c>
      <c r="D581" s="3" t="inlineStr">
        <is>
          <t>HCM</t>
        </is>
      </c>
      <c r="E581" s="3" t="inlineStr">
        <is>
          <t>BẢO TRÂM</t>
        </is>
      </c>
      <c r="F581" s="3" t="inlineStr">
        <is>
          <t>Youtube</t>
        </is>
      </c>
      <c r="G581" s="4" t="inlineStr">
        <is>
          <t>SHOPEE: TIKTOK: LAZADA: WEBSITE BÁN HÀNG: YOUTUBE : https://www.youtube.com/@nguyenchiam2706</t>
        </is>
      </c>
      <c r="H581" s="3" t="inlineStr"/>
      <c r="I581" s="4" t="inlineStr">
        <is>
          <t>Kìm thẳng phe trong KCA 180</t>
        </is>
      </c>
      <c r="J581" s="3" t="inlineStr">
        <is>
          <t>Cái</t>
        </is>
      </c>
      <c r="K581" s="5" t="n">
        <v>269000</v>
      </c>
      <c r="L581" s="5" t="n">
        <v>317000</v>
      </c>
      <c r="M581" s="6" t="n">
        <v>390000</v>
      </c>
      <c r="N581" s="5" t="n"/>
      <c r="O581" s="5">
        <f>IF(AND(ISNUMBER(N581),ISNUMBER(M581)),N581-M581,"")</f>
        <v/>
      </c>
      <c r="P581" s="7">
        <f>IF(AND(ISNUMBER(N581),ISNUMBER(M581),M581&gt;0),(N581-M581)/M581,"")</f>
        <v/>
      </c>
      <c r="Q581" s="3">
        <f>IF(P581="","",IF(P581&lt;-0.02,"🔴 Bán phá giá sàn",IF(P581&gt;0.05,"🔵 Bán cao hơn","🟢 Đúng giá sàn TMĐT")))</f>
        <v/>
      </c>
      <c r="R581" s="3" t="n"/>
      <c r="S581" s="4" t="n"/>
      <c r="T581" s="4" t="n"/>
    </row>
    <row r="582">
      <c r="A582" s="3" t="n">
        <v>581</v>
      </c>
      <c r="B582" s="3" t="inlineStr">
        <is>
          <t>DL003</t>
        </is>
      </c>
      <c r="C582" s="4" t="inlineStr">
        <is>
          <t>CÔNG TY TNHH ĐỒ NGHỀ CẦM TAY PHƯƠNG MY</t>
        </is>
      </c>
      <c r="D582" s="3" t="inlineStr">
        <is>
          <t>HCM</t>
        </is>
      </c>
      <c r="E582" s="3" t="inlineStr">
        <is>
          <t>BẢO TRÂM</t>
        </is>
      </c>
      <c r="F582" s="3" t="inlineStr">
        <is>
          <t>Youtube</t>
        </is>
      </c>
      <c r="G582" s="4" t="inlineStr">
        <is>
          <t>SHOPEE: TIKTOK: LAZADA: WEBSITE BÁN HÀNG: YOUTUBE : https://www.youtube.com/@nguyenchiam2706</t>
        </is>
      </c>
      <c r="H582" s="3" t="inlineStr">
        <is>
          <t>KBY3-020CO</t>
        </is>
      </c>
      <c r="I582" s="4" t="inlineStr">
        <is>
          <t>Khoan inox chuôi lục KBY3-020CO</t>
        </is>
      </c>
      <c r="J582" s="3" t="inlineStr">
        <is>
          <t>Vỉ</t>
        </is>
      </c>
      <c r="K582" s="5" t="n">
        <v>28000</v>
      </c>
      <c r="L582" s="5" t="n">
        <v>35000</v>
      </c>
      <c r="M582" s="6" t="n">
        <v>45000</v>
      </c>
      <c r="N582" s="5" t="n"/>
      <c r="O582" s="5">
        <f>IF(AND(ISNUMBER(N582),ISNUMBER(M582)),N582-M582,"")</f>
        <v/>
      </c>
      <c r="P582" s="7">
        <f>IF(AND(ISNUMBER(N582),ISNUMBER(M582),M582&gt;0),(N582-M582)/M582,"")</f>
        <v/>
      </c>
      <c r="Q582" s="3">
        <f>IF(P582="","",IF(P582&lt;-0.02,"🔴 Bán phá giá sàn",IF(P582&gt;0.05,"🔵 Bán cao hơn","🟢 Đúng giá sàn TMĐT")))</f>
        <v/>
      </c>
      <c r="R582" s="3" t="n"/>
      <c r="S582" s="4" t="n"/>
      <c r="T582" s="4" t="n"/>
    </row>
    <row r="583">
      <c r="A583" s="3" t="n">
        <v>582</v>
      </c>
      <c r="B583" s="3" t="inlineStr">
        <is>
          <t>DL003</t>
        </is>
      </c>
      <c r="C583" s="4" t="inlineStr">
        <is>
          <t>CÔNG TY TNHH ĐỒ NGHỀ CẦM TAY PHƯƠNG MY</t>
        </is>
      </c>
      <c r="D583" s="3" t="inlineStr">
        <is>
          <t>HCM</t>
        </is>
      </c>
      <c r="E583" s="3" t="inlineStr">
        <is>
          <t>BẢO TRÂM</t>
        </is>
      </c>
      <c r="F583" s="3" t="inlineStr">
        <is>
          <t>Youtube</t>
        </is>
      </c>
      <c r="G583" s="4" t="inlineStr">
        <is>
          <t>SHOPEE: TIKTOK: LAZADA: WEBSITE BÁN HÀNG: YOUTUBE : https://www.youtube.com/@nguyenchiam2706</t>
        </is>
      </c>
      <c r="H583" s="3" t="inlineStr">
        <is>
          <t>KBY3-025CO</t>
        </is>
      </c>
      <c r="I583" s="4" t="inlineStr">
        <is>
          <t>Khoan inox chuôi lục KBY3-025CO</t>
        </is>
      </c>
      <c r="J583" s="3" t="inlineStr">
        <is>
          <t>Vỉ</t>
        </is>
      </c>
      <c r="K583" s="5" t="n">
        <v>28000</v>
      </c>
      <c r="L583" s="5" t="n">
        <v>35000</v>
      </c>
      <c r="M583" s="6" t="n">
        <v>45000</v>
      </c>
      <c r="N583" s="5" t="n"/>
      <c r="O583" s="5">
        <f>IF(AND(ISNUMBER(N583),ISNUMBER(M583)),N583-M583,"")</f>
        <v/>
      </c>
      <c r="P583" s="7">
        <f>IF(AND(ISNUMBER(N583),ISNUMBER(M583),M583&gt;0),(N583-M583)/M583,"")</f>
        <v/>
      </c>
      <c r="Q583" s="3">
        <f>IF(P583="","",IF(P583&lt;-0.02,"🔴 Bán phá giá sàn",IF(P583&gt;0.05,"🔵 Bán cao hơn","🟢 Đúng giá sàn TMĐT")))</f>
        <v/>
      </c>
      <c r="R583" s="3" t="n"/>
      <c r="S583" s="4" t="n"/>
      <c r="T583" s="4" t="n"/>
    </row>
    <row r="584">
      <c r="A584" s="3" t="n">
        <v>583</v>
      </c>
      <c r="B584" s="3" t="inlineStr">
        <is>
          <t>DL003</t>
        </is>
      </c>
      <c r="C584" s="4" t="inlineStr">
        <is>
          <t>CÔNG TY TNHH ĐỒ NGHỀ CẦM TAY PHƯƠNG MY</t>
        </is>
      </c>
      <c r="D584" s="3" t="inlineStr">
        <is>
          <t>HCM</t>
        </is>
      </c>
      <c r="E584" s="3" t="inlineStr">
        <is>
          <t>BẢO TRÂM</t>
        </is>
      </c>
      <c r="F584" s="3" t="inlineStr">
        <is>
          <t>Youtube</t>
        </is>
      </c>
      <c r="G584" s="4" t="inlineStr">
        <is>
          <t>SHOPEE: TIKTOK: LAZADA: WEBSITE BÁN HÀNG: YOUTUBE : https://www.youtube.com/@nguyenchiam2706</t>
        </is>
      </c>
      <c r="H584" s="3" t="inlineStr">
        <is>
          <t>KBY3-030CO</t>
        </is>
      </c>
      <c r="I584" s="4" t="inlineStr">
        <is>
          <t>Khoan inox chuôi lục KBY3-030CO</t>
        </is>
      </c>
      <c r="J584" s="3" t="inlineStr">
        <is>
          <t>Vỉ</t>
        </is>
      </c>
      <c r="K584" s="5" t="n">
        <v>31000</v>
      </c>
      <c r="L584" s="5" t="n">
        <v>39000</v>
      </c>
      <c r="M584" s="6" t="n">
        <v>50000</v>
      </c>
      <c r="N584" s="5" t="n"/>
      <c r="O584" s="5">
        <f>IF(AND(ISNUMBER(N584),ISNUMBER(M584)),N584-M584,"")</f>
        <v/>
      </c>
      <c r="P584" s="7">
        <f>IF(AND(ISNUMBER(N584),ISNUMBER(M584),M584&gt;0),(N584-M584)/M584,"")</f>
        <v/>
      </c>
      <c r="Q584" s="3">
        <f>IF(P584="","",IF(P584&lt;-0.02,"🔴 Bán phá giá sàn",IF(P584&gt;0.05,"🔵 Bán cao hơn","🟢 Đúng giá sàn TMĐT")))</f>
        <v/>
      </c>
      <c r="R584" s="3" t="n"/>
      <c r="S584" s="4" t="n"/>
      <c r="T584" s="4" t="n"/>
    </row>
    <row r="585">
      <c r="A585" s="3" t="n">
        <v>584</v>
      </c>
      <c r="B585" s="3" t="inlineStr">
        <is>
          <t>DL003</t>
        </is>
      </c>
      <c r="C585" s="4" t="inlineStr">
        <is>
          <t>CÔNG TY TNHH ĐỒ NGHỀ CẦM TAY PHƯƠNG MY</t>
        </is>
      </c>
      <c r="D585" s="3" t="inlineStr">
        <is>
          <t>HCM</t>
        </is>
      </c>
      <c r="E585" s="3" t="inlineStr">
        <is>
          <t>BẢO TRÂM</t>
        </is>
      </c>
      <c r="F585" s="3" t="inlineStr">
        <is>
          <t>Youtube</t>
        </is>
      </c>
      <c r="G585" s="4" t="inlineStr">
        <is>
          <t>SHOPEE: TIKTOK: LAZADA: WEBSITE BÁN HÀNG: YOUTUBE : https://www.youtube.com/@nguyenchiam2706</t>
        </is>
      </c>
      <c r="H585" s="3" t="inlineStr">
        <is>
          <t>KBY3-032CO</t>
        </is>
      </c>
      <c r="I585" s="4" t="inlineStr">
        <is>
          <t>Khoan inox chuôi lục KBY3-032CO</t>
        </is>
      </c>
      <c r="J585" s="3" t="inlineStr">
        <is>
          <t>Vỉ</t>
        </is>
      </c>
      <c r="K585" s="5" t="n">
        <v>35000</v>
      </c>
      <c r="L585" s="5" t="n">
        <v>43000</v>
      </c>
      <c r="M585" s="6" t="n">
        <v>56000</v>
      </c>
      <c r="N585" s="5" t="n"/>
      <c r="O585" s="5">
        <f>IF(AND(ISNUMBER(N585),ISNUMBER(M585)),N585-M585,"")</f>
        <v/>
      </c>
      <c r="P585" s="7">
        <f>IF(AND(ISNUMBER(N585),ISNUMBER(M585),M585&gt;0),(N585-M585)/M585,"")</f>
        <v/>
      </c>
      <c r="Q585" s="3">
        <f>IF(P585="","",IF(P585&lt;-0.02,"🔴 Bán phá giá sàn",IF(P585&gt;0.05,"🔵 Bán cao hơn","🟢 Đúng giá sàn TMĐT")))</f>
        <v/>
      </c>
      <c r="R585" s="3" t="n"/>
      <c r="S585" s="4" t="n"/>
      <c r="T585" s="4" t="n"/>
    </row>
    <row r="586">
      <c r="A586" s="3" t="n">
        <v>585</v>
      </c>
      <c r="B586" s="3" t="inlineStr">
        <is>
          <t>DL003</t>
        </is>
      </c>
      <c r="C586" s="4" t="inlineStr">
        <is>
          <t>CÔNG TY TNHH ĐỒ NGHỀ CẦM TAY PHƯƠNG MY</t>
        </is>
      </c>
      <c r="D586" s="3" t="inlineStr">
        <is>
          <t>HCM</t>
        </is>
      </c>
      <c r="E586" s="3" t="inlineStr">
        <is>
          <t>BẢO TRÂM</t>
        </is>
      </c>
      <c r="F586" s="3" t="inlineStr">
        <is>
          <t>Youtube</t>
        </is>
      </c>
      <c r="G586" s="4" t="inlineStr">
        <is>
          <t>SHOPEE: TIKTOK: LAZADA: WEBSITE BÁN HÀNG: YOUTUBE : https://www.youtube.com/@nguyenchiam2706</t>
        </is>
      </c>
      <c r="H586" s="3" t="inlineStr">
        <is>
          <t>KBY3-035CO</t>
        </is>
      </c>
      <c r="I586" s="4" t="inlineStr">
        <is>
          <t>Khoan inox chuôi lục KBY3-035CO</t>
        </is>
      </c>
      <c r="J586" s="3" t="inlineStr">
        <is>
          <t>Vỉ</t>
        </is>
      </c>
      <c r="K586" s="5" t="n">
        <v>36000</v>
      </c>
      <c r="L586" s="5" t="n">
        <v>45000</v>
      </c>
      <c r="M586" s="6" t="n">
        <v>58000</v>
      </c>
      <c r="N586" s="5" t="n"/>
      <c r="O586" s="5">
        <f>IF(AND(ISNUMBER(N586),ISNUMBER(M586)),N586-M586,"")</f>
        <v/>
      </c>
      <c r="P586" s="7">
        <f>IF(AND(ISNUMBER(N586),ISNUMBER(M586),M586&gt;0),(N586-M586)/M586,"")</f>
        <v/>
      </c>
      <c r="Q586" s="3">
        <f>IF(P586="","",IF(P586&lt;-0.02,"🔴 Bán phá giá sàn",IF(P586&gt;0.05,"🔵 Bán cao hơn","🟢 Đúng giá sàn TMĐT")))</f>
        <v/>
      </c>
      <c r="R586" s="3" t="n"/>
      <c r="S586" s="4" t="n"/>
      <c r="T586" s="4" t="n"/>
    </row>
    <row r="587">
      <c r="A587" s="3" t="n">
        <v>586</v>
      </c>
      <c r="B587" s="3" t="inlineStr">
        <is>
          <t>DL003</t>
        </is>
      </c>
      <c r="C587" s="4" t="inlineStr">
        <is>
          <t>CÔNG TY TNHH ĐỒ NGHỀ CẦM TAY PHƯƠNG MY</t>
        </is>
      </c>
      <c r="D587" s="3" t="inlineStr">
        <is>
          <t>HCM</t>
        </is>
      </c>
      <c r="E587" s="3" t="inlineStr">
        <is>
          <t>BẢO TRÂM</t>
        </is>
      </c>
      <c r="F587" s="3" t="inlineStr">
        <is>
          <t>Youtube</t>
        </is>
      </c>
      <c r="G587" s="4" t="inlineStr">
        <is>
          <t>SHOPEE: TIKTOK: LAZADA: WEBSITE BÁN HÀNG: YOUTUBE : https://www.youtube.com/@nguyenchiam2706</t>
        </is>
      </c>
      <c r="H587" s="3" t="inlineStr">
        <is>
          <t>KBY3-040CO</t>
        </is>
      </c>
      <c r="I587" s="4" t="inlineStr">
        <is>
          <t>Khoan inox chuôi lục KBY3-040CO</t>
        </is>
      </c>
      <c r="J587" s="3" t="inlineStr">
        <is>
          <t>Vỉ</t>
        </is>
      </c>
      <c r="K587" s="5" t="n">
        <v>40000</v>
      </c>
      <c r="L587" s="5" t="n">
        <v>50000</v>
      </c>
      <c r="M587" s="6" t="n">
        <v>64000</v>
      </c>
      <c r="N587" s="5" t="n"/>
      <c r="O587" s="5">
        <f>IF(AND(ISNUMBER(N587),ISNUMBER(M587)),N587-M587,"")</f>
        <v/>
      </c>
      <c r="P587" s="7">
        <f>IF(AND(ISNUMBER(N587),ISNUMBER(M587),M587&gt;0),(N587-M587)/M587,"")</f>
        <v/>
      </c>
      <c r="Q587" s="3">
        <f>IF(P587="","",IF(P587&lt;-0.02,"🔴 Bán phá giá sàn",IF(P587&gt;0.05,"🔵 Bán cao hơn","🟢 Đúng giá sàn TMĐT")))</f>
        <v/>
      </c>
      <c r="R587" s="3" t="n"/>
      <c r="S587" s="4" t="n"/>
      <c r="T587" s="4" t="n"/>
    </row>
    <row r="588">
      <c r="A588" s="3" t="n">
        <v>587</v>
      </c>
      <c r="B588" s="3" t="inlineStr">
        <is>
          <t>DL003</t>
        </is>
      </c>
      <c r="C588" s="4" t="inlineStr">
        <is>
          <t>CÔNG TY TNHH ĐỒ NGHỀ CẦM TAY PHƯƠNG MY</t>
        </is>
      </c>
      <c r="D588" s="3" t="inlineStr">
        <is>
          <t>HCM</t>
        </is>
      </c>
      <c r="E588" s="3" t="inlineStr">
        <is>
          <t>BẢO TRÂM</t>
        </is>
      </c>
      <c r="F588" s="3" t="inlineStr">
        <is>
          <t>Youtube</t>
        </is>
      </c>
      <c r="G588" s="4" t="inlineStr">
        <is>
          <t>SHOPEE: TIKTOK: LAZADA: WEBSITE BÁN HÀNG: YOUTUBE : https://www.youtube.com/@nguyenchiam2706</t>
        </is>
      </c>
      <c r="H588" s="3" t="inlineStr">
        <is>
          <t>KBY3-042CO</t>
        </is>
      </c>
      <c r="I588" s="4" t="inlineStr">
        <is>
          <t>Khoan inox chuôi lục KBY3-042CO</t>
        </is>
      </c>
      <c r="J588" s="3" t="inlineStr">
        <is>
          <t>Vỉ</t>
        </is>
      </c>
      <c r="K588" s="5" t="n">
        <v>45000</v>
      </c>
      <c r="L588" s="5" t="n">
        <v>56000</v>
      </c>
      <c r="M588" s="6" t="n">
        <v>72000</v>
      </c>
      <c r="N588" s="5" t="n"/>
      <c r="O588" s="5">
        <f>IF(AND(ISNUMBER(N588),ISNUMBER(M588)),N588-M588,"")</f>
        <v/>
      </c>
      <c r="P588" s="7">
        <f>IF(AND(ISNUMBER(N588),ISNUMBER(M588),M588&gt;0),(N588-M588)/M588,"")</f>
        <v/>
      </c>
      <c r="Q588" s="3">
        <f>IF(P588="","",IF(P588&lt;-0.02,"🔴 Bán phá giá sàn",IF(P588&gt;0.05,"🔵 Bán cao hơn","🟢 Đúng giá sàn TMĐT")))</f>
        <v/>
      </c>
      <c r="R588" s="3" t="n"/>
      <c r="S588" s="4" t="n"/>
      <c r="T588" s="4" t="n"/>
    </row>
    <row r="589">
      <c r="A589" s="3" t="n">
        <v>588</v>
      </c>
      <c r="B589" s="3" t="inlineStr">
        <is>
          <t>DL003</t>
        </is>
      </c>
      <c r="C589" s="4" t="inlineStr">
        <is>
          <t>CÔNG TY TNHH ĐỒ NGHỀ CẦM TAY PHƯƠNG MY</t>
        </is>
      </c>
      <c r="D589" s="3" t="inlineStr">
        <is>
          <t>HCM</t>
        </is>
      </c>
      <c r="E589" s="3" t="inlineStr">
        <is>
          <t>BẢO TRÂM</t>
        </is>
      </c>
      <c r="F589" s="3" t="inlineStr">
        <is>
          <t>Youtube</t>
        </is>
      </c>
      <c r="G589" s="4" t="inlineStr">
        <is>
          <t>SHOPEE: TIKTOK: LAZADA: WEBSITE BÁN HÀNG: YOUTUBE : https://www.youtube.com/@nguyenchiam2706</t>
        </is>
      </c>
      <c r="H589" s="3" t="inlineStr">
        <is>
          <t>KBY3-045CO</t>
        </is>
      </c>
      <c r="I589" s="4" t="inlineStr">
        <is>
          <t>Khoan inox chuôi lục KBY3-045CO</t>
        </is>
      </c>
      <c r="J589" s="3" t="inlineStr">
        <is>
          <t>Vỉ</t>
        </is>
      </c>
      <c r="K589" s="5" t="n">
        <v>46000</v>
      </c>
      <c r="L589" s="5" t="n">
        <v>57000</v>
      </c>
      <c r="M589" s="6" t="n">
        <v>74000</v>
      </c>
      <c r="N589" s="5" t="n"/>
      <c r="O589" s="5">
        <f>IF(AND(ISNUMBER(N589),ISNUMBER(M589)),N589-M589,"")</f>
        <v/>
      </c>
      <c r="P589" s="7">
        <f>IF(AND(ISNUMBER(N589),ISNUMBER(M589),M589&gt;0),(N589-M589)/M589,"")</f>
        <v/>
      </c>
      <c r="Q589" s="3">
        <f>IF(P589="","",IF(P589&lt;-0.02,"🔴 Bán phá giá sàn",IF(P589&gt;0.05,"🔵 Bán cao hơn","🟢 Đúng giá sàn TMĐT")))</f>
        <v/>
      </c>
      <c r="R589" s="3" t="n"/>
      <c r="S589" s="4" t="n"/>
      <c r="T589" s="4" t="n"/>
    </row>
    <row r="590">
      <c r="A590" s="3" t="n">
        <v>589</v>
      </c>
      <c r="B590" s="3" t="inlineStr">
        <is>
          <t>DL003</t>
        </is>
      </c>
      <c r="C590" s="4" t="inlineStr">
        <is>
          <t>CÔNG TY TNHH ĐỒ NGHỀ CẦM TAY PHƯƠNG MY</t>
        </is>
      </c>
      <c r="D590" s="3" t="inlineStr">
        <is>
          <t>HCM</t>
        </is>
      </c>
      <c r="E590" s="3" t="inlineStr">
        <is>
          <t>BẢO TRÂM</t>
        </is>
      </c>
      <c r="F590" s="3" t="inlineStr">
        <is>
          <t>Youtube</t>
        </is>
      </c>
      <c r="G590" s="4" t="inlineStr">
        <is>
          <t>SHOPEE: TIKTOK: LAZADA: WEBSITE BÁN HÀNG: YOUTUBE : https://www.youtube.com/@nguyenchiam2706</t>
        </is>
      </c>
      <c r="H590" s="3" t="inlineStr">
        <is>
          <t>KBY3-050CO</t>
        </is>
      </c>
      <c r="I590" s="4" t="inlineStr">
        <is>
          <t>Khoan inox chuôi lục KBY3-050CO</t>
        </is>
      </c>
      <c r="J590" s="3" t="inlineStr">
        <is>
          <t>Vỉ</t>
        </is>
      </c>
      <c r="K590" s="5" t="n">
        <v>53000</v>
      </c>
      <c r="L590" s="5" t="n">
        <v>66000</v>
      </c>
      <c r="M590" s="6" t="n">
        <v>85000</v>
      </c>
      <c r="N590" s="5" t="n"/>
      <c r="O590" s="5">
        <f>IF(AND(ISNUMBER(N590),ISNUMBER(M590)),N590-M590,"")</f>
        <v/>
      </c>
      <c r="P590" s="7">
        <f>IF(AND(ISNUMBER(N590),ISNUMBER(M590),M590&gt;0),(N590-M590)/M590,"")</f>
        <v/>
      </c>
      <c r="Q590" s="3">
        <f>IF(P590="","",IF(P590&lt;-0.02,"🔴 Bán phá giá sàn",IF(P590&gt;0.05,"🔵 Bán cao hơn","🟢 Đúng giá sàn TMĐT")))</f>
        <v/>
      </c>
      <c r="R590" s="3" t="n"/>
      <c r="S590" s="4" t="n"/>
      <c r="T590" s="4" t="n"/>
    </row>
    <row r="591">
      <c r="A591" s="3" t="n">
        <v>590</v>
      </c>
      <c r="B591" s="3" t="inlineStr">
        <is>
          <t>DL003</t>
        </is>
      </c>
      <c r="C591" s="4" t="inlineStr">
        <is>
          <t>CÔNG TY TNHH ĐỒ NGHỀ CẦM TAY PHƯƠNG MY</t>
        </is>
      </c>
      <c r="D591" s="3" t="inlineStr">
        <is>
          <t>HCM</t>
        </is>
      </c>
      <c r="E591" s="3" t="inlineStr">
        <is>
          <t>BẢO TRÂM</t>
        </is>
      </c>
      <c r="F591" s="3" t="inlineStr">
        <is>
          <t>Youtube</t>
        </is>
      </c>
      <c r="G591" s="4" t="inlineStr">
        <is>
          <t>SHOPEE: TIKTOK: LAZADA: WEBSITE BÁN HÀNG: YOUTUBE : https://www.youtube.com/@nguyenchiam2706</t>
        </is>
      </c>
      <c r="H591" s="3" t="inlineStr">
        <is>
          <t>KBY3-060CO</t>
        </is>
      </c>
      <c r="I591" s="4" t="inlineStr">
        <is>
          <t>Khoan inox chuôi lục KBY3-060CO</t>
        </is>
      </c>
      <c r="J591" s="3" t="inlineStr">
        <is>
          <t>Vỉ</t>
        </is>
      </c>
      <c r="K591" s="5" t="n">
        <v>65000</v>
      </c>
      <c r="L591" s="5" t="n">
        <v>81000</v>
      </c>
      <c r="M591" s="6" t="n">
        <v>104000</v>
      </c>
      <c r="N591" s="5" t="n"/>
      <c r="O591" s="5">
        <f>IF(AND(ISNUMBER(N591),ISNUMBER(M591)),N591-M591,"")</f>
        <v/>
      </c>
      <c r="P591" s="7">
        <f>IF(AND(ISNUMBER(N591),ISNUMBER(M591),M591&gt;0),(N591-M591)/M591,"")</f>
        <v/>
      </c>
      <c r="Q591" s="3">
        <f>IF(P591="","",IF(P591&lt;-0.02,"🔴 Bán phá giá sàn",IF(P591&gt;0.05,"🔵 Bán cao hơn","🟢 Đúng giá sàn TMĐT")))</f>
        <v/>
      </c>
      <c r="R591" s="3" t="n"/>
      <c r="S591" s="4" t="n"/>
      <c r="T591" s="4" t="n"/>
    </row>
    <row r="592">
      <c r="A592" s="3" t="n">
        <v>591</v>
      </c>
      <c r="B592" s="3" t="inlineStr">
        <is>
          <t>DL003</t>
        </is>
      </c>
      <c r="C592" s="4" t="inlineStr">
        <is>
          <t>CÔNG TY TNHH ĐỒ NGHỀ CẦM TAY PHƯƠNG MY</t>
        </is>
      </c>
      <c r="D592" s="3" t="inlineStr">
        <is>
          <t>HCM</t>
        </is>
      </c>
      <c r="E592" s="3" t="inlineStr">
        <is>
          <t>BẢO TRÂM</t>
        </is>
      </c>
      <c r="F592" s="3" t="inlineStr">
        <is>
          <t>Youtube</t>
        </is>
      </c>
      <c r="G592" s="4" t="inlineStr">
        <is>
          <t>SHOPEE: TIKTOK: LAZADA: WEBSITE BÁN HÀNG: YOUTUBE : https://www.youtube.com/@nguyenchiam2706</t>
        </is>
      </c>
      <c r="H592" s="3" t="inlineStr">
        <is>
          <t>KBY3-080CO</t>
        </is>
      </c>
      <c r="I592" s="4" t="inlineStr">
        <is>
          <t>Khoan inox chuôi lục KBY3-080CO</t>
        </is>
      </c>
      <c r="J592" s="3" t="inlineStr">
        <is>
          <t>Cái</t>
        </is>
      </c>
      <c r="K592" s="5" t="n">
        <v>58000</v>
      </c>
      <c r="L592" s="5" t="n">
        <v>72000</v>
      </c>
      <c r="M592" s="6" t="n">
        <v>93000</v>
      </c>
      <c r="N592" s="5" t="n"/>
      <c r="O592" s="5">
        <f>IF(AND(ISNUMBER(N592),ISNUMBER(M592)),N592-M592,"")</f>
        <v/>
      </c>
      <c r="P592" s="7">
        <f>IF(AND(ISNUMBER(N592),ISNUMBER(M592),M592&gt;0),(N592-M592)/M592,"")</f>
        <v/>
      </c>
      <c r="Q592" s="3">
        <f>IF(P592="","",IF(P592&lt;-0.02,"🔴 Bán phá giá sàn",IF(P592&gt;0.05,"🔵 Bán cao hơn","🟢 Đúng giá sàn TMĐT")))</f>
        <v/>
      </c>
      <c r="R592" s="3" t="n"/>
      <c r="S592" s="4" t="n"/>
      <c r="T592" s="4" t="n"/>
    </row>
    <row r="593">
      <c r="A593" s="3" t="n">
        <v>592</v>
      </c>
      <c r="B593" s="3" t="inlineStr">
        <is>
          <t>DL003</t>
        </is>
      </c>
      <c r="C593" s="4" t="inlineStr">
        <is>
          <t>CÔNG TY TNHH ĐỒ NGHỀ CẦM TAY PHƯƠNG MY</t>
        </is>
      </c>
      <c r="D593" s="3" t="inlineStr">
        <is>
          <t>HCM</t>
        </is>
      </c>
      <c r="E593" s="3" t="inlineStr">
        <is>
          <t>BẢO TRÂM</t>
        </is>
      </c>
      <c r="F593" s="3" t="inlineStr">
        <is>
          <t>Youtube</t>
        </is>
      </c>
      <c r="G593" s="4" t="inlineStr">
        <is>
          <t>SHOPEE: TIKTOK: LAZADA: WEBSITE BÁN HÀNG: YOUTUBE : https://www.youtube.com/@nguyenchiam2706</t>
        </is>
      </c>
      <c r="H593" s="3" t="inlineStr">
        <is>
          <t>KBY3-100CO</t>
        </is>
      </c>
      <c r="I593" s="4" t="inlineStr">
        <is>
          <t>Khoan inox chuôi lục KBY3-100CO</t>
        </is>
      </c>
      <c r="J593" s="3" t="inlineStr">
        <is>
          <t>Cái</t>
        </is>
      </c>
      <c r="K593" s="5" t="n">
        <v>90000</v>
      </c>
      <c r="L593" s="5" t="n">
        <v>112000</v>
      </c>
      <c r="M593" s="6" t="n">
        <v>144000</v>
      </c>
      <c r="N593" s="5" t="n"/>
      <c r="O593" s="5">
        <f>IF(AND(ISNUMBER(N593),ISNUMBER(M593)),N593-M593,"")</f>
        <v/>
      </c>
      <c r="P593" s="7">
        <f>IF(AND(ISNUMBER(N593),ISNUMBER(M593),M593&gt;0),(N593-M593)/M593,"")</f>
        <v/>
      </c>
      <c r="Q593" s="3">
        <f>IF(P593="","",IF(P593&lt;-0.02,"🔴 Bán phá giá sàn",IF(P593&gt;0.05,"🔵 Bán cao hơn","🟢 Đúng giá sàn TMĐT")))</f>
        <v/>
      </c>
      <c r="R593" s="3" t="n"/>
      <c r="S593" s="4" t="n"/>
      <c r="T593" s="4" t="n"/>
    </row>
    <row r="594">
      <c r="A594" s="3" t="n">
        <v>593</v>
      </c>
      <c r="B594" s="3" t="inlineStr">
        <is>
          <t>DL003</t>
        </is>
      </c>
      <c r="C594" s="4" t="inlineStr">
        <is>
          <t>CÔNG TY TNHH ĐỒ NGHỀ CẦM TAY PHƯƠNG MY</t>
        </is>
      </c>
      <c r="D594" s="3" t="inlineStr">
        <is>
          <t>HCM</t>
        </is>
      </c>
      <c r="E594" s="3" t="inlineStr">
        <is>
          <t>BẢO TRÂM</t>
        </is>
      </c>
      <c r="F594" s="3" t="inlineStr">
        <is>
          <t>Youtube</t>
        </is>
      </c>
      <c r="G594" s="4" t="inlineStr">
        <is>
          <t>SHOPEE: TIKTOK: LAZADA: WEBSITE BÁN HÀNG: YOUTUBE : https://www.youtube.com/@nguyenchiam2706</t>
        </is>
      </c>
      <c r="H594" s="3" t="inlineStr">
        <is>
          <t>F1</t>
        </is>
      </c>
      <c r="I594" s="4" t="inlineStr">
        <is>
          <t>Lưỡi cắt Kingblue F1 110DN (vàng)</t>
        </is>
      </c>
      <c r="J594" s="3" t="inlineStr">
        <is>
          <t>Cái</t>
        </is>
      </c>
      <c r="K594" s="5" t="n">
        <v>92000</v>
      </c>
      <c r="L594" s="5" t="n">
        <v>108000</v>
      </c>
      <c r="M594" s="6" t="n">
        <v>133000</v>
      </c>
      <c r="N594" s="5" t="n"/>
      <c r="O594" s="5">
        <f>IF(AND(ISNUMBER(N594),ISNUMBER(M594)),N594-M594,"")</f>
        <v/>
      </c>
      <c r="P594" s="7">
        <f>IF(AND(ISNUMBER(N594),ISNUMBER(M594),M594&gt;0),(N594-M594)/M594,"")</f>
        <v/>
      </c>
      <c r="Q594" s="3">
        <f>IF(P594="","",IF(P594&lt;-0.02,"🔴 Bán phá giá sàn",IF(P594&gt;0.05,"🔵 Bán cao hơn","🟢 Đúng giá sàn TMĐT")))</f>
        <v/>
      </c>
      <c r="R594" s="3" t="n"/>
      <c r="S594" s="4" t="n"/>
      <c r="T594" s="4" t="n"/>
    </row>
    <row r="595">
      <c r="A595" s="3" t="n">
        <v>594</v>
      </c>
      <c r="B595" s="3" t="inlineStr">
        <is>
          <t>DL003</t>
        </is>
      </c>
      <c r="C595" s="4" t="inlineStr">
        <is>
          <t>CÔNG TY TNHH ĐỒ NGHỀ CẦM TAY PHƯƠNG MY</t>
        </is>
      </c>
      <c r="D595" s="3" t="inlineStr">
        <is>
          <t>HCM</t>
        </is>
      </c>
      <c r="E595" s="3" t="inlineStr">
        <is>
          <t>BẢO TRÂM</t>
        </is>
      </c>
      <c r="F595" s="3" t="inlineStr">
        <is>
          <t>Youtube</t>
        </is>
      </c>
      <c r="G595" s="4" t="inlineStr">
        <is>
          <t>SHOPEE: TIKTOK: LAZADA: WEBSITE BÁN HÀNG: YOUTUBE : https://www.youtube.com/@nguyenchiam2706</t>
        </is>
      </c>
      <c r="H595" s="3" t="inlineStr">
        <is>
          <t>S2</t>
        </is>
      </c>
      <c r="I595" s="4" t="inlineStr">
        <is>
          <t>Lưỡi cắt KingBlue S2 105DN</t>
        </is>
      </c>
      <c r="J595" s="3" t="inlineStr">
        <is>
          <t>Cái</t>
        </is>
      </c>
      <c r="K595" s="5" t="n">
        <v>51000</v>
      </c>
      <c r="L595" s="5" t="n">
        <v>60000</v>
      </c>
      <c r="M595" s="6" t="n">
        <v>74000</v>
      </c>
      <c r="N595" s="5" t="n"/>
      <c r="O595" s="5">
        <f>IF(AND(ISNUMBER(N595),ISNUMBER(M595)),N595-M595,"")</f>
        <v/>
      </c>
      <c r="P595" s="7">
        <f>IF(AND(ISNUMBER(N595),ISNUMBER(M595),M595&gt;0),(N595-M595)/M595,"")</f>
        <v/>
      </c>
      <c r="Q595" s="3">
        <f>IF(P595="","",IF(P595&lt;-0.02,"🔴 Bán phá giá sàn",IF(P595&gt;0.05,"🔵 Bán cao hơn","🟢 Đúng giá sàn TMĐT")))</f>
        <v/>
      </c>
      <c r="R595" s="3" t="n"/>
      <c r="S595" s="4" t="n"/>
      <c r="T595" s="4" t="n"/>
    </row>
    <row r="596">
      <c r="A596" s="3" t="n">
        <v>595</v>
      </c>
      <c r="B596" s="3" t="inlineStr">
        <is>
          <t>DL003</t>
        </is>
      </c>
      <c r="C596" s="4" t="inlineStr">
        <is>
          <t>CÔNG TY TNHH ĐỒ NGHỀ CẦM TAY PHƯƠNG MY</t>
        </is>
      </c>
      <c r="D596" s="3" t="inlineStr">
        <is>
          <t>HCM</t>
        </is>
      </c>
      <c r="E596" s="3" t="inlineStr">
        <is>
          <t>BẢO TRÂM</t>
        </is>
      </c>
      <c r="F596" s="3" t="inlineStr">
        <is>
          <t>Youtube</t>
        </is>
      </c>
      <c r="G596" s="4" t="inlineStr">
        <is>
          <t>SHOPEE: TIKTOK: LAZADA: WEBSITE BÁN HÀNG: YOUTUBE : https://www.youtube.com/@nguyenchiam2706</t>
        </is>
      </c>
      <c r="H596" s="3" t="inlineStr">
        <is>
          <t>S4-105DN</t>
        </is>
      </c>
      <c r="I596" s="4" t="inlineStr">
        <is>
          <t>Lưỡi cắt KingBlue S4-105DN</t>
        </is>
      </c>
      <c r="J596" s="3" t="inlineStr">
        <is>
          <t>Cái</t>
        </is>
      </c>
      <c r="K596" s="5" t="n">
        <v>125000</v>
      </c>
      <c r="L596" s="5" t="n">
        <v>147000</v>
      </c>
      <c r="M596" s="6" t="n">
        <v>181000</v>
      </c>
      <c r="N596" s="5" t="n"/>
      <c r="O596" s="5">
        <f>IF(AND(ISNUMBER(N596),ISNUMBER(M596)),N596-M596,"")</f>
        <v/>
      </c>
      <c r="P596" s="7">
        <f>IF(AND(ISNUMBER(N596),ISNUMBER(M596),M596&gt;0),(N596-M596)/M596,"")</f>
        <v/>
      </c>
      <c r="Q596" s="3">
        <f>IF(P596="","",IF(P596&lt;-0.02,"🔴 Bán phá giá sàn",IF(P596&gt;0.05,"🔵 Bán cao hơn","🟢 Đúng giá sàn TMĐT")))</f>
        <v/>
      </c>
      <c r="R596" s="3" t="n"/>
      <c r="S596" s="4" t="n"/>
      <c r="T596" s="4" t="n"/>
    </row>
    <row r="597">
      <c r="A597" s="3" t="n">
        <v>596</v>
      </c>
      <c r="B597" s="3" t="inlineStr">
        <is>
          <t>DL003</t>
        </is>
      </c>
      <c r="C597" s="4" t="inlineStr">
        <is>
          <t>CÔNG TY TNHH ĐỒ NGHỀ CẦM TAY PHƯƠNG MY</t>
        </is>
      </c>
      <c r="D597" s="3" t="inlineStr">
        <is>
          <t>HCM</t>
        </is>
      </c>
      <c r="E597" s="3" t="inlineStr">
        <is>
          <t>BẢO TRÂM</t>
        </is>
      </c>
      <c r="F597" s="3" t="inlineStr">
        <is>
          <t>Youtube</t>
        </is>
      </c>
      <c r="G597" s="4" t="inlineStr">
        <is>
          <t>SHOPEE: TIKTOK: LAZADA: WEBSITE BÁN HÀNG: YOUTUBE : https://www.youtube.com/@nguyenchiam2706</t>
        </is>
      </c>
      <c r="H597" s="3" t="inlineStr">
        <is>
          <t>K1-185x32T</t>
        </is>
      </c>
      <c r="I597" s="4" t="inlineStr">
        <is>
          <t>Lưỡi cưa kim loại KingBlue K1-185x32T (Cưa sắt)</t>
        </is>
      </c>
      <c r="J597" s="3" t="inlineStr">
        <is>
          <t>Cái</t>
        </is>
      </c>
      <c r="K597" s="5" t="n">
        <v>273000</v>
      </c>
      <c r="L597" s="5" t="n">
        <v>322000</v>
      </c>
      <c r="M597" s="6" t="n">
        <v>396000</v>
      </c>
      <c r="N597" s="5" t="n"/>
      <c r="O597" s="5">
        <f>IF(AND(ISNUMBER(N597),ISNUMBER(M597)),N597-M597,"")</f>
        <v/>
      </c>
      <c r="P597" s="7">
        <f>IF(AND(ISNUMBER(N597),ISNUMBER(M597),M597&gt;0),(N597-M597)/M597,"")</f>
        <v/>
      </c>
      <c r="Q597" s="3">
        <f>IF(P597="","",IF(P597&lt;-0.02,"🔴 Bán phá giá sàn",IF(P597&gt;0.05,"🔵 Bán cao hơn","🟢 Đúng giá sàn TMĐT")))</f>
        <v/>
      </c>
      <c r="R597" s="3" t="n"/>
      <c r="S597" s="4" t="n"/>
      <c r="T597" s="4" t="n"/>
    </row>
    <row r="598">
      <c r="A598" s="3" t="n">
        <v>597</v>
      </c>
      <c r="B598" s="3" t="inlineStr">
        <is>
          <t>DL003</t>
        </is>
      </c>
      <c r="C598" s="4" t="inlineStr">
        <is>
          <t>CÔNG TY TNHH ĐỒ NGHỀ CẦM TAY PHƯƠNG MY</t>
        </is>
      </c>
      <c r="D598" s="3" t="inlineStr">
        <is>
          <t>HCM</t>
        </is>
      </c>
      <c r="E598" s="3" t="inlineStr">
        <is>
          <t>BẢO TRÂM</t>
        </is>
      </c>
      <c r="F598" s="3" t="inlineStr">
        <is>
          <t>Youtube</t>
        </is>
      </c>
      <c r="G598" s="4" t="inlineStr">
        <is>
          <t>SHOPEE: TIKTOK: LAZADA: WEBSITE BÁN HÀNG: YOUTUBE : https://www.youtube.com/@nguyenchiam2706</t>
        </is>
      </c>
      <c r="H598" s="3" t="inlineStr">
        <is>
          <t>KB-LE350</t>
        </is>
      </c>
      <c r="I598" s="4" t="inlineStr">
        <is>
          <t>Lưỡi Cưa KingBlue KB-LE350</t>
        </is>
      </c>
      <c r="J598" s="3" t="inlineStr">
        <is>
          <t>Cái</t>
        </is>
      </c>
      <c r="K598" s="5" t="n">
        <v>158000</v>
      </c>
      <c r="L598" s="5" t="n">
        <v>186000</v>
      </c>
      <c r="M598" s="6" t="n">
        <v>229000</v>
      </c>
      <c r="N598" s="5" t="n"/>
      <c r="O598" s="5">
        <f>IF(AND(ISNUMBER(N598),ISNUMBER(M598)),N598-M598,"")</f>
        <v/>
      </c>
      <c r="P598" s="7">
        <f>IF(AND(ISNUMBER(N598),ISNUMBER(M598),M598&gt;0),(N598-M598)/M598,"")</f>
        <v/>
      </c>
      <c r="Q598" s="3">
        <f>IF(P598="","",IF(P598&lt;-0.02,"🔴 Bán phá giá sàn",IF(P598&gt;0.05,"🔵 Bán cao hơn","🟢 Đúng giá sàn TMĐT")))</f>
        <v/>
      </c>
      <c r="R598" s="3" t="n"/>
      <c r="S598" s="4" t="n"/>
      <c r="T598" s="4" t="n"/>
    </row>
    <row r="599">
      <c r="A599" s="3" t="n">
        <v>598</v>
      </c>
      <c r="B599" s="3" t="inlineStr">
        <is>
          <t>DL003</t>
        </is>
      </c>
      <c r="C599" s="4" t="inlineStr">
        <is>
          <t>CÔNG TY TNHH ĐỒ NGHỀ CẦM TAY PHƯƠNG MY</t>
        </is>
      </c>
      <c r="D599" s="3" t="inlineStr">
        <is>
          <t>HCM</t>
        </is>
      </c>
      <c r="E599" s="3" t="inlineStr">
        <is>
          <t>BẢO TRÂM</t>
        </is>
      </c>
      <c r="F599" s="3" t="inlineStr">
        <is>
          <t>Youtube</t>
        </is>
      </c>
      <c r="G599" s="4" t="inlineStr">
        <is>
          <t>SHOPEE: TIKTOK: LAZADA: WEBSITE BÁN HÀNG: YOUTUBE : https://www.youtube.com/@nguyenchiam2706</t>
        </is>
      </c>
      <c r="H599" s="3" t="inlineStr">
        <is>
          <t>QLE300</t>
        </is>
      </c>
      <c r="I599" s="4" t="inlineStr">
        <is>
          <t>Lưỡi cưa Kingblue QLE300</t>
        </is>
      </c>
      <c r="J599" s="3" t="inlineStr">
        <is>
          <t>Cái</t>
        </is>
      </c>
      <c r="K599" s="5" t="n">
        <v>110000</v>
      </c>
      <c r="L599" s="5" t="n">
        <v>130000</v>
      </c>
      <c r="M599" s="6" t="n">
        <v>160000</v>
      </c>
      <c r="N599" s="5" t="n"/>
      <c r="O599" s="5">
        <f>IF(AND(ISNUMBER(N599),ISNUMBER(M599)),N599-M599,"")</f>
        <v/>
      </c>
      <c r="P599" s="7">
        <f>IF(AND(ISNUMBER(N599),ISNUMBER(M599),M599&gt;0),(N599-M599)/M599,"")</f>
        <v/>
      </c>
      <c r="Q599" s="3">
        <f>IF(P599="","",IF(P599&lt;-0.02,"🔴 Bán phá giá sàn",IF(P599&gt;0.05,"🔵 Bán cao hơn","🟢 Đúng giá sàn TMĐT")))</f>
        <v/>
      </c>
      <c r="R599" s="3" t="n"/>
      <c r="S599" s="4" t="n"/>
      <c r="T599" s="4" t="n"/>
    </row>
    <row r="600">
      <c r="A600" s="3" t="n">
        <v>599</v>
      </c>
      <c r="B600" s="3" t="inlineStr">
        <is>
          <t>DL003</t>
        </is>
      </c>
      <c r="C600" s="4" t="inlineStr">
        <is>
          <t>CÔNG TY TNHH ĐỒ NGHỀ CẦM TAY PHƯƠNG MY</t>
        </is>
      </c>
      <c r="D600" s="3" t="inlineStr">
        <is>
          <t>HCM</t>
        </is>
      </c>
      <c r="E600" s="3" t="inlineStr">
        <is>
          <t>BẢO TRÂM</t>
        </is>
      </c>
      <c r="F600" s="3" t="inlineStr">
        <is>
          <t>Youtube</t>
        </is>
      </c>
      <c r="G600" s="4" t="inlineStr">
        <is>
          <t>SHOPEE: TIKTOK: LAZADA: WEBSITE BÁN HÀNG: YOUTUBE : https://www.youtube.com/@nguyenchiam2706</t>
        </is>
      </c>
      <c r="H600" s="3" t="inlineStr">
        <is>
          <t>X1-180x40T</t>
        </is>
      </c>
      <c r="I600" s="4" t="inlineStr">
        <is>
          <t>Lưỡi cưa Kingblue X1-180x40T (Cưa gỗ)-NEW</t>
        </is>
      </c>
      <c r="J600" s="3" t="inlineStr">
        <is>
          <t>Cái</t>
        </is>
      </c>
      <c r="K600" s="5" t="n">
        <v>190000</v>
      </c>
      <c r="L600" s="5" t="n">
        <v>224000</v>
      </c>
      <c r="M600" s="6" t="n">
        <v>276000</v>
      </c>
      <c r="N600" s="5" t="n"/>
      <c r="O600" s="5">
        <f>IF(AND(ISNUMBER(N600),ISNUMBER(M600)),N600-M600,"")</f>
        <v/>
      </c>
      <c r="P600" s="7">
        <f>IF(AND(ISNUMBER(N600),ISNUMBER(M600),M600&gt;0),(N600-M600)/M600,"")</f>
        <v/>
      </c>
      <c r="Q600" s="3">
        <f>IF(P600="","",IF(P600&lt;-0.02,"🔴 Bán phá giá sàn",IF(P600&gt;0.05,"🔵 Bán cao hơn","🟢 Đúng giá sàn TMĐT")))</f>
        <v/>
      </c>
      <c r="R600" s="3" t="n"/>
      <c r="S600" s="4" t="n"/>
      <c r="T600" s="4" t="n"/>
    </row>
    <row r="601">
      <c r="A601" s="3" t="n">
        <v>600</v>
      </c>
      <c r="B601" s="3" t="inlineStr">
        <is>
          <t>DL003</t>
        </is>
      </c>
      <c r="C601" s="4" t="inlineStr">
        <is>
          <t>CÔNG TY TNHH ĐỒ NGHỀ CẦM TAY PHƯƠNG MY</t>
        </is>
      </c>
      <c r="D601" s="3" t="inlineStr">
        <is>
          <t>HCM</t>
        </is>
      </c>
      <c r="E601" s="3" t="inlineStr">
        <is>
          <t>BẢO TRÂM</t>
        </is>
      </c>
      <c r="F601" s="3" t="inlineStr">
        <is>
          <t>Youtube</t>
        </is>
      </c>
      <c r="G601" s="4" t="inlineStr">
        <is>
          <t>SHOPEE: TIKTOK: LAZADA: WEBSITE BÁN HÀNG: YOUTUBE : https://www.youtube.com/@nguyenchiam2706</t>
        </is>
      </c>
      <c r="H601" s="3" t="inlineStr">
        <is>
          <t>XS-110x30T</t>
        </is>
      </c>
      <c r="I601" s="4" t="inlineStr">
        <is>
          <t>Lưỡi cưa Kingblue XS-110x30T (Cưa gỗ)-NEW</t>
        </is>
      </c>
      <c r="J601" s="3" t="inlineStr">
        <is>
          <t>Cái</t>
        </is>
      </c>
      <c r="K601" s="5" t="n">
        <v>72000</v>
      </c>
      <c r="L601" s="5" t="n">
        <v>85000</v>
      </c>
      <c r="M601" s="6" t="n">
        <v>104000</v>
      </c>
      <c r="N601" s="5" t="n"/>
      <c r="O601" s="5">
        <f>IF(AND(ISNUMBER(N601),ISNUMBER(M601)),N601-M601,"")</f>
        <v/>
      </c>
      <c r="P601" s="7">
        <f>IF(AND(ISNUMBER(N601),ISNUMBER(M601),M601&gt;0),(N601-M601)/M601,"")</f>
        <v/>
      </c>
      <c r="Q601" s="3">
        <f>IF(P601="","",IF(P601&lt;-0.02,"🔴 Bán phá giá sàn",IF(P601&gt;0.05,"🔵 Bán cao hơn","🟢 Đúng giá sàn TMĐT")))</f>
        <v/>
      </c>
      <c r="R601" s="3" t="n"/>
      <c r="S601" s="4" t="n"/>
      <c r="T601" s="4" t="n"/>
    </row>
    <row r="602">
      <c r="A602" s="3" t="n">
        <v>601</v>
      </c>
      <c r="B602" s="3" t="inlineStr">
        <is>
          <t>DL003</t>
        </is>
      </c>
      <c r="C602" s="4" t="inlineStr">
        <is>
          <t>CÔNG TY TNHH ĐỒ NGHỀ CẦM TAY PHƯƠNG MY</t>
        </is>
      </c>
      <c r="D602" s="3" t="inlineStr">
        <is>
          <t>HCM</t>
        </is>
      </c>
      <c r="E602" s="3" t="inlineStr">
        <is>
          <t>BẢO TRÂM</t>
        </is>
      </c>
      <c r="F602" s="3" t="inlineStr">
        <is>
          <t>Youtube</t>
        </is>
      </c>
      <c r="G602" s="4" t="inlineStr">
        <is>
          <t>SHOPEE: TIKTOK: LAZADA: WEBSITE BÁN HÀNG: YOUTUBE : https://www.youtube.com/@nguyenchiam2706</t>
        </is>
      </c>
      <c r="H602" s="3" t="inlineStr">
        <is>
          <t>K18VFS</t>
        </is>
      </c>
      <c r="I602" s="4" t="inlineStr">
        <is>
          <t>Máy Bắn Vít 18V K18VFS</t>
        </is>
      </c>
      <c r="J602" s="3" t="inlineStr">
        <is>
          <t>Cái</t>
        </is>
      </c>
      <c r="K602" s="5" t="n">
        <v>1540000</v>
      </c>
      <c r="L602" s="5" t="n">
        <v>1690000</v>
      </c>
      <c r="M602" s="6" t="n">
        <v>1930000</v>
      </c>
      <c r="N602" s="5" t="n"/>
      <c r="O602" s="5">
        <f>IF(AND(ISNUMBER(N602),ISNUMBER(M602)),N602-M602,"")</f>
        <v/>
      </c>
      <c r="P602" s="7">
        <f>IF(AND(ISNUMBER(N602),ISNUMBER(M602),M602&gt;0),(N602-M602)/M602,"")</f>
        <v/>
      </c>
      <c r="Q602" s="3">
        <f>IF(P602="","",IF(P602&lt;-0.02,"🔴 Bán phá giá sàn",IF(P602&gt;0.05,"🔵 Bán cao hơn","🟢 Đúng giá sàn TMĐT")))</f>
        <v/>
      </c>
      <c r="R602" s="3" t="n"/>
      <c r="S602" s="4" t="n"/>
      <c r="T602" s="4" t="n"/>
    </row>
    <row r="603">
      <c r="A603" s="3" t="n">
        <v>602</v>
      </c>
      <c r="B603" s="3" t="inlineStr">
        <is>
          <t>DL003</t>
        </is>
      </c>
      <c r="C603" s="4" t="inlineStr">
        <is>
          <t>CÔNG TY TNHH ĐỒ NGHỀ CẦM TAY PHƯƠNG MY</t>
        </is>
      </c>
      <c r="D603" s="3" t="inlineStr">
        <is>
          <t>HCM</t>
        </is>
      </c>
      <c r="E603" s="3" t="inlineStr">
        <is>
          <t>BẢO TRÂM</t>
        </is>
      </c>
      <c r="F603" s="3" t="inlineStr">
        <is>
          <t>Youtube</t>
        </is>
      </c>
      <c r="G603" s="4" t="inlineStr">
        <is>
          <t>SHOPEE: TIKTOK: LAZADA: WEBSITE BÁN HÀNG: YOUTUBE : https://www.youtube.com/@nguyenchiam2706</t>
        </is>
      </c>
      <c r="H603" s="3" t="inlineStr">
        <is>
          <t>KB-02XS</t>
        </is>
      </c>
      <c r="I603" s="4" t="inlineStr">
        <is>
          <t>Máy cân bằng KB-02XS</t>
        </is>
      </c>
      <c r="J603" s="3" t="inlineStr">
        <is>
          <t>Cái</t>
        </is>
      </c>
      <c r="K603" s="5" t="n">
        <v>269000</v>
      </c>
      <c r="L603" s="5" t="n">
        <v>317000</v>
      </c>
      <c r="M603" s="6" t="n">
        <v>390000</v>
      </c>
      <c r="N603" s="5" t="n"/>
      <c r="O603" s="5">
        <f>IF(AND(ISNUMBER(N603),ISNUMBER(M603)),N603-M603,"")</f>
        <v/>
      </c>
      <c r="P603" s="7">
        <f>IF(AND(ISNUMBER(N603),ISNUMBER(M603),M603&gt;0),(N603-M603)/M603,"")</f>
        <v/>
      </c>
      <c r="Q603" s="3">
        <f>IF(P603="","",IF(P603&lt;-0.02,"🔴 Bán phá giá sàn",IF(P603&gt;0.05,"🔵 Bán cao hơn","🟢 Đúng giá sàn TMĐT")))</f>
        <v/>
      </c>
      <c r="R603" s="3" t="n"/>
      <c r="S603" s="4" t="n"/>
      <c r="T603" s="4" t="n"/>
    </row>
    <row r="604">
      <c r="A604" s="3" t="n">
        <v>603</v>
      </c>
      <c r="B604" s="3" t="inlineStr">
        <is>
          <t>DL003</t>
        </is>
      </c>
      <c r="C604" s="4" t="inlineStr">
        <is>
          <t>CÔNG TY TNHH ĐỒ NGHỀ CẦM TAY PHƯƠNG MY</t>
        </is>
      </c>
      <c r="D604" s="3" t="inlineStr">
        <is>
          <t>HCM</t>
        </is>
      </c>
      <c r="E604" s="3" t="inlineStr">
        <is>
          <t>BẢO TRÂM</t>
        </is>
      </c>
      <c r="F604" s="3" t="inlineStr">
        <is>
          <t>Youtube</t>
        </is>
      </c>
      <c r="G604" s="4" t="inlineStr">
        <is>
          <t>SHOPEE: TIKTOK: LAZADA: WEBSITE BÁN HÀNG: YOUTUBE : https://www.youtube.com/@nguyenchiam2706</t>
        </is>
      </c>
      <c r="H604" s="3" t="inlineStr">
        <is>
          <t>K18QES</t>
        </is>
      </c>
      <c r="I604" s="4" t="inlineStr">
        <is>
          <t>Máy Khoan 3 Chức Năng 18V K18QES</t>
        </is>
      </c>
      <c r="J604" s="3" t="inlineStr">
        <is>
          <t>Cái</t>
        </is>
      </c>
      <c r="K604" s="5" t="n">
        <v>2380000</v>
      </c>
      <c r="L604" s="5" t="n">
        <v>2610000</v>
      </c>
      <c r="M604" s="6" t="n">
        <v>2970000</v>
      </c>
      <c r="N604" s="5" t="n"/>
      <c r="O604" s="5">
        <f>IF(AND(ISNUMBER(N604),ISNUMBER(M604)),N604-M604,"")</f>
        <v/>
      </c>
      <c r="P604" s="7">
        <f>IF(AND(ISNUMBER(N604),ISNUMBER(M604),M604&gt;0),(N604-M604)/M604,"")</f>
        <v/>
      </c>
      <c r="Q604" s="3">
        <f>IF(P604="","",IF(P604&lt;-0.02,"🔴 Bán phá giá sàn",IF(P604&gt;0.05,"🔵 Bán cao hơn","🟢 Đúng giá sàn TMĐT")))</f>
        <v/>
      </c>
      <c r="R604" s="3" t="n"/>
      <c r="S604" s="4" t="n"/>
      <c r="T604" s="4" t="n"/>
    </row>
    <row r="605">
      <c r="A605" s="3" t="n">
        <v>604</v>
      </c>
      <c r="B605" s="3" t="inlineStr">
        <is>
          <t>DL003</t>
        </is>
      </c>
      <c r="C605" s="4" t="inlineStr">
        <is>
          <t>CÔNG TY TNHH ĐỒ NGHỀ CẦM TAY PHƯƠNG MY</t>
        </is>
      </c>
      <c r="D605" s="3" t="inlineStr">
        <is>
          <t>HCM</t>
        </is>
      </c>
      <c r="E605" s="3" t="inlineStr">
        <is>
          <t>BẢO TRÂM</t>
        </is>
      </c>
      <c r="F605" s="3" t="inlineStr">
        <is>
          <t>Youtube</t>
        </is>
      </c>
      <c r="G605" s="4" t="inlineStr">
        <is>
          <t>SHOPEE: TIKTOK: LAZADA: WEBSITE BÁN HÀNG: YOUTUBE : https://www.youtube.com/@nguyenchiam2706</t>
        </is>
      </c>
      <c r="H605" s="3" t="inlineStr">
        <is>
          <t>K18QFS</t>
        </is>
      </c>
      <c r="I605" s="4" t="inlineStr">
        <is>
          <t>Máy khoan bê tông 18V K18QFS</t>
        </is>
      </c>
      <c r="J605" s="3" t="inlineStr">
        <is>
          <t>Cái</t>
        </is>
      </c>
      <c r="K605" s="5" t="n">
        <v>2110000</v>
      </c>
      <c r="L605" s="5" t="n">
        <v>2320000</v>
      </c>
      <c r="M605" s="6" t="n">
        <v>2640000</v>
      </c>
      <c r="N605" s="5" t="n"/>
      <c r="O605" s="5">
        <f>IF(AND(ISNUMBER(N605),ISNUMBER(M605)),N605-M605,"")</f>
        <v/>
      </c>
      <c r="P605" s="7">
        <f>IF(AND(ISNUMBER(N605),ISNUMBER(M605),M605&gt;0),(N605-M605)/M605,"")</f>
        <v/>
      </c>
      <c r="Q605" s="3">
        <f>IF(P605="","",IF(P605&lt;-0.02,"🔴 Bán phá giá sàn",IF(P605&gt;0.05,"🔵 Bán cao hơn","🟢 Đúng giá sàn TMĐT")))</f>
        <v/>
      </c>
      <c r="R605" s="3" t="n"/>
      <c r="S605" s="4" t="n"/>
      <c r="T605" s="4" t="n"/>
    </row>
    <row r="606">
      <c r="A606" s="3" t="n">
        <v>605</v>
      </c>
      <c r="B606" s="3" t="inlineStr">
        <is>
          <t>DL003</t>
        </is>
      </c>
      <c r="C606" s="4" t="inlineStr">
        <is>
          <t>CÔNG TY TNHH ĐỒ NGHỀ CẦM TAY PHƯƠNG MY</t>
        </is>
      </c>
      <c r="D606" s="3" t="inlineStr">
        <is>
          <t>HCM</t>
        </is>
      </c>
      <c r="E606" s="3" t="inlineStr">
        <is>
          <t>BẢO TRÂM</t>
        </is>
      </c>
      <c r="F606" s="3" t="inlineStr">
        <is>
          <t>Youtube</t>
        </is>
      </c>
      <c r="G606" s="4" t="inlineStr">
        <is>
          <t>SHOPEE: TIKTOK: LAZADA: WEBSITE BÁN HÀNG: YOUTUBE : https://www.youtube.com/@nguyenchiam2706</t>
        </is>
      </c>
      <c r="H606" s="3" t="inlineStr">
        <is>
          <t>K18MGS</t>
        </is>
      </c>
      <c r="I606" s="4" t="inlineStr">
        <is>
          <t>Máy Mài Góc 18V K18MGS</t>
        </is>
      </c>
      <c r="J606" s="3" t="inlineStr">
        <is>
          <t>Cái</t>
        </is>
      </c>
      <c r="K606" s="5" t="n">
        <v>1340000</v>
      </c>
      <c r="L606" s="5" t="n">
        <v>1480000</v>
      </c>
      <c r="M606" s="6" t="n">
        <v>1680000</v>
      </c>
      <c r="N606" s="5" t="n"/>
      <c r="O606" s="5">
        <f>IF(AND(ISNUMBER(N606),ISNUMBER(M606)),N606-M606,"")</f>
        <v/>
      </c>
      <c r="P606" s="7">
        <f>IF(AND(ISNUMBER(N606),ISNUMBER(M606),M606&gt;0),(N606-M606)/M606,"")</f>
        <v/>
      </c>
      <c r="Q606" s="3">
        <f>IF(P606="","",IF(P606&lt;-0.02,"🔴 Bán phá giá sàn",IF(P606&gt;0.05,"🔵 Bán cao hơn","🟢 Đúng giá sàn TMĐT")))</f>
        <v/>
      </c>
      <c r="R606" s="3" t="n"/>
      <c r="S606" s="4" t="n"/>
      <c r="T606" s="4" t="n"/>
    </row>
    <row r="607">
      <c r="A607" s="3" t="n">
        <v>606</v>
      </c>
      <c r="B607" s="3" t="inlineStr">
        <is>
          <t>DL003</t>
        </is>
      </c>
      <c r="C607" s="4" t="inlineStr">
        <is>
          <t>CÔNG TY TNHH ĐỒ NGHỀ CẦM TAY PHƯƠNG MY</t>
        </is>
      </c>
      <c r="D607" s="3" t="inlineStr">
        <is>
          <t>HCM</t>
        </is>
      </c>
      <c r="E607" s="3" t="inlineStr">
        <is>
          <t>BẢO TRÂM</t>
        </is>
      </c>
      <c r="F607" s="3" t="inlineStr">
        <is>
          <t>Youtube</t>
        </is>
      </c>
      <c r="G607" s="4" t="inlineStr">
        <is>
          <t>SHOPEE: TIKTOK: LAZADA: WEBSITE BÁN HÀNG: YOUTUBE : https://www.youtube.com/@nguyenchiam2706</t>
        </is>
      </c>
      <c r="H607" s="3" t="inlineStr">
        <is>
          <t>KBA-UL1200</t>
        </is>
      </c>
      <c r="I607" s="4" t="inlineStr">
        <is>
          <t>Máy rửa xe áp lực cao KBA-UL1200</t>
        </is>
      </c>
      <c r="J607" s="3" t="inlineStr">
        <is>
          <t>Cái</t>
        </is>
      </c>
      <c r="K607" s="5" t="n">
        <v>1290000</v>
      </c>
      <c r="L607" s="5" t="n">
        <v>1450000</v>
      </c>
      <c r="M607" s="6" t="n">
        <v>1680000</v>
      </c>
      <c r="N607" s="5" t="n"/>
      <c r="O607" s="5">
        <f>IF(AND(ISNUMBER(N607),ISNUMBER(M607)),N607-M607,"")</f>
        <v/>
      </c>
      <c r="P607" s="7">
        <f>IF(AND(ISNUMBER(N607),ISNUMBER(M607),M607&gt;0),(N607-M607)/M607,"")</f>
        <v/>
      </c>
      <c r="Q607" s="3">
        <f>IF(P607="","",IF(P607&lt;-0.02,"🔴 Bán phá giá sàn",IF(P607&gt;0.05,"🔵 Bán cao hơn","🟢 Đúng giá sàn TMĐT")))</f>
        <v/>
      </c>
      <c r="R607" s="3" t="n"/>
      <c r="S607" s="4" t="n"/>
      <c r="T607" s="4" t="n"/>
    </row>
    <row r="608">
      <c r="A608" s="3" t="n">
        <v>607</v>
      </c>
      <c r="B608" s="3" t="inlineStr">
        <is>
          <t>DL003</t>
        </is>
      </c>
      <c r="C608" s="4" t="inlineStr">
        <is>
          <t>CÔNG TY TNHH ĐỒ NGHỀ CẦM TAY PHƯƠNG MY</t>
        </is>
      </c>
      <c r="D608" s="3" t="inlineStr">
        <is>
          <t>HCM</t>
        </is>
      </c>
      <c r="E608" s="3" t="inlineStr">
        <is>
          <t>BẢO TRÂM</t>
        </is>
      </c>
      <c r="F608" s="3" t="inlineStr">
        <is>
          <t>Youtube</t>
        </is>
      </c>
      <c r="G608" s="4" t="inlineStr">
        <is>
          <t>SHOPEE: TIKTOK: LAZADA: WEBSITE BÁN HÀNG: YOUTUBE : https://www.youtube.com/@nguyenchiam2706</t>
        </is>
      </c>
      <c r="H608" s="3" t="inlineStr">
        <is>
          <t>KBA-I1500</t>
        </is>
      </c>
      <c r="I608" s="4" t="inlineStr">
        <is>
          <t>Máy rửa xe KBA-I1500</t>
        </is>
      </c>
      <c r="J608" s="3" t="inlineStr">
        <is>
          <t>Cái</t>
        </is>
      </c>
      <c r="K608" s="5" t="n">
        <v>2050000</v>
      </c>
      <c r="L608" s="5" t="n">
        <v>2300000</v>
      </c>
      <c r="M608" s="6" t="n">
        <v>2670000</v>
      </c>
      <c r="N608" s="5" t="n"/>
      <c r="O608" s="5">
        <f>IF(AND(ISNUMBER(N608),ISNUMBER(M608)),N608-M608,"")</f>
        <v/>
      </c>
      <c r="P608" s="7">
        <f>IF(AND(ISNUMBER(N608),ISNUMBER(M608),M608&gt;0),(N608-M608)/M608,"")</f>
        <v/>
      </c>
      <c r="Q608" s="3">
        <f>IF(P608="","",IF(P608&lt;-0.02,"🔴 Bán phá giá sàn",IF(P608&gt;0.05,"🔵 Bán cao hơn","🟢 Đúng giá sàn TMĐT")))</f>
        <v/>
      </c>
      <c r="R608" s="3" t="n"/>
      <c r="S608" s="4" t="n"/>
      <c r="T608" s="4" t="n"/>
    </row>
    <row r="609">
      <c r="A609" s="3" t="n">
        <v>608</v>
      </c>
      <c r="B609" s="3" t="inlineStr">
        <is>
          <t>DL003</t>
        </is>
      </c>
      <c r="C609" s="4" t="inlineStr">
        <is>
          <t>CÔNG TY TNHH ĐỒ NGHỀ CẦM TAY PHƯƠNG MY</t>
        </is>
      </c>
      <c r="D609" s="3" t="inlineStr">
        <is>
          <t>HCM</t>
        </is>
      </c>
      <c r="E609" s="3" t="inlineStr">
        <is>
          <t>BẢO TRÂM</t>
        </is>
      </c>
      <c r="F609" s="3" t="inlineStr">
        <is>
          <t>Youtube</t>
        </is>
      </c>
      <c r="G609" s="4" t="inlineStr">
        <is>
          <t>SHOPEE: TIKTOK: LAZADA: WEBSITE BÁN HÀNG: YOUTUBE : https://www.youtube.com/@nguyenchiam2706</t>
        </is>
      </c>
      <c r="H609" s="3" t="inlineStr">
        <is>
          <t>KBA-US1500</t>
        </is>
      </c>
      <c r="I609" s="4" t="inlineStr">
        <is>
          <t>Máy rửa xe tiêu âm KBA-US1500</t>
        </is>
      </c>
      <c r="J609" s="3" t="inlineStr">
        <is>
          <t>Cái</t>
        </is>
      </c>
      <c r="K609" s="5" t="n">
        <v>1900000</v>
      </c>
      <c r="L609" s="5" t="n">
        <v>2130000</v>
      </c>
      <c r="M609" s="6" t="n">
        <v>2470000</v>
      </c>
      <c r="N609" s="5" t="n"/>
      <c r="O609" s="5">
        <f>IF(AND(ISNUMBER(N609),ISNUMBER(M609)),N609-M609,"")</f>
        <v/>
      </c>
      <c r="P609" s="7">
        <f>IF(AND(ISNUMBER(N609),ISNUMBER(M609),M609&gt;0),(N609-M609)/M609,"")</f>
        <v/>
      </c>
      <c r="Q609" s="3">
        <f>IF(P609="","",IF(P609&lt;-0.02,"🔴 Bán phá giá sàn",IF(P609&gt;0.05,"🔵 Bán cao hơn","🟢 Đúng giá sàn TMĐT")))</f>
        <v/>
      </c>
      <c r="R609" s="3" t="n"/>
      <c r="S609" s="4" t="n"/>
      <c r="T609" s="4" t="n"/>
    </row>
    <row r="610">
      <c r="A610" s="3" t="n">
        <v>609</v>
      </c>
      <c r="B610" s="3" t="inlineStr">
        <is>
          <t>DL003</t>
        </is>
      </c>
      <c r="C610" s="4" t="inlineStr">
        <is>
          <t>CÔNG TY TNHH ĐỒ NGHỀ CẦM TAY PHƯƠNG MY</t>
        </is>
      </c>
      <c r="D610" s="3" t="inlineStr">
        <is>
          <t>HCM</t>
        </is>
      </c>
      <c r="E610" s="3" t="inlineStr">
        <is>
          <t>BẢO TRÂM</t>
        </is>
      </c>
      <c r="F610" s="3" t="inlineStr">
        <is>
          <t>Youtube</t>
        </is>
      </c>
      <c r="G610" s="4" t="inlineStr">
        <is>
          <t>SHOPEE: TIKTOK: LAZADA: WEBSITE BÁN HÀNG: YOUTUBE : https://www.youtube.com/@nguyenchiam2706</t>
        </is>
      </c>
      <c r="H610" s="3" t="inlineStr">
        <is>
          <t>K18SVS</t>
        </is>
      </c>
      <c r="I610" s="4" t="inlineStr">
        <is>
          <t>Máy siết Bulon 18V 2in1 K18SVS</t>
        </is>
      </c>
      <c r="J610" s="3" t="inlineStr">
        <is>
          <t>Cái</t>
        </is>
      </c>
      <c r="K610" s="5" t="n">
        <v>1630000</v>
      </c>
      <c r="L610" s="5" t="n">
        <v>1790000</v>
      </c>
      <c r="M610" s="6" t="n">
        <v>2040000</v>
      </c>
      <c r="N610" s="5" t="n"/>
      <c r="O610" s="5">
        <f>IF(AND(ISNUMBER(N610),ISNUMBER(M610)),N610-M610,"")</f>
        <v/>
      </c>
      <c r="P610" s="7">
        <f>IF(AND(ISNUMBER(N610),ISNUMBER(M610),M610&gt;0),(N610-M610)/M610,"")</f>
        <v/>
      </c>
      <c r="Q610" s="3">
        <f>IF(P610="","",IF(P610&lt;-0.02,"🔴 Bán phá giá sàn",IF(P610&gt;0.05,"🔵 Bán cao hơn","🟢 Đúng giá sàn TMĐT")))</f>
        <v/>
      </c>
      <c r="R610" s="3" t="n"/>
      <c r="S610" s="4" t="n"/>
      <c r="T610" s="4" t="n"/>
    </row>
    <row r="611">
      <c r="A611" s="3" t="n">
        <v>610</v>
      </c>
      <c r="B611" s="3" t="inlineStr">
        <is>
          <t>DL003</t>
        </is>
      </c>
      <c r="C611" s="4" t="inlineStr">
        <is>
          <t>CÔNG TY TNHH ĐỒ NGHỀ CẦM TAY PHƯƠNG MY</t>
        </is>
      </c>
      <c r="D611" s="3" t="inlineStr">
        <is>
          <t>HCM</t>
        </is>
      </c>
      <c r="E611" s="3" t="inlineStr">
        <is>
          <t>BẢO TRÂM</t>
        </is>
      </c>
      <c r="F611" s="3" t="inlineStr">
        <is>
          <t>Youtube</t>
        </is>
      </c>
      <c r="G611" s="4" t="inlineStr">
        <is>
          <t>SHOPEE: TIKTOK: LAZADA: WEBSITE BÁN HÀNG: YOUTUBE : https://www.youtube.com/@nguyenchiam2706</t>
        </is>
      </c>
      <c r="H611" s="3" t="inlineStr">
        <is>
          <t>K18SFS</t>
        </is>
      </c>
      <c r="I611" s="4" t="inlineStr">
        <is>
          <t>Máy siết bulong 18V K18SFS</t>
        </is>
      </c>
      <c r="J611" s="3" t="inlineStr">
        <is>
          <t>Cái</t>
        </is>
      </c>
      <c r="K611" s="5" t="n">
        <v>2620000</v>
      </c>
      <c r="L611" s="5" t="n">
        <v>2880000</v>
      </c>
      <c r="M611" s="6" t="n">
        <v>3270000</v>
      </c>
      <c r="N611" s="5" t="n"/>
      <c r="O611" s="5">
        <f>IF(AND(ISNUMBER(N611),ISNUMBER(M611)),N611-M611,"")</f>
        <v/>
      </c>
      <c r="P611" s="7">
        <f>IF(AND(ISNUMBER(N611),ISNUMBER(M611),M611&gt;0),(N611-M611)/M611,"")</f>
        <v/>
      </c>
      <c r="Q611" s="3">
        <f>IF(P611="","",IF(P611&lt;-0.02,"🔴 Bán phá giá sàn",IF(P611&gt;0.05,"🔵 Bán cao hơn","🟢 Đúng giá sàn TMĐT")))</f>
        <v/>
      </c>
      <c r="R611" s="3" t="n"/>
      <c r="S611" s="4" t="n"/>
      <c r="T611" s="4" t="n"/>
    </row>
    <row r="612">
      <c r="A612" s="3" t="n">
        <v>611</v>
      </c>
      <c r="B612" s="3" t="inlineStr">
        <is>
          <t>DL003</t>
        </is>
      </c>
      <c r="C612" s="4" t="inlineStr">
        <is>
          <t>CÔNG TY TNHH ĐỒ NGHỀ CẦM TAY PHƯƠNG MY</t>
        </is>
      </c>
      <c r="D612" s="3" t="inlineStr">
        <is>
          <t>HCM</t>
        </is>
      </c>
      <c r="E612" s="3" t="inlineStr">
        <is>
          <t>BẢO TRÂM</t>
        </is>
      </c>
      <c r="F612" s="3" t="inlineStr">
        <is>
          <t>Youtube</t>
        </is>
      </c>
      <c r="G612" s="4" t="inlineStr">
        <is>
          <t>SHOPEE: TIKTOK: LAZADA: WEBSITE BÁN HÀNG: YOUTUBE : https://www.youtube.com/@nguyenchiam2706</t>
        </is>
      </c>
      <c r="H612" s="3" t="inlineStr">
        <is>
          <t>K18PLS</t>
        </is>
      </c>
      <c r="I612" s="4" t="inlineStr">
        <is>
          <t>Máy thổi phản lực 18V K18PLS</t>
        </is>
      </c>
      <c r="J612" s="3" t="inlineStr">
        <is>
          <t>Cái</t>
        </is>
      </c>
      <c r="K612" s="5" t="n">
        <v>990000</v>
      </c>
      <c r="L612" s="5" t="n">
        <v>1090000</v>
      </c>
      <c r="M612" s="6" t="n">
        <v>1240000</v>
      </c>
      <c r="N612" s="5" t="n"/>
      <c r="O612" s="5">
        <f>IF(AND(ISNUMBER(N612),ISNUMBER(M612)),N612-M612,"")</f>
        <v/>
      </c>
      <c r="P612" s="7">
        <f>IF(AND(ISNUMBER(N612),ISNUMBER(M612),M612&gt;0),(N612-M612)/M612,"")</f>
        <v/>
      </c>
      <c r="Q612" s="3">
        <f>IF(P612="","",IF(P612&lt;-0.02,"🔴 Bán phá giá sàn",IF(P612&gt;0.05,"🔵 Bán cao hơn","🟢 Đúng giá sàn TMĐT")))</f>
        <v/>
      </c>
      <c r="R612" s="3" t="n"/>
      <c r="S612" s="4" t="n"/>
      <c r="T612" s="4" t="n"/>
    </row>
    <row r="613">
      <c r="A613" s="3" t="n">
        <v>612</v>
      </c>
      <c r="B613" s="3" t="inlineStr">
        <is>
          <t>DL003</t>
        </is>
      </c>
      <c r="C613" s="4" t="inlineStr">
        <is>
          <t>CÔNG TY TNHH ĐỒ NGHỀ CẦM TAY PHƯƠNG MY</t>
        </is>
      </c>
      <c r="D613" s="3" t="inlineStr">
        <is>
          <t>HCM</t>
        </is>
      </c>
      <c r="E613" s="3" t="inlineStr">
        <is>
          <t>BẢO TRÂM</t>
        </is>
      </c>
      <c r="F613" s="3" t="inlineStr">
        <is>
          <t>Youtube</t>
        </is>
      </c>
      <c r="G613" s="4" t="inlineStr">
        <is>
          <t>SHOPEE: TIKTOK: LAZADA: WEBSITE BÁN HÀNG: YOUTUBE : https://www.youtube.com/@nguyenchiam2706</t>
        </is>
      </c>
      <c r="H613" s="3" t="inlineStr">
        <is>
          <t>V100R</t>
        </is>
      </c>
      <c r="I613" s="4" t="inlineStr">
        <is>
          <t>Mũi bắn vít chống trượt KingBlue V100R</t>
        </is>
      </c>
      <c r="J613" s="3" t="inlineStr">
        <is>
          <t>Vỉ</t>
        </is>
      </c>
      <c r="K613" s="5" t="n">
        <v>29000</v>
      </c>
      <c r="L613" s="5" t="n">
        <v>37000</v>
      </c>
      <c r="M613" s="6" t="n">
        <v>48000</v>
      </c>
      <c r="N613" s="5" t="n"/>
      <c r="O613" s="5">
        <f>IF(AND(ISNUMBER(N613),ISNUMBER(M613)),N613-M613,"")</f>
        <v/>
      </c>
      <c r="P613" s="7">
        <f>IF(AND(ISNUMBER(N613),ISNUMBER(M613),M613&gt;0),(N613-M613)/M613,"")</f>
        <v/>
      </c>
      <c r="Q613" s="3">
        <f>IF(P613="","",IF(P613&lt;-0.02,"🔴 Bán phá giá sàn",IF(P613&gt;0.05,"🔵 Bán cao hơn","🟢 Đúng giá sàn TMĐT")))</f>
        <v/>
      </c>
      <c r="R613" s="3" t="n"/>
      <c r="S613" s="4" t="n"/>
      <c r="T613" s="4" t="n"/>
    </row>
    <row r="614">
      <c r="A614" s="3" t="n">
        <v>613</v>
      </c>
      <c r="B614" s="3" t="inlineStr">
        <is>
          <t>DL003</t>
        </is>
      </c>
      <c r="C614" s="4" t="inlineStr">
        <is>
          <t>CÔNG TY TNHH ĐỒ NGHỀ CẦM TAY PHƯƠNG MY</t>
        </is>
      </c>
      <c r="D614" s="3" t="inlineStr">
        <is>
          <t>HCM</t>
        </is>
      </c>
      <c r="E614" s="3" t="inlineStr">
        <is>
          <t>BẢO TRÂM</t>
        </is>
      </c>
      <c r="F614" s="3" t="inlineStr">
        <is>
          <t>Youtube</t>
        </is>
      </c>
      <c r="G614" s="4" t="inlineStr">
        <is>
          <t>SHOPEE: TIKTOK: LAZADA: WEBSITE BÁN HÀNG: YOUTUBE : https://www.youtube.com/@nguyenchiam2706</t>
        </is>
      </c>
      <c r="H614" s="3" t="inlineStr">
        <is>
          <t>V150R</t>
        </is>
      </c>
      <c r="I614" s="4" t="inlineStr">
        <is>
          <t>Mũi bắn vít chống trượt KingBlue V150R</t>
        </is>
      </c>
      <c r="J614" s="3" t="inlineStr">
        <is>
          <t>Vỉ</t>
        </is>
      </c>
      <c r="K614" s="5" t="n">
        <v>40000</v>
      </c>
      <c r="L614" s="5" t="n">
        <v>50000</v>
      </c>
      <c r="M614" s="6" t="n">
        <v>66000</v>
      </c>
      <c r="N614" s="5" t="n"/>
      <c r="O614" s="5">
        <f>IF(AND(ISNUMBER(N614),ISNUMBER(M614)),N614-M614,"")</f>
        <v/>
      </c>
      <c r="P614" s="7">
        <f>IF(AND(ISNUMBER(N614),ISNUMBER(M614),M614&gt;0),(N614-M614)/M614,"")</f>
        <v/>
      </c>
      <c r="Q614" s="3">
        <f>IF(P614="","",IF(P614&lt;-0.02,"🔴 Bán phá giá sàn",IF(P614&gt;0.05,"🔵 Bán cao hơn","🟢 Đúng giá sàn TMĐT")))</f>
        <v/>
      </c>
      <c r="R614" s="3" t="n"/>
      <c r="S614" s="4" t="n"/>
      <c r="T614" s="4" t="n"/>
    </row>
    <row r="615">
      <c r="A615" s="3" t="n">
        <v>614</v>
      </c>
      <c r="B615" s="3" t="inlineStr">
        <is>
          <t>DL003</t>
        </is>
      </c>
      <c r="C615" s="4" t="inlineStr">
        <is>
          <t>CÔNG TY TNHH ĐỒ NGHỀ CẦM TAY PHƯƠNG MY</t>
        </is>
      </c>
      <c r="D615" s="3" t="inlineStr">
        <is>
          <t>HCM</t>
        </is>
      </c>
      <c r="E615" s="3" t="inlineStr">
        <is>
          <t>BẢO TRÂM</t>
        </is>
      </c>
      <c r="F615" s="3" t="inlineStr">
        <is>
          <t>Youtube</t>
        </is>
      </c>
      <c r="G615" s="4" t="inlineStr">
        <is>
          <t>SHOPEE: TIKTOK: LAZADA: WEBSITE BÁN HÀNG: YOUTUBE : https://www.youtube.com/@nguyenchiam2706</t>
        </is>
      </c>
      <c r="H615" s="3" t="inlineStr">
        <is>
          <t>V65R</t>
        </is>
      </c>
      <c r="I615" s="4" t="inlineStr">
        <is>
          <t>Mũi bắn vít chống trượt KingBlue V65R</t>
        </is>
      </c>
      <c r="J615" s="3" t="inlineStr">
        <is>
          <t>Vỉ</t>
        </is>
      </c>
      <c r="K615" s="5" t="n">
        <v>20000</v>
      </c>
      <c r="L615" s="5" t="n">
        <v>25000</v>
      </c>
      <c r="M615" s="6" t="n">
        <v>33000</v>
      </c>
      <c r="N615" s="5" t="n"/>
      <c r="O615" s="5">
        <f>IF(AND(ISNUMBER(N615),ISNUMBER(M615)),N615-M615,"")</f>
        <v/>
      </c>
      <c r="P615" s="7">
        <f>IF(AND(ISNUMBER(N615),ISNUMBER(M615),M615&gt;0),(N615-M615)/M615,"")</f>
        <v/>
      </c>
      <c r="Q615" s="3">
        <f>IF(P615="","",IF(P615&lt;-0.02,"🔴 Bán phá giá sàn",IF(P615&gt;0.05,"🔵 Bán cao hơn","🟢 Đúng giá sàn TMĐT")))</f>
        <v/>
      </c>
      <c r="R615" s="3" t="n"/>
      <c r="S615" s="4" t="n"/>
      <c r="T615" s="4" t="n"/>
    </row>
    <row r="616">
      <c r="A616" s="3" t="n">
        <v>615</v>
      </c>
      <c r="B616" s="3" t="inlineStr">
        <is>
          <t>DL003</t>
        </is>
      </c>
      <c r="C616" s="4" t="inlineStr">
        <is>
          <t>CÔNG TY TNHH ĐỒ NGHỀ CẦM TAY PHƯƠNG MY</t>
        </is>
      </c>
      <c r="D616" s="3" t="inlineStr">
        <is>
          <t>HCM</t>
        </is>
      </c>
      <c r="E616" s="3" t="inlineStr">
        <is>
          <t>BẢO TRÂM</t>
        </is>
      </c>
      <c r="F616" s="3" t="inlineStr">
        <is>
          <t>Youtube</t>
        </is>
      </c>
      <c r="G616" s="4" t="inlineStr">
        <is>
          <t>SHOPEE: TIKTOK: LAZADA: WEBSITE BÁN HÀNG: YOUTUBE : https://www.youtube.com/@nguyenchiam2706</t>
        </is>
      </c>
      <c r="H616" s="3" t="inlineStr">
        <is>
          <t>V100S</t>
        </is>
      </c>
      <c r="I616" s="4" t="inlineStr">
        <is>
          <t>Mũi bắn vít PH2 V100S</t>
        </is>
      </c>
      <c r="J616" s="3" t="inlineStr">
        <is>
          <t>Vỉ</t>
        </is>
      </c>
      <c r="K616" s="5" t="n">
        <v>44000</v>
      </c>
      <c r="L616" s="5" t="n">
        <v>56000</v>
      </c>
      <c r="M616" s="6" t="n">
        <v>73000</v>
      </c>
      <c r="N616" s="5" t="n"/>
      <c r="O616" s="5">
        <f>IF(AND(ISNUMBER(N616),ISNUMBER(M616)),N616-M616,"")</f>
        <v/>
      </c>
      <c r="P616" s="7">
        <f>IF(AND(ISNUMBER(N616),ISNUMBER(M616),M616&gt;0),(N616-M616)/M616,"")</f>
        <v/>
      </c>
      <c r="Q616" s="3">
        <f>IF(P616="","",IF(P616&lt;-0.02,"🔴 Bán phá giá sàn",IF(P616&gt;0.05,"🔵 Bán cao hơn","🟢 Đúng giá sàn TMĐT")))</f>
        <v/>
      </c>
      <c r="R616" s="3" t="n"/>
      <c r="S616" s="4" t="n"/>
      <c r="T616" s="4" t="n"/>
    </row>
    <row r="617">
      <c r="A617" s="3" t="n">
        <v>616</v>
      </c>
      <c r="B617" s="3" t="inlineStr">
        <is>
          <t>DL003</t>
        </is>
      </c>
      <c r="C617" s="4" t="inlineStr">
        <is>
          <t>CÔNG TY TNHH ĐỒ NGHỀ CẦM TAY PHƯƠNG MY</t>
        </is>
      </c>
      <c r="D617" s="3" t="inlineStr">
        <is>
          <t>HCM</t>
        </is>
      </c>
      <c r="E617" s="3" t="inlineStr">
        <is>
          <t>BẢO TRÂM</t>
        </is>
      </c>
      <c r="F617" s="3" t="inlineStr">
        <is>
          <t>Youtube</t>
        </is>
      </c>
      <c r="G617" s="4" t="inlineStr">
        <is>
          <t>SHOPEE: TIKTOK: LAZADA: WEBSITE BÁN HÀNG: YOUTUBE : https://www.youtube.com/@nguyenchiam2706</t>
        </is>
      </c>
      <c r="H617" s="3" t="inlineStr">
        <is>
          <t>V65S</t>
        </is>
      </c>
      <c r="I617" s="4" t="inlineStr">
        <is>
          <t>Mũi bắn vít PH2 V65S</t>
        </is>
      </c>
      <c r="J617" s="3" t="inlineStr">
        <is>
          <t>Vỉ</t>
        </is>
      </c>
      <c r="K617" s="5" t="n">
        <v>30000</v>
      </c>
      <c r="L617" s="5" t="n">
        <v>38000</v>
      </c>
      <c r="M617" s="6" t="n">
        <v>50000</v>
      </c>
      <c r="N617" s="5" t="n"/>
      <c r="O617" s="5">
        <f>IF(AND(ISNUMBER(N617),ISNUMBER(M617)),N617-M617,"")</f>
        <v/>
      </c>
      <c r="P617" s="7">
        <f>IF(AND(ISNUMBER(N617),ISNUMBER(M617),M617&gt;0),(N617-M617)/M617,"")</f>
        <v/>
      </c>
      <c r="Q617" s="3">
        <f>IF(P617="","",IF(P617&lt;-0.02,"🔴 Bán phá giá sàn",IF(P617&gt;0.05,"🔵 Bán cao hơn","🟢 Đúng giá sàn TMĐT")))</f>
        <v/>
      </c>
      <c r="R617" s="3" t="n"/>
      <c r="S617" s="4" t="n"/>
      <c r="T617" s="4" t="n"/>
    </row>
    <row r="618">
      <c r="A618" s="3" t="n">
        <v>617</v>
      </c>
      <c r="B618" s="3" t="inlineStr">
        <is>
          <t>DL003</t>
        </is>
      </c>
      <c r="C618" s="4" t="inlineStr">
        <is>
          <t>CÔNG TY TNHH ĐỒ NGHỀ CẦM TAY PHƯƠNG MY</t>
        </is>
      </c>
      <c r="D618" s="3" t="inlineStr">
        <is>
          <t>HCM</t>
        </is>
      </c>
      <c r="E618" s="3" t="inlineStr">
        <is>
          <t>BẢO TRÂM</t>
        </is>
      </c>
      <c r="F618" s="3" t="inlineStr">
        <is>
          <t>Youtube</t>
        </is>
      </c>
      <c r="G618" s="4" t="inlineStr">
        <is>
          <t>SHOPEE: TIKTOK: LAZADA: WEBSITE BÁN HÀNG: YOUTUBE : https://www.youtube.com/@nguyenchiam2706</t>
        </is>
      </c>
      <c r="H618" s="3" t="inlineStr"/>
      <c r="I618" s="4" t="inlineStr">
        <is>
          <t>Mũi đục bê tông KBVd-14*250*22</t>
        </is>
      </c>
      <c r="J618" s="3" t="inlineStr">
        <is>
          <t>Cái</t>
        </is>
      </c>
      <c r="K618" s="5" t="n">
        <v>269000</v>
      </c>
      <c r="L618" s="5" t="n">
        <v>317000</v>
      </c>
      <c r="M618" s="6" t="n">
        <v>390000</v>
      </c>
      <c r="N618" s="5" t="n"/>
      <c r="O618" s="5">
        <f>IF(AND(ISNUMBER(N618),ISNUMBER(M618)),N618-M618,"")</f>
        <v/>
      </c>
      <c r="P618" s="7">
        <f>IF(AND(ISNUMBER(N618),ISNUMBER(M618),M618&gt;0),(N618-M618)/M618,"")</f>
        <v/>
      </c>
      <c r="Q618" s="3">
        <f>IF(P618="","",IF(P618&lt;-0.02,"🔴 Bán phá giá sàn",IF(P618&gt;0.05,"🔵 Bán cao hơn","🟢 Đúng giá sàn TMĐT")))</f>
        <v/>
      </c>
      <c r="R618" s="3" t="n"/>
      <c r="S618" s="4" t="n"/>
      <c r="T618" s="4" t="n"/>
    </row>
    <row r="619">
      <c r="A619" s="3" t="n">
        <v>618</v>
      </c>
      <c r="B619" s="3" t="inlineStr">
        <is>
          <t>DL003</t>
        </is>
      </c>
      <c r="C619" s="4" t="inlineStr">
        <is>
          <t>CÔNG TY TNHH ĐỒ NGHỀ CẦM TAY PHƯƠNG MY</t>
        </is>
      </c>
      <c r="D619" s="3" t="inlineStr">
        <is>
          <t>HCM</t>
        </is>
      </c>
      <c r="E619" s="3" t="inlineStr">
        <is>
          <t>BẢO TRÂM</t>
        </is>
      </c>
      <c r="F619" s="3" t="inlineStr">
        <is>
          <t>Youtube</t>
        </is>
      </c>
      <c r="G619" s="4" t="inlineStr">
        <is>
          <t>SHOPEE: TIKTOK: LAZADA: WEBSITE BÁN HÀNG: YOUTUBE : https://www.youtube.com/@nguyenchiam2706</t>
        </is>
      </c>
      <c r="H619" s="3" t="inlineStr"/>
      <c r="I619" s="4" t="inlineStr">
        <is>
          <t>Mũi đục bê tông KBVn-14*250</t>
        </is>
      </c>
      <c r="J619" s="3" t="inlineStr">
        <is>
          <t>Cái</t>
        </is>
      </c>
      <c r="K619" s="5" t="n">
        <v>269000</v>
      </c>
      <c r="L619" s="5" t="n">
        <v>317000</v>
      </c>
      <c r="M619" s="6" t="n">
        <v>390000</v>
      </c>
      <c r="N619" s="5" t="n"/>
      <c r="O619" s="5">
        <f>IF(AND(ISNUMBER(N619),ISNUMBER(M619)),N619-M619,"")</f>
        <v/>
      </c>
      <c r="P619" s="7">
        <f>IF(AND(ISNUMBER(N619),ISNUMBER(M619),M619&gt;0),(N619-M619)/M619,"")</f>
        <v/>
      </c>
      <c r="Q619" s="3">
        <f>IF(P619="","",IF(P619&lt;-0.02,"🔴 Bán phá giá sàn",IF(P619&gt;0.05,"🔵 Bán cao hơn","🟢 Đúng giá sàn TMĐT")))</f>
        <v/>
      </c>
      <c r="R619" s="3" t="n"/>
      <c r="S619" s="4" t="n"/>
      <c r="T619" s="4" t="n"/>
    </row>
    <row r="620">
      <c r="A620" s="3" t="n">
        <v>619</v>
      </c>
      <c r="B620" s="3" t="inlineStr">
        <is>
          <t>DL003</t>
        </is>
      </c>
      <c r="C620" s="4" t="inlineStr">
        <is>
          <t>CÔNG TY TNHH ĐỒ NGHỀ CẦM TAY PHƯƠNG MY</t>
        </is>
      </c>
      <c r="D620" s="3" t="inlineStr">
        <is>
          <t>HCM</t>
        </is>
      </c>
      <c r="E620" s="3" t="inlineStr">
        <is>
          <t>BẢO TRÂM</t>
        </is>
      </c>
      <c r="F620" s="3" t="inlineStr">
        <is>
          <t>Youtube</t>
        </is>
      </c>
      <c r="G620" s="4" t="inlineStr">
        <is>
          <t>SHOPEE: TIKTOK: LAZADA: WEBSITE BÁN HÀNG: YOUTUBE : https://www.youtube.com/@nguyenchiam2706</t>
        </is>
      </c>
      <c r="H620" s="3" t="inlineStr">
        <is>
          <t>KBL4-06160</t>
        </is>
      </c>
      <c r="I620" s="4" t="inlineStr">
        <is>
          <t>Mũi khoan bê tông 4 cạnh KBL4-06*160</t>
        </is>
      </c>
      <c r="J620" s="3" t="inlineStr">
        <is>
          <t>Cái</t>
        </is>
      </c>
      <c r="K620" s="5" t="n">
        <v>24000</v>
      </c>
      <c r="L620" s="5" t="n">
        <v>29000</v>
      </c>
      <c r="M620" s="6" t="n">
        <v>37000</v>
      </c>
      <c r="N620" s="5" t="n"/>
      <c r="O620" s="5">
        <f>IF(AND(ISNUMBER(N620),ISNUMBER(M620)),N620-M620,"")</f>
        <v/>
      </c>
      <c r="P620" s="7">
        <f>IF(AND(ISNUMBER(N620),ISNUMBER(M620),M620&gt;0),(N620-M620)/M620,"")</f>
        <v/>
      </c>
      <c r="Q620" s="3">
        <f>IF(P620="","",IF(P620&lt;-0.02,"🔴 Bán phá giá sàn",IF(P620&gt;0.05,"🔵 Bán cao hơn","🟢 Đúng giá sàn TMĐT")))</f>
        <v/>
      </c>
      <c r="R620" s="3" t="n"/>
      <c r="S620" s="4" t="n"/>
      <c r="T620" s="4" t="n"/>
    </row>
    <row r="621">
      <c r="A621" s="3" t="n">
        <v>620</v>
      </c>
      <c r="B621" s="3" t="inlineStr">
        <is>
          <t>DL003</t>
        </is>
      </c>
      <c r="C621" s="4" t="inlineStr">
        <is>
          <t>CÔNG TY TNHH ĐỒ NGHỀ CẦM TAY PHƯƠNG MY</t>
        </is>
      </c>
      <c r="D621" s="3" t="inlineStr">
        <is>
          <t>HCM</t>
        </is>
      </c>
      <c r="E621" s="3" t="inlineStr">
        <is>
          <t>BẢO TRÂM</t>
        </is>
      </c>
      <c r="F621" s="3" t="inlineStr">
        <is>
          <t>Youtube</t>
        </is>
      </c>
      <c r="G621" s="4" t="inlineStr">
        <is>
          <t>SHOPEE: TIKTOK: LAZADA: WEBSITE BÁN HÀNG: YOUTUBE : https://www.youtube.com/@nguyenchiam2706</t>
        </is>
      </c>
      <c r="H621" s="3" t="inlineStr">
        <is>
          <t>KBL4-08160</t>
        </is>
      </c>
      <c r="I621" s="4" t="inlineStr">
        <is>
          <t>Mũi khoan bê tông 4 cạnh KBL4-08*160</t>
        </is>
      </c>
      <c r="J621" s="3" t="inlineStr">
        <is>
          <t>Cái</t>
        </is>
      </c>
      <c r="K621" s="5" t="n">
        <v>27000</v>
      </c>
      <c r="L621" s="5" t="n">
        <v>33000</v>
      </c>
      <c r="M621" s="6" t="n">
        <v>42000</v>
      </c>
      <c r="N621" s="5" t="n"/>
      <c r="O621" s="5">
        <f>IF(AND(ISNUMBER(N621),ISNUMBER(M621)),N621-M621,"")</f>
        <v/>
      </c>
      <c r="P621" s="7">
        <f>IF(AND(ISNUMBER(N621),ISNUMBER(M621),M621&gt;0),(N621-M621)/M621,"")</f>
        <v/>
      </c>
      <c r="Q621" s="3">
        <f>IF(P621="","",IF(P621&lt;-0.02,"🔴 Bán phá giá sàn",IF(P621&gt;0.05,"🔵 Bán cao hơn","🟢 Đúng giá sàn TMĐT")))</f>
        <v/>
      </c>
      <c r="R621" s="3" t="n"/>
      <c r="S621" s="4" t="n"/>
      <c r="T621" s="4" t="n"/>
    </row>
    <row r="622">
      <c r="A622" s="3" t="n">
        <v>621</v>
      </c>
      <c r="B622" s="3" t="inlineStr">
        <is>
          <t>DL003</t>
        </is>
      </c>
      <c r="C622" s="4" t="inlineStr">
        <is>
          <t>CÔNG TY TNHH ĐỒ NGHỀ CẦM TAY PHƯƠNG MY</t>
        </is>
      </c>
      <c r="D622" s="3" t="inlineStr">
        <is>
          <t>HCM</t>
        </is>
      </c>
      <c r="E622" s="3" t="inlineStr">
        <is>
          <t>BẢO TRÂM</t>
        </is>
      </c>
      <c r="F622" s="3" t="inlineStr">
        <is>
          <t>Youtube</t>
        </is>
      </c>
      <c r="G622" s="4" t="inlineStr">
        <is>
          <t>SHOPEE: TIKTOK: LAZADA: WEBSITE BÁN HÀNG: YOUTUBE : https://www.youtube.com/@nguyenchiam2706</t>
        </is>
      </c>
      <c r="H622" s="3" t="inlineStr">
        <is>
          <t>KBL4-10160</t>
        </is>
      </c>
      <c r="I622" s="4" t="inlineStr">
        <is>
          <t>Mũi khoan bê tông 4 cạnh KBL4-10*160</t>
        </is>
      </c>
      <c r="J622" s="3" t="inlineStr">
        <is>
          <t>Cái</t>
        </is>
      </c>
      <c r="K622" s="5" t="n">
        <v>30000</v>
      </c>
      <c r="L622" s="5" t="n">
        <v>37000</v>
      </c>
      <c r="M622" s="6" t="n">
        <v>47000</v>
      </c>
      <c r="N622" s="5" t="n"/>
      <c r="O622" s="5">
        <f>IF(AND(ISNUMBER(N622),ISNUMBER(M622)),N622-M622,"")</f>
        <v/>
      </c>
      <c r="P622" s="7">
        <f>IF(AND(ISNUMBER(N622),ISNUMBER(M622),M622&gt;0),(N622-M622)/M622,"")</f>
        <v/>
      </c>
      <c r="Q622" s="3">
        <f>IF(P622="","",IF(P622&lt;-0.02,"🔴 Bán phá giá sàn",IF(P622&gt;0.05,"🔵 Bán cao hơn","🟢 Đúng giá sàn TMĐT")))</f>
        <v/>
      </c>
      <c r="R622" s="3" t="n"/>
      <c r="S622" s="4" t="n"/>
      <c r="T622" s="4" t="n"/>
    </row>
    <row r="623">
      <c r="A623" s="3" t="n">
        <v>622</v>
      </c>
      <c r="B623" s="3" t="inlineStr">
        <is>
          <t>DL003</t>
        </is>
      </c>
      <c r="C623" s="4" t="inlineStr">
        <is>
          <t>CÔNG TY TNHH ĐỒ NGHỀ CẦM TAY PHƯƠNG MY</t>
        </is>
      </c>
      <c r="D623" s="3" t="inlineStr">
        <is>
          <t>HCM</t>
        </is>
      </c>
      <c r="E623" s="3" t="inlineStr">
        <is>
          <t>BẢO TRÂM</t>
        </is>
      </c>
      <c r="F623" s="3" t="inlineStr">
        <is>
          <t>Youtube</t>
        </is>
      </c>
      <c r="G623" s="4" t="inlineStr">
        <is>
          <t>SHOPEE: TIKTOK: LAZADA: WEBSITE BÁN HÀNG: YOUTUBE : https://www.youtube.com/@nguyenchiam2706</t>
        </is>
      </c>
      <c r="H623" s="3" t="inlineStr">
        <is>
          <t>KBL2-3.290</t>
        </is>
      </c>
      <c r="I623" s="4" t="inlineStr">
        <is>
          <t>Mũi khoan bê tông không tắc kê KBL2-3.2*90</t>
        </is>
      </c>
      <c r="J623" s="3" t="inlineStr">
        <is>
          <t>Cái</t>
        </is>
      </c>
      <c r="K623" s="5" t="n">
        <v>23000</v>
      </c>
      <c r="L623" s="5" t="n">
        <v>29000</v>
      </c>
      <c r="M623" s="6" t="n">
        <v>38000</v>
      </c>
      <c r="N623" s="5" t="n"/>
      <c r="O623" s="5">
        <f>IF(AND(ISNUMBER(N623),ISNUMBER(M623)),N623-M623,"")</f>
        <v/>
      </c>
      <c r="P623" s="7">
        <f>IF(AND(ISNUMBER(N623),ISNUMBER(M623),M623&gt;0),(N623-M623)/M623,"")</f>
        <v/>
      </c>
      <c r="Q623" s="3">
        <f>IF(P623="","",IF(P623&lt;-0.02,"🔴 Bán phá giá sàn",IF(P623&gt;0.05,"🔵 Bán cao hơn","🟢 Đúng giá sàn TMĐT")))</f>
        <v/>
      </c>
      <c r="R623" s="3" t="n"/>
      <c r="S623" s="4" t="n"/>
      <c r="T623" s="4" t="n"/>
    </row>
    <row r="624">
      <c r="A624" s="3" t="n">
        <v>623</v>
      </c>
      <c r="B624" s="3" t="inlineStr">
        <is>
          <t>DL003</t>
        </is>
      </c>
      <c r="C624" s="4" t="inlineStr">
        <is>
          <t>CÔNG TY TNHH ĐỒ NGHỀ CẦM TAY PHƯƠNG MY</t>
        </is>
      </c>
      <c r="D624" s="3" t="inlineStr">
        <is>
          <t>HCM</t>
        </is>
      </c>
      <c r="E624" s="3" t="inlineStr">
        <is>
          <t>BẢO TRÂM</t>
        </is>
      </c>
      <c r="F624" s="3" t="inlineStr">
        <is>
          <t>Youtube</t>
        </is>
      </c>
      <c r="G624" s="4" t="inlineStr">
        <is>
          <t>SHOPEE: TIKTOK: LAZADA: WEBSITE BÁN HÀNG: YOUTUBE : https://www.youtube.com/@nguyenchiam2706</t>
        </is>
      </c>
      <c r="H624" s="3" t="inlineStr">
        <is>
          <t>KBL2-4.2110</t>
        </is>
      </c>
      <c r="I624" s="4" t="inlineStr">
        <is>
          <t>Mũi khoan bê tông không tắc kê KBL2-4.2*110</t>
        </is>
      </c>
      <c r="J624" s="3" t="inlineStr">
        <is>
          <t>Cái</t>
        </is>
      </c>
      <c r="K624" s="5" t="n">
        <v>23000</v>
      </c>
      <c r="L624" s="5" t="n">
        <v>29000</v>
      </c>
      <c r="M624" s="6" t="n">
        <v>38000</v>
      </c>
      <c r="N624" s="5" t="n"/>
      <c r="O624" s="5">
        <f>IF(AND(ISNUMBER(N624),ISNUMBER(M624)),N624-M624,"")</f>
        <v/>
      </c>
      <c r="P624" s="7">
        <f>IF(AND(ISNUMBER(N624),ISNUMBER(M624),M624&gt;0),(N624-M624)/M624,"")</f>
        <v/>
      </c>
      <c r="Q624" s="3">
        <f>IF(P624="","",IF(P624&lt;-0.02,"🔴 Bán phá giá sàn",IF(P624&gt;0.05,"🔵 Bán cao hơn","🟢 Đúng giá sàn TMĐT")))</f>
        <v/>
      </c>
      <c r="R624" s="3" t="n"/>
      <c r="S624" s="4" t="n"/>
      <c r="T624" s="4" t="n"/>
    </row>
    <row r="625">
      <c r="A625" s="3" t="n">
        <v>624</v>
      </c>
      <c r="B625" s="3" t="inlineStr">
        <is>
          <t>DL003</t>
        </is>
      </c>
      <c r="C625" s="4" t="inlineStr">
        <is>
          <t>CÔNG TY TNHH ĐỒ NGHỀ CẦM TAY PHƯƠNG MY</t>
        </is>
      </c>
      <c r="D625" s="3" t="inlineStr">
        <is>
          <t>HCM</t>
        </is>
      </c>
      <c r="E625" s="3" t="inlineStr">
        <is>
          <t>BẢO TRÂM</t>
        </is>
      </c>
      <c r="F625" s="3" t="inlineStr">
        <is>
          <t>Youtube</t>
        </is>
      </c>
      <c r="G625" s="4" t="inlineStr">
        <is>
          <t>SHOPEE: TIKTOK: LAZADA: WEBSITE BÁN HÀNG: YOUTUBE : https://www.youtube.com/@nguyenchiam2706</t>
        </is>
      </c>
      <c r="H625" s="3" t="inlineStr">
        <is>
          <t>KBK-08</t>
        </is>
      </c>
      <c r="I625" s="4" t="inlineStr">
        <is>
          <t>Mũi khoan đá KBK-08</t>
        </is>
      </c>
      <c r="J625" s="3" t="inlineStr">
        <is>
          <t>Cái</t>
        </is>
      </c>
      <c r="K625" s="5" t="n">
        <v>25000</v>
      </c>
      <c r="L625" s="5" t="n">
        <v>31000</v>
      </c>
      <c r="M625" s="6" t="n">
        <v>40000</v>
      </c>
      <c r="N625" s="5" t="n"/>
      <c r="O625" s="5">
        <f>IF(AND(ISNUMBER(N625),ISNUMBER(M625)),N625-M625,"")</f>
        <v/>
      </c>
      <c r="P625" s="7">
        <f>IF(AND(ISNUMBER(N625),ISNUMBER(M625),M625&gt;0),(N625-M625)/M625,"")</f>
        <v/>
      </c>
      <c r="Q625" s="3">
        <f>IF(P625="","",IF(P625&lt;-0.02,"🔴 Bán phá giá sàn",IF(P625&gt;0.05,"🔵 Bán cao hơn","🟢 Đúng giá sàn TMĐT")))</f>
        <v/>
      </c>
      <c r="R625" s="3" t="n"/>
      <c r="S625" s="4" t="n"/>
      <c r="T625" s="4" t="n"/>
    </row>
    <row r="626">
      <c r="A626" s="3" t="n">
        <v>625</v>
      </c>
      <c r="B626" s="3" t="inlineStr">
        <is>
          <t>DL003</t>
        </is>
      </c>
      <c r="C626" s="4" t="inlineStr">
        <is>
          <t>CÔNG TY TNHH ĐỒ NGHỀ CẦM TAY PHƯƠNG MY</t>
        </is>
      </c>
      <c r="D626" s="3" t="inlineStr">
        <is>
          <t>HCM</t>
        </is>
      </c>
      <c r="E626" s="3" t="inlineStr">
        <is>
          <t>BẢO TRÂM</t>
        </is>
      </c>
      <c r="F626" s="3" t="inlineStr">
        <is>
          <t>Youtube</t>
        </is>
      </c>
      <c r="G626" s="4" t="inlineStr">
        <is>
          <t>SHOPEE: TIKTOK: LAZADA: WEBSITE BÁN HÀNG: YOUTUBE : https://www.youtube.com/@nguyenchiam2706</t>
        </is>
      </c>
      <c r="H626" s="3" t="inlineStr">
        <is>
          <t>KBK-10</t>
        </is>
      </c>
      <c r="I626" s="4" t="inlineStr">
        <is>
          <t>Mũi khoan đá KBK-10</t>
        </is>
      </c>
      <c r="J626" s="3" t="inlineStr">
        <is>
          <t>Cái</t>
        </is>
      </c>
      <c r="K626" s="5" t="n">
        <v>32000</v>
      </c>
      <c r="L626" s="5" t="n">
        <v>40000</v>
      </c>
      <c r="M626" s="6" t="n">
        <v>51000</v>
      </c>
      <c r="N626" s="5" t="n"/>
      <c r="O626" s="5">
        <f>IF(AND(ISNUMBER(N626),ISNUMBER(M626)),N626-M626,"")</f>
        <v/>
      </c>
      <c r="P626" s="7">
        <f>IF(AND(ISNUMBER(N626),ISNUMBER(M626),M626&gt;0),(N626-M626)/M626,"")</f>
        <v/>
      </c>
      <c r="Q626" s="3">
        <f>IF(P626="","",IF(P626&lt;-0.02,"🔴 Bán phá giá sàn",IF(P626&gt;0.05,"🔵 Bán cao hơn","🟢 Đúng giá sàn TMĐT")))</f>
        <v/>
      </c>
      <c r="R626" s="3" t="n"/>
      <c r="S626" s="4" t="n"/>
      <c r="T626" s="4" t="n"/>
    </row>
    <row r="627">
      <c r="A627" s="3" t="n">
        <v>626</v>
      </c>
      <c r="B627" s="3" t="inlineStr">
        <is>
          <t>DL003</t>
        </is>
      </c>
      <c r="C627" s="4" t="inlineStr">
        <is>
          <t>CÔNG TY TNHH ĐỒ NGHỀ CẦM TAY PHƯƠNG MY</t>
        </is>
      </c>
      <c r="D627" s="3" t="inlineStr">
        <is>
          <t>HCM</t>
        </is>
      </c>
      <c r="E627" s="3" t="inlineStr">
        <is>
          <t>BẢO TRÂM</t>
        </is>
      </c>
      <c r="F627" s="3" t="inlineStr">
        <is>
          <t>Youtube</t>
        </is>
      </c>
      <c r="G627" s="4" t="inlineStr">
        <is>
          <t>SHOPEE: TIKTOK: LAZADA: WEBSITE BÁN HÀNG: YOUTUBE : https://www.youtube.com/@nguyenchiam2706</t>
        </is>
      </c>
      <c r="H627" s="3" t="inlineStr">
        <is>
          <t>KBK-12</t>
        </is>
      </c>
      <c r="I627" s="4" t="inlineStr">
        <is>
          <t>Mũi khoan đá KBK-12</t>
        </is>
      </c>
      <c r="J627" s="3" t="inlineStr">
        <is>
          <t>Cái</t>
        </is>
      </c>
      <c r="K627" s="5" t="n">
        <v>37000</v>
      </c>
      <c r="L627" s="5" t="n">
        <v>46000</v>
      </c>
      <c r="M627" s="6" t="n">
        <v>59000</v>
      </c>
      <c r="N627" s="5" t="n"/>
      <c r="O627" s="5">
        <f>IF(AND(ISNUMBER(N627),ISNUMBER(M627)),N627-M627,"")</f>
        <v/>
      </c>
      <c r="P627" s="7">
        <f>IF(AND(ISNUMBER(N627),ISNUMBER(M627),M627&gt;0),(N627-M627)/M627,"")</f>
        <v/>
      </c>
      <c r="Q627" s="3">
        <f>IF(P627="","",IF(P627&lt;-0.02,"🔴 Bán phá giá sàn",IF(P627&gt;0.05,"🔵 Bán cao hơn","🟢 Đúng giá sàn TMĐT")))</f>
        <v/>
      </c>
      <c r="R627" s="3" t="n"/>
      <c r="S627" s="4" t="n"/>
      <c r="T627" s="4" t="n"/>
    </row>
    <row r="628">
      <c r="A628" s="3" t="n">
        <v>627</v>
      </c>
      <c r="B628" s="3" t="inlineStr">
        <is>
          <t>DL003</t>
        </is>
      </c>
      <c r="C628" s="4" t="inlineStr">
        <is>
          <t>CÔNG TY TNHH ĐỒ NGHỀ CẦM TAY PHƯƠNG MY</t>
        </is>
      </c>
      <c r="D628" s="3" t="inlineStr">
        <is>
          <t>HCM</t>
        </is>
      </c>
      <c r="E628" s="3" t="inlineStr">
        <is>
          <t>BẢO TRÂM</t>
        </is>
      </c>
      <c r="F628" s="3" t="inlineStr">
        <is>
          <t>Youtube</t>
        </is>
      </c>
      <c r="G628" s="4" t="inlineStr">
        <is>
          <t>SHOPEE: TIKTOK: LAZADA: WEBSITE BÁN HÀNG: YOUTUBE : https://www.youtube.com/@nguyenchiam2706</t>
        </is>
      </c>
      <c r="H628" s="3" t="inlineStr">
        <is>
          <t>KBK-14</t>
        </is>
      </c>
      <c r="I628" s="4" t="inlineStr">
        <is>
          <t>Mũi khoan đá KBK-14</t>
        </is>
      </c>
      <c r="J628" s="3" t="inlineStr">
        <is>
          <t>Cái</t>
        </is>
      </c>
      <c r="K628" s="5" t="n">
        <v>45000</v>
      </c>
      <c r="L628" s="5" t="n">
        <v>56000</v>
      </c>
      <c r="M628" s="6" t="n">
        <v>72000</v>
      </c>
      <c r="N628" s="5" t="n"/>
      <c r="O628" s="5">
        <f>IF(AND(ISNUMBER(N628),ISNUMBER(M628)),N628-M628,"")</f>
        <v/>
      </c>
      <c r="P628" s="7">
        <f>IF(AND(ISNUMBER(N628),ISNUMBER(M628),M628&gt;0),(N628-M628)/M628,"")</f>
        <v/>
      </c>
      <c r="Q628" s="3">
        <f>IF(P628="","",IF(P628&lt;-0.02,"🔴 Bán phá giá sàn",IF(P628&gt;0.05,"🔵 Bán cao hơn","🟢 Đúng giá sàn TMĐT")))</f>
        <v/>
      </c>
      <c r="R628" s="3" t="n"/>
      <c r="S628" s="4" t="n"/>
      <c r="T628" s="4" t="n"/>
    </row>
    <row r="629">
      <c r="A629" s="3" t="n">
        <v>628</v>
      </c>
      <c r="B629" s="3" t="inlineStr">
        <is>
          <t>DL003</t>
        </is>
      </c>
      <c r="C629" s="4" t="inlineStr">
        <is>
          <t>CÔNG TY TNHH ĐỒ NGHỀ CẦM TAY PHƯƠNG MY</t>
        </is>
      </c>
      <c r="D629" s="3" t="inlineStr">
        <is>
          <t>HCM</t>
        </is>
      </c>
      <c r="E629" s="3" t="inlineStr">
        <is>
          <t>BẢO TRÂM</t>
        </is>
      </c>
      <c r="F629" s="3" t="inlineStr">
        <is>
          <t>Youtube</t>
        </is>
      </c>
      <c r="G629" s="4" t="inlineStr">
        <is>
          <t>SHOPEE: TIKTOK: LAZADA: WEBSITE BÁN HÀNG: YOUTUBE : https://www.youtube.com/@nguyenchiam2706</t>
        </is>
      </c>
      <c r="H629" s="3" t="inlineStr">
        <is>
          <t>KBK-22</t>
        </is>
      </c>
      <c r="I629" s="4" t="inlineStr">
        <is>
          <t>Mũi khoan đá KBK-22</t>
        </is>
      </c>
      <c r="J629" s="3" t="inlineStr">
        <is>
          <t>Cái</t>
        </is>
      </c>
      <c r="K629" s="5" t="n">
        <v>67000</v>
      </c>
      <c r="L629" s="5" t="n">
        <v>83000</v>
      </c>
      <c r="M629" s="6" t="n">
        <v>107000</v>
      </c>
      <c r="N629" s="5" t="n"/>
      <c r="O629" s="5">
        <f>IF(AND(ISNUMBER(N629),ISNUMBER(M629)),N629-M629,"")</f>
        <v/>
      </c>
      <c r="P629" s="7">
        <f>IF(AND(ISNUMBER(N629),ISNUMBER(M629),M629&gt;0),(N629-M629)/M629,"")</f>
        <v/>
      </c>
      <c r="Q629" s="3">
        <f>IF(P629="","",IF(P629&lt;-0.02,"🔴 Bán phá giá sàn",IF(P629&gt;0.05,"🔵 Bán cao hơn","🟢 Đúng giá sàn TMĐT")))</f>
        <v/>
      </c>
      <c r="R629" s="3" t="n"/>
      <c r="S629" s="4" t="n"/>
      <c r="T629" s="4" t="n"/>
    </row>
    <row r="630">
      <c r="A630" s="3" t="n">
        <v>629</v>
      </c>
      <c r="B630" s="3" t="inlineStr">
        <is>
          <t>DL003</t>
        </is>
      </c>
      <c r="C630" s="4" t="inlineStr">
        <is>
          <t>CÔNG TY TNHH ĐỒ NGHỀ CẦM TAY PHƯƠNG MY</t>
        </is>
      </c>
      <c r="D630" s="3" t="inlineStr">
        <is>
          <t>HCM</t>
        </is>
      </c>
      <c r="E630" s="3" t="inlineStr">
        <is>
          <t>BẢO TRÂM</t>
        </is>
      </c>
      <c r="F630" s="3" t="inlineStr">
        <is>
          <t>Youtube</t>
        </is>
      </c>
      <c r="G630" s="4" t="inlineStr">
        <is>
          <t>SHOPEE: TIKTOK: LAZADA: WEBSITE BÁN HÀNG: YOUTUBE : https://www.youtube.com/@nguyenchiam2706</t>
        </is>
      </c>
      <c r="H630" s="3" t="inlineStr">
        <is>
          <t>KBK-28</t>
        </is>
      </c>
      <c r="I630" s="4" t="inlineStr">
        <is>
          <t>Mũi khoan đá KBK-28</t>
        </is>
      </c>
      <c r="J630" s="3" t="inlineStr">
        <is>
          <t>Cái</t>
        </is>
      </c>
      <c r="K630" s="5" t="n">
        <v>85000</v>
      </c>
      <c r="L630" s="5" t="n">
        <v>105000</v>
      </c>
      <c r="M630" s="6" t="n">
        <v>136000</v>
      </c>
      <c r="N630" s="5" t="n"/>
      <c r="O630" s="5">
        <f>IF(AND(ISNUMBER(N630),ISNUMBER(M630)),N630-M630,"")</f>
        <v/>
      </c>
      <c r="P630" s="7">
        <f>IF(AND(ISNUMBER(N630),ISNUMBER(M630),M630&gt;0),(N630-M630)/M630,"")</f>
        <v/>
      </c>
      <c r="Q630" s="3">
        <f>IF(P630="","",IF(P630&lt;-0.02,"🔴 Bán phá giá sàn",IF(P630&gt;0.05,"🔵 Bán cao hơn","🟢 Đúng giá sàn TMĐT")))</f>
        <v/>
      </c>
      <c r="R630" s="3" t="n"/>
      <c r="S630" s="4" t="n"/>
      <c r="T630" s="4" t="n"/>
    </row>
    <row r="631">
      <c r="A631" s="3" t="n">
        <v>630</v>
      </c>
      <c r="B631" s="3" t="inlineStr">
        <is>
          <t>DL003</t>
        </is>
      </c>
      <c r="C631" s="4" t="inlineStr">
        <is>
          <t>CÔNG TY TNHH ĐỒ NGHỀ CẦM TAY PHƯƠNG MY</t>
        </is>
      </c>
      <c r="D631" s="3" t="inlineStr">
        <is>
          <t>HCM</t>
        </is>
      </c>
      <c r="E631" s="3" t="inlineStr">
        <is>
          <t>BẢO TRÂM</t>
        </is>
      </c>
      <c r="F631" s="3" t="inlineStr">
        <is>
          <t>Youtube</t>
        </is>
      </c>
      <c r="G631" s="4" t="inlineStr">
        <is>
          <t>SHOPEE: TIKTOK: LAZADA: WEBSITE BÁN HÀNG: YOUTUBE : https://www.youtube.com/@nguyenchiam2706</t>
        </is>
      </c>
      <c r="H631" s="3" t="inlineStr">
        <is>
          <t>KBK-45</t>
        </is>
      </c>
      <c r="I631" s="4" t="inlineStr">
        <is>
          <t>Mũi khoan đá KBK-45</t>
        </is>
      </c>
      <c r="J631" s="3" t="inlineStr">
        <is>
          <t>Cái</t>
        </is>
      </c>
      <c r="K631" s="5" t="n">
        <v>140000</v>
      </c>
      <c r="L631" s="5" t="n">
        <v>174000</v>
      </c>
      <c r="M631" s="6" t="n">
        <v>224000</v>
      </c>
      <c r="N631" s="5" t="n"/>
      <c r="O631" s="5">
        <f>IF(AND(ISNUMBER(N631),ISNUMBER(M631)),N631-M631,"")</f>
        <v/>
      </c>
      <c r="P631" s="7">
        <f>IF(AND(ISNUMBER(N631),ISNUMBER(M631),M631&gt;0),(N631-M631)/M631,"")</f>
        <v/>
      </c>
      <c r="Q631" s="3">
        <f>IF(P631="","",IF(P631&lt;-0.02,"🔴 Bán phá giá sàn",IF(P631&gt;0.05,"🔵 Bán cao hơn","🟢 Đúng giá sàn TMĐT")))</f>
        <v/>
      </c>
      <c r="R631" s="3" t="n"/>
      <c r="S631" s="4" t="n"/>
      <c r="T631" s="4" t="n"/>
    </row>
    <row r="632">
      <c r="A632" s="3" t="n">
        <v>631</v>
      </c>
      <c r="B632" s="3" t="inlineStr">
        <is>
          <t>DL003</t>
        </is>
      </c>
      <c r="C632" s="4" t="inlineStr">
        <is>
          <t>CÔNG TY TNHH ĐỒ NGHỀ CẦM TAY PHƯƠNG MY</t>
        </is>
      </c>
      <c r="D632" s="3" t="inlineStr">
        <is>
          <t>HCM</t>
        </is>
      </c>
      <c r="E632" s="3" t="inlineStr">
        <is>
          <t>BẢO TRÂM</t>
        </is>
      </c>
      <c r="F632" s="3" t="inlineStr">
        <is>
          <t>Youtube</t>
        </is>
      </c>
      <c r="G632" s="4" t="inlineStr">
        <is>
          <t>SHOPEE: TIKTOK: LAZADA: WEBSITE BÁN HÀNG: YOUTUBE : https://www.youtube.com/@nguyenchiam2706</t>
        </is>
      </c>
      <c r="H632" s="3" t="inlineStr">
        <is>
          <t>KBH2F-0495</t>
        </is>
      </c>
      <c r="I632" s="4" t="inlineStr">
        <is>
          <t>Mũi khoan ĐN lục giác 2 cạnh KBH2F-04*95</t>
        </is>
      </c>
      <c r="J632" s="3" t="inlineStr">
        <is>
          <t>Cái</t>
        </is>
      </c>
      <c r="K632" s="5" t="n">
        <v>26000</v>
      </c>
      <c r="L632" s="5" t="n">
        <v>32000</v>
      </c>
      <c r="M632" s="6" t="n">
        <v>42000</v>
      </c>
      <c r="N632" s="5" t="n"/>
      <c r="O632" s="5">
        <f>IF(AND(ISNUMBER(N632),ISNUMBER(M632)),N632-M632,"")</f>
        <v/>
      </c>
      <c r="P632" s="7">
        <f>IF(AND(ISNUMBER(N632),ISNUMBER(M632),M632&gt;0),(N632-M632)/M632,"")</f>
        <v/>
      </c>
      <c r="Q632" s="3">
        <f>IF(P632="","",IF(P632&lt;-0.02,"🔴 Bán phá giá sàn",IF(P632&gt;0.05,"🔵 Bán cao hơn","🟢 Đúng giá sàn TMĐT")))</f>
        <v/>
      </c>
      <c r="R632" s="3" t="n"/>
      <c r="S632" s="4" t="n"/>
      <c r="T632" s="4" t="n"/>
    </row>
    <row r="633">
      <c r="A633" s="3" t="n">
        <v>632</v>
      </c>
      <c r="B633" s="3" t="inlineStr">
        <is>
          <t>DL003</t>
        </is>
      </c>
      <c r="C633" s="4" t="inlineStr">
        <is>
          <t>CÔNG TY TNHH ĐỒ NGHỀ CẦM TAY PHƯƠNG MY</t>
        </is>
      </c>
      <c r="D633" s="3" t="inlineStr">
        <is>
          <t>HCM</t>
        </is>
      </c>
      <c r="E633" s="3" t="inlineStr">
        <is>
          <t>BẢO TRÂM</t>
        </is>
      </c>
      <c r="F633" s="3" t="inlineStr">
        <is>
          <t>Youtube</t>
        </is>
      </c>
      <c r="G633" s="4" t="inlineStr">
        <is>
          <t>SHOPEE: TIKTOK: LAZADA: WEBSITE BÁN HÀNG: YOUTUBE : https://www.youtube.com/@nguyenchiam2706</t>
        </is>
      </c>
      <c r="H633" s="3" t="inlineStr">
        <is>
          <t>KBH2F-0695</t>
        </is>
      </c>
      <c r="I633" s="4" t="inlineStr">
        <is>
          <t>Mũi khoan ĐN lục giác 2 cạnh KBH2F-06*95</t>
        </is>
      </c>
      <c r="J633" s="3" t="inlineStr">
        <is>
          <t>Cái</t>
        </is>
      </c>
      <c r="K633" s="5" t="n">
        <v>26000</v>
      </c>
      <c r="L633" s="5" t="n">
        <v>32000</v>
      </c>
      <c r="M633" s="6" t="n">
        <v>42000</v>
      </c>
      <c r="N633" s="5" t="n"/>
      <c r="O633" s="5">
        <f>IF(AND(ISNUMBER(N633),ISNUMBER(M633)),N633-M633,"")</f>
        <v/>
      </c>
      <c r="P633" s="7">
        <f>IF(AND(ISNUMBER(N633),ISNUMBER(M633),M633&gt;0),(N633-M633)/M633,"")</f>
        <v/>
      </c>
      <c r="Q633" s="3">
        <f>IF(P633="","",IF(P633&lt;-0.02,"🔴 Bán phá giá sàn",IF(P633&gt;0.05,"🔵 Bán cao hơn","🟢 Đúng giá sàn TMĐT")))</f>
        <v/>
      </c>
      <c r="R633" s="3" t="n"/>
      <c r="S633" s="4" t="n"/>
      <c r="T633" s="4" t="n"/>
    </row>
    <row r="634">
      <c r="A634" s="3" t="n">
        <v>633</v>
      </c>
      <c r="B634" s="3" t="inlineStr">
        <is>
          <t>DL003</t>
        </is>
      </c>
      <c r="C634" s="4" t="inlineStr">
        <is>
          <t>CÔNG TY TNHH ĐỒ NGHỀ CẦM TAY PHƯƠNG MY</t>
        </is>
      </c>
      <c r="D634" s="3" t="inlineStr">
        <is>
          <t>HCM</t>
        </is>
      </c>
      <c r="E634" s="3" t="inlineStr">
        <is>
          <t>BẢO TRÂM</t>
        </is>
      </c>
      <c r="F634" s="3" t="inlineStr">
        <is>
          <t>Youtube</t>
        </is>
      </c>
      <c r="G634" s="4" t="inlineStr">
        <is>
          <t>SHOPEE: TIKTOK: LAZADA: WEBSITE BÁN HÀNG: YOUTUBE : https://www.youtube.com/@nguyenchiam2706</t>
        </is>
      </c>
      <c r="H634" s="3" t="inlineStr">
        <is>
          <t>KBH2F-0895</t>
        </is>
      </c>
      <c r="I634" s="4" t="inlineStr">
        <is>
          <t>Mũi khoan ĐN lục giác 2 cạnh KBH2F-08*95</t>
        </is>
      </c>
      <c r="J634" s="3" t="inlineStr">
        <is>
          <t>Cái</t>
        </is>
      </c>
      <c r="K634" s="5" t="n">
        <v>33000</v>
      </c>
      <c r="L634" s="5" t="n">
        <v>41000</v>
      </c>
      <c r="M634" s="6" t="n">
        <v>53000</v>
      </c>
      <c r="N634" s="5" t="n"/>
      <c r="O634" s="5">
        <f>IF(AND(ISNUMBER(N634),ISNUMBER(M634)),N634-M634,"")</f>
        <v/>
      </c>
      <c r="P634" s="7">
        <f>IF(AND(ISNUMBER(N634),ISNUMBER(M634),M634&gt;0),(N634-M634)/M634,"")</f>
        <v/>
      </c>
      <c r="Q634" s="3">
        <f>IF(P634="","",IF(P634&lt;-0.02,"🔴 Bán phá giá sàn",IF(P634&gt;0.05,"🔵 Bán cao hơn","🟢 Đúng giá sàn TMĐT")))</f>
        <v/>
      </c>
      <c r="R634" s="3" t="n"/>
      <c r="S634" s="4" t="n"/>
      <c r="T634" s="4" t="n"/>
    </row>
    <row r="635">
      <c r="A635" s="3" t="n">
        <v>634</v>
      </c>
      <c r="B635" s="3" t="inlineStr">
        <is>
          <t>DL003</t>
        </is>
      </c>
      <c r="C635" s="4" t="inlineStr">
        <is>
          <t>CÔNG TY TNHH ĐỒ NGHỀ CẦM TAY PHƯƠNG MY</t>
        </is>
      </c>
      <c r="D635" s="3" t="inlineStr">
        <is>
          <t>HCM</t>
        </is>
      </c>
      <c r="E635" s="3" t="inlineStr">
        <is>
          <t>BẢO TRÂM</t>
        </is>
      </c>
      <c r="F635" s="3" t="inlineStr">
        <is>
          <t>Youtube</t>
        </is>
      </c>
      <c r="G635" s="4" t="inlineStr">
        <is>
          <t>SHOPEE: TIKTOK: LAZADA: WEBSITE BÁN HÀNG: YOUTUBE : https://www.youtube.com/@nguyenchiam2706</t>
        </is>
      </c>
      <c r="H635" s="3" t="inlineStr">
        <is>
          <t>KBH2F-1095</t>
        </is>
      </c>
      <c r="I635" s="4" t="inlineStr">
        <is>
          <t>Mũi khoan ĐN lục giác 2 cạnh KBH2F-10*95</t>
        </is>
      </c>
      <c r="J635" s="3" t="inlineStr">
        <is>
          <t>Cái</t>
        </is>
      </c>
      <c r="K635" s="5" t="n">
        <v>42000</v>
      </c>
      <c r="L635" s="5" t="n">
        <v>52000</v>
      </c>
      <c r="M635" s="6" t="n">
        <v>67000</v>
      </c>
      <c r="N635" s="5" t="n"/>
      <c r="O635" s="5">
        <f>IF(AND(ISNUMBER(N635),ISNUMBER(M635)),N635-M635,"")</f>
        <v/>
      </c>
      <c r="P635" s="7">
        <f>IF(AND(ISNUMBER(N635),ISNUMBER(M635),M635&gt;0),(N635-M635)/M635,"")</f>
        <v/>
      </c>
      <c r="Q635" s="3">
        <f>IF(P635="","",IF(P635&lt;-0.02,"🔴 Bán phá giá sàn",IF(P635&gt;0.05,"🔵 Bán cao hơn","🟢 Đúng giá sàn TMĐT")))</f>
        <v/>
      </c>
      <c r="R635" s="3" t="n"/>
      <c r="S635" s="4" t="n"/>
      <c r="T635" s="4" t="n"/>
    </row>
    <row r="636">
      <c r="A636" s="3" t="n">
        <v>635</v>
      </c>
      <c r="B636" s="3" t="inlineStr">
        <is>
          <t>DL003</t>
        </is>
      </c>
      <c r="C636" s="4" t="inlineStr">
        <is>
          <t>CÔNG TY TNHH ĐỒ NGHỀ CẦM TAY PHƯƠNG MY</t>
        </is>
      </c>
      <c r="D636" s="3" t="inlineStr">
        <is>
          <t>HCM</t>
        </is>
      </c>
      <c r="E636" s="3" t="inlineStr">
        <is>
          <t>BẢO TRÂM</t>
        </is>
      </c>
      <c r="F636" s="3" t="inlineStr">
        <is>
          <t>Youtube</t>
        </is>
      </c>
      <c r="G636" s="4" t="inlineStr">
        <is>
          <t>SHOPEE: TIKTOK: LAZADA: WEBSITE BÁN HÀNG: YOUTUBE : https://www.youtube.com/@nguyenchiam2706</t>
        </is>
      </c>
      <c r="H636" s="3" t="inlineStr">
        <is>
          <t>KBH4S-06100</t>
        </is>
      </c>
      <c r="I636" s="4" t="inlineStr">
        <is>
          <t>Mũi khoan ĐN lục giác 4 cạnh KBH4S-06*100</t>
        </is>
      </c>
      <c r="J636" s="3" t="inlineStr">
        <is>
          <t>Cái</t>
        </is>
      </c>
      <c r="K636" s="5" t="n">
        <v>41000</v>
      </c>
      <c r="L636" s="5" t="n">
        <v>51000</v>
      </c>
      <c r="M636" s="6" t="n">
        <v>65000</v>
      </c>
      <c r="N636" s="5" t="n"/>
      <c r="O636" s="5">
        <f>IF(AND(ISNUMBER(N636),ISNUMBER(M636)),N636-M636,"")</f>
        <v/>
      </c>
      <c r="P636" s="7">
        <f>IF(AND(ISNUMBER(N636),ISNUMBER(M636),M636&gt;0),(N636-M636)/M636,"")</f>
        <v/>
      </c>
      <c r="Q636" s="3">
        <f>IF(P636="","",IF(P636&lt;-0.02,"🔴 Bán phá giá sàn",IF(P636&gt;0.05,"🔵 Bán cao hơn","🟢 Đúng giá sàn TMĐT")))</f>
        <v/>
      </c>
      <c r="R636" s="3" t="n"/>
      <c r="S636" s="4" t="n"/>
      <c r="T636" s="4" t="n"/>
    </row>
    <row r="637">
      <c r="A637" s="3" t="n">
        <v>636</v>
      </c>
      <c r="B637" s="3" t="inlineStr">
        <is>
          <t>DL003</t>
        </is>
      </c>
      <c r="C637" s="4" t="inlineStr">
        <is>
          <t>CÔNG TY TNHH ĐỒ NGHỀ CẦM TAY PHƯƠNG MY</t>
        </is>
      </c>
      <c r="D637" s="3" t="inlineStr">
        <is>
          <t>HCM</t>
        </is>
      </c>
      <c r="E637" s="3" t="inlineStr">
        <is>
          <t>BẢO TRÂM</t>
        </is>
      </c>
      <c r="F637" s="3" t="inlineStr">
        <is>
          <t>Youtube</t>
        </is>
      </c>
      <c r="G637" s="4" t="inlineStr">
        <is>
          <t>SHOPEE: TIKTOK: LAZADA: WEBSITE BÁN HÀNG: YOUTUBE : https://www.youtube.com/@nguyenchiam2706</t>
        </is>
      </c>
      <c r="H637" s="3" t="inlineStr">
        <is>
          <t>KBH4S-08117</t>
        </is>
      </c>
      <c r="I637" s="4" t="inlineStr">
        <is>
          <t>Mũi khoan ĐN lục giác 4 cạnh KBH4S-08*117</t>
        </is>
      </c>
      <c r="J637" s="3" t="inlineStr">
        <is>
          <t>Cái</t>
        </is>
      </c>
      <c r="K637" s="5" t="n">
        <v>32000</v>
      </c>
      <c r="L637" s="5" t="n">
        <v>40000</v>
      </c>
      <c r="M637" s="6" t="n">
        <v>51000</v>
      </c>
      <c r="N637" s="5" t="n"/>
      <c r="O637" s="5">
        <f>IF(AND(ISNUMBER(N637),ISNUMBER(M637)),N637-M637,"")</f>
        <v/>
      </c>
      <c r="P637" s="7">
        <f>IF(AND(ISNUMBER(N637),ISNUMBER(M637),M637&gt;0),(N637-M637)/M637,"")</f>
        <v/>
      </c>
      <c r="Q637" s="3">
        <f>IF(P637="","",IF(P637&lt;-0.02,"🔴 Bán phá giá sàn",IF(P637&gt;0.05,"🔵 Bán cao hơn","🟢 Đúng giá sàn TMĐT")))</f>
        <v/>
      </c>
      <c r="R637" s="3" t="n"/>
      <c r="S637" s="4" t="n"/>
      <c r="T637" s="4" t="n"/>
    </row>
    <row r="638">
      <c r="A638" s="3" t="n">
        <v>637</v>
      </c>
      <c r="B638" s="3" t="inlineStr">
        <is>
          <t>DL003</t>
        </is>
      </c>
      <c r="C638" s="4" t="inlineStr">
        <is>
          <t>CÔNG TY TNHH ĐỒ NGHỀ CẦM TAY PHƯƠNG MY</t>
        </is>
      </c>
      <c r="D638" s="3" t="inlineStr">
        <is>
          <t>HCM</t>
        </is>
      </c>
      <c r="E638" s="3" t="inlineStr">
        <is>
          <t>BẢO TRÂM</t>
        </is>
      </c>
      <c r="F638" s="3" t="inlineStr">
        <is>
          <t>Youtube</t>
        </is>
      </c>
      <c r="G638" s="4" t="inlineStr">
        <is>
          <t>SHOPEE: TIKTOK: LAZADA: WEBSITE BÁN HÀNG: YOUTUBE : https://www.youtube.com/@nguyenchiam2706</t>
        </is>
      </c>
      <c r="H638" s="3" t="inlineStr"/>
      <c r="I638" s="4" t="inlineStr">
        <is>
          <t>Mũi khoan tường không tắc kê KBLJ - 03.2*100</t>
        </is>
      </c>
      <c r="J638" s="3" t="inlineStr">
        <is>
          <t>Cái</t>
        </is>
      </c>
      <c r="K638" s="5" t="n">
        <v>269000</v>
      </c>
      <c r="L638" s="5" t="n">
        <v>317000</v>
      </c>
      <c r="M638" s="6" t="n">
        <v>390000</v>
      </c>
      <c r="N638" s="5" t="n"/>
      <c r="O638" s="5">
        <f>IF(AND(ISNUMBER(N638),ISNUMBER(M638)),N638-M638,"")</f>
        <v/>
      </c>
      <c r="P638" s="7">
        <f>IF(AND(ISNUMBER(N638),ISNUMBER(M638),M638&gt;0),(N638-M638)/M638,"")</f>
        <v/>
      </c>
      <c r="Q638" s="3">
        <f>IF(P638="","",IF(P638&lt;-0.02,"🔴 Bán phá giá sàn",IF(P638&gt;0.05,"🔵 Bán cao hơn","🟢 Đúng giá sàn TMĐT")))</f>
        <v/>
      </c>
      <c r="R638" s="3" t="n"/>
      <c r="S638" s="4" t="n"/>
      <c r="T638" s="4" t="n"/>
    </row>
    <row r="639">
      <c r="A639" s="3" t="n">
        <v>638</v>
      </c>
      <c r="B639" s="3" t="inlineStr">
        <is>
          <t>DL003</t>
        </is>
      </c>
      <c r="C639" s="4" t="inlineStr">
        <is>
          <t>CÔNG TY TNHH ĐỒ NGHỀ CẦM TAY PHƯƠNG MY</t>
        </is>
      </c>
      <c r="D639" s="3" t="inlineStr">
        <is>
          <t>HCM</t>
        </is>
      </c>
      <c r="E639" s="3" t="inlineStr">
        <is>
          <t>BẢO TRÂM</t>
        </is>
      </c>
      <c r="F639" s="3" t="inlineStr">
        <is>
          <t>Youtube</t>
        </is>
      </c>
      <c r="G639" s="4" t="inlineStr">
        <is>
          <t>SHOPEE: TIKTOK: LAZADA: WEBSITE BÁN HÀNG: YOUTUBE : https://www.youtube.com/@nguyenchiam2706</t>
        </is>
      </c>
      <c r="H639" s="3" t="inlineStr"/>
      <c r="I639" s="4" t="inlineStr">
        <is>
          <t>Mũi khoan tường không tắc kê KBLJ - 03.5*100</t>
        </is>
      </c>
      <c r="J639" s="3" t="inlineStr">
        <is>
          <t>Cái</t>
        </is>
      </c>
      <c r="K639" s="5" t="n">
        <v>269000</v>
      </c>
      <c r="L639" s="5" t="n">
        <v>317000</v>
      </c>
      <c r="M639" s="6" t="n">
        <v>390000</v>
      </c>
      <c r="N639" s="5" t="n"/>
      <c r="O639" s="5">
        <f>IF(AND(ISNUMBER(N639),ISNUMBER(M639)),N639-M639,"")</f>
        <v/>
      </c>
      <c r="P639" s="7">
        <f>IF(AND(ISNUMBER(N639),ISNUMBER(M639),M639&gt;0),(N639-M639)/M639,"")</f>
        <v/>
      </c>
      <c r="Q639" s="3">
        <f>IF(P639="","",IF(P639&lt;-0.02,"🔴 Bán phá giá sàn",IF(P639&gt;0.05,"🔵 Bán cao hơn","🟢 Đúng giá sàn TMĐT")))</f>
        <v/>
      </c>
      <c r="R639" s="3" t="n"/>
      <c r="S639" s="4" t="n"/>
      <c r="T639" s="4" t="n"/>
    </row>
    <row r="640">
      <c r="A640" s="3" t="n">
        <v>639</v>
      </c>
      <c r="B640" s="3" t="inlineStr">
        <is>
          <t>DL003</t>
        </is>
      </c>
      <c r="C640" s="4" t="inlineStr">
        <is>
          <t>CÔNG TY TNHH ĐỒ NGHỀ CẦM TAY PHƯƠNG MY</t>
        </is>
      </c>
      <c r="D640" s="3" t="inlineStr">
        <is>
          <t>HCM</t>
        </is>
      </c>
      <c r="E640" s="3" t="inlineStr">
        <is>
          <t>BẢO TRÂM</t>
        </is>
      </c>
      <c r="F640" s="3" t="inlineStr">
        <is>
          <t>Youtube</t>
        </is>
      </c>
      <c r="G640" s="4" t="inlineStr">
        <is>
          <t>SHOPEE: TIKTOK: LAZADA: WEBSITE BÁN HÀNG: YOUTUBE : https://www.youtube.com/@nguyenchiam2706</t>
        </is>
      </c>
      <c r="H640" s="3" t="inlineStr"/>
      <c r="I640" s="4" t="inlineStr">
        <is>
          <t>Mũi khoan tường không tắc kê KBLJ - 04*100</t>
        </is>
      </c>
      <c r="J640" s="3" t="inlineStr">
        <is>
          <t>Cái</t>
        </is>
      </c>
      <c r="K640" s="5" t="n">
        <v>269000</v>
      </c>
      <c r="L640" s="5" t="n">
        <v>317000</v>
      </c>
      <c r="M640" s="6" t="n">
        <v>390000</v>
      </c>
      <c r="N640" s="5" t="n"/>
      <c r="O640" s="5">
        <f>IF(AND(ISNUMBER(N640),ISNUMBER(M640)),N640-M640,"")</f>
        <v/>
      </c>
      <c r="P640" s="7">
        <f>IF(AND(ISNUMBER(N640),ISNUMBER(M640),M640&gt;0),(N640-M640)/M640,"")</f>
        <v/>
      </c>
      <c r="Q640" s="3">
        <f>IF(P640="","",IF(P640&lt;-0.02,"🔴 Bán phá giá sàn",IF(P640&gt;0.05,"🔵 Bán cao hơn","🟢 Đúng giá sàn TMĐT")))</f>
        <v/>
      </c>
      <c r="R640" s="3" t="n"/>
      <c r="S640" s="4" t="n"/>
      <c r="T640" s="4" t="n"/>
    </row>
    <row r="641">
      <c r="A641" s="3" t="n">
        <v>640</v>
      </c>
      <c r="B641" s="3" t="inlineStr">
        <is>
          <t>DL003</t>
        </is>
      </c>
      <c r="C641" s="4" t="inlineStr">
        <is>
          <t>CÔNG TY TNHH ĐỒ NGHỀ CẦM TAY PHƯƠNG MY</t>
        </is>
      </c>
      <c r="D641" s="3" t="inlineStr">
        <is>
          <t>HCM</t>
        </is>
      </c>
      <c r="E641" s="3" t="inlineStr">
        <is>
          <t>BẢO TRÂM</t>
        </is>
      </c>
      <c r="F641" s="3" t="inlineStr">
        <is>
          <t>Youtube</t>
        </is>
      </c>
      <c r="G641" s="4" t="inlineStr">
        <is>
          <t>SHOPEE: TIKTOK: LAZADA: WEBSITE BÁN HÀNG: YOUTUBE : https://www.youtube.com/@nguyenchiam2706</t>
        </is>
      </c>
      <c r="H641" s="3" t="inlineStr"/>
      <c r="I641" s="4" t="inlineStr">
        <is>
          <t>Mũi khoan tường không tắc kê KBLJ - 04.2*100</t>
        </is>
      </c>
      <c r="J641" s="3" t="inlineStr">
        <is>
          <t>Cái</t>
        </is>
      </c>
      <c r="K641" s="5" t="n">
        <v>269000</v>
      </c>
      <c r="L641" s="5" t="n">
        <v>317000</v>
      </c>
      <c r="M641" s="6" t="n">
        <v>390000</v>
      </c>
      <c r="N641" s="5" t="n"/>
      <c r="O641" s="5">
        <f>IF(AND(ISNUMBER(N641),ISNUMBER(M641)),N641-M641,"")</f>
        <v/>
      </c>
      <c r="P641" s="7">
        <f>IF(AND(ISNUMBER(N641),ISNUMBER(M641),M641&gt;0),(N641-M641)/M641,"")</f>
        <v/>
      </c>
      <c r="Q641" s="3">
        <f>IF(P641="","",IF(P641&lt;-0.02,"🔴 Bán phá giá sàn",IF(P641&gt;0.05,"🔵 Bán cao hơn","🟢 Đúng giá sàn TMĐT")))</f>
        <v/>
      </c>
      <c r="R641" s="3" t="n"/>
      <c r="S641" s="4" t="n"/>
      <c r="T641" s="4" t="n"/>
    </row>
    <row r="642">
      <c r="A642" s="3" t="n">
        <v>641</v>
      </c>
      <c r="B642" s="3" t="inlineStr">
        <is>
          <t>DL003</t>
        </is>
      </c>
      <c r="C642" s="4" t="inlineStr">
        <is>
          <t>CÔNG TY TNHH ĐỒ NGHỀ CẦM TAY PHƯƠNG MY</t>
        </is>
      </c>
      <c r="D642" s="3" t="inlineStr">
        <is>
          <t>HCM</t>
        </is>
      </c>
      <c r="E642" s="3" t="inlineStr">
        <is>
          <t>BẢO TRÂM</t>
        </is>
      </c>
      <c r="F642" s="3" t="inlineStr">
        <is>
          <t>Youtube</t>
        </is>
      </c>
      <c r="G642" s="4" t="inlineStr">
        <is>
          <t>SHOPEE: TIKTOK: LAZADA: WEBSITE BÁN HÀNG: YOUTUBE : https://www.youtube.com/@nguyenchiam2706</t>
        </is>
      </c>
      <c r="H642" s="3" t="inlineStr"/>
      <c r="I642" s="4" t="inlineStr">
        <is>
          <t>Mũi khoan tường không tắc kê KBLJ - 04.5*100</t>
        </is>
      </c>
      <c r="J642" s="3" t="inlineStr">
        <is>
          <t>Cái</t>
        </is>
      </c>
      <c r="K642" s="5" t="n">
        <v>269000</v>
      </c>
      <c r="L642" s="5" t="n">
        <v>317000</v>
      </c>
      <c r="M642" s="6" t="n">
        <v>390000</v>
      </c>
      <c r="N642" s="5" t="n"/>
      <c r="O642" s="5">
        <f>IF(AND(ISNUMBER(N642),ISNUMBER(M642)),N642-M642,"")</f>
        <v/>
      </c>
      <c r="P642" s="7">
        <f>IF(AND(ISNUMBER(N642),ISNUMBER(M642),M642&gt;0),(N642-M642)/M642,"")</f>
        <v/>
      </c>
      <c r="Q642" s="3">
        <f>IF(P642="","",IF(P642&lt;-0.02,"🔴 Bán phá giá sàn",IF(P642&gt;0.05,"🔵 Bán cao hơn","🟢 Đúng giá sàn TMĐT")))</f>
        <v/>
      </c>
      <c r="R642" s="3" t="n"/>
      <c r="S642" s="4" t="n"/>
      <c r="T642" s="4" t="n"/>
    </row>
    <row r="643">
      <c r="A643" s="3" t="n">
        <v>642</v>
      </c>
      <c r="B643" s="3" t="inlineStr">
        <is>
          <t>DL003</t>
        </is>
      </c>
      <c r="C643" s="4" t="inlineStr">
        <is>
          <t>CÔNG TY TNHH ĐỒ NGHỀ CẦM TAY PHƯƠNG MY</t>
        </is>
      </c>
      <c r="D643" s="3" t="inlineStr">
        <is>
          <t>HCM</t>
        </is>
      </c>
      <c r="E643" s="3" t="inlineStr">
        <is>
          <t>BẢO TRÂM</t>
        </is>
      </c>
      <c r="F643" s="3" t="inlineStr">
        <is>
          <t>Youtube</t>
        </is>
      </c>
      <c r="G643" s="4" t="inlineStr">
        <is>
          <t>SHOPEE: TIKTOK: LAZADA: WEBSITE BÁN HÀNG: YOUTUBE : https://www.youtube.com/@nguyenchiam2706</t>
        </is>
      </c>
      <c r="H643" s="3" t="inlineStr"/>
      <c r="I643" s="4" t="inlineStr">
        <is>
          <t>Mũi khoan tường không tắc kê KBLJ - 05*100</t>
        </is>
      </c>
      <c r="J643" s="3" t="inlineStr">
        <is>
          <t>Cái</t>
        </is>
      </c>
      <c r="K643" s="5" t="n">
        <v>269000</v>
      </c>
      <c r="L643" s="5" t="n">
        <v>317000</v>
      </c>
      <c r="M643" s="6" t="n">
        <v>390000</v>
      </c>
      <c r="N643" s="5" t="n"/>
      <c r="O643" s="5">
        <f>IF(AND(ISNUMBER(N643),ISNUMBER(M643)),N643-M643,"")</f>
        <v/>
      </c>
      <c r="P643" s="7">
        <f>IF(AND(ISNUMBER(N643),ISNUMBER(M643),M643&gt;0),(N643-M643)/M643,"")</f>
        <v/>
      </c>
      <c r="Q643" s="3">
        <f>IF(P643="","",IF(P643&lt;-0.02,"🔴 Bán phá giá sàn",IF(P643&gt;0.05,"🔵 Bán cao hơn","🟢 Đúng giá sàn TMĐT")))</f>
        <v/>
      </c>
      <c r="R643" s="3" t="n"/>
      <c r="S643" s="4" t="n"/>
      <c r="T643" s="4" t="n"/>
    </row>
    <row r="644">
      <c r="A644" s="3" t="n">
        <v>643</v>
      </c>
      <c r="B644" s="3" t="inlineStr">
        <is>
          <t>DL003</t>
        </is>
      </c>
      <c r="C644" s="4" t="inlineStr">
        <is>
          <t>CÔNG TY TNHH ĐỒ NGHỀ CẦM TAY PHƯƠNG MY</t>
        </is>
      </c>
      <c r="D644" s="3" t="inlineStr">
        <is>
          <t>HCM</t>
        </is>
      </c>
      <c r="E644" s="3" t="inlineStr">
        <is>
          <t>BẢO TRÂM</t>
        </is>
      </c>
      <c r="F644" s="3" t="inlineStr">
        <is>
          <t>Youtube</t>
        </is>
      </c>
      <c r="G644" s="4" t="inlineStr">
        <is>
          <t>SHOPEE: TIKTOK: LAZADA: WEBSITE BÁN HÀNG: YOUTUBE : https://www.youtube.com/@nguyenchiam2706</t>
        </is>
      </c>
      <c r="H644" s="3" t="inlineStr"/>
      <c r="I644" s="4" t="inlineStr">
        <is>
          <t>Mũi khoan tường không tắc kê KBLJ - 06*125</t>
        </is>
      </c>
      <c r="J644" s="3" t="inlineStr">
        <is>
          <t>Cái</t>
        </is>
      </c>
      <c r="K644" s="5" t="n">
        <v>269000</v>
      </c>
      <c r="L644" s="5" t="n">
        <v>317000</v>
      </c>
      <c r="M644" s="6" t="n">
        <v>390000</v>
      </c>
      <c r="N644" s="5" t="n"/>
      <c r="O644" s="5">
        <f>IF(AND(ISNUMBER(N644),ISNUMBER(M644)),N644-M644,"")</f>
        <v/>
      </c>
      <c r="P644" s="7">
        <f>IF(AND(ISNUMBER(N644),ISNUMBER(M644),M644&gt;0),(N644-M644)/M644,"")</f>
        <v/>
      </c>
      <c r="Q644" s="3">
        <f>IF(P644="","",IF(P644&lt;-0.02,"🔴 Bán phá giá sàn",IF(P644&gt;0.05,"🔵 Bán cao hơn","🟢 Đúng giá sàn TMĐT")))</f>
        <v/>
      </c>
      <c r="R644" s="3" t="n"/>
      <c r="S644" s="4" t="n"/>
      <c r="T644" s="4" t="n"/>
    </row>
    <row r="645">
      <c r="A645" s="3" t="n">
        <v>644</v>
      </c>
      <c r="B645" s="3" t="inlineStr">
        <is>
          <t>DL003</t>
        </is>
      </c>
      <c r="C645" s="4" t="inlineStr">
        <is>
          <t>CÔNG TY TNHH ĐỒ NGHỀ CẦM TAY PHƯƠNG MY</t>
        </is>
      </c>
      <c r="D645" s="3" t="inlineStr">
        <is>
          <t>HCM</t>
        </is>
      </c>
      <c r="E645" s="3" t="inlineStr">
        <is>
          <t>BẢO TRÂM</t>
        </is>
      </c>
      <c r="F645" s="3" t="inlineStr">
        <is>
          <t>Youtube</t>
        </is>
      </c>
      <c r="G645" s="4" t="inlineStr">
        <is>
          <t>SHOPEE: TIKTOK: LAZADA: WEBSITE BÁN HÀNG: YOUTUBE : https://www.youtube.com/@nguyenchiam2706</t>
        </is>
      </c>
      <c r="H645" s="3" t="inlineStr"/>
      <c r="I645" s="4" t="inlineStr">
        <is>
          <t>Mũi khoan tường không tắc kê KBLJ - 08*125</t>
        </is>
      </c>
      <c r="J645" s="3" t="inlineStr">
        <is>
          <t>Cái</t>
        </is>
      </c>
      <c r="K645" s="5" t="n">
        <v>269000</v>
      </c>
      <c r="L645" s="5" t="n">
        <v>317000</v>
      </c>
      <c r="M645" s="6" t="n">
        <v>390000</v>
      </c>
      <c r="N645" s="5" t="n"/>
      <c r="O645" s="5">
        <f>IF(AND(ISNUMBER(N645),ISNUMBER(M645)),N645-M645,"")</f>
        <v/>
      </c>
      <c r="P645" s="7">
        <f>IF(AND(ISNUMBER(N645),ISNUMBER(M645),M645&gt;0),(N645-M645)/M645,"")</f>
        <v/>
      </c>
      <c r="Q645" s="3">
        <f>IF(P645="","",IF(P645&lt;-0.02,"🔴 Bán phá giá sàn",IF(P645&gt;0.05,"🔵 Bán cao hơn","🟢 Đúng giá sàn TMĐT")))</f>
        <v/>
      </c>
      <c r="R645" s="3" t="n"/>
      <c r="S645" s="4" t="n"/>
      <c r="T645" s="4" t="n"/>
    </row>
    <row r="646">
      <c r="A646" s="3" t="n">
        <v>645</v>
      </c>
      <c r="B646" s="3" t="inlineStr">
        <is>
          <t>DL003</t>
        </is>
      </c>
      <c r="C646" s="4" t="inlineStr">
        <is>
          <t>CÔNG TY TNHH ĐỒ NGHỀ CẦM TAY PHƯƠNG MY</t>
        </is>
      </c>
      <c r="D646" s="3" t="inlineStr">
        <is>
          <t>HCM</t>
        </is>
      </c>
      <c r="E646" s="3" t="inlineStr">
        <is>
          <t>BẢO TRÂM</t>
        </is>
      </c>
      <c r="F646" s="3" t="inlineStr">
        <is>
          <t>Youtube</t>
        </is>
      </c>
      <c r="G646" s="4" t="inlineStr">
        <is>
          <t>SHOPEE: TIKTOK: LAZADA: WEBSITE BÁN HÀNG: YOUTUBE : https://www.youtube.com/@nguyenchiam2706</t>
        </is>
      </c>
      <c r="H646" s="3" t="inlineStr"/>
      <c r="I646" s="4" t="inlineStr">
        <is>
          <t>Mũi khoan tường không tắc kê KBLJ - 10*148</t>
        </is>
      </c>
      <c r="J646" s="3" t="inlineStr">
        <is>
          <t>Cái</t>
        </is>
      </c>
      <c r="K646" s="5" t="n">
        <v>269000</v>
      </c>
      <c r="L646" s="5" t="n">
        <v>317000</v>
      </c>
      <c r="M646" s="6" t="n">
        <v>390000</v>
      </c>
      <c r="N646" s="5" t="n"/>
      <c r="O646" s="5">
        <f>IF(AND(ISNUMBER(N646),ISNUMBER(M646)),N646-M646,"")</f>
        <v/>
      </c>
      <c r="P646" s="7">
        <f>IF(AND(ISNUMBER(N646),ISNUMBER(M646),M646&gt;0),(N646-M646)/M646,"")</f>
        <v/>
      </c>
      <c r="Q646" s="3">
        <f>IF(P646="","",IF(P646&lt;-0.02,"🔴 Bán phá giá sàn",IF(P646&gt;0.05,"🔵 Bán cao hơn","🟢 Đúng giá sàn TMĐT")))</f>
        <v/>
      </c>
      <c r="R646" s="3" t="n"/>
      <c r="S646" s="4" t="n"/>
      <c r="T646" s="4" t="n"/>
    </row>
    <row r="647">
      <c r="A647" s="3" t="n">
        <v>646</v>
      </c>
      <c r="B647" s="3" t="inlineStr">
        <is>
          <t>DL003</t>
        </is>
      </c>
      <c r="C647" s="4" t="inlineStr">
        <is>
          <t>CÔNG TY TNHH ĐỒ NGHỀ CẦM TAY PHƯƠNG MY</t>
        </is>
      </c>
      <c r="D647" s="3" t="inlineStr">
        <is>
          <t>HCM</t>
        </is>
      </c>
      <c r="E647" s="3" t="inlineStr">
        <is>
          <t>BẢO TRÂM</t>
        </is>
      </c>
      <c r="F647" s="3" t="inlineStr">
        <is>
          <t>Youtube</t>
        </is>
      </c>
      <c r="G647" s="4" t="inlineStr">
        <is>
          <t>SHOPEE: TIKTOK: LAZADA: WEBSITE BÁN HÀNG: YOUTUBE : https://www.youtube.com/@nguyenchiam2706</t>
        </is>
      </c>
      <c r="H647" s="3" t="inlineStr">
        <is>
          <t>KBL4-10350</t>
        </is>
      </c>
      <c r="I647" s="4" t="inlineStr">
        <is>
          <t>Mũi khoan xuyên tường 4 cạnh KBL4-10*350</t>
        </is>
      </c>
      <c r="J647" s="3" t="inlineStr">
        <is>
          <t>Cái</t>
        </is>
      </c>
      <c r="K647" s="5" t="n">
        <v>81000</v>
      </c>
      <c r="L647" s="5" t="n">
        <v>99000</v>
      </c>
      <c r="M647" s="6" t="n">
        <v>126000</v>
      </c>
      <c r="N647" s="5" t="n"/>
      <c r="O647" s="5">
        <f>IF(AND(ISNUMBER(N647),ISNUMBER(M647)),N647-M647,"")</f>
        <v/>
      </c>
      <c r="P647" s="7">
        <f>IF(AND(ISNUMBER(N647),ISNUMBER(M647),M647&gt;0),(N647-M647)/M647,"")</f>
        <v/>
      </c>
      <c r="Q647" s="3">
        <f>IF(P647="","",IF(P647&lt;-0.02,"🔴 Bán phá giá sàn",IF(P647&gt;0.05,"🔵 Bán cao hơn","🟢 Đúng giá sàn TMĐT")))</f>
        <v/>
      </c>
      <c r="R647" s="3" t="n"/>
      <c r="S647" s="4" t="n"/>
      <c r="T647" s="4" t="n"/>
    </row>
    <row r="648">
      <c r="A648" s="3" t="n">
        <v>647</v>
      </c>
      <c r="B648" s="3" t="inlineStr">
        <is>
          <t>DL003</t>
        </is>
      </c>
      <c r="C648" s="4" t="inlineStr">
        <is>
          <t>CÔNG TY TNHH ĐỒ NGHỀ CẦM TAY PHƯƠNG MY</t>
        </is>
      </c>
      <c r="D648" s="3" t="inlineStr">
        <is>
          <t>HCM</t>
        </is>
      </c>
      <c r="E648" s="3" t="inlineStr">
        <is>
          <t>BẢO TRÂM</t>
        </is>
      </c>
      <c r="F648" s="3" t="inlineStr">
        <is>
          <t>Youtube</t>
        </is>
      </c>
      <c r="G648" s="4" t="inlineStr">
        <is>
          <t>SHOPEE: TIKTOK: LAZADA: WEBSITE BÁN HÀNG: YOUTUBE : https://www.youtube.com/@nguyenchiam2706</t>
        </is>
      </c>
      <c r="H648" s="3" t="inlineStr">
        <is>
          <t>KBX2-15</t>
        </is>
      </c>
      <c r="I648" s="4" t="inlineStr">
        <is>
          <t>Mũi khoét gỗ KBX2-15</t>
        </is>
      </c>
      <c r="J648" s="3" t="inlineStr">
        <is>
          <t>Cái</t>
        </is>
      </c>
      <c r="K648" s="5" t="n">
        <v>59000</v>
      </c>
      <c r="L648" s="5" t="n">
        <v>70000</v>
      </c>
      <c r="M648" s="6" t="n">
        <v>86000</v>
      </c>
      <c r="N648" s="5" t="n"/>
      <c r="O648" s="5">
        <f>IF(AND(ISNUMBER(N648),ISNUMBER(M648)),N648-M648,"")</f>
        <v/>
      </c>
      <c r="P648" s="7">
        <f>IF(AND(ISNUMBER(N648),ISNUMBER(M648),M648&gt;0),(N648-M648)/M648,"")</f>
        <v/>
      </c>
      <c r="Q648" s="3">
        <f>IF(P648="","",IF(P648&lt;-0.02,"🔴 Bán phá giá sàn",IF(P648&gt;0.05,"🔵 Bán cao hơn","🟢 Đúng giá sàn TMĐT")))</f>
        <v/>
      </c>
      <c r="R648" s="3" t="n"/>
      <c r="S648" s="4" t="n"/>
      <c r="T648" s="4" t="n"/>
    </row>
    <row r="649">
      <c r="A649" s="3" t="n">
        <v>648</v>
      </c>
      <c r="B649" s="3" t="inlineStr">
        <is>
          <t>DL003</t>
        </is>
      </c>
      <c r="C649" s="4" t="inlineStr">
        <is>
          <t>CÔNG TY TNHH ĐỒ NGHỀ CẦM TAY PHƯƠNG MY</t>
        </is>
      </c>
      <c r="D649" s="3" t="inlineStr">
        <is>
          <t>HCM</t>
        </is>
      </c>
      <c r="E649" s="3" t="inlineStr">
        <is>
          <t>BẢO TRÂM</t>
        </is>
      </c>
      <c r="F649" s="3" t="inlineStr">
        <is>
          <t>Youtube</t>
        </is>
      </c>
      <c r="G649" s="4" t="inlineStr">
        <is>
          <t>SHOPEE: TIKTOK: LAZADA: WEBSITE BÁN HÀNG: YOUTUBE : https://www.youtube.com/@nguyenchiam2706</t>
        </is>
      </c>
      <c r="H649" s="3" t="inlineStr">
        <is>
          <t>KBX2-16</t>
        </is>
      </c>
      <c r="I649" s="4" t="inlineStr">
        <is>
          <t>Mũi khoét gỗ KBX2-16</t>
        </is>
      </c>
      <c r="J649" s="3" t="inlineStr">
        <is>
          <t>Cái</t>
        </is>
      </c>
      <c r="K649" s="5" t="n">
        <v>59000</v>
      </c>
      <c r="L649" s="5" t="n">
        <v>70000</v>
      </c>
      <c r="M649" s="6" t="n">
        <v>86000</v>
      </c>
      <c r="N649" s="5" t="n"/>
      <c r="O649" s="5">
        <f>IF(AND(ISNUMBER(N649),ISNUMBER(M649)),N649-M649,"")</f>
        <v/>
      </c>
      <c r="P649" s="7">
        <f>IF(AND(ISNUMBER(N649),ISNUMBER(M649),M649&gt;0),(N649-M649)/M649,"")</f>
        <v/>
      </c>
      <c r="Q649" s="3">
        <f>IF(P649="","",IF(P649&lt;-0.02,"🔴 Bán phá giá sàn",IF(P649&gt;0.05,"🔵 Bán cao hơn","🟢 Đúng giá sàn TMĐT")))</f>
        <v/>
      </c>
      <c r="R649" s="3" t="n"/>
      <c r="S649" s="4" t="n"/>
      <c r="T649" s="4" t="n"/>
    </row>
    <row r="650">
      <c r="A650" s="3" t="n">
        <v>649</v>
      </c>
      <c r="B650" s="3" t="inlineStr">
        <is>
          <t>DL003</t>
        </is>
      </c>
      <c r="C650" s="4" t="inlineStr">
        <is>
          <t>CÔNG TY TNHH ĐỒ NGHỀ CẦM TAY PHƯƠNG MY</t>
        </is>
      </c>
      <c r="D650" s="3" t="inlineStr">
        <is>
          <t>HCM</t>
        </is>
      </c>
      <c r="E650" s="3" t="inlineStr">
        <is>
          <t>BẢO TRÂM</t>
        </is>
      </c>
      <c r="F650" s="3" t="inlineStr">
        <is>
          <t>Youtube</t>
        </is>
      </c>
      <c r="G650" s="4" t="inlineStr">
        <is>
          <t>SHOPEE: TIKTOK: LAZADA: WEBSITE BÁN HÀNG: YOUTUBE : https://www.youtube.com/@nguyenchiam2706</t>
        </is>
      </c>
      <c r="H650" s="3" t="inlineStr">
        <is>
          <t>KBX2-20</t>
        </is>
      </c>
      <c r="I650" s="4" t="inlineStr">
        <is>
          <t>Mũi khoét gỗ KBX2-20</t>
        </is>
      </c>
      <c r="J650" s="3" t="inlineStr">
        <is>
          <t>Cái</t>
        </is>
      </c>
      <c r="K650" s="5" t="n">
        <v>67000</v>
      </c>
      <c r="L650" s="5" t="n">
        <v>79000</v>
      </c>
      <c r="M650" s="6" t="n">
        <v>97000</v>
      </c>
      <c r="N650" s="5" t="n"/>
      <c r="O650" s="5">
        <f>IF(AND(ISNUMBER(N650),ISNUMBER(M650)),N650-M650,"")</f>
        <v/>
      </c>
      <c r="P650" s="7">
        <f>IF(AND(ISNUMBER(N650),ISNUMBER(M650),M650&gt;0),(N650-M650)/M650,"")</f>
        <v/>
      </c>
      <c r="Q650" s="3">
        <f>IF(P650="","",IF(P650&lt;-0.02,"🔴 Bán phá giá sàn",IF(P650&gt;0.05,"🔵 Bán cao hơn","🟢 Đúng giá sàn TMĐT")))</f>
        <v/>
      </c>
      <c r="R650" s="3" t="n"/>
      <c r="S650" s="4" t="n"/>
      <c r="T650" s="4" t="n"/>
    </row>
    <row r="651">
      <c r="A651" s="3" t="n">
        <v>650</v>
      </c>
      <c r="B651" s="3" t="inlineStr">
        <is>
          <t>DL003</t>
        </is>
      </c>
      <c r="C651" s="4" t="inlineStr">
        <is>
          <t>CÔNG TY TNHH ĐỒ NGHỀ CẦM TAY PHƯƠNG MY</t>
        </is>
      </c>
      <c r="D651" s="3" t="inlineStr">
        <is>
          <t>HCM</t>
        </is>
      </c>
      <c r="E651" s="3" t="inlineStr">
        <is>
          <t>BẢO TRÂM</t>
        </is>
      </c>
      <c r="F651" s="3" t="inlineStr">
        <is>
          <t>Youtube</t>
        </is>
      </c>
      <c r="G651" s="4" t="inlineStr">
        <is>
          <t>SHOPEE: TIKTOK: LAZADA: WEBSITE BÁN HÀNG: YOUTUBE : https://www.youtube.com/@nguyenchiam2706</t>
        </is>
      </c>
      <c r="H651" s="3" t="inlineStr">
        <is>
          <t>KBX2-24</t>
        </is>
      </c>
      <c r="I651" s="4" t="inlineStr">
        <is>
          <t>Mũi khoét gỗ KBX2-24</t>
        </is>
      </c>
      <c r="J651" s="3" t="inlineStr">
        <is>
          <t>Cái</t>
        </is>
      </c>
      <c r="K651" s="5" t="n">
        <v>81000</v>
      </c>
      <c r="L651" s="5" t="n">
        <v>96000</v>
      </c>
      <c r="M651" s="6" t="n">
        <v>118000</v>
      </c>
      <c r="N651" s="5" t="n"/>
      <c r="O651" s="5">
        <f>IF(AND(ISNUMBER(N651),ISNUMBER(M651)),N651-M651,"")</f>
        <v/>
      </c>
      <c r="P651" s="7">
        <f>IF(AND(ISNUMBER(N651),ISNUMBER(M651),M651&gt;0),(N651-M651)/M651,"")</f>
        <v/>
      </c>
      <c r="Q651" s="3">
        <f>IF(P651="","",IF(P651&lt;-0.02,"🔴 Bán phá giá sàn",IF(P651&gt;0.05,"🔵 Bán cao hơn","🟢 Đúng giá sàn TMĐT")))</f>
        <v/>
      </c>
      <c r="R651" s="3" t="n"/>
      <c r="S651" s="4" t="n"/>
      <c r="T651" s="4" t="n"/>
    </row>
    <row r="652">
      <c r="A652" s="3" t="n">
        <v>651</v>
      </c>
      <c r="B652" s="3" t="inlineStr">
        <is>
          <t>DL003</t>
        </is>
      </c>
      <c r="C652" s="4" t="inlineStr">
        <is>
          <t>CÔNG TY TNHH ĐỒ NGHỀ CẦM TAY PHƯƠNG MY</t>
        </is>
      </c>
      <c r="D652" s="3" t="inlineStr">
        <is>
          <t>HCM</t>
        </is>
      </c>
      <c r="E652" s="3" t="inlineStr">
        <is>
          <t>BẢO TRÂM</t>
        </is>
      </c>
      <c r="F652" s="3" t="inlineStr">
        <is>
          <t>Youtube</t>
        </is>
      </c>
      <c r="G652" s="4" t="inlineStr">
        <is>
          <t>SHOPEE: TIKTOK: LAZADA: WEBSITE BÁN HÀNG: YOUTUBE : https://www.youtube.com/@nguyenchiam2706</t>
        </is>
      </c>
      <c r="H652" s="3" t="inlineStr">
        <is>
          <t>KBX2-27</t>
        </is>
      </c>
      <c r="I652" s="4" t="inlineStr">
        <is>
          <t>Mũi khoét gỗ KBX2-27</t>
        </is>
      </c>
      <c r="J652" s="3" t="inlineStr">
        <is>
          <t>Cái</t>
        </is>
      </c>
      <c r="K652" s="5" t="n">
        <v>92000</v>
      </c>
      <c r="L652" s="5" t="n">
        <v>108000</v>
      </c>
      <c r="M652" s="6" t="n">
        <v>133000</v>
      </c>
      <c r="N652" s="5" t="n"/>
      <c r="O652" s="5">
        <f>IF(AND(ISNUMBER(N652),ISNUMBER(M652)),N652-M652,"")</f>
        <v/>
      </c>
      <c r="P652" s="7">
        <f>IF(AND(ISNUMBER(N652),ISNUMBER(M652),M652&gt;0),(N652-M652)/M652,"")</f>
        <v/>
      </c>
      <c r="Q652" s="3">
        <f>IF(P652="","",IF(P652&lt;-0.02,"🔴 Bán phá giá sàn",IF(P652&gt;0.05,"🔵 Bán cao hơn","🟢 Đúng giá sàn TMĐT")))</f>
        <v/>
      </c>
      <c r="R652" s="3" t="n"/>
      <c r="S652" s="4" t="n"/>
      <c r="T652" s="4" t="n"/>
    </row>
    <row r="653">
      <c r="A653" s="3" t="n">
        <v>652</v>
      </c>
      <c r="B653" s="3" t="inlineStr">
        <is>
          <t>DL003</t>
        </is>
      </c>
      <c r="C653" s="4" t="inlineStr">
        <is>
          <t>CÔNG TY TNHH ĐỒ NGHỀ CẦM TAY PHƯƠNG MY</t>
        </is>
      </c>
      <c r="D653" s="3" t="inlineStr">
        <is>
          <t>HCM</t>
        </is>
      </c>
      <c r="E653" s="3" t="inlineStr">
        <is>
          <t>BẢO TRÂM</t>
        </is>
      </c>
      <c r="F653" s="3" t="inlineStr">
        <is>
          <t>Youtube</t>
        </is>
      </c>
      <c r="G653" s="4" t="inlineStr">
        <is>
          <t>SHOPEE: TIKTOK: LAZADA: WEBSITE BÁN HÀNG: YOUTUBE : https://www.youtube.com/@nguyenchiam2706</t>
        </is>
      </c>
      <c r="H653" s="3" t="inlineStr">
        <is>
          <t>KBX2-42</t>
        </is>
      </c>
      <c r="I653" s="4" t="inlineStr">
        <is>
          <t>Mũi khoét gỗ KBX2-42</t>
        </is>
      </c>
      <c r="J653" s="3" t="inlineStr">
        <is>
          <t>Cái</t>
        </is>
      </c>
      <c r="K653" s="5" t="n">
        <v>140000</v>
      </c>
      <c r="L653" s="5" t="n">
        <v>165000</v>
      </c>
      <c r="M653" s="6" t="n">
        <v>203000</v>
      </c>
      <c r="N653" s="5" t="n"/>
      <c r="O653" s="5">
        <f>IF(AND(ISNUMBER(N653),ISNUMBER(M653)),N653-M653,"")</f>
        <v/>
      </c>
      <c r="P653" s="7">
        <f>IF(AND(ISNUMBER(N653),ISNUMBER(M653),M653&gt;0),(N653-M653)/M653,"")</f>
        <v/>
      </c>
      <c r="Q653" s="3">
        <f>IF(P653="","",IF(P653&lt;-0.02,"🔴 Bán phá giá sàn",IF(P653&gt;0.05,"🔵 Bán cao hơn","🟢 Đúng giá sàn TMĐT")))</f>
        <v/>
      </c>
      <c r="R653" s="3" t="n"/>
      <c r="S653" s="4" t="n"/>
      <c r="T653" s="4" t="n"/>
    </row>
    <row r="654">
      <c r="A654" s="3" t="n">
        <v>653</v>
      </c>
      <c r="B654" s="3" t="inlineStr">
        <is>
          <t>DL003</t>
        </is>
      </c>
      <c r="C654" s="4" t="inlineStr">
        <is>
          <t>CÔNG TY TNHH ĐỒ NGHỀ CẦM TAY PHƯƠNG MY</t>
        </is>
      </c>
      <c r="D654" s="3" t="inlineStr">
        <is>
          <t>HCM</t>
        </is>
      </c>
      <c r="E654" s="3" t="inlineStr">
        <is>
          <t>BẢO TRÂM</t>
        </is>
      </c>
      <c r="F654" s="3" t="inlineStr">
        <is>
          <t>Youtube</t>
        </is>
      </c>
      <c r="G654" s="4" t="inlineStr">
        <is>
          <t>SHOPEE: TIKTOK: LAZADA: WEBSITE BÁN HÀNG: YOUTUBE : https://www.youtube.com/@nguyenchiam2706</t>
        </is>
      </c>
      <c r="H654" s="3" t="inlineStr">
        <is>
          <t>KYG80</t>
        </is>
      </c>
      <c r="I654" s="4" t="inlineStr">
        <is>
          <t>Ổ khóa KYG80</t>
        </is>
      </c>
      <c r="J654" s="3" t="inlineStr">
        <is>
          <t>Cái</t>
        </is>
      </c>
      <c r="K654" s="5" t="n">
        <v>218000</v>
      </c>
      <c r="L654" s="5" t="n">
        <v>253000</v>
      </c>
      <c r="M654" s="6" t="n">
        <v>305000</v>
      </c>
      <c r="N654" s="5" t="n"/>
      <c r="O654" s="5">
        <f>IF(AND(ISNUMBER(N654),ISNUMBER(M654)),N654-M654,"")</f>
        <v/>
      </c>
      <c r="P654" s="7">
        <f>IF(AND(ISNUMBER(N654),ISNUMBER(M654),M654&gt;0),(N654-M654)/M654,"")</f>
        <v/>
      </c>
      <c r="Q654" s="3">
        <f>IF(P654="","",IF(P654&lt;-0.02,"🔴 Bán phá giá sàn",IF(P654&gt;0.05,"🔵 Bán cao hơn","🟢 Đúng giá sàn TMĐT")))</f>
        <v/>
      </c>
      <c r="R654" s="3" t="n"/>
      <c r="S654" s="4" t="n"/>
      <c r="T654" s="4" t="n"/>
    </row>
    <row r="655">
      <c r="A655" s="3" t="n">
        <v>654</v>
      </c>
      <c r="B655" s="3" t="inlineStr">
        <is>
          <t>DL003</t>
        </is>
      </c>
      <c r="C655" s="4" t="inlineStr">
        <is>
          <t>CÔNG TY TNHH ĐỒ NGHỀ CẦM TAY PHƯƠNG MY</t>
        </is>
      </c>
      <c r="D655" s="3" t="inlineStr">
        <is>
          <t>HCM</t>
        </is>
      </c>
      <c r="E655" s="3" t="inlineStr">
        <is>
          <t>BẢO TRÂM</t>
        </is>
      </c>
      <c r="F655" s="3" t="inlineStr">
        <is>
          <t>Youtube</t>
        </is>
      </c>
      <c r="G655" s="4" t="inlineStr">
        <is>
          <t>SHOPEE: TIKTOK: LAZADA: WEBSITE BÁN HÀNG: YOUTUBE : https://www.youtube.com/@nguyenchiam2706</t>
        </is>
      </c>
      <c r="H655" s="3" t="inlineStr">
        <is>
          <t>KYV40</t>
        </is>
      </c>
      <c r="I655" s="4" t="inlineStr">
        <is>
          <t>Ổ khóa KYV40</t>
        </is>
      </c>
      <c r="J655" s="3" t="inlineStr">
        <is>
          <t>Cái</t>
        </is>
      </c>
      <c r="K655" s="5" t="n">
        <v>62000</v>
      </c>
      <c r="L655" s="5" t="n">
        <v>72000</v>
      </c>
      <c r="M655" s="6" t="n">
        <v>87000</v>
      </c>
      <c r="N655" s="5" t="n"/>
      <c r="O655" s="5">
        <f>IF(AND(ISNUMBER(N655),ISNUMBER(M655)),N655-M655,"")</f>
        <v/>
      </c>
      <c r="P655" s="7">
        <f>IF(AND(ISNUMBER(N655),ISNUMBER(M655),M655&gt;0),(N655-M655)/M655,"")</f>
        <v/>
      </c>
      <c r="Q655" s="3">
        <f>IF(P655="","",IF(P655&lt;-0.02,"🔴 Bán phá giá sàn",IF(P655&gt;0.05,"🔵 Bán cao hơn","🟢 Đúng giá sàn TMĐT")))</f>
        <v/>
      </c>
      <c r="R655" s="3" t="n"/>
      <c r="S655" s="4" t="n"/>
      <c r="T655" s="4" t="n"/>
    </row>
    <row r="656">
      <c r="A656" s="3" t="n">
        <v>655</v>
      </c>
      <c r="B656" s="3" t="inlineStr">
        <is>
          <t>DL003</t>
        </is>
      </c>
      <c r="C656" s="4" t="inlineStr">
        <is>
          <t>CÔNG TY TNHH ĐỒ NGHỀ CẦM TAY PHƯƠNG MY</t>
        </is>
      </c>
      <c r="D656" s="3" t="inlineStr">
        <is>
          <t>HCM</t>
        </is>
      </c>
      <c r="E656" s="3" t="inlineStr">
        <is>
          <t>BẢO TRÂM</t>
        </is>
      </c>
      <c r="F656" s="3" t="inlineStr">
        <is>
          <t>Youtube</t>
        </is>
      </c>
      <c r="G656" s="4" t="inlineStr">
        <is>
          <t>SHOPEE: TIKTOK: LAZADA: WEBSITE BÁN HÀNG: YOUTUBE : https://www.youtube.com/@nguyenchiam2706</t>
        </is>
      </c>
      <c r="H656" s="3" t="inlineStr">
        <is>
          <t>KYX40</t>
        </is>
      </c>
      <c r="I656" s="4" t="inlineStr">
        <is>
          <t>Ổ khóa KYX40</t>
        </is>
      </c>
      <c r="J656" s="3" t="inlineStr">
        <is>
          <t>Cái</t>
        </is>
      </c>
      <c r="K656" s="5" t="n">
        <v>90000</v>
      </c>
      <c r="L656" s="5" t="n">
        <v>104000</v>
      </c>
      <c r="M656" s="6" t="n">
        <v>126000</v>
      </c>
      <c r="N656" s="5" t="n"/>
      <c r="O656" s="5">
        <f>IF(AND(ISNUMBER(N656),ISNUMBER(M656)),N656-M656,"")</f>
        <v/>
      </c>
      <c r="P656" s="7">
        <f>IF(AND(ISNUMBER(N656),ISNUMBER(M656),M656&gt;0),(N656-M656)/M656,"")</f>
        <v/>
      </c>
      <c r="Q656" s="3">
        <f>IF(P656="","",IF(P656&lt;-0.02,"🔴 Bán phá giá sàn",IF(P656&gt;0.05,"🔵 Bán cao hơn","🟢 Đúng giá sàn TMĐT")))</f>
        <v/>
      </c>
      <c r="R656" s="3" t="n"/>
      <c r="S656" s="4" t="n"/>
      <c r="T656" s="4" t="n"/>
    </row>
    <row r="657">
      <c r="A657" s="3" t="n">
        <v>656</v>
      </c>
      <c r="B657" s="3" t="inlineStr">
        <is>
          <t>DL003</t>
        </is>
      </c>
      <c r="C657" s="4" t="inlineStr">
        <is>
          <t>CÔNG TY TNHH ĐỒ NGHỀ CẦM TAY PHƯƠNG MY</t>
        </is>
      </c>
      <c r="D657" s="3" t="inlineStr">
        <is>
          <t>HCM</t>
        </is>
      </c>
      <c r="E657" s="3" t="inlineStr">
        <is>
          <t>BẢO TRÂM</t>
        </is>
      </c>
      <c r="F657" s="3" t="inlineStr">
        <is>
          <t>Youtube</t>
        </is>
      </c>
      <c r="G657" s="4" t="inlineStr">
        <is>
          <t>SHOPEE: TIKTOK: LAZADA: WEBSITE BÁN HÀNG: YOUTUBE : https://www.youtube.com/@nguyenchiam2706</t>
        </is>
      </c>
      <c r="H657" s="3" t="inlineStr">
        <is>
          <t>KYZ50</t>
        </is>
      </c>
      <c r="I657" s="4" t="inlineStr">
        <is>
          <t>Ổ khóa KYZ50</t>
        </is>
      </c>
      <c r="J657" s="3" t="inlineStr">
        <is>
          <t>Cái</t>
        </is>
      </c>
      <c r="K657" s="5" t="n">
        <v>152000</v>
      </c>
      <c r="L657" s="5" t="n">
        <v>176000</v>
      </c>
      <c r="M657" s="6" t="n">
        <v>213000</v>
      </c>
      <c r="N657" s="5" t="n"/>
      <c r="O657" s="5">
        <f>IF(AND(ISNUMBER(N657),ISNUMBER(M657)),N657-M657,"")</f>
        <v/>
      </c>
      <c r="P657" s="7">
        <f>IF(AND(ISNUMBER(N657),ISNUMBER(M657),M657&gt;0),(N657-M657)/M657,"")</f>
        <v/>
      </c>
      <c r="Q657" s="3">
        <f>IF(P657="","",IF(P657&lt;-0.02,"🔴 Bán phá giá sàn",IF(P657&gt;0.05,"🔵 Bán cao hơn","🟢 Đúng giá sàn TMĐT")))</f>
        <v/>
      </c>
      <c r="R657" s="3" t="n"/>
      <c r="S657" s="4" t="n"/>
      <c r="T657" s="4" t="n"/>
    </row>
    <row r="658">
      <c r="A658" s="3" t="n">
        <v>657</v>
      </c>
      <c r="B658" s="3" t="inlineStr">
        <is>
          <t>DL003</t>
        </is>
      </c>
      <c r="C658" s="4" t="inlineStr">
        <is>
          <t>CÔNG TY TNHH ĐỒ NGHỀ CẦM TAY PHƯƠNG MY</t>
        </is>
      </c>
      <c r="D658" s="3" t="inlineStr">
        <is>
          <t>HCM</t>
        </is>
      </c>
      <c r="E658" s="3" t="inlineStr">
        <is>
          <t>BẢO TRÂM</t>
        </is>
      </c>
      <c r="F658" s="3" t="inlineStr">
        <is>
          <t>Youtube</t>
        </is>
      </c>
      <c r="G658" s="4" t="inlineStr">
        <is>
          <t>SHOPEE: TIKTOK: LAZADA: WEBSITE BÁN HÀNG: YOUTUBE : https://www.youtube.com/@nguyenchiam2706</t>
        </is>
      </c>
      <c r="H658" s="3" t="inlineStr">
        <is>
          <t>KYZ60</t>
        </is>
      </c>
      <c r="I658" s="4" t="inlineStr">
        <is>
          <t>Ổ khóa KYZ60</t>
        </is>
      </c>
      <c r="J658" s="3" t="inlineStr">
        <is>
          <t>Cái</t>
        </is>
      </c>
      <c r="K658" s="5" t="n">
        <v>209000</v>
      </c>
      <c r="L658" s="5" t="n">
        <v>243000</v>
      </c>
      <c r="M658" s="6" t="n">
        <v>293000</v>
      </c>
      <c r="N658" s="5" t="n"/>
      <c r="O658" s="5">
        <f>IF(AND(ISNUMBER(N658),ISNUMBER(M658)),N658-M658,"")</f>
        <v/>
      </c>
      <c r="P658" s="7">
        <f>IF(AND(ISNUMBER(N658),ISNUMBER(M658),M658&gt;0),(N658-M658)/M658,"")</f>
        <v/>
      </c>
      <c r="Q658" s="3">
        <f>IF(P658="","",IF(P658&lt;-0.02,"🔴 Bán phá giá sàn",IF(P658&gt;0.05,"🔵 Bán cao hơn","🟢 Đúng giá sàn TMĐT")))</f>
        <v/>
      </c>
      <c r="R658" s="3" t="n"/>
      <c r="S658" s="4" t="n"/>
      <c r="T658" s="4" t="n"/>
    </row>
    <row r="659">
      <c r="A659" s="3" t="n">
        <v>658</v>
      </c>
      <c r="B659" s="3" t="inlineStr">
        <is>
          <t>DL003</t>
        </is>
      </c>
      <c r="C659" s="4" t="inlineStr">
        <is>
          <t>CÔNG TY TNHH ĐỒ NGHỀ CẦM TAY PHƯƠNG MY</t>
        </is>
      </c>
      <c r="D659" s="3" t="inlineStr">
        <is>
          <t>HCM</t>
        </is>
      </c>
      <c r="E659" s="3" t="inlineStr">
        <is>
          <t>BẢO TRÂM</t>
        </is>
      </c>
      <c r="F659" s="3" t="inlineStr">
        <is>
          <t>Youtube</t>
        </is>
      </c>
      <c r="G659" s="4" t="inlineStr">
        <is>
          <t>SHOPEE: TIKTOK: LAZADA: WEBSITE BÁN HÀNG: YOUTUBE : https://www.youtube.com/@nguyenchiam2706</t>
        </is>
      </c>
      <c r="H659" s="3" t="inlineStr">
        <is>
          <t>MP6018</t>
        </is>
      </c>
      <c r="I659" s="4" t="inlineStr">
        <is>
          <t>Pin MP6018</t>
        </is>
      </c>
      <c r="J659" s="3" t="inlineStr">
        <is>
          <t>Cái</t>
        </is>
      </c>
      <c r="K659" s="5" t="n">
        <v>1045000</v>
      </c>
      <c r="L659" s="5" t="n">
        <v>1171000</v>
      </c>
      <c r="M659" s="6" t="n">
        <v>1359000</v>
      </c>
      <c r="N659" s="5" t="n"/>
      <c r="O659" s="5">
        <f>IF(AND(ISNUMBER(N659),ISNUMBER(M659)),N659-M659,"")</f>
        <v/>
      </c>
      <c r="P659" s="7">
        <f>IF(AND(ISNUMBER(N659),ISNUMBER(M659),M659&gt;0),(N659-M659)/M659,"")</f>
        <v/>
      </c>
      <c r="Q659" s="3">
        <f>IF(P659="","",IF(P659&lt;-0.02,"🔴 Bán phá giá sàn",IF(P659&gt;0.05,"🔵 Bán cao hơn","🟢 Đúng giá sàn TMĐT")))</f>
        <v/>
      </c>
      <c r="R659" s="3" t="n"/>
      <c r="S659" s="4" t="n"/>
      <c r="T659" s="4" t="n"/>
    </row>
    <row r="660">
      <c r="A660" s="3" t="n">
        <v>659</v>
      </c>
      <c r="B660" s="3" t="inlineStr">
        <is>
          <t>DL003</t>
        </is>
      </c>
      <c r="C660" s="4" t="inlineStr">
        <is>
          <t>CÔNG TY TNHH ĐỒ NGHỀ CẦM TAY PHƯƠNG MY</t>
        </is>
      </c>
      <c r="D660" s="3" t="inlineStr">
        <is>
          <t>HCM</t>
        </is>
      </c>
      <c r="E660" s="3" t="inlineStr">
        <is>
          <t>BẢO TRÂM</t>
        </is>
      </c>
      <c r="F660" s="3" t="inlineStr">
        <is>
          <t>Youtube</t>
        </is>
      </c>
      <c r="G660" s="4" t="inlineStr">
        <is>
          <t>SHOPEE: TIKTOK: LAZADA: WEBSITE BÁN HÀNG: YOUTUBE : https://www.youtube.com/@nguyenchiam2706</t>
        </is>
      </c>
      <c r="H660" s="3" t="inlineStr">
        <is>
          <t>KM08AI</t>
        </is>
      </c>
      <c r="I660" s="4" t="inlineStr">
        <is>
          <t>Sạc nhanh KM08AI (18V - 21V)</t>
        </is>
      </c>
      <c r="J660" s="3" t="inlineStr">
        <is>
          <t>Cái</t>
        </is>
      </c>
      <c r="K660" s="5" t="n">
        <v>760000</v>
      </c>
      <c r="L660" s="5" t="n">
        <v>851000</v>
      </c>
      <c r="M660" s="6" t="n">
        <v>988000</v>
      </c>
      <c r="N660" s="5" t="n"/>
      <c r="O660" s="5">
        <f>IF(AND(ISNUMBER(N660),ISNUMBER(M660)),N660-M660,"")</f>
        <v/>
      </c>
      <c r="P660" s="7">
        <f>IF(AND(ISNUMBER(N660),ISNUMBER(M660),M660&gt;0),(N660-M660)/M660,"")</f>
        <v/>
      </c>
      <c r="Q660" s="3">
        <f>IF(P660="","",IF(P660&lt;-0.02,"🔴 Bán phá giá sàn",IF(P660&gt;0.05,"🔵 Bán cao hơn","🟢 Đúng giá sàn TMĐT")))</f>
        <v/>
      </c>
      <c r="R660" s="3" t="n"/>
      <c r="S660" s="4" t="n"/>
      <c r="T660" s="4" t="n"/>
    </row>
    <row r="661">
      <c r="A661" s="3" t="n">
        <v>660</v>
      </c>
      <c r="B661" s="3" t="inlineStr">
        <is>
          <t>DL003</t>
        </is>
      </c>
      <c r="C661" s="4" t="inlineStr">
        <is>
          <t>CÔNG TY TNHH ĐỒ NGHỀ CẦM TAY PHƯƠNG MY</t>
        </is>
      </c>
      <c r="D661" s="3" t="inlineStr">
        <is>
          <t>HCM</t>
        </is>
      </c>
      <c r="E661" s="3" t="inlineStr">
        <is>
          <t>BẢO TRÂM</t>
        </is>
      </c>
      <c r="F661" s="3" t="inlineStr">
        <is>
          <t>Youtube</t>
        </is>
      </c>
      <c r="G661" s="4" t="inlineStr">
        <is>
          <t>SHOPEE: TIKTOK: LAZADA: WEBSITE BÁN HÀNG: YOUTUBE : https://www.youtube.com/@nguyenchiam2706</t>
        </is>
      </c>
      <c r="H661" s="3" t="inlineStr">
        <is>
          <t>KB848G</t>
        </is>
      </c>
      <c r="I661" s="4" t="inlineStr">
        <is>
          <t>Siết tôn King Blue KB8*48G</t>
        </is>
      </c>
      <c r="J661" s="3" t="inlineStr">
        <is>
          <t>Cái</t>
        </is>
      </c>
      <c r="K661" s="5" t="n">
        <v>7500</v>
      </c>
      <c r="L661" s="5" t="n">
        <v>10000</v>
      </c>
      <c r="M661" s="6" t="n">
        <v>13000</v>
      </c>
      <c r="N661" s="5" t="n"/>
      <c r="O661" s="5">
        <f>IF(AND(ISNUMBER(N661),ISNUMBER(M661)),N661-M661,"")</f>
        <v/>
      </c>
      <c r="P661" s="7">
        <f>IF(AND(ISNUMBER(N661),ISNUMBER(M661),M661&gt;0),(N661-M661)/M661,"")</f>
        <v/>
      </c>
      <c r="Q661" s="3">
        <f>IF(P661="","",IF(P661&lt;-0.02,"🔴 Bán phá giá sàn",IF(P661&gt;0.05,"🔵 Bán cao hơn","🟢 Đúng giá sàn TMĐT")))</f>
        <v/>
      </c>
      <c r="R661" s="3" t="n"/>
      <c r="S661" s="4" t="n"/>
      <c r="T661" s="4" t="n"/>
    </row>
    <row r="662">
      <c r="A662" s="3" t="n">
        <v>661</v>
      </c>
      <c r="B662" s="3" t="inlineStr">
        <is>
          <t>DL003</t>
        </is>
      </c>
      <c r="C662" s="4" t="inlineStr">
        <is>
          <t>CÔNG TY TNHH ĐỒ NGHỀ CẦM TAY PHƯƠNG MY</t>
        </is>
      </c>
      <c r="D662" s="3" t="inlineStr">
        <is>
          <t>HCM</t>
        </is>
      </c>
      <c r="E662" s="3" t="inlineStr">
        <is>
          <t>BẢO TRÂM</t>
        </is>
      </c>
      <c r="F662" s="3" t="inlineStr">
        <is>
          <t>Youtube</t>
        </is>
      </c>
      <c r="G662" s="4" t="inlineStr">
        <is>
          <t>SHOPEE: TIKTOK: LAZADA: WEBSITE BÁN HÀNG: YOUTUBE : https://www.youtube.com/@nguyenchiam2706</t>
        </is>
      </c>
      <c r="H662" s="3" t="inlineStr">
        <is>
          <t>ST08x42V</t>
        </is>
      </c>
      <c r="I662" s="4" t="inlineStr">
        <is>
          <t>Siết tôn King Blue ST08x42V</t>
        </is>
      </c>
      <c r="J662" s="3" t="inlineStr">
        <is>
          <t>Vỉ</t>
        </is>
      </c>
      <c r="K662" s="5" t="n">
        <v>22000</v>
      </c>
      <c r="L662" s="5" t="n">
        <v>28000</v>
      </c>
      <c r="M662" s="6" t="n">
        <v>36000</v>
      </c>
      <c r="N662" s="5" t="n"/>
      <c r="O662" s="5">
        <f>IF(AND(ISNUMBER(N662),ISNUMBER(M662)),N662-M662,"")</f>
        <v/>
      </c>
      <c r="P662" s="7">
        <f>IF(AND(ISNUMBER(N662),ISNUMBER(M662),M662&gt;0),(N662-M662)/M662,"")</f>
        <v/>
      </c>
      <c r="Q662" s="3">
        <f>IF(P662="","",IF(P662&lt;-0.02,"🔴 Bán phá giá sàn",IF(P662&gt;0.05,"🔵 Bán cao hơn","🟢 Đúng giá sàn TMĐT")))</f>
        <v/>
      </c>
      <c r="R662" s="3" t="n"/>
      <c r="S662" s="4" t="n"/>
      <c r="T662" s="4" t="n"/>
    </row>
    <row r="663">
      <c r="A663" s="3" t="n">
        <v>662</v>
      </c>
      <c r="B663" s="3" t="inlineStr">
        <is>
          <t>DL003</t>
        </is>
      </c>
      <c r="C663" s="4" t="inlineStr">
        <is>
          <t>CÔNG TY TNHH ĐỒ NGHỀ CẦM TAY PHƯƠNG MY</t>
        </is>
      </c>
      <c r="D663" s="3" t="inlineStr">
        <is>
          <t>HCM</t>
        </is>
      </c>
      <c r="E663" s="3" t="inlineStr">
        <is>
          <t>BẢO TRÂM</t>
        </is>
      </c>
      <c r="F663" s="3" t="inlineStr">
        <is>
          <t>Youtube</t>
        </is>
      </c>
      <c r="G663" s="4" t="inlineStr">
        <is>
          <t>SHOPEE: TIKTOK: LAZADA: WEBSITE BÁN HÀNG: YOUTUBE : https://www.youtube.com/@nguyenchiam2706</t>
        </is>
      </c>
      <c r="H663" s="3" t="inlineStr">
        <is>
          <t>KFF-73</t>
        </is>
      </c>
      <c r="I663" s="4" t="inlineStr">
        <is>
          <t>Súng bắn đinh bê tông KFF-73</t>
        </is>
      </c>
      <c r="J663" s="3" t="inlineStr">
        <is>
          <t>Cái</t>
        </is>
      </c>
      <c r="K663" s="5" t="n">
        <v>660000</v>
      </c>
      <c r="L663" s="5" t="n">
        <v>739000</v>
      </c>
      <c r="M663" s="6" t="n">
        <v>858000</v>
      </c>
      <c r="N663" s="5" t="n"/>
      <c r="O663" s="5">
        <f>IF(AND(ISNUMBER(N663),ISNUMBER(M663)),N663-M663,"")</f>
        <v/>
      </c>
      <c r="P663" s="7">
        <f>IF(AND(ISNUMBER(N663),ISNUMBER(M663),M663&gt;0),(N663-M663)/M663,"")</f>
        <v/>
      </c>
      <c r="Q663" s="3">
        <f>IF(P663="","",IF(P663&lt;-0.02,"🔴 Bán phá giá sàn",IF(P663&gt;0.05,"🔵 Bán cao hơn","🟢 Đúng giá sàn TMĐT")))</f>
        <v/>
      </c>
      <c r="R663" s="3" t="n"/>
      <c r="S663" s="4" t="n"/>
      <c r="T663" s="4" t="n"/>
    </row>
    <row r="664">
      <c r="A664" s="3" t="n">
        <v>663</v>
      </c>
      <c r="B664" s="3" t="inlineStr">
        <is>
          <t>DL003</t>
        </is>
      </c>
      <c r="C664" s="4" t="inlineStr">
        <is>
          <t>CÔNG TY TNHH ĐỒ NGHỀ CẦM TAY PHƯƠNG MY</t>
        </is>
      </c>
      <c r="D664" s="3" t="inlineStr">
        <is>
          <t>HCM</t>
        </is>
      </c>
      <c r="E664" s="3" t="inlineStr">
        <is>
          <t>BẢO TRÂM</t>
        </is>
      </c>
      <c r="F664" s="3" t="inlineStr">
        <is>
          <t>Youtube</t>
        </is>
      </c>
      <c r="G664" s="4" t="inlineStr">
        <is>
          <t>SHOPEE: TIKTOK: LAZADA: WEBSITE BÁN HÀNG: YOUTUBE : https://www.youtube.com/@nguyenchiam2706</t>
        </is>
      </c>
      <c r="H664" s="3" t="inlineStr">
        <is>
          <t>KF-101</t>
        </is>
      </c>
      <c r="I664" s="4" t="inlineStr">
        <is>
          <t>Súng bắn ghim KF-101</t>
        </is>
      </c>
      <c r="J664" s="3" t="inlineStr">
        <is>
          <t>Cái</t>
        </is>
      </c>
      <c r="K664" s="5" t="n">
        <v>127000</v>
      </c>
      <c r="L664" s="5" t="n">
        <v>150000</v>
      </c>
      <c r="M664" s="6" t="n">
        <v>184000</v>
      </c>
      <c r="N664" s="5" t="n"/>
      <c r="O664" s="5">
        <f>IF(AND(ISNUMBER(N664),ISNUMBER(M664)),N664-M664,"")</f>
        <v/>
      </c>
      <c r="P664" s="7">
        <f>IF(AND(ISNUMBER(N664),ISNUMBER(M664),M664&gt;0),(N664-M664)/M664,"")</f>
        <v/>
      </c>
      <c r="Q664" s="3">
        <f>IF(P664="","",IF(P664&lt;-0.02,"🔴 Bán phá giá sàn",IF(P664&gt;0.05,"🔵 Bán cao hơn","🟢 Đúng giá sàn TMĐT")))</f>
        <v/>
      </c>
      <c r="R664" s="3" t="n"/>
      <c r="S664" s="4" t="n"/>
      <c r="T664" s="4" t="n"/>
    </row>
    <row r="665">
      <c r="A665" s="3" t="n">
        <v>664</v>
      </c>
      <c r="B665" s="3" t="inlineStr">
        <is>
          <t>DL003</t>
        </is>
      </c>
      <c r="C665" s="4" t="inlineStr">
        <is>
          <t>CÔNG TY TNHH ĐỒ NGHỀ CẦM TAY PHƯƠNG MY</t>
        </is>
      </c>
      <c r="D665" s="3" t="inlineStr">
        <is>
          <t>HCM</t>
        </is>
      </c>
      <c r="E665" s="3" t="inlineStr">
        <is>
          <t>BẢO TRÂM</t>
        </is>
      </c>
      <c r="F665" s="3" t="inlineStr">
        <is>
          <t>Youtube</t>
        </is>
      </c>
      <c r="G665" s="4" t="inlineStr">
        <is>
          <t>SHOPEE: TIKTOK: LAZADA: WEBSITE BÁN HÀNG: YOUTUBE : https://www.youtube.com/@nguyenchiam2706</t>
        </is>
      </c>
      <c r="H665" s="3" t="inlineStr">
        <is>
          <t>KF-103</t>
        </is>
      </c>
      <c r="I665" s="4" t="inlineStr">
        <is>
          <t>Súng bắn ghim KF-103</t>
        </is>
      </c>
      <c r="J665" s="3" t="inlineStr">
        <is>
          <t>Cái</t>
        </is>
      </c>
      <c r="K665" s="5" t="n">
        <v>143000</v>
      </c>
      <c r="L665" s="5" t="n">
        <v>169000</v>
      </c>
      <c r="M665" s="6" t="n">
        <v>207000</v>
      </c>
      <c r="N665" s="5" t="n"/>
      <c r="O665" s="5">
        <f>IF(AND(ISNUMBER(N665),ISNUMBER(M665)),N665-M665,"")</f>
        <v/>
      </c>
      <c r="P665" s="7">
        <f>IF(AND(ISNUMBER(N665),ISNUMBER(M665),M665&gt;0),(N665-M665)/M665,"")</f>
        <v/>
      </c>
      <c r="Q665" s="3">
        <f>IF(P665="","",IF(P665&lt;-0.02,"🔴 Bán phá giá sàn",IF(P665&gt;0.05,"🔵 Bán cao hơn","🟢 Đúng giá sàn TMĐT")))</f>
        <v/>
      </c>
      <c r="R665" s="3" t="n"/>
      <c r="S665" s="4" t="n"/>
      <c r="T665" s="4" t="n"/>
    </row>
    <row r="666">
      <c r="A666" s="3" t="n">
        <v>665</v>
      </c>
      <c r="B666" s="3" t="inlineStr">
        <is>
          <t>DL003</t>
        </is>
      </c>
      <c r="C666" s="4" t="inlineStr">
        <is>
          <t>CÔNG TY TNHH ĐỒ NGHỀ CẦM TAY PHƯƠNG MY</t>
        </is>
      </c>
      <c r="D666" s="3" t="inlineStr">
        <is>
          <t>HCM</t>
        </is>
      </c>
      <c r="E666" s="3" t="inlineStr">
        <is>
          <t>BẢO TRÂM</t>
        </is>
      </c>
      <c r="F666" s="3" t="inlineStr">
        <is>
          <t>Youtube</t>
        </is>
      </c>
      <c r="G666" s="4" t="inlineStr">
        <is>
          <t>SHOPEE: TIKTOK: LAZADA: WEBSITE BÁN HÀNG: YOUTUBE : https://www.youtube.com/@nguyenchiam2706</t>
        </is>
      </c>
      <c r="H666" s="3" t="inlineStr">
        <is>
          <t>KBO-X0215</t>
        </is>
      </c>
      <c r="I666" s="4" t="inlineStr">
        <is>
          <t>Súng Xịt Hơi KBO-X0215</t>
        </is>
      </c>
      <c r="J666" s="3" t="inlineStr">
        <is>
          <t>Cái</t>
        </is>
      </c>
      <c r="K666" s="5" t="n">
        <v>97000</v>
      </c>
      <c r="L666" s="5" t="n">
        <v>115000</v>
      </c>
      <c r="M666" s="6" t="n">
        <v>141000</v>
      </c>
      <c r="N666" s="5" t="n"/>
      <c r="O666" s="5">
        <f>IF(AND(ISNUMBER(N666),ISNUMBER(M666)),N666-M666,"")</f>
        <v/>
      </c>
      <c r="P666" s="7">
        <f>IF(AND(ISNUMBER(N666),ISNUMBER(M666),M666&gt;0),(N666-M666)/M666,"")</f>
        <v/>
      </c>
      <c r="Q666" s="3">
        <f>IF(P666="","",IF(P666&lt;-0.02,"🔴 Bán phá giá sàn",IF(P666&gt;0.05,"🔵 Bán cao hơn","🟢 Đúng giá sàn TMĐT")))</f>
        <v/>
      </c>
      <c r="R666" s="3" t="n"/>
      <c r="S666" s="4" t="n"/>
      <c r="T666" s="4" t="n"/>
    </row>
    <row r="667">
      <c r="A667" s="3" t="n">
        <v>666</v>
      </c>
      <c r="B667" s="3" t="inlineStr">
        <is>
          <t>DL003</t>
        </is>
      </c>
      <c r="C667" s="4" t="inlineStr">
        <is>
          <t>CÔNG TY TNHH ĐỒ NGHỀ CẦM TAY PHƯƠNG MY</t>
        </is>
      </c>
      <c r="D667" s="3" t="inlineStr">
        <is>
          <t>HCM</t>
        </is>
      </c>
      <c r="E667" s="3" t="inlineStr">
        <is>
          <t>BẢO TRÂM</t>
        </is>
      </c>
      <c r="F667" s="3" t="inlineStr">
        <is>
          <t>Youtube</t>
        </is>
      </c>
      <c r="G667" s="4" t="inlineStr">
        <is>
          <t>SHOPEE: TIKTOK: LAZADA: WEBSITE BÁN HÀNG: YOUTUBE : https://www.youtube.com/@nguyenchiam2706</t>
        </is>
      </c>
      <c r="H667" s="3" t="inlineStr">
        <is>
          <t>KV1-6150</t>
        </is>
      </c>
      <c r="I667" s="4" t="inlineStr">
        <is>
          <t>Tuốc nơ vít 2 đầu KV1-6*150</t>
        </is>
      </c>
      <c r="J667" s="3" t="inlineStr">
        <is>
          <t>Cái</t>
        </is>
      </c>
      <c r="K667" s="5" t="n">
        <v>25000</v>
      </c>
      <c r="L667" s="5" t="n">
        <v>29000</v>
      </c>
      <c r="M667" s="6" t="n">
        <v>36000</v>
      </c>
      <c r="N667" s="5" t="n"/>
      <c r="O667" s="5">
        <f>IF(AND(ISNUMBER(N667),ISNUMBER(M667)),N667-M667,"")</f>
        <v/>
      </c>
      <c r="P667" s="7">
        <f>IF(AND(ISNUMBER(N667),ISNUMBER(M667),M667&gt;0),(N667-M667)/M667,"")</f>
        <v/>
      </c>
      <c r="Q667" s="3">
        <f>IF(P667="","",IF(P667&lt;-0.02,"🔴 Bán phá giá sàn",IF(P667&gt;0.05,"🔵 Bán cao hơn","🟢 Đúng giá sàn TMĐT")))</f>
        <v/>
      </c>
      <c r="R667" s="3" t="n"/>
      <c r="S667" s="4" t="n"/>
      <c r="T667" s="4" t="n"/>
    </row>
    <row r="668">
      <c r="A668" s="3" t="n">
        <v>667</v>
      </c>
      <c r="B668" s="3" t="inlineStr">
        <is>
          <t>DL003</t>
        </is>
      </c>
      <c r="C668" s="4" t="inlineStr">
        <is>
          <t>CÔNG TY TNHH ĐỒ NGHỀ CẦM TAY PHƯƠNG MY</t>
        </is>
      </c>
      <c r="D668" s="3" t="inlineStr">
        <is>
          <t>HCM</t>
        </is>
      </c>
      <c r="E668" s="3" t="inlineStr">
        <is>
          <t>BẢO TRÂM</t>
        </is>
      </c>
      <c r="F668" s="3" t="inlineStr">
        <is>
          <t>Youtube</t>
        </is>
      </c>
      <c r="G668" s="4" t="inlineStr">
        <is>
          <t>SHOPEE: TIKTOK: LAZADA: WEBSITE BÁN HÀNG: YOUTUBE : https://www.youtube.com/@nguyenchiam2706</t>
        </is>
      </c>
      <c r="H668" s="3" t="inlineStr">
        <is>
          <t>KV6+6150</t>
        </is>
      </c>
      <c r="I668" s="4" t="inlineStr">
        <is>
          <t>Tuốc nơ vít KV6+6*150</t>
        </is>
      </c>
      <c r="J668" s="3" t="inlineStr">
        <is>
          <t>Cái</t>
        </is>
      </c>
      <c r="K668" s="5" t="n">
        <v>29000</v>
      </c>
      <c r="L668" s="5" t="n">
        <v>34000</v>
      </c>
      <c r="M668" s="6" t="n">
        <v>42000</v>
      </c>
      <c r="N668" s="5" t="n"/>
      <c r="O668" s="5">
        <f>IF(AND(ISNUMBER(N668),ISNUMBER(M668)),N668-M668,"")</f>
        <v/>
      </c>
      <c r="P668" s="7">
        <f>IF(AND(ISNUMBER(N668),ISNUMBER(M668),M668&gt;0),(N668-M668)/M668,"")</f>
        <v/>
      </c>
      <c r="Q668" s="3">
        <f>IF(P668="","",IF(P668&lt;-0.02,"🔴 Bán phá giá sàn",IF(P668&gt;0.05,"🔵 Bán cao hơn","🟢 Đúng giá sàn TMĐT")))</f>
        <v/>
      </c>
      <c r="R668" s="3" t="n"/>
      <c r="S668" s="4" t="n"/>
      <c r="T668" s="4" t="n"/>
    </row>
    <row r="669">
      <c r="A669" s="3" t="n">
        <v>668</v>
      </c>
      <c r="B669" s="3" t="inlineStr">
        <is>
          <t>DL003</t>
        </is>
      </c>
      <c r="C669" s="4" t="inlineStr">
        <is>
          <t>CÔNG TY TNHH ĐỒ NGHỀ CẦM TAY PHƯƠNG MY</t>
        </is>
      </c>
      <c r="D669" s="3" t="inlineStr">
        <is>
          <t>HCM</t>
        </is>
      </c>
      <c r="E669" s="3" t="inlineStr">
        <is>
          <t>BẢO TRÂM</t>
        </is>
      </c>
      <c r="F669" s="3" t="inlineStr">
        <is>
          <t>Youtube</t>
        </is>
      </c>
      <c r="G669" s="4" t="inlineStr">
        <is>
          <t>SHOPEE: TIKTOK: LAZADA: WEBSITE BÁN HÀNG: YOUTUBE : https://www.youtube.com/@nguyenchiam2706</t>
        </is>
      </c>
      <c r="H669" s="3" t="inlineStr">
        <is>
          <t>KV6-6150</t>
        </is>
      </c>
      <c r="I669" s="4" t="inlineStr">
        <is>
          <t>Tuốc nơ vít KV6-6*150</t>
        </is>
      </c>
      <c r="J669" s="3" t="inlineStr">
        <is>
          <t>Cái</t>
        </is>
      </c>
      <c r="K669" s="5" t="n">
        <v>29000</v>
      </c>
      <c r="L669" s="5" t="n">
        <v>34000</v>
      </c>
      <c r="M669" s="6" t="n">
        <v>42000</v>
      </c>
      <c r="N669" s="5" t="n"/>
      <c r="O669" s="5">
        <f>IF(AND(ISNUMBER(N669),ISNUMBER(M669)),N669-M669,"")</f>
        <v/>
      </c>
      <c r="P669" s="7">
        <f>IF(AND(ISNUMBER(N669),ISNUMBER(M669),M669&gt;0),(N669-M669)/M669,"")</f>
        <v/>
      </c>
      <c r="Q669" s="3">
        <f>IF(P669="","",IF(P669&lt;-0.02,"🔴 Bán phá giá sàn",IF(P669&gt;0.05,"🔵 Bán cao hơn","🟢 Đúng giá sàn TMĐT")))</f>
        <v/>
      </c>
      <c r="R669" s="3" t="n"/>
      <c r="S669" s="4" t="n"/>
      <c r="T669" s="4" t="n"/>
    </row>
    <row r="670">
      <c r="A670" s="3" t="n">
        <v>669</v>
      </c>
      <c r="B670" s="3" t="inlineStr">
        <is>
          <t>DL003</t>
        </is>
      </c>
      <c r="C670" s="4" t="inlineStr">
        <is>
          <t>CÔNG TY TNHH ĐỒ NGHỀ CẦM TAY PHƯƠNG MY</t>
        </is>
      </c>
      <c r="D670" s="3" t="inlineStr">
        <is>
          <t>HCM</t>
        </is>
      </c>
      <c r="E670" s="3" t="inlineStr">
        <is>
          <t>BẢO TRÂM</t>
        </is>
      </c>
      <c r="F670" s="3" t="inlineStr">
        <is>
          <t>Youtube</t>
        </is>
      </c>
      <c r="G670" s="4" t="inlineStr">
        <is>
          <t>SHOPEE: TIKTOK: LAZADA: WEBSITE BÁN HÀNG: YOUTUBE : https://www.youtube.com/@nguyenchiam2706</t>
        </is>
      </c>
      <c r="H670" s="3" t="inlineStr">
        <is>
          <t>KV6-6200</t>
        </is>
      </c>
      <c r="I670" s="4" t="inlineStr">
        <is>
          <t>Tuốc nơ vít KV6-6*200</t>
        </is>
      </c>
      <c r="J670" s="3" t="inlineStr">
        <is>
          <t>Cái</t>
        </is>
      </c>
      <c r="K670" s="5" t="n">
        <v>40000</v>
      </c>
      <c r="L670" s="5" t="n">
        <v>47000</v>
      </c>
      <c r="M670" s="6" t="n">
        <v>58000</v>
      </c>
      <c r="N670" s="5" t="n"/>
      <c r="O670" s="5">
        <f>IF(AND(ISNUMBER(N670),ISNUMBER(M670)),N670-M670,"")</f>
        <v/>
      </c>
      <c r="P670" s="7">
        <f>IF(AND(ISNUMBER(N670),ISNUMBER(M670),M670&gt;0),(N670-M670)/M670,"")</f>
        <v/>
      </c>
      <c r="Q670" s="3">
        <f>IF(P670="","",IF(P670&lt;-0.02,"🔴 Bán phá giá sàn",IF(P670&gt;0.05,"🔵 Bán cao hơn","🟢 Đúng giá sàn TMĐT")))</f>
        <v/>
      </c>
      <c r="R670" s="3" t="n"/>
      <c r="S670" s="4" t="n"/>
      <c r="T670" s="4" t="n"/>
    </row>
    <row r="671">
      <c r="A671" s="3" t="n">
        <v>670</v>
      </c>
      <c r="B671" s="3" t="inlineStr">
        <is>
          <t>DL003</t>
        </is>
      </c>
      <c r="C671" s="4" t="inlineStr">
        <is>
          <t>CÔNG TY TNHH ĐỒ NGHỀ CẦM TAY PHƯƠNG MY</t>
        </is>
      </c>
      <c r="D671" s="3" t="inlineStr">
        <is>
          <t>HCM</t>
        </is>
      </c>
      <c r="E671" s="3" t="inlineStr">
        <is>
          <t>BẢO TRÂM</t>
        </is>
      </c>
      <c r="F671" s="3" t="inlineStr">
        <is>
          <t>Youtube</t>
        </is>
      </c>
      <c r="G671" s="4" t="inlineStr">
        <is>
          <t>SHOPEE: TIKTOK: LAZADA: WEBSITE BÁN HÀNG: YOUTUBE : https://www.youtube.com/@nguyenchiam2706</t>
        </is>
      </c>
      <c r="H671" s="3" t="inlineStr">
        <is>
          <t>KV4-638</t>
        </is>
      </c>
      <c r="I671" s="4" t="inlineStr">
        <is>
          <t>Tuốc nơ vít tự động 3 chức năng S2 KV4-6*38</t>
        </is>
      </c>
      <c r="J671" s="3" t="inlineStr">
        <is>
          <t>Cái</t>
        </is>
      </c>
      <c r="K671" s="5" t="n">
        <v>68000</v>
      </c>
      <c r="L671" s="5" t="n">
        <v>80000</v>
      </c>
      <c r="M671" s="6" t="n">
        <v>99000</v>
      </c>
      <c r="N671" s="5" t="n"/>
      <c r="O671" s="5">
        <f>IF(AND(ISNUMBER(N671),ISNUMBER(M671)),N671-M671,"")</f>
        <v/>
      </c>
      <c r="P671" s="7">
        <f>IF(AND(ISNUMBER(N671),ISNUMBER(M671),M671&gt;0),(N671-M671)/M671,"")</f>
        <v/>
      </c>
      <c r="Q671" s="3">
        <f>IF(P671="","",IF(P671&lt;-0.02,"🔴 Bán phá giá sàn",IF(P671&gt;0.05,"🔵 Bán cao hơn","🟢 Đúng giá sàn TMĐT")))</f>
        <v/>
      </c>
      <c r="R671" s="3" t="n"/>
      <c r="S671" s="4" t="n"/>
      <c r="T671" s="4" t="n"/>
    </row>
    <row r="672">
      <c r="A672" s="3" t="n">
        <v>671</v>
      </c>
      <c r="B672" s="3" t="inlineStr">
        <is>
          <t>DL003</t>
        </is>
      </c>
      <c r="C672" s="4" t="inlineStr">
        <is>
          <t>CÔNG TY TNHH ĐỒ NGHỀ CẦM TAY PHƯƠNG MY</t>
        </is>
      </c>
      <c r="D672" s="3" t="inlineStr">
        <is>
          <t>HCM</t>
        </is>
      </c>
      <c r="E672" s="3" t="inlineStr">
        <is>
          <t>BẢO TRÂM</t>
        </is>
      </c>
      <c r="F672" s="3" t="inlineStr">
        <is>
          <t>Youtube</t>
        </is>
      </c>
      <c r="G672" s="4" t="inlineStr">
        <is>
          <t>SHOPEE: TIKTOK: LAZADA: WEBSITE BÁN HÀNG: YOUTUBE : https://www.youtube.com/@nguyenchiam2706</t>
        </is>
      </c>
      <c r="H672" s="3" t="inlineStr">
        <is>
          <t>KHD4212</t>
        </is>
      </c>
      <c r="I672" s="4" t="inlineStr">
        <is>
          <t>Thùng đựng đồ nghề kèm phụ kiện KHD4212 NEW</t>
        </is>
      </c>
      <c r="J672" s="3" t="inlineStr">
        <is>
          <t>Cái</t>
        </is>
      </c>
      <c r="K672" s="5" t="n">
        <v>1996</v>
      </c>
      <c r="L672" s="5" t="n">
        <v>539000</v>
      </c>
      <c r="M672" s="6" t="n">
        <v>615000</v>
      </c>
      <c r="N672" s="5" t="n"/>
      <c r="O672" s="5">
        <f>IF(AND(ISNUMBER(N672),ISNUMBER(M672)),N672-M672,"")</f>
        <v/>
      </c>
      <c r="P672" s="7">
        <f>IF(AND(ISNUMBER(N672),ISNUMBER(M672),M672&gt;0),(N672-M672)/M672,"")</f>
        <v/>
      </c>
      <c r="Q672" s="3">
        <f>IF(P672="","",IF(P672&lt;-0.02,"🔴 Bán phá giá sàn",IF(P672&gt;0.05,"🔵 Bán cao hơn","🟢 Đúng giá sàn TMĐT")))</f>
        <v/>
      </c>
      <c r="R672" s="3" t="n"/>
      <c r="S672" s="4" t="n"/>
      <c r="T672" s="4" t="n"/>
    </row>
    <row r="673">
      <c r="A673" s="3" t="n">
        <v>672</v>
      </c>
      <c r="B673" s="3" t="inlineStr">
        <is>
          <t>DL003</t>
        </is>
      </c>
      <c r="C673" s="4" t="inlineStr">
        <is>
          <t>CÔNG TY TNHH ĐỒ NGHỀ CẦM TAY PHƯƠNG MY</t>
        </is>
      </c>
      <c r="D673" s="3" t="inlineStr">
        <is>
          <t>HCM</t>
        </is>
      </c>
      <c r="E673" s="3" t="inlineStr">
        <is>
          <t>BẢO TRÂM</t>
        </is>
      </c>
      <c r="F673" s="3" t="inlineStr">
        <is>
          <t>Youtube</t>
        </is>
      </c>
      <c r="G673" s="4" t="inlineStr">
        <is>
          <t>SHOPEE: TIKTOK: LAZADA: WEBSITE BÁN HÀNG: YOUTUBE : https://www.youtube.com/@nguyenchiam2706</t>
        </is>
      </c>
      <c r="H673" s="3" t="inlineStr">
        <is>
          <t>KHD20</t>
        </is>
      </c>
      <c r="I673" s="4" t="inlineStr">
        <is>
          <t>Thùng đựng đồ nghề KHD20</t>
        </is>
      </c>
      <c r="J673" s="3" t="inlineStr">
        <is>
          <t>Cái</t>
        </is>
      </c>
      <c r="K673" s="5" t="n">
        <v>396000</v>
      </c>
      <c r="L673" s="5" t="n">
        <v>452000</v>
      </c>
      <c r="M673" s="6" t="n">
        <v>535000</v>
      </c>
      <c r="N673" s="5" t="n"/>
      <c r="O673" s="5">
        <f>IF(AND(ISNUMBER(N673),ISNUMBER(M673)),N673-M673,"")</f>
        <v/>
      </c>
      <c r="P673" s="7">
        <f>IF(AND(ISNUMBER(N673),ISNUMBER(M673),M673&gt;0),(N673-M673)/M673,"")</f>
        <v/>
      </c>
      <c r="Q673" s="3">
        <f>IF(P673="","",IF(P673&lt;-0.02,"🔴 Bán phá giá sàn",IF(P673&gt;0.05,"🔵 Bán cao hơn","🟢 Đúng giá sàn TMĐT")))</f>
        <v/>
      </c>
      <c r="R673" s="3" t="n"/>
      <c r="S673" s="4" t="n"/>
      <c r="T673" s="4" t="n"/>
    </row>
    <row r="674">
      <c r="A674" s="3" t="n">
        <v>673</v>
      </c>
      <c r="B674" s="3" t="inlineStr">
        <is>
          <t>DL003</t>
        </is>
      </c>
      <c r="C674" s="4" t="inlineStr">
        <is>
          <t>CÔNG TY TNHH ĐỒ NGHỀ CẦM TAY PHƯƠNG MY</t>
        </is>
      </c>
      <c r="D674" s="3" t="inlineStr">
        <is>
          <t>HCM</t>
        </is>
      </c>
      <c r="E674" s="3" t="inlineStr">
        <is>
          <t>BẢO TRÂM</t>
        </is>
      </c>
      <c r="F674" s="3" t="inlineStr">
        <is>
          <t>Youtube</t>
        </is>
      </c>
      <c r="G674" s="4" t="inlineStr">
        <is>
          <t>SHOPEE: TIKTOK: LAZADA: WEBSITE BÁN HÀNG: YOUTUBE : https://www.youtube.com/@nguyenchiam2706</t>
        </is>
      </c>
      <c r="H674" s="3" t="inlineStr">
        <is>
          <t>KHD4216</t>
        </is>
      </c>
      <c r="I674" s="4" t="inlineStr">
        <is>
          <t>Thùng đựng đồ nghề KHD4216</t>
        </is>
      </c>
      <c r="J674" s="3" t="inlineStr">
        <is>
          <t>Cái</t>
        </is>
      </c>
      <c r="K674" s="5" t="n">
        <v>2065</v>
      </c>
      <c r="L674" s="5" t="n">
        <v>484000</v>
      </c>
      <c r="M674" s="6" t="n">
        <v>552000</v>
      </c>
      <c r="N674" s="5" t="n"/>
      <c r="O674" s="5">
        <f>IF(AND(ISNUMBER(N674),ISNUMBER(M674)),N674-M674,"")</f>
        <v/>
      </c>
      <c r="P674" s="7">
        <f>IF(AND(ISNUMBER(N674),ISNUMBER(M674),M674&gt;0),(N674-M674)/M674,"")</f>
        <v/>
      </c>
      <c r="Q674" s="3">
        <f>IF(P674="","",IF(P674&lt;-0.02,"🔴 Bán phá giá sàn",IF(P674&gt;0.05,"🔵 Bán cao hơn","🟢 Đúng giá sàn TMĐT")))</f>
        <v/>
      </c>
      <c r="R674" s="3" t="n"/>
      <c r="S674" s="4" t="n"/>
      <c r="T674" s="4" t="n"/>
    </row>
    <row r="675">
      <c r="A675" s="3" t="n">
        <v>674</v>
      </c>
      <c r="B675" s="3" t="inlineStr">
        <is>
          <t>DL003</t>
        </is>
      </c>
      <c r="C675" s="4" t="inlineStr">
        <is>
          <t>CÔNG TY TNHH ĐỒ NGHỀ CẦM TAY PHƯƠNG MY</t>
        </is>
      </c>
      <c r="D675" s="3" t="inlineStr">
        <is>
          <t>HCM</t>
        </is>
      </c>
      <c r="E675" s="3" t="inlineStr">
        <is>
          <t>BẢO TRÂM</t>
        </is>
      </c>
      <c r="F675" s="3" t="inlineStr">
        <is>
          <t>Youtube</t>
        </is>
      </c>
      <c r="G675" s="4" t="inlineStr">
        <is>
          <t>SHOPEE: TIKTOK: LAZADA: WEBSITE BÁN HÀNG: YOUTUBE : https://www.youtube.com/@nguyenchiam2706</t>
        </is>
      </c>
      <c r="H675" s="3" t="inlineStr">
        <is>
          <t>MD-50.25</t>
        </is>
      </c>
      <c r="I675" s="4" t="inlineStr">
        <is>
          <t>Thước Cuộn tự hãm MD-50.25</t>
        </is>
      </c>
      <c r="J675" s="3" t="inlineStr">
        <is>
          <t>Cái</t>
        </is>
      </c>
      <c r="K675" s="5" t="n">
        <v>64000</v>
      </c>
      <c r="L675" s="5" t="n">
        <v>76000</v>
      </c>
      <c r="M675" s="6" t="n">
        <v>93000</v>
      </c>
      <c r="N675" s="5" t="n"/>
      <c r="O675" s="5">
        <f>IF(AND(ISNUMBER(N675),ISNUMBER(M675)),N675-M675,"")</f>
        <v/>
      </c>
      <c r="P675" s="7">
        <f>IF(AND(ISNUMBER(N675),ISNUMBER(M675),M675&gt;0),(N675-M675)/M675,"")</f>
        <v/>
      </c>
      <c r="Q675" s="3">
        <f>IF(P675="","",IF(P675&lt;-0.02,"🔴 Bán phá giá sàn",IF(P675&gt;0.05,"🔵 Bán cao hơn","🟢 Đúng giá sàn TMĐT")))</f>
        <v/>
      </c>
      <c r="R675" s="3" t="n"/>
      <c r="S675" s="4" t="n"/>
      <c r="T675" s="4" t="n"/>
    </row>
    <row r="676">
      <c r="A676" s="3" t="n">
        <v>675</v>
      </c>
      <c r="B676" s="3" t="inlineStr">
        <is>
          <t>DL003</t>
        </is>
      </c>
      <c r="C676" s="4" t="inlineStr">
        <is>
          <t>CÔNG TY TNHH ĐỒ NGHỀ CẦM TAY PHƯƠNG MY</t>
        </is>
      </c>
      <c r="D676" s="3" t="inlineStr">
        <is>
          <t>HCM</t>
        </is>
      </c>
      <c r="E676" s="3" t="inlineStr">
        <is>
          <t>BẢO TRÂM</t>
        </is>
      </c>
      <c r="F676" s="3" t="inlineStr">
        <is>
          <t>Youtube</t>
        </is>
      </c>
      <c r="G676" s="4" t="inlineStr">
        <is>
          <t>SHOPEE: TIKTOK: LAZADA: WEBSITE BÁN HÀNG: YOUTUBE : https://www.youtube.com/@nguyenchiam2706</t>
        </is>
      </c>
      <c r="H676" s="3" t="inlineStr">
        <is>
          <t>MD-80.25</t>
        </is>
      </c>
      <c r="I676" s="4" t="inlineStr">
        <is>
          <t>Thước Cuộn tự hãm MD-80.25</t>
        </is>
      </c>
      <c r="J676" s="3" t="inlineStr">
        <is>
          <t>Cái</t>
        </is>
      </c>
      <c r="K676" s="5" t="n">
        <v>81000</v>
      </c>
      <c r="L676" s="5" t="n">
        <v>96000</v>
      </c>
      <c r="M676" s="6" t="n">
        <v>118000</v>
      </c>
      <c r="N676" s="5" t="n"/>
      <c r="O676" s="5">
        <f>IF(AND(ISNUMBER(N676),ISNUMBER(M676)),N676-M676,"")</f>
        <v/>
      </c>
      <c r="P676" s="7">
        <f>IF(AND(ISNUMBER(N676),ISNUMBER(M676),M676&gt;0),(N676-M676)/M676,"")</f>
        <v/>
      </c>
      <c r="Q676" s="3">
        <f>IF(P676="","",IF(P676&lt;-0.02,"🔴 Bán phá giá sàn",IF(P676&gt;0.05,"🔵 Bán cao hơn","🟢 Đúng giá sàn TMĐT")))</f>
        <v/>
      </c>
      <c r="R676" s="3" t="n"/>
      <c r="S676" s="4" t="n"/>
      <c r="T676" s="4" t="n"/>
    </row>
    <row r="677">
      <c r="A677" s="3" t="n">
        <v>676</v>
      </c>
      <c r="B677" s="3" t="inlineStr">
        <is>
          <t>DL003</t>
        </is>
      </c>
      <c r="C677" s="4" t="inlineStr">
        <is>
          <t>CÔNG TY TNHH ĐỒ NGHỀ CẦM TAY PHƯƠNG MY</t>
        </is>
      </c>
      <c r="D677" s="3" t="inlineStr">
        <is>
          <t>HCM</t>
        </is>
      </c>
      <c r="E677" s="3" t="inlineStr">
        <is>
          <t>BẢO TRÂM</t>
        </is>
      </c>
      <c r="F677" s="3" t="inlineStr">
        <is>
          <t>Youtube</t>
        </is>
      </c>
      <c r="G677" s="4" t="inlineStr">
        <is>
          <t>SHOPEE: TIKTOK: LAZADA: WEBSITE BÁN HÀNG: YOUTUBE : https://www.youtube.com/@nguyenchiam2706</t>
        </is>
      </c>
      <c r="H677" s="3" t="inlineStr">
        <is>
          <t>KTT-25A</t>
        </is>
      </c>
      <c r="I677" s="4" t="inlineStr">
        <is>
          <t>Thước thủy KTT-25A</t>
        </is>
      </c>
      <c r="J677" s="3" t="inlineStr">
        <is>
          <t>Cái</t>
        </is>
      </c>
      <c r="K677" s="5" t="n">
        <v>35000</v>
      </c>
      <c r="L677" s="5" t="n">
        <v>41000</v>
      </c>
      <c r="M677" s="6" t="n">
        <v>51000</v>
      </c>
      <c r="N677" s="5" t="n"/>
      <c r="O677" s="5">
        <f>IF(AND(ISNUMBER(N677),ISNUMBER(M677)),N677-M677,"")</f>
        <v/>
      </c>
      <c r="P677" s="7">
        <f>IF(AND(ISNUMBER(N677),ISNUMBER(M677),M677&gt;0),(N677-M677)/M677,"")</f>
        <v/>
      </c>
      <c r="Q677" s="3">
        <f>IF(P677="","",IF(P677&lt;-0.02,"🔴 Bán phá giá sàn",IF(P677&gt;0.05,"🔵 Bán cao hơn","🟢 Đúng giá sàn TMĐT")))</f>
        <v/>
      </c>
      <c r="R677" s="3" t="n"/>
      <c r="S677" s="4" t="n"/>
      <c r="T677" s="4" t="n"/>
    </row>
    <row r="678">
      <c r="A678" s="3" t="n">
        <v>677</v>
      </c>
      <c r="B678" s="3" t="inlineStr">
        <is>
          <t>DL003</t>
        </is>
      </c>
      <c r="C678" s="4" t="inlineStr">
        <is>
          <t>CÔNG TY TNHH ĐỒ NGHỀ CẦM TAY PHƯƠNG MY</t>
        </is>
      </c>
      <c r="D678" s="3" t="inlineStr">
        <is>
          <t>HCM</t>
        </is>
      </c>
      <c r="E678" s="3" t="inlineStr">
        <is>
          <t>BẢO TRÂM</t>
        </is>
      </c>
      <c r="F678" s="3" t="inlineStr">
        <is>
          <t>Youtube</t>
        </is>
      </c>
      <c r="G678" s="4" t="inlineStr">
        <is>
          <t>SHOPEE: TIKTOK: LAZADA: WEBSITE BÁN HÀNG: YOUTUBE : https://www.youtube.com/@nguyenchiam2706</t>
        </is>
      </c>
      <c r="H678" s="3" t="inlineStr">
        <is>
          <t>KFJ-432</t>
        </is>
      </c>
      <c r="I678" s="4" t="inlineStr">
        <is>
          <t>Vít bê tông không dùng tắc kê KFJ-432</t>
        </is>
      </c>
      <c r="J678" s="3" t="inlineStr">
        <is>
          <t>Hộp</t>
        </is>
      </c>
      <c r="K678" s="5" t="n">
        <v>81000</v>
      </c>
      <c r="L678" s="5" t="n">
        <v>101000</v>
      </c>
      <c r="M678" s="6" t="n">
        <v>130000</v>
      </c>
      <c r="N678" s="5" t="n"/>
      <c r="O678" s="5">
        <f>IF(AND(ISNUMBER(N678),ISNUMBER(M678)),N678-M678,"")</f>
        <v/>
      </c>
      <c r="P678" s="7">
        <f>IF(AND(ISNUMBER(N678),ISNUMBER(M678),M678&gt;0),(N678-M678)/M678,"")</f>
        <v/>
      </c>
      <c r="Q678" s="3">
        <f>IF(P678="","",IF(P678&lt;-0.02,"🔴 Bán phá giá sàn",IF(P678&gt;0.05,"🔵 Bán cao hơn","🟢 Đúng giá sàn TMĐT")))</f>
        <v/>
      </c>
      <c r="R678" s="3" t="n"/>
      <c r="S678" s="4" t="n"/>
      <c r="T678" s="4" t="n"/>
    </row>
    <row r="679">
      <c r="A679" s="3" t="n">
        <v>678</v>
      </c>
      <c r="B679" s="3" t="inlineStr">
        <is>
          <t>DL003</t>
        </is>
      </c>
      <c r="C679" s="4" t="inlineStr">
        <is>
          <t>CÔNG TY TNHH ĐỒ NGHỀ CẦM TAY PHƯƠNG MY</t>
        </is>
      </c>
      <c r="D679" s="3" t="inlineStr">
        <is>
          <t>HCM</t>
        </is>
      </c>
      <c r="E679" s="3" t="inlineStr">
        <is>
          <t>BẢO TRÂM</t>
        </is>
      </c>
      <c r="F679" s="3" t="inlineStr">
        <is>
          <t>Youtube</t>
        </is>
      </c>
      <c r="G679" s="4" t="inlineStr">
        <is>
          <t>SHOPEE: TIKTOK: LAZADA: WEBSITE BÁN HÀNG: YOUTUBE : https://www.youtube.com/@nguyenchiam2706</t>
        </is>
      </c>
      <c r="H679" s="3" t="inlineStr">
        <is>
          <t>KFJ-438</t>
        </is>
      </c>
      <c r="I679" s="4" t="inlineStr">
        <is>
          <t>Vít bê tông không dùng tắc kê KFJ-438</t>
        </is>
      </c>
      <c r="J679" s="3" t="inlineStr">
        <is>
          <t>Hộp</t>
        </is>
      </c>
      <c r="K679" s="5" t="n">
        <v>81000</v>
      </c>
      <c r="L679" s="5" t="n">
        <v>101000</v>
      </c>
      <c r="M679" s="6" t="n">
        <v>130000</v>
      </c>
      <c r="N679" s="5" t="n"/>
      <c r="O679" s="5">
        <f>IF(AND(ISNUMBER(N679),ISNUMBER(M679)),N679-M679,"")</f>
        <v/>
      </c>
      <c r="P679" s="7">
        <f>IF(AND(ISNUMBER(N679),ISNUMBER(M679),M679&gt;0),(N679-M679)/M679,"")</f>
        <v/>
      </c>
      <c r="Q679" s="3">
        <f>IF(P679="","",IF(P679&lt;-0.02,"🔴 Bán phá giá sàn",IF(P679&gt;0.05,"🔵 Bán cao hơn","🟢 Đúng giá sàn TMĐT")))</f>
        <v/>
      </c>
      <c r="R679" s="3" t="n"/>
      <c r="S679" s="4" t="n"/>
      <c r="T679" s="4" t="n"/>
    </row>
    <row r="680">
      <c r="A680" s="3" t="n">
        <v>679</v>
      </c>
      <c r="B680" s="3" t="inlineStr">
        <is>
          <t>DL003</t>
        </is>
      </c>
      <c r="C680" s="4" t="inlineStr">
        <is>
          <t>CÔNG TY TNHH ĐỒ NGHỀ CẦM TAY PHƯƠNG MY</t>
        </is>
      </c>
      <c r="D680" s="3" t="inlineStr">
        <is>
          <t>HCM</t>
        </is>
      </c>
      <c r="E680" s="3" t="inlineStr">
        <is>
          <t>BẢO TRÂM</t>
        </is>
      </c>
      <c r="F680" s="3" t="inlineStr">
        <is>
          <t>Youtube</t>
        </is>
      </c>
      <c r="G680" s="4" t="inlineStr">
        <is>
          <t>SHOPEE: TIKTOK: LAZADA: WEBSITE BÁN HÀNG: YOUTUBE : https://www.youtube.com/@nguyenchiam2706</t>
        </is>
      </c>
      <c r="H680" s="3" t="inlineStr">
        <is>
          <t>KFJ-445</t>
        </is>
      </c>
      <c r="I680" s="4" t="inlineStr">
        <is>
          <t>Vít bê tông không dùng tắc kê KFJ-445</t>
        </is>
      </c>
      <c r="J680" s="3" t="inlineStr">
        <is>
          <t>Hộp</t>
        </is>
      </c>
      <c r="K680" s="5" t="n">
        <v>81000</v>
      </c>
      <c r="L680" s="5" t="n">
        <v>101000</v>
      </c>
      <c r="M680" s="6" t="n">
        <v>130000</v>
      </c>
      <c r="N680" s="5" t="n"/>
      <c r="O680" s="5">
        <f>IF(AND(ISNUMBER(N680),ISNUMBER(M680)),N680-M680,"")</f>
        <v/>
      </c>
      <c r="P680" s="7">
        <f>IF(AND(ISNUMBER(N680),ISNUMBER(M680),M680&gt;0),(N680-M680)/M680,"")</f>
        <v/>
      </c>
      <c r="Q680" s="3">
        <f>IF(P680="","",IF(P680&lt;-0.02,"🔴 Bán phá giá sàn",IF(P680&gt;0.05,"🔵 Bán cao hơn","🟢 Đúng giá sàn TMĐT")))</f>
        <v/>
      </c>
      <c r="R680" s="3" t="n"/>
      <c r="S680" s="4" t="n"/>
      <c r="T680" s="4" t="n"/>
    </row>
    <row r="681">
      <c r="A681" s="3" t="n">
        <v>680</v>
      </c>
      <c r="B681" s="3" t="inlineStr">
        <is>
          <t>DL003</t>
        </is>
      </c>
      <c r="C681" s="4" t="inlineStr">
        <is>
          <t>CÔNG TY TNHH ĐỒ NGHỀ CẦM TAY PHƯƠNG MY</t>
        </is>
      </c>
      <c r="D681" s="3" t="inlineStr">
        <is>
          <t>HCM</t>
        </is>
      </c>
      <c r="E681" s="3" t="inlineStr">
        <is>
          <t>BẢO TRÂM</t>
        </is>
      </c>
      <c r="F681" s="3" t="inlineStr">
        <is>
          <t>Youtube</t>
        </is>
      </c>
      <c r="G681" s="4" t="inlineStr">
        <is>
          <t>SHOPEE: TIKTOK: LAZADA: WEBSITE BÁN HÀNG: YOUTUBE : https://www.youtube.com/@nguyenchiam2706</t>
        </is>
      </c>
      <c r="H681" s="3" t="inlineStr">
        <is>
          <t>KFJ-535</t>
        </is>
      </c>
      <c r="I681" s="4" t="inlineStr">
        <is>
          <t>Vít bê tông không dùng tắc kê KFJ-535</t>
        </is>
      </c>
      <c r="J681" s="3" t="inlineStr">
        <is>
          <t>Hộp</t>
        </is>
      </c>
      <c r="K681" s="5" t="n">
        <v>81000</v>
      </c>
      <c r="L681" s="5" t="n">
        <v>101000</v>
      </c>
      <c r="M681" s="6" t="n">
        <v>130000</v>
      </c>
      <c r="N681" s="5" t="n"/>
      <c r="O681" s="5">
        <f>IF(AND(ISNUMBER(N681),ISNUMBER(M681)),N681-M681,"")</f>
        <v/>
      </c>
      <c r="P681" s="7">
        <f>IF(AND(ISNUMBER(N681),ISNUMBER(M681),M681&gt;0),(N681-M681)/M681,"")</f>
        <v/>
      </c>
      <c r="Q681" s="3">
        <f>IF(P681="","",IF(P681&lt;-0.02,"🔴 Bán phá giá sàn",IF(P681&gt;0.05,"🔵 Bán cao hơn","🟢 Đúng giá sàn TMĐT")))</f>
        <v/>
      </c>
      <c r="R681" s="3" t="n"/>
      <c r="S681" s="4" t="n"/>
      <c r="T681" s="4" t="n"/>
    </row>
    <row r="682">
      <c r="A682" s="3" t="n">
        <v>681</v>
      </c>
      <c r="B682" s="3" t="inlineStr">
        <is>
          <t>DL003</t>
        </is>
      </c>
      <c r="C682" s="4" t="inlineStr">
        <is>
          <t>CÔNG TY TNHH ĐỒ NGHỀ CẦM TAY PHƯƠNG MY</t>
        </is>
      </c>
      <c r="D682" s="3" t="inlineStr">
        <is>
          <t>HCM</t>
        </is>
      </c>
      <c r="E682" s="3" t="inlineStr">
        <is>
          <t>BẢO TRÂM</t>
        </is>
      </c>
      <c r="F682" s="3" t="inlineStr">
        <is>
          <t>Youtube</t>
        </is>
      </c>
      <c r="G682" s="4" t="inlineStr">
        <is>
          <t>SHOPEE: TIKTOK: LAZADA: WEBSITE BÁN HÀNG: YOUTUBE : https://www.youtube.com/@nguyenchiam2706</t>
        </is>
      </c>
      <c r="H682" s="3" t="inlineStr">
        <is>
          <t>KFJ-545</t>
        </is>
      </c>
      <c r="I682" s="4" t="inlineStr">
        <is>
          <t>Vít bê tông không dùng tắc kê KFJ-545</t>
        </is>
      </c>
      <c r="J682" s="3" t="inlineStr">
        <is>
          <t>Hộp</t>
        </is>
      </c>
      <c r="K682" s="5" t="n">
        <v>81000</v>
      </c>
      <c r="L682" s="5" t="n">
        <v>101000</v>
      </c>
      <c r="M682" s="6" t="n">
        <v>130000</v>
      </c>
      <c r="N682" s="5" t="n"/>
      <c r="O682" s="5">
        <f>IF(AND(ISNUMBER(N682),ISNUMBER(M682)),N682-M682,"")</f>
        <v/>
      </c>
      <c r="P682" s="7">
        <f>IF(AND(ISNUMBER(N682),ISNUMBER(M682),M682&gt;0),(N682-M682)/M682,"")</f>
        <v/>
      </c>
      <c r="Q682" s="3">
        <f>IF(P682="","",IF(P682&lt;-0.02,"🔴 Bán phá giá sàn",IF(P682&gt;0.05,"🔵 Bán cao hơn","🟢 Đúng giá sàn TMĐT")))</f>
        <v/>
      </c>
      <c r="R682" s="3" t="n"/>
      <c r="S682" s="4" t="n"/>
      <c r="T682" s="4" t="n"/>
    </row>
    <row r="683">
      <c r="A683" s="3" t="n">
        <v>682</v>
      </c>
      <c r="B683" s="3" t="inlineStr">
        <is>
          <t>DL003</t>
        </is>
      </c>
      <c r="C683" s="4" t="inlineStr">
        <is>
          <t>CÔNG TY TNHH ĐỒ NGHỀ CẦM TAY PHƯƠNG MY</t>
        </is>
      </c>
      <c r="D683" s="3" t="inlineStr">
        <is>
          <t>HCM</t>
        </is>
      </c>
      <c r="E683" s="3" t="inlineStr">
        <is>
          <t>BẢO TRÂM</t>
        </is>
      </c>
      <c r="F683" s="3" t="inlineStr">
        <is>
          <t>Youtube</t>
        </is>
      </c>
      <c r="G683" s="4" t="inlineStr">
        <is>
          <t>SHOPEE: TIKTOK: LAZADA: WEBSITE BÁN HÀNG: YOUTUBE : https://www.youtube.com/@nguyenchiam2706</t>
        </is>
      </c>
      <c r="H683" s="3" t="inlineStr">
        <is>
          <t>KB4x100S</t>
        </is>
      </c>
      <c r="I683" s="4" t="inlineStr">
        <is>
          <t>Vít KingBlue KB4x100S</t>
        </is>
      </c>
      <c r="J683" s="3" t="inlineStr">
        <is>
          <t>Cái</t>
        </is>
      </c>
      <c r="K683" s="5" t="n">
        <v>15000</v>
      </c>
      <c r="L683" s="5" t="n">
        <v>19000</v>
      </c>
      <c r="M683" s="6" t="n">
        <v>25000</v>
      </c>
      <c r="N683" s="5" t="n"/>
      <c r="O683" s="5">
        <f>IF(AND(ISNUMBER(N683),ISNUMBER(M683)),N683-M683,"")</f>
        <v/>
      </c>
      <c r="P683" s="7">
        <f>IF(AND(ISNUMBER(N683),ISNUMBER(M683),M683&gt;0),(N683-M683)/M683,"")</f>
        <v/>
      </c>
      <c r="Q683" s="3">
        <f>IF(P683="","",IF(P683&lt;-0.02,"🔴 Bán phá giá sàn",IF(P683&gt;0.05,"🔵 Bán cao hơn","🟢 Đúng giá sàn TMĐT")))</f>
        <v/>
      </c>
      <c r="R683" s="3" t="n"/>
      <c r="S683" s="4" t="n"/>
      <c r="T683" s="4" t="n"/>
    </row>
    <row r="684">
      <c r="A684" s="3" t="n">
        <v>683</v>
      </c>
      <c r="B684" s="3" t="inlineStr">
        <is>
          <t>DL003</t>
        </is>
      </c>
      <c r="C684" s="4" t="inlineStr">
        <is>
          <t>CÔNG TY TNHH ĐỒ NGHỀ CẦM TAY PHƯƠNG MY</t>
        </is>
      </c>
      <c r="D684" s="3" t="inlineStr">
        <is>
          <t>HCM</t>
        </is>
      </c>
      <c r="E684" s="3" t="inlineStr">
        <is>
          <t>BẢO TRÂM</t>
        </is>
      </c>
      <c r="F684" s="3" t="inlineStr">
        <is>
          <t>Youtube</t>
        </is>
      </c>
      <c r="G684" s="4" t="inlineStr">
        <is>
          <t>SHOPEE: TIKTOK: LAZADA: WEBSITE BÁN HÀNG: YOUTUBE : https://www.youtube.com/@nguyenchiam2706</t>
        </is>
      </c>
      <c r="H684" s="3" t="inlineStr">
        <is>
          <t>KB4x65S</t>
        </is>
      </c>
      <c r="I684" s="4" t="inlineStr">
        <is>
          <t>Vít KingBlue KB4x65S</t>
        </is>
      </c>
      <c r="J684" s="3" t="inlineStr">
        <is>
          <t>Cái</t>
        </is>
      </c>
      <c r="K684" s="5" t="n">
        <v>11000</v>
      </c>
      <c r="L684" s="5" t="n">
        <v>14000</v>
      </c>
      <c r="M684" s="6" t="n">
        <v>18000</v>
      </c>
      <c r="N684" s="5" t="n"/>
      <c r="O684" s="5">
        <f>IF(AND(ISNUMBER(N684),ISNUMBER(M684)),N684-M684,"")</f>
        <v/>
      </c>
      <c r="P684" s="7">
        <f>IF(AND(ISNUMBER(N684),ISNUMBER(M684),M684&gt;0),(N684-M684)/M684,"")</f>
        <v/>
      </c>
      <c r="Q684" s="3">
        <f>IF(P684="","",IF(P684&lt;-0.02,"🔴 Bán phá giá sàn",IF(P684&gt;0.05,"🔵 Bán cao hơn","🟢 Đúng giá sàn TMĐT")))</f>
        <v/>
      </c>
      <c r="R684" s="3" t="n"/>
      <c r="S684" s="4" t="n"/>
      <c r="T684" s="4" t="n"/>
    </row>
    <row r="685">
      <c r="A685" s="3" t="n">
        <v>684</v>
      </c>
      <c r="B685" s="3" t="inlineStr">
        <is>
          <t>DL004</t>
        </is>
      </c>
      <c r="C685" s="4" t="inlineStr">
        <is>
          <t>HCM-BIGSHOP</t>
        </is>
      </c>
      <c r="D685" s="3" t="inlineStr">
        <is>
          <t>HCM</t>
        </is>
      </c>
      <c r="E685" s="3" t="inlineStr">
        <is>
          <t>XUÂN TRANG</t>
        </is>
      </c>
      <c r="F685" s="3" t="inlineStr">
        <is>
          <t>Website bán hàng</t>
        </is>
      </c>
      <c r="G685" s="4" t="inlineStr">
        <is>
          <t>SHOPEE: TIKTOK: LAZADA: WEBSITE BÁN HÀNG: https://bigshop.vn/</t>
        </is>
      </c>
      <c r="H685" s="3" t="inlineStr">
        <is>
          <t>CGS-2400</t>
        </is>
      </c>
      <c r="I685" s="4" t="inlineStr">
        <is>
          <t>Bàn cắt gạch cao cấp CGS-2400</t>
        </is>
      </c>
      <c r="J685" s="3" t="inlineStr">
        <is>
          <t>Cái</t>
        </is>
      </c>
      <c r="K685" s="5" t="n">
        <v>269000</v>
      </c>
      <c r="L685" s="5" t="n">
        <v>317000</v>
      </c>
      <c r="M685" s="6" t="n">
        <v>390000</v>
      </c>
      <c r="N685" s="5" t="n"/>
      <c r="O685" s="5">
        <f>IF(AND(ISNUMBER(N685),ISNUMBER(M685)),N685-M685,"")</f>
        <v/>
      </c>
      <c r="P685" s="7">
        <f>IF(AND(ISNUMBER(N685),ISNUMBER(M685),M685&gt;0),(N685-M685)/M685,"")</f>
        <v/>
      </c>
      <c r="Q685" s="3">
        <f>IF(P685="","",IF(P685&lt;-0.02,"🔴 Bán phá giá sàn",IF(P685&gt;0.05,"🔵 Bán cao hơn","🟢 Đúng giá sàn TMĐT")))</f>
        <v/>
      </c>
      <c r="R685" s="3" t="n"/>
      <c r="S685" s="4" t="n"/>
      <c r="T685" s="4" t="n"/>
    </row>
    <row r="686">
      <c r="A686" s="3" t="n">
        <v>685</v>
      </c>
      <c r="B686" s="3" t="inlineStr">
        <is>
          <t>DL004</t>
        </is>
      </c>
      <c r="C686" s="4" t="inlineStr">
        <is>
          <t>HCM-BIGSHOP</t>
        </is>
      </c>
      <c r="D686" s="3" t="inlineStr">
        <is>
          <t>HCM</t>
        </is>
      </c>
      <c r="E686" s="3" t="inlineStr">
        <is>
          <t>XUÂN TRANG</t>
        </is>
      </c>
      <c r="F686" s="3" t="inlineStr">
        <is>
          <t>Website bán hàng</t>
        </is>
      </c>
      <c r="G686" s="4" t="inlineStr">
        <is>
          <t>SHOPEE: TIKTOK: LAZADA: WEBSITE BÁN HÀNG: https://bigshop.vn/</t>
        </is>
      </c>
      <c r="H686" s="3" t="inlineStr">
        <is>
          <t>KH1-B10</t>
        </is>
      </c>
      <c r="I686" s="4" t="inlineStr">
        <is>
          <t>Bộ cờ lê KH1-B10</t>
        </is>
      </c>
      <c r="J686" s="3" t="inlineStr">
        <is>
          <t>Bộ</t>
        </is>
      </c>
      <c r="K686" s="5" t="n">
        <v>435000</v>
      </c>
      <c r="L686" s="5" t="n">
        <v>513000</v>
      </c>
      <c r="M686" s="6" t="n">
        <v>631000</v>
      </c>
      <c r="N686" s="5" t="n"/>
      <c r="O686" s="5">
        <f>IF(AND(ISNUMBER(N686),ISNUMBER(M686)),N686-M686,"")</f>
        <v/>
      </c>
      <c r="P686" s="7">
        <f>IF(AND(ISNUMBER(N686),ISNUMBER(M686),M686&gt;0),(N686-M686)/M686,"")</f>
        <v/>
      </c>
      <c r="Q686" s="3">
        <f>IF(P686="","",IF(P686&lt;-0.02,"🔴 Bán phá giá sàn",IF(P686&gt;0.05,"🔵 Bán cao hơn","🟢 Đúng giá sàn TMĐT")))</f>
        <v/>
      </c>
      <c r="R686" s="3" t="n"/>
      <c r="S686" s="4" t="n"/>
      <c r="T686" s="4" t="n"/>
    </row>
    <row r="687">
      <c r="A687" s="3" t="n">
        <v>686</v>
      </c>
      <c r="B687" s="3" t="inlineStr">
        <is>
          <t>DL004</t>
        </is>
      </c>
      <c r="C687" s="4" t="inlineStr">
        <is>
          <t>HCM-BIGSHOP</t>
        </is>
      </c>
      <c r="D687" s="3" t="inlineStr">
        <is>
          <t>HCM</t>
        </is>
      </c>
      <c r="E687" s="3" t="inlineStr">
        <is>
          <t>XUÂN TRANG</t>
        </is>
      </c>
      <c r="F687" s="3" t="inlineStr">
        <is>
          <t>Website bán hàng</t>
        </is>
      </c>
      <c r="G687" s="4" t="inlineStr">
        <is>
          <t>SHOPEE: TIKTOK: LAZADA: WEBSITE BÁN HÀNG: https://bigshop.vn/</t>
        </is>
      </c>
      <c r="H687" s="3" t="inlineStr">
        <is>
          <t>KB16VB2</t>
        </is>
      </c>
      <c r="I687" s="4" t="inlineStr">
        <is>
          <t>Bộ Máy Bắn Vít 16V KB16VB2</t>
        </is>
      </c>
      <c r="J687" s="3" t="inlineStr">
        <is>
          <t>Bộ</t>
        </is>
      </c>
      <c r="K687" s="5" t="n">
        <v>1870000</v>
      </c>
      <c r="L687" s="5" t="n">
        <v>2060000</v>
      </c>
      <c r="M687" s="6" t="n">
        <v>2340000</v>
      </c>
      <c r="N687" s="5" t="n"/>
      <c r="O687" s="5">
        <f>IF(AND(ISNUMBER(N687),ISNUMBER(M687)),N687-M687,"")</f>
        <v/>
      </c>
      <c r="P687" s="7">
        <f>IF(AND(ISNUMBER(N687),ISNUMBER(M687),M687&gt;0),(N687-M687)/M687,"")</f>
        <v/>
      </c>
      <c r="Q687" s="3">
        <f>IF(P687="","",IF(P687&lt;-0.02,"🔴 Bán phá giá sàn",IF(P687&gt;0.05,"🔵 Bán cao hơn","🟢 Đúng giá sàn TMĐT")))</f>
        <v/>
      </c>
      <c r="R687" s="3" t="n"/>
      <c r="S687" s="4" t="n"/>
      <c r="T687" s="4" t="n"/>
    </row>
    <row r="688">
      <c r="A688" s="3" t="n">
        <v>687</v>
      </c>
      <c r="B688" s="3" t="inlineStr">
        <is>
          <t>DL004</t>
        </is>
      </c>
      <c r="C688" s="4" t="inlineStr">
        <is>
          <t>HCM-BIGSHOP</t>
        </is>
      </c>
      <c r="D688" s="3" t="inlineStr">
        <is>
          <t>HCM</t>
        </is>
      </c>
      <c r="E688" s="3" t="inlineStr">
        <is>
          <t>XUÂN TRANG</t>
        </is>
      </c>
      <c r="F688" s="3" t="inlineStr">
        <is>
          <t>Website bán hàng</t>
        </is>
      </c>
      <c r="G688" s="4" t="inlineStr">
        <is>
          <t>SHOPEE: TIKTOK: LAZADA: WEBSITE BÁN HÀNG: https://bigshop.vn/</t>
        </is>
      </c>
      <c r="H688" s="3" t="inlineStr">
        <is>
          <t>KLJ015</t>
        </is>
      </c>
      <c r="I688" s="4" t="inlineStr">
        <is>
          <t>Bộ mũi khoan King Blue KLJ015</t>
        </is>
      </c>
      <c r="J688" s="3" t="inlineStr">
        <is>
          <t>Cái</t>
        </is>
      </c>
      <c r="K688" s="5" t="n">
        <v>269000</v>
      </c>
      <c r="L688" s="5" t="n">
        <v>317000</v>
      </c>
      <c r="M688" s="6" t="n">
        <v>390000</v>
      </c>
      <c r="N688" s="5" t="n"/>
      <c r="O688" s="5">
        <f>IF(AND(ISNUMBER(N688),ISNUMBER(M688)),N688-M688,"")</f>
        <v/>
      </c>
      <c r="P688" s="7">
        <f>IF(AND(ISNUMBER(N688),ISNUMBER(M688),M688&gt;0),(N688-M688)/M688,"")</f>
        <v/>
      </c>
      <c r="Q688" s="3">
        <f>IF(P688="","",IF(P688&lt;-0.02,"🔴 Bán phá giá sàn",IF(P688&gt;0.05,"🔵 Bán cao hơn","🟢 Đúng giá sàn TMĐT")))</f>
        <v/>
      </c>
      <c r="R688" s="3" t="n"/>
      <c r="S688" s="4" t="n"/>
      <c r="T688" s="4" t="n"/>
    </row>
    <row r="689">
      <c r="A689" s="3" t="n">
        <v>688</v>
      </c>
      <c r="B689" s="3" t="inlineStr">
        <is>
          <t>DL004</t>
        </is>
      </c>
      <c r="C689" s="4" t="inlineStr">
        <is>
          <t>HCM-BIGSHOP</t>
        </is>
      </c>
      <c r="D689" s="3" t="inlineStr">
        <is>
          <t>HCM</t>
        </is>
      </c>
      <c r="E689" s="3" t="inlineStr">
        <is>
          <t>XUÂN TRANG</t>
        </is>
      </c>
      <c r="F689" s="3" t="inlineStr">
        <is>
          <t>Website bán hàng</t>
        </is>
      </c>
      <c r="G689" s="4" t="inlineStr">
        <is>
          <t>SHOPEE: TIKTOK: LAZADA: WEBSITE BÁN HÀNG: https://bigshop.vn/</t>
        </is>
      </c>
      <c r="H689" s="3" t="inlineStr">
        <is>
          <t>KHF015</t>
        </is>
      </c>
      <c r="I689" s="4" t="inlineStr">
        <is>
          <t>Bộ mũi khoan King Blue KHF015</t>
        </is>
      </c>
      <c r="J689" s="3" t="inlineStr">
        <is>
          <t>Cái</t>
        </is>
      </c>
      <c r="K689" s="5" t="n">
        <v>269000</v>
      </c>
      <c r="L689" s="5" t="n">
        <v>317000</v>
      </c>
      <c r="M689" s="6" t="n">
        <v>390000</v>
      </c>
      <c r="N689" s="5" t="n"/>
      <c r="O689" s="5">
        <f>IF(AND(ISNUMBER(N689),ISNUMBER(M689)),N689-M689,"")</f>
        <v/>
      </c>
      <c r="P689" s="7">
        <f>IF(AND(ISNUMBER(N689),ISNUMBER(M689),M689&gt;0),(N689-M689)/M689,"")</f>
        <v/>
      </c>
      <c r="Q689" s="3">
        <f>IF(P689="","",IF(P689&lt;-0.02,"🔴 Bán phá giá sàn",IF(P689&gt;0.05,"🔵 Bán cao hơn","🟢 Đúng giá sàn TMĐT")))</f>
        <v/>
      </c>
      <c r="R689" s="3" t="n"/>
      <c r="S689" s="4" t="n"/>
      <c r="T689" s="4" t="n"/>
    </row>
    <row r="690">
      <c r="A690" s="3" t="n">
        <v>689</v>
      </c>
      <c r="B690" s="3" t="inlineStr">
        <is>
          <t>DL004</t>
        </is>
      </c>
      <c r="C690" s="4" t="inlineStr">
        <is>
          <t>HCM-BIGSHOP</t>
        </is>
      </c>
      <c r="D690" s="3" t="inlineStr">
        <is>
          <t>HCM</t>
        </is>
      </c>
      <c r="E690" s="3" t="inlineStr">
        <is>
          <t>XUÂN TRANG</t>
        </is>
      </c>
      <c r="F690" s="3" t="inlineStr">
        <is>
          <t>Website bán hàng</t>
        </is>
      </c>
      <c r="G690" s="4" t="inlineStr">
        <is>
          <t>SHOPEE: TIKTOK: LAZADA: WEBSITE BÁN HÀNG: https://bigshop.vn/</t>
        </is>
      </c>
      <c r="H690" s="3" t="inlineStr">
        <is>
          <t>KB-E5701</t>
        </is>
      </c>
      <c r="I690" s="4" t="inlineStr">
        <is>
          <t>Bộ tua vít điện KingBlue KB-E5701</t>
        </is>
      </c>
      <c r="J690" s="3" t="inlineStr">
        <is>
          <t>Cái</t>
        </is>
      </c>
      <c r="K690" s="5" t="n">
        <v>968000</v>
      </c>
      <c r="L690" s="5" t="n">
        <v>1104000</v>
      </c>
      <c r="M690" s="6" t="n">
        <v>1307000</v>
      </c>
      <c r="N690" s="5" t="n"/>
      <c r="O690" s="5">
        <f>IF(AND(ISNUMBER(N690),ISNUMBER(M690)),N690-M690,"")</f>
        <v/>
      </c>
      <c r="P690" s="7">
        <f>IF(AND(ISNUMBER(N690),ISNUMBER(M690),M690&gt;0),(N690-M690)/M690,"")</f>
        <v/>
      </c>
      <c r="Q690" s="3">
        <f>IF(P690="","",IF(P690&lt;-0.02,"🔴 Bán phá giá sàn",IF(P690&gt;0.05,"🔵 Bán cao hơn","🟢 Đúng giá sàn TMĐT")))</f>
        <v/>
      </c>
      <c r="R690" s="3" t="n"/>
      <c r="S690" s="4" t="n"/>
      <c r="T690" s="4" t="n"/>
    </row>
    <row r="691">
      <c r="A691" s="3" t="n">
        <v>690</v>
      </c>
      <c r="B691" s="3" t="inlineStr">
        <is>
          <t>DL004</t>
        </is>
      </c>
      <c r="C691" s="4" t="inlineStr">
        <is>
          <t>HCM-BIGSHOP</t>
        </is>
      </c>
      <c r="D691" s="3" t="inlineStr">
        <is>
          <t>HCM</t>
        </is>
      </c>
      <c r="E691" s="3" t="inlineStr">
        <is>
          <t>XUÂN TRANG</t>
        </is>
      </c>
      <c r="F691" s="3" t="inlineStr">
        <is>
          <t>Website bán hàng</t>
        </is>
      </c>
      <c r="G691" s="4" t="inlineStr">
        <is>
          <t>SHOPEE: TIKTOK: LAZADA: WEBSITE BÁN HÀNG: https://bigshop.vn/</t>
        </is>
      </c>
      <c r="H691" s="3" t="inlineStr">
        <is>
          <t>KV10-13</t>
        </is>
      </c>
      <c r="I691" s="4" t="inlineStr">
        <is>
          <t>Bộ tuvit đóng KV10-13</t>
        </is>
      </c>
      <c r="J691" s="3" t="inlineStr">
        <is>
          <t>Cái</t>
        </is>
      </c>
      <c r="K691" s="5" t="n">
        <v>269000</v>
      </c>
      <c r="L691" s="5" t="n">
        <v>317000</v>
      </c>
      <c r="M691" s="6" t="n">
        <v>390000</v>
      </c>
      <c r="N691" s="5" t="n"/>
      <c r="O691" s="5">
        <f>IF(AND(ISNUMBER(N691),ISNUMBER(M691)),N691-M691,"")</f>
        <v/>
      </c>
      <c r="P691" s="7">
        <f>IF(AND(ISNUMBER(N691),ISNUMBER(M691),M691&gt;0),(N691-M691)/M691,"")</f>
        <v/>
      </c>
      <c r="Q691" s="3">
        <f>IF(P691="","",IF(P691&lt;-0.02,"🔴 Bán phá giá sàn",IF(P691&gt;0.05,"🔵 Bán cao hơn","🟢 Đúng giá sàn TMĐT")))</f>
        <v/>
      </c>
      <c r="R691" s="3" t="n"/>
      <c r="S691" s="4" t="n"/>
      <c r="T691" s="4" t="n"/>
    </row>
    <row r="692">
      <c r="A692" s="3" t="n">
        <v>691</v>
      </c>
      <c r="B692" s="3" t="inlineStr">
        <is>
          <t>DL004</t>
        </is>
      </c>
      <c r="C692" s="4" t="inlineStr">
        <is>
          <t>HCM-BIGSHOP</t>
        </is>
      </c>
      <c r="D692" s="3" t="inlineStr">
        <is>
          <t>HCM</t>
        </is>
      </c>
      <c r="E692" s="3" t="inlineStr">
        <is>
          <t>XUÂN TRANG</t>
        </is>
      </c>
      <c r="F692" s="3" t="inlineStr">
        <is>
          <t>Website bán hàng</t>
        </is>
      </c>
      <c r="G692" s="4" t="inlineStr">
        <is>
          <t>SHOPEE: TIKTOK: LAZADA: WEBSITE BÁN HÀNG: https://bigshop.vn/</t>
        </is>
      </c>
      <c r="H692" s="3" t="inlineStr">
        <is>
          <t>KLG-12S</t>
        </is>
      </c>
      <c r="I692" s="4" t="inlineStr">
        <is>
          <t>Bộ tuýp cần tự động 12 chi tiết KLG-12S</t>
        </is>
      </c>
      <c r="J692" s="3" t="inlineStr">
        <is>
          <t>Cái</t>
        </is>
      </c>
      <c r="K692" s="5" t="n">
        <v>269000</v>
      </c>
      <c r="L692" s="5" t="n">
        <v>317000</v>
      </c>
      <c r="M692" s="6" t="n">
        <v>390000</v>
      </c>
      <c r="N692" s="5" t="n"/>
      <c r="O692" s="5">
        <f>IF(AND(ISNUMBER(N692),ISNUMBER(M692)),N692-M692,"")</f>
        <v/>
      </c>
      <c r="P692" s="7">
        <f>IF(AND(ISNUMBER(N692),ISNUMBER(M692),M692&gt;0),(N692-M692)/M692,"")</f>
        <v/>
      </c>
      <c r="Q692" s="3">
        <f>IF(P692="","",IF(P692&lt;-0.02,"🔴 Bán phá giá sàn",IF(P692&gt;0.05,"🔵 Bán cao hơn","🟢 Đúng giá sàn TMĐT")))</f>
        <v/>
      </c>
      <c r="R692" s="3" t="n"/>
      <c r="S692" s="4" t="n"/>
      <c r="T692" s="4" t="n"/>
    </row>
    <row r="693">
      <c r="A693" s="3" t="n">
        <v>692</v>
      </c>
      <c r="B693" s="3" t="inlineStr">
        <is>
          <t>DL004</t>
        </is>
      </c>
      <c r="C693" s="4" t="inlineStr">
        <is>
          <t>HCM-BIGSHOP</t>
        </is>
      </c>
      <c r="D693" s="3" t="inlineStr">
        <is>
          <t>HCM</t>
        </is>
      </c>
      <c r="E693" s="3" t="inlineStr">
        <is>
          <t>XUÂN TRANG</t>
        </is>
      </c>
      <c r="F693" s="3" t="inlineStr">
        <is>
          <t>Website bán hàng</t>
        </is>
      </c>
      <c r="G693" s="4" t="inlineStr">
        <is>
          <t>SHOPEE: TIKTOK: LAZADA: WEBSITE BÁN HÀNG: https://bigshop.vn/</t>
        </is>
      </c>
      <c r="H693" s="3" t="inlineStr">
        <is>
          <t>KLG-24</t>
        </is>
      </c>
      <c r="I693" s="4" t="inlineStr">
        <is>
          <t>Bộ tuýp cần tự động 24 chi tiết KLG-24</t>
        </is>
      </c>
      <c r="J693" s="3" t="inlineStr">
        <is>
          <t>Cái</t>
        </is>
      </c>
      <c r="K693" s="5" t="n">
        <v>269000</v>
      </c>
      <c r="L693" s="5" t="n">
        <v>317000</v>
      </c>
      <c r="M693" s="6" t="n">
        <v>390000</v>
      </c>
      <c r="N693" s="5" t="n"/>
      <c r="O693" s="5">
        <f>IF(AND(ISNUMBER(N693),ISNUMBER(M693)),N693-M693,"")</f>
        <v/>
      </c>
      <c r="P693" s="7">
        <f>IF(AND(ISNUMBER(N693),ISNUMBER(M693),M693&gt;0),(N693-M693)/M693,"")</f>
        <v/>
      </c>
      <c r="Q693" s="3">
        <f>IF(P693="","",IF(P693&lt;-0.02,"🔴 Bán phá giá sàn",IF(P693&gt;0.05,"🔵 Bán cao hơn","🟢 Đúng giá sàn TMĐT")))</f>
        <v/>
      </c>
      <c r="R693" s="3" t="n"/>
      <c r="S693" s="4" t="n"/>
      <c r="T693" s="4" t="n"/>
    </row>
    <row r="694">
      <c r="A694" s="3" t="n">
        <v>693</v>
      </c>
      <c r="B694" s="3" t="inlineStr">
        <is>
          <t>DL004</t>
        </is>
      </c>
      <c r="C694" s="4" t="inlineStr">
        <is>
          <t>HCM-BIGSHOP</t>
        </is>
      </c>
      <c r="D694" s="3" t="inlineStr">
        <is>
          <t>HCM</t>
        </is>
      </c>
      <c r="E694" s="3" t="inlineStr">
        <is>
          <t>XUÂN TRANG</t>
        </is>
      </c>
      <c r="F694" s="3" t="inlineStr">
        <is>
          <t>Website bán hàng</t>
        </is>
      </c>
      <c r="G694" s="4" t="inlineStr">
        <is>
          <t>SHOPEE: TIKTOK: LAZADA: WEBSITE BÁN HÀNG: https://bigshop.vn/</t>
        </is>
      </c>
      <c r="H694" s="3" t="inlineStr">
        <is>
          <t>KB-ST18</t>
        </is>
      </c>
      <c r="I694" s="4" t="inlineStr">
        <is>
          <t>Công cụ đóng đinh bán tự động KB-ST18</t>
        </is>
      </c>
      <c r="J694" s="3" t="inlineStr">
        <is>
          <t>Cái</t>
        </is>
      </c>
      <c r="K694" s="5" t="n">
        <v>242000</v>
      </c>
      <c r="L694" s="5" t="n">
        <v>286000</v>
      </c>
      <c r="M694" s="6" t="n">
        <v>351000</v>
      </c>
      <c r="N694" s="5" t="n"/>
      <c r="O694" s="5">
        <f>IF(AND(ISNUMBER(N694),ISNUMBER(M694)),N694-M694,"")</f>
        <v/>
      </c>
      <c r="P694" s="7">
        <f>IF(AND(ISNUMBER(N694),ISNUMBER(M694),M694&gt;0),(N694-M694)/M694,"")</f>
        <v/>
      </c>
      <c r="Q694" s="3">
        <f>IF(P694="","",IF(P694&lt;-0.02,"🔴 Bán phá giá sàn",IF(P694&gt;0.05,"🔵 Bán cao hơn","🟢 Đúng giá sàn TMĐT")))</f>
        <v/>
      </c>
      <c r="R694" s="3" t="n"/>
      <c r="S694" s="4" t="n"/>
      <c r="T694" s="4" t="n"/>
    </row>
    <row r="695">
      <c r="A695" s="3" t="n">
        <v>694</v>
      </c>
      <c r="B695" s="3" t="inlineStr">
        <is>
          <t>DL004</t>
        </is>
      </c>
      <c r="C695" s="4" t="inlineStr">
        <is>
          <t>HCM-BIGSHOP</t>
        </is>
      </c>
      <c r="D695" s="3" t="inlineStr">
        <is>
          <t>HCM</t>
        </is>
      </c>
      <c r="E695" s="3" t="inlineStr">
        <is>
          <t>XUÂN TRANG</t>
        </is>
      </c>
      <c r="F695" s="3" t="inlineStr">
        <is>
          <t>Website bán hàng</t>
        </is>
      </c>
      <c r="G695" s="4" t="inlineStr">
        <is>
          <t>SHOPEE: TIKTOK: LAZADA: WEBSITE BÁN HÀNG: https://bigshop.vn/</t>
        </is>
      </c>
      <c r="H695" s="3" t="inlineStr">
        <is>
          <t>KB-05X</t>
        </is>
      </c>
      <c r="I695" s="4" t="inlineStr">
        <is>
          <t>Chân máy laser KB-05X</t>
        </is>
      </c>
      <c r="J695" s="3" t="inlineStr">
        <is>
          <t>Cái</t>
        </is>
      </c>
      <c r="K695" s="5" t="n">
        <v>1350000</v>
      </c>
      <c r="L695" s="5" t="n">
        <v>1510000</v>
      </c>
      <c r="M695" s="6" t="n">
        <v>1760000</v>
      </c>
      <c r="N695" s="5" t="n"/>
      <c r="O695" s="5">
        <f>IF(AND(ISNUMBER(N695),ISNUMBER(M695)),N695-M695,"")</f>
        <v/>
      </c>
      <c r="P695" s="7">
        <f>IF(AND(ISNUMBER(N695),ISNUMBER(M695),M695&gt;0),(N695-M695)/M695,"")</f>
        <v/>
      </c>
      <c r="Q695" s="3">
        <f>IF(P695="","",IF(P695&lt;-0.02,"🔴 Bán phá giá sàn",IF(P695&gt;0.05,"🔵 Bán cao hơn","🟢 Đúng giá sàn TMĐT")))</f>
        <v/>
      </c>
      <c r="R695" s="3" t="n"/>
      <c r="S695" s="4" t="n"/>
      <c r="T695" s="4" t="n"/>
    </row>
    <row r="696">
      <c r="A696" s="3" t="n">
        <v>695</v>
      </c>
      <c r="B696" s="3" t="inlineStr">
        <is>
          <t>DL004</t>
        </is>
      </c>
      <c r="C696" s="4" t="inlineStr">
        <is>
          <t>HCM-BIGSHOP</t>
        </is>
      </c>
      <c r="D696" s="3" t="inlineStr">
        <is>
          <t>HCM</t>
        </is>
      </c>
      <c r="E696" s="3" t="inlineStr">
        <is>
          <t>XUÂN TRANG</t>
        </is>
      </c>
      <c r="F696" s="3" t="inlineStr">
        <is>
          <t>Website bán hàng</t>
        </is>
      </c>
      <c r="G696" s="4" t="inlineStr">
        <is>
          <t>SHOPEE: TIKTOK: LAZADA: WEBSITE BÁN HÀNG: https://bigshop.vn/</t>
        </is>
      </c>
      <c r="H696" s="3" t="inlineStr">
        <is>
          <t>SDST-M22</t>
        </is>
      </c>
      <c r="I696" s="4" t="inlineStr">
        <is>
          <t>Chuôi khoan rút lõi gài SDST-M22</t>
        </is>
      </c>
      <c r="J696" s="3" t="inlineStr">
        <is>
          <t>Cái</t>
        </is>
      </c>
      <c r="K696" s="5" t="n">
        <v>24000</v>
      </c>
      <c r="L696" s="5" t="n">
        <v>30000</v>
      </c>
      <c r="M696" s="6" t="n">
        <v>38000</v>
      </c>
      <c r="N696" s="5" t="n"/>
      <c r="O696" s="5">
        <f>IF(AND(ISNUMBER(N696),ISNUMBER(M696)),N696-M696,"")</f>
        <v/>
      </c>
      <c r="P696" s="7">
        <f>IF(AND(ISNUMBER(N696),ISNUMBER(M696),M696&gt;0),(N696-M696)/M696,"")</f>
        <v/>
      </c>
      <c r="Q696" s="3">
        <f>IF(P696="","",IF(P696&lt;-0.02,"🔴 Bán phá giá sàn",IF(P696&gt;0.05,"🔵 Bán cao hơn","🟢 Đúng giá sàn TMĐT")))</f>
        <v/>
      </c>
      <c r="R696" s="3" t="n"/>
      <c r="S696" s="4" t="n"/>
      <c r="T696" s="4" t="n"/>
    </row>
    <row r="697">
      <c r="A697" s="3" t="n">
        <v>696</v>
      </c>
      <c r="B697" s="3" t="inlineStr">
        <is>
          <t>DL004</t>
        </is>
      </c>
      <c r="C697" s="4" t="inlineStr">
        <is>
          <t>HCM-BIGSHOP</t>
        </is>
      </c>
      <c r="D697" s="3" t="inlineStr">
        <is>
          <t>HCM</t>
        </is>
      </c>
      <c r="E697" s="3" t="inlineStr">
        <is>
          <t>XUÂN TRANG</t>
        </is>
      </c>
      <c r="F697" s="3" t="inlineStr">
        <is>
          <t>Website bán hàng</t>
        </is>
      </c>
      <c r="G697" s="4" t="inlineStr">
        <is>
          <t>SHOPEE: TIKTOK: LAZADA: WEBSITE BÁN HÀNG: https://bigshop.vn/</t>
        </is>
      </c>
      <c r="H697" s="3" t="inlineStr">
        <is>
          <t>DLG-M22</t>
        </is>
      </c>
      <c r="I697" s="4" t="inlineStr">
        <is>
          <t>Chuôi khoan rút lõi lục giác DLG-M22</t>
        </is>
      </c>
      <c r="J697" s="3" t="inlineStr">
        <is>
          <t>Cái</t>
        </is>
      </c>
      <c r="K697" s="5" t="n">
        <v>24000</v>
      </c>
      <c r="L697" s="5" t="n">
        <v>30000</v>
      </c>
      <c r="M697" s="6" t="n">
        <v>38000</v>
      </c>
      <c r="N697" s="5" t="n"/>
      <c r="O697" s="5">
        <f>IF(AND(ISNUMBER(N697),ISNUMBER(M697)),N697-M697,"")</f>
        <v/>
      </c>
      <c r="P697" s="7">
        <f>IF(AND(ISNUMBER(N697),ISNUMBER(M697),M697&gt;0),(N697-M697)/M697,"")</f>
        <v/>
      </c>
      <c r="Q697" s="3">
        <f>IF(P697="","",IF(P697&lt;-0.02,"🔴 Bán phá giá sàn",IF(P697&gt;0.05,"🔵 Bán cao hơn","🟢 Đúng giá sàn TMĐT")))</f>
        <v/>
      </c>
      <c r="R697" s="3" t="n"/>
      <c r="S697" s="4" t="n"/>
      <c r="T697" s="4" t="n"/>
    </row>
    <row r="698">
      <c r="A698" s="3" t="n">
        <v>697</v>
      </c>
      <c r="B698" s="3" t="inlineStr">
        <is>
          <t>DL004</t>
        </is>
      </c>
      <c r="C698" s="4" t="inlineStr">
        <is>
          <t>HCM-BIGSHOP</t>
        </is>
      </c>
      <c r="D698" s="3" t="inlineStr">
        <is>
          <t>HCM</t>
        </is>
      </c>
      <c r="E698" s="3" t="inlineStr">
        <is>
          <t>XUÂN TRANG</t>
        </is>
      </c>
      <c r="F698" s="3" t="inlineStr">
        <is>
          <t>Website bán hàng</t>
        </is>
      </c>
      <c r="G698" s="4" t="inlineStr">
        <is>
          <t>SHOPEE: TIKTOK: LAZADA: WEBSITE BÁN HÀNG: https://bigshop.vn/</t>
        </is>
      </c>
      <c r="H698" s="3" t="inlineStr">
        <is>
          <t>K54M</t>
        </is>
      </c>
      <c r="I698" s="4" t="inlineStr">
        <is>
          <t>Dụng cụ khò gas mini K54M</t>
        </is>
      </c>
      <c r="J698" s="3" t="inlineStr">
        <is>
          <t>Cái</t>
        </is>
      </c>
      <c r="K698" s="5" t="n">
        <v>209000</v>
      </c>
      <c r="L698" s="5" t="n">
        <v>247000</v>
      </c>
      <c r="M698" s="6" t="n">
        <v>303000</v>
      </c>
      <c r="N698" s="5" t="n"/>
      <c r="O698" s="5">
        <f>IF(AND(ISNUMBER(N698),ISNUMBER(M698)),N698-M698,"")</f>
        <v/>
      </c>
      <c r="P698" s="7">
        <f>IF(AND(ISNUMBER(N698),ISNUMBER(M698),M698&gt;0),(N698-M698)/M698,"")</f>
        <v/>
      </c>
      <c r="Q698" s="3">
        <f>IF(P698="","",IF(P698&lt;-0.02,"🔴 Bán phá giá sàn",IF(P698&gt;0.05,"🔵 Bán cao hơn","🟢 Đúng giá sàn TMĐT")))</f>
        <v/>
      </c>
      <c r="R698" s="3" t="n"/>
      <c r="S698" s="4" t="n"/>
      <c r="T698" s="4" t="n"/>
    </row>
    <row r="699">
      <c r="A699" s="3" t="n">
        <v>698</v>
      </c>
      <c r="B699" s="3" t="inlineStr">
        <is>
          <t>DL004</t>
        </is>
      </c>
      <c r="C699" s="4" t="inlineStr">
        <is>
          <t>HCM-BIGSHOP</t>
        </is>
      </c>
      <c r="D699" s="3" t="inlineStr">
        <is>
          <t>HCM</t>
        </is>
      </c>
      <c r="E699" s="3" t="inlineStr">
        <is>
          <t>XUÂN TRANG</t>
        </is>
      </c>
      <c r="F699" s="3" t="inlineStr">
        <is>
          <t>Website bán hàng</t>
        </is>
      </c>
      <c r="G699" s="4" t="inlineStr">
        <is>
          <t>SHOPEE: TIKTOK: LAZADA: WEBSITE BÁN HÀNG: https://bigshop.vn/</t>
        </is>
      </c>
      <c r="H699" s="3" t="inlineStr">
        <is>
          <t>D1-107x1.2</t>
        </is>
      </c>
      <c r="I699" s="4" t="inlineStr">
        <is>
          <t>Đá cắt sắt, inox KingBlue D1-107x1.2 xanh (Hộp sắt)</t>
        </is>
      </c>
      <c r="J699" s="3" t="inlineStr">
        <is>
          <t>Cái</t>
        </is>
      </c>
      <c r="K699" s="5" t="n">
        <v>4000</v>
      </c>
      <c r="L699" s="5" t="n">
        <v>5000</v>
      </c>
      <c r="M699" s="6" t="n">
        <v>6500</v>
      </c>
      <c r="N699" s="5" t="n"/>
      <c r="O699" s="5">
        <f>IF(AND(ISNUMBER(N699),ISNUMBER(M699)),N699-M699,"")</f>
        <v/>
      </c>
      <c r="P699" s="7">
        <f>IF(AND(ISNUMBER(N699),ISNUMBER(M699),M699&gt;0),(N699-M699)/M699,"")</f>
        <v/>
      </c>
      <c r="Q699" s="3">
        <f>IF(P699="","",IF(P699&lt;-0.02,"🔴 Bán phá giá sàn",IF(P699&gt;0.05,"🔵 Bán cao hơn","🟢 Đúng giá sàn TMĐT")))</f>
        <v/>
      </c>
      <c r="R699" s="3" t="n"/>
      <c r="S699" s="4" t="n"/>
      <c r="T699" s="4" t="n"/>
    </row>
    <row r="700">
      <c r="A700" s="3" t="n">
        <v>699</v>
      </c>
      <c r="B700" s="3" t="inlineStr">
        <is>
          <t>DL004</t>
        </is>
      </c>
      <c r="C700" s="4" t="inlineStr">
        <is>
          <t>HCM-BIGSHOP</t>
        </is>
      </c>
      <c r="D700" s="3" t="inlineStr">
        <is>
          <t>HCM</t>
        </is>
      </c>
      <c r="E700" s="3" t="inlineStr">
        <is>
          <t>XUÂN TRANG</t>
        </is>
      </c>
      <c r="F700" s="3" t="inlineStr">
        <is>
          <t>Website bán hàng</t>
        </is>
      </c>
      <c r="G700" s="4" t="inlineStr">
        <is>
          <t>SHOPEE: TIKTOK: LAZADA: WEBSITE BÁN HÀNG: https://bigshop.vn/</t>
        </is>
      </c>
      <c r="H700" s="3" t="inlineStr">
        <is>
          <t>D3-180x2.0x22mm</t>
        </is>
      </c>
      <c r="I700" s="4" t="inlineStr">
        <is>
          <t>Đá cắt sắt, inox Kingblue D3-180x2.0x22mm</t>
        </is>
      </c>
      <c r="J700" s="3" t="inlineStr">
        <is>
          <t>Cái</t>
        </is>
      </c>
      <c r="K700" s="5" t="n">
        <v>269000</v>
      </c>
      <c r="L700" s="5" t="n">
        <v>317000</v>
      </c>
      <c r="M700" s="6" t="n">
        <v>390000</v>
      </c>
      <c r="N700" s="5" t="n"/>
      <c r="O700" s="5">
        <f>IF(AND(ISNUMBER(N700),ISNUMBER(M700)),N700-M700,"")</f>
        <v/>
      </c>
      <c r="P700" s="7">
        <f>IF(AND(ISNUMBER(N700),ISNUMBER(M700),M700&gt;0),(N700-M700)/M700,"")</f>
        <v/>
      </c>
      <c r="Q700" s="3">
        <f>IF(P700="","",IF(P700&lt;-0.02,"🔴 Bán phá giá sàn",IF(P700&gt;0.05,"🔵 Bán cao hơn","🟢 Đúng giá sàn TMĐT")))</f>
        <v/>
      </c>
      <c r="R700" s="3" t="n"/>
      <c r="S700" s="4" t="n"/>
      <c r="T700" s="4" t="n"/>
    </row>
    <row r="701">
      <c r="A701" s="3" t="n">
        <v>700</v>
      </c>
      <c r="B701" s="3" t="inlineStr">
        <is>
          <t>DL004</t>
        </is>
      </c>
      <c r="C701" s="4" t="inlineStr">
        <is>
          <t>HCM-BIGSHOP</t>
        </is>
      </c>
      <c r="D701" s="3" t="inlineStr">
        <is>
          <t>HCM</t>
        </is>
      </c>
      <c r="E701" s="3" t="inlineStr">
        <is>
          <t>XUÂN TRANG</t>
        </is>
      </c>
      <c r="F701" s="3" t="inlineStr">
        <is>
          <t>Website bán hàng</t>
        </is>
      </c>
      <c r="G701" s="4" t="inlineStr">
        <is>
          <t>SHOPEE: TIKTOK: LAZADA: WEBSITE BÁN HÀNG: https://bigshop.vn/</t>
        </is>
      </c>
      <c r="H701" s="3" t="inlineStr">
        <is>
          <t>K45M</t>
        </is>
      </c>
      <c r="I701" s="4" t="inlineStr">
        <is>
          <t>Đầu khò gas K45M</t>
        </is>
      </c>
      <c r="J701" s="3" t="inlineStr">
        <is>
          <t>Cái</t>
        </is>
      </c>
      <c r="K701" s="5" t="n">
        <v>269000</v>
      </c>
      <c r="L701" s="5" t="n">
        <v>317000</v>
      </c>
      <c r="M701" s="6" t="n">
        <v>390000</v>
      </c>
      <c r="N701" s="5" t="n"/>
      <c r="O701" s="5">
        <f>IF(AND(ISNUMBER(N701),ISNUMBER(M701)),N701-M701,"")</f>
        <v/>
      </c>
      <c r="P701" s="7">
        <f>IF(AND(ISNUMBER(N701),ISNUMBER(M701),M701&gt;0),(N701-M701)/M701,"")</f>
        <v/>
      </c>
      <c r="Q701" s="3">
        <f>IF(P701="","",IF(P701&lt;-0.02,"🔴 Bán phá giá sàn",IF(P701&gt;0.05,"🔵 Bán cao hơn","🟢 Đúng giá sàn TMĐT")))</f>
        <v/>
      </c>
      <c r="R701" s="3" t="n"/>
      <c r="S701" s="4" t="n"/>
      <c r="T701" s="4" t="n"/>
    </row>
    <row r="702">
      <c r="A702" s="3" t="n">
        <v>701</v>
      </c>
      <c r="B702" s="3" t="inlineStr">
        <is>
          <t>DL004</t>
        </is>
      </c>
      <c r="C702" s="4" t="inlineStr">
        <is>
          <t>HCM-BIGSHOP</t>
        </is>
      </c>
      <c r="D702" s="3" t="inlineStr">
        <is>
          <t>HCM</t>
        </is>
      </c>
      <c r="E702" s="3" t="inlineStr">
        <is>
          <t>XUÂN TRANG</t>
        </is>
      </c>
      <c r="F702" s="3" t="inlineStr">
        <is>
          <t>Website bán hàng</t>
        </is>
      </c>
      <c r="G702" s="4" t="inlineStr">
        <is>
          <t>SHOPEE: TIKTOK: LAZADA: WEBSITE BÁN HÀNG: https://bigshop.vn/</t>
        </is>
      </c>
      <c r="H702" s="3" t="inlineStr">
        <is>
          <t>LED750</t>
        </is>
      </c>
      <c r="I702" s="4" t="inlineStr">
        <is>
          <t>Đèn Led cài áo LED750</t>
        </is>
      </c>
      <c r="J702" s="3" t="inlineStr">
        <is>
          <t>Cái</t>
        </is>
      </c>
      <c r="K702" s="5" t="n">
        <v>269000</v>
      </c>
      <c r="L702" s="5" t="n">
        <v>317000</v>
      </c>
      <c r="M702" s="6" t="n">
        <v>390000</v>
      </c>
      <c r="N702" s="5" t="n"/>
      <c r="O702" s="5">
        <f>IF(AND(ISNUMBER(N702),ISNUMBER(M702)),N702-M702,"")</f>
        <v/>
      </c>
      <c r="P702" s="7">
        <f>IF(AND(ISNUMBER(N702),ISNUMBER(M702),M702&gt;0),(N702-M702)/M702,"")</f>
        <v/>
      </c>
      <c r="Q702" s="3">
        <f>IF(P702="","",IF(P702&lt;-0.02,"🔴 Bán phá giá sàn",IF(P702&gt;0.05,"🔵 Bán cao hơn","🟢 Đúng giá sàn TMĐT")))</f>
        <v/>
      </c>
      <c r="R702" s="3" t="n"/>
      <c r="S702" s="4" t="n"/>
      <c r="T702" s="4" t="n"/>
    </row>
    <row r="703">
      <c r="A703" s="3" t="n">
        <v>702</v>
      </c>
      <c r="B703" s="3" t="inlineStr">
        <is>
          <t>DL004</t>
        </is>
      </c>
      <c r="C703" s="4" t="inlineStr">
        <is>
          <t>HCM-BIGSHOP</t>
        </is>
      </c>
      <c r="D703" s="3" t="inlineStr">
        <is>
          <t>HCM</t>
        </is>
      </c>
      <c r="E703" s="3" t="inlineStr">
        <is>
          <t>XUÂN TRANG</t>
        </is>
      </c>
      <c r="F703" s="3" t="inlineStr">
        <is>
          <t>Website bán hàng</t>
        </is>
      </c>
      <c r="G703" s="4" t="inlineStr">
        <is>
          <t>SHOPEE: TIKTOK: LAZADA: WEBSITE BÁN HÀNG: https://bigshop.vn/</t>
        </is>
      </c>
      <c r="H703" s="3" t="inlineStr">
        <is>
          <t>LED600</t>
        </is>
      </c>
      <c r="I703" s="4" t="inlineStr">
        <is>
          <t>Đèn Led soi sửa chữa máy móc LED600</t>
        </is>
      </c>
      <c r="J703" s="3" t="inlineStr">
        <is>
          <t>Cái</t>
        </is>
      </c>
      <c r="K703" s="5" t="n">
        <v>650000</v>
      </c>
      <c r="L703" s="5" t="n">
        <v>741000</v>
      </c>
      <c r="M703" s="6" t="n">
        <v>878000</v>
      </c>
      <c r="N703" s="5" t="n"/>
      <c r="O703" s="5">
        <f>IF(AND(ISNUMBER(N703),ISNUMBER(M703)),N703-M703,"")</f>
        <v/>
      </c>
      <c r="P703" s="7">
        <f>IF(AND(ISNUMBER(N703),ISNUMBER(M703),M703&gt;0),(N703-M703)/M703,"")</f>
        <v/>
      </c>
      <c r="Q703" s="3">
        <f>IF(P703="","",IF(P703&lt;-0.02,"🔴 Bán phá giá sàn",IF(P703&gt;0.05,"🔵 Bán cao hơn","🟢 Đúng giá sàn TMĐT")))</f>
        <v/>
      </c>
      <c r="R703" s="3" t="n"/>
      <c r="S703" s="4" t="n"/>
      <c r="T703" s="4" t="n"/>
    </row>
    <row r="704">
      <c r="A704" s="3" t="n">
        <v>703</v>
      </c>
      <c r="B704" s="3" t="inlineStr">
        <is>
          <t>DL004</t>
        </is>
      </c>
      <c r="C704" s="4" t="inlineStr">
        <is>
          <t>HCM-BIGSHOP</t>
        </is>
      </c>
      <c r="D704" s="3" t="inlineStr">
        <is>
          <t>HCM</t>
        </is>
      </c>
      <c r="E704" s="3" t="inlineStr">
        <is>
          <t>XUÂN TRANG</t>
        </is>
      </c>
      <c r="F704" s="3" t="inlineStr">
        <is>
          <t>Website bán hàng</t>
        </is>
      </c>
      <c r="G704" s="4" t="inlineStr">
        <is>
          <t>SHOPEE: TIKTOK: LAZADA: WEBSITE BÁN HÀNG: https://bigshop.vn/</t>
        </is>
      </c>
      <c r="H704" s="3" t="inlineStr">
        <is>
          <t>LED1000</t>
        </is>
      </c>
      <c r="I704" s="4" t="inlineStr">
        <is>
          <t>Đèn Pin siêu sáng LED1000</t>
        </is>
      </c>
      <c r="J704" s="3" t="inlineStr">
        <is>
          <t>Cái</t>
        </is>
      </c>
      <c r="K704" s="5" t="n">
        <v>269000</v>
      </c>
      <c r="L704" s="5" t="n">
        <v>317000</v>
      </c>
      <c r="M704" s="6" t="n">
        <v>390000</v>
      </c>
      <c r="N704" s="5" t="n"/>
      <c r="O704" s="5">
        <f>IF(AND(ISNUMBER(N704),ISNUMBER(M704)),N704-M704,"")</f>
        <v/>
      </c>
      <c r="P704" s="7">
        <f>IF(AND(ISNUMBER(N704),ISNUMBER(M704),M704&gt;0),(N704-M704)/M704,"")</f>
        <v/>
      </c>
      <c r="Q704" s="3">
        <f>IF(P704="","",IF(P704&lt;-0.02,"🔴 Bán phá giá sàn",IF(P704&gt;0.05,"🔵 Bán cao hơn","🟢 Đúng giá sàn TMĐT")))</f>
        <v/>
      </c>
      <c r="R704" s="3" t="n"/>
      <c r="S704" s="4" t="n"/>
      <c r="T704" s="4" t="n"/>
    </row>
    <row r="705">
      <c r="A705" s="3" t="n">
        <v>704</v>
      </c>
      <c r="B705" s="3" t="inlineStr">
        <is>
          <t>DL004</t>
        </is>
      </c>
      <c r="C705" s="4" t="inlineStr">
        <is>
          <t>HCM-BIGSHOP</t>
        </is>
      </c>
      <c r="D705" s="3" t="inlineStr">
        <is>
          <t>HCM</t>
        </is>
      </c>
      <c r="E705" s="3" t="inlineStr">
        <is>
          <t>XUÂN TRANG</t>
        </is>
      </c>
      <c r="F705" s="3" t="inlineStr">
        <is>
          <t>Website bán hàng</t>
        </is>
      </c>
      <c r="G705" s="4" t="inlineStr">
        <is>
          <t>SHOPEE: TIKTOK: LAZADA: WEBSITE BÁN HÀNG: https://bigshop.vn/</t>
        </is>
      </c>
      <c r="H705" s="3" t="inlineStr">
        <is>
          <t>MINI20GKD</t>
        </is>
      </c>
      <c r="I705" s="4" t="inlineStr">
        <is>
          <t>Đinh MINI20GKD</t>
        </is>
      </c>
      <c r="J705" s="3" t="inlineStr">
        <is>
          <t>Cái</t>
        </is>
      </c>
      <c r="K705" s="5" t="n">
        <v>269000</v>
      </c>
      <c r="L705" s="5" t="n">
        <v>317000</v>
      </c>
      <c r="M705" s="6" t="n">
        <v>390000</v>
      </c>
      <c r="N705" s="5" t="n"/>
      <c r="O705" s="5">
        <f>IF(AND(ISNUMBER(N705),ISNUMBER(M705)),N705-M705,"")</f>
        <v/>
      </c>
      <c r="P705" s="7">
        <f>IF(AND(ISNUMBER(N705),ISNUMBER(M705),M705&gt;0),(N705-M705)/M705,"")</f>
        <v/>
      </c>
      <c r="Q705" s="3">
        <f>IF(P705="","",IF(P705&lt;-0.02,"🔴 Bán phá giá sàn",IF(P705&gt;0.05,"🔵 Bán cao hơn","🟢 Đúng giá sàn TMĐT")))</f>
        <v/>
      </c>
      <c r="R705" s="3" t="n"/>
      <c r="S705" s="4" t="n"/>
      <c r="T705" s="4" t="n"/>
    </row>
    <row r="706">
      <c r="A706" s="3" t="n">
        <v>705</v>
      </c>
      <c r="B706" s="3" t="inlineStr">
        <is>
          <t>DL004</t>
        </is>
      </c>
      <c r="C706" s="4" t="inlineStr">
        <is>
          <t>HCM-BIGSHOP</t>
        </is>
      </c>
      <c r="D706" s="3" t="inlineStr">
        <is>
          <t>HCM</t>
        </is>
      </c>
      <c r="E706" s="3" t="inlineStr">
        <is>
          <t>XUÂN TRANG</t>
        </is>
      </c>
      <c r="F706" s="3" t="inlineStr">
        <is>
          <t>Website bán hàng</t>
        </is>
      </c>
      <c r="G706" s="4" t="inlineStr">
        <is>
          <t>SHOPEE: TIKTOK: LAZADA: WEBSITE BÁN HÀNG: https://bigshop.vn/</t>
        </is>
      </c>
      <c r="H706" s="3" t="inlineStr"/>
      <c r="I706" s="4" t="inlineStr">
        <is>
          <t>Đinh MINIGJD</t>
        </is>
      </c>
      <c r="J706" s="3" t="inlineStr">
        <is>
          <t>Cái</t>
        </is>
      </c>
      <c r="K706" s="5" t="n">
        <v>269000</v>
      </c>
      <c r="L706" s="5" t="n">
        <v>317000</v>
      </c>
      <c r="M706" s="6" t="n">
        <v>390000</v>
      </c>
      <c r="N706" s="5" t="n"/>
      <c r="O706" s="5">
        <f>IF(AND(ISNUMBER(N706),ISNUMBER(M706)),N706-M706,"")</f>
        <v/>
      </c>
      <c r="P706" s="7">
        <f>IF(AND(ISNUMBER(N706),ISNUMBER(M706),M706&gt;0),(N706-M706)/M706,"")</f>
        <v/>
      </c>
      <c r="Q706" s="3">
        <f>IF(P706="","",IF(P706&lt;-0.02,"🔴 Bán phá giá sàn",IF(P706&gt;0.05,"🔵 Bán cao hơn","🟢 Đúng giá sàn TMĐT")))</f>
        <v/>
      </c>
      <c r="R706" s="3" t="n"/>
      <c r="S706" s="4" t="n"/>
      <c r="T706" s="4" t="n"/>
    </row>
    <row r="707">
      <c r="A707" s="3" t="n">
        <v>706</v>
      </c>
      <c r="B707" s="3" t="inlineStr">
        <is>
          <t>DL004</t>
        </is>
      </c>
      <c r="C707" s="4" t="inlineStr">
        <is>
          <t>HCM-BIGSHOP</t>
        </is>
      </c>
      <c r="D707" s="3" t="inlineStr">
        <is>
          <t>HCM</t>
        </is>
      </c>
      <c r="E707" s="3" t="inlineStr">
        <is>
          <t>XUÂN TRANG</t>
        </is>
      </c>
      <c r="F707" s="3" t="inlineStr">
        <is>
          <t>Website bán hàng</t>
        </is>
      </c>
      <c r="G707" s="4" t="inlineStr">
        <is>
          <t>SHOPEE: TIKTOK: LAZADA: WEBSITE BÁN HÀNG: https://bigshop.vn/</t>
        </is>
      </c>
      <c r="H707" s="3" t="inlineStr"/>
      <c r="I707" s="4" t="inlineStr">
        <is>
          <t>Đinh MINISFD</t>
        </is>
      </c>
      <c r="J707" s="3" t="inlineStr">
        <is>
          <t>Cái</t>
        </is>
      </c>
      <c r="K707" s="5" t="n">
        <v>269000</v>
      </c>
      <c r="L707" s="5" t="n">
        <v>317000</v>
      </c>
      <c r="M707" s="6" t="n">
        <v>390000</v>
      </c>
      <c r="N707" s="5" t="n"/>
      <c r="O707" s="5">
        <f>IF(AND(ISNUMBER(N707),ISNUMBER(M707)),N707-M707,"")</f>
        <v/>
      </c>
      <c r="P707" s="7">
        <f>IF(AND(ISNUMBER(N707),ISNUMBER(M707),M707&gt;0),(N707-M707)/M707,"")</f>
        <v/>
      </c>
      <c r="Q707" s="3">
        <f>IF(P707="","",IF(P707&lt;-0.02,"🔴 Bán phá giá sàn",IF(P707&gt;0.05,"🔵 Bán cao hơn","🟢 Đúng giá sàn TMĐT")))</f>
        <v/>
      </c>
      <c r="R707" s="3" t="n"/>
      <c r="S707" s="4" t="n"/>
      <c r="T707" s="4" t="n"/>
    </row>
    <row r="708">
      <c r="A708" s="3" t="n">
        <v>707</v>
      </c>
      <c r="B708" s="3" t="inlineStr">
        <is>
          <t>DL004</t>
        </is>
      </c>
      <c r="C708" s="4" t="inlineStr">
        <is>
          <t>HCM-BIGSHOP</t>
        </is>
      </c>
      <c r="D708" s="3" t="inlineStr">
        <is>
          <t>HCM</t>
        </is>
      </c>
      <c r="E708" s="3" t="inlineStr">
        <is>
          <t>XUÂN TRANG</t>
        </is>
      </c>
      <c r="F708" s="3" t="inlineStr">
        <is>
          <t>Website bán hàng</t>
        </is>
      </c>
      <c r="G708" s="4" t="inlineStr">
        <is>
          <t>SHOPEE: TIKTOK: LAZADA: WEBSITE BÁN HÀNG: https://bigshop.vn/</t>
        </is>
      </c>
      <c r="H708" s="3" t="inlineStr">
        <is>
          <t>KIG-600</t>
        </is>
      </c>
      <c r="I708" s="4" t="inlineStr">
        <is>
          <t>Đồng hồ kẹp dòng vạn năng KIG-600</t>
        </is>
      </c>
      <c r="J708" s="3" t="inlineStr">
        <is>
          <t>Cái</t>
        </is>
      </c>
      <c r="K708" s="5" t="n">
        <v>269000</v>
      </c>
      <c r="L708" s="5" t="n">
        <v>317000</v>
      </c>
      <c r="M708" s="6" t="n">
        <v>390000</v>
      </c>
      <c r="N708" s="5" t="n"/>
      <c r="O708" s="5">
        <f>IF(AND(ISNUMBER(N708),ISNUMBER(M708)),N708-M708,"")</f>
        <v/>
      </c>
      <c r="P708" s="7">
        <f>IF(AND(ISNUMBER(N708),ISNUMBER(M708),M708&gt;0),(N708-M708)/M708,"")</f>
        <v/>
      </c>
      <c r="Q708" s="3">
        <f>IF(P708="","",IF(P708&lt;-0.02,"🔴 Bán phá giá sàn",IF(P708&gt;0.05,"🔵 Bán cao hơn","🟢 Đúng giá sàn TMĐT")))</f>
        <v/>
      </c>
      <c r="R708" s="3" t="n"/>
      <c r="S708" s="4" t="n"/>
      <c r="T708" s="4" t="n"/>
    </row>
    <row r="709">
      <c r="A709" s="3" t="n">
        <v>708</v>
      </c>
      <c r="B709" s="3" t="inlineStr">
        <is>
          <t>DL004</t>
        </is>
      </c>
      <c r="C709" s="4" t="inlineStr">
        <is>
          <t>HCM-BIGSHOP</t>
        </is>
      </c>
      <c r="D709" s="3" t="inlineStr">
        <is>
          <t>HCM</t>
        </is>
      </c>
      <c r="E709" s="3" t="inlineStr">
        <is>
          <t>XUÂN TRANG</t>
        </is>
      </c>
      <c r="F709" s="3" t="inlineStr">
        <is>
          <t>Website bán hàng</t>
        </is>
      </c>
      <c r="G709" s="4" t="inlineStr">
        <is>
          <t>SHOPEE: TIKTOK: LAZADA: WEBSITE BÁN HÀNG: https://bigshop.vn/</t>
        </is>
      </c>
      <c r="H709" s="3" t="inlineStr">
        <is>
          <t>KIW-600</t>
        </is>
      </c>
      <c r="I709" s="4" t="inlineStr">
        <is>
          <t>Đồng hồ vạn năng điện tử KIW-600</t>
        </is>
      </c>
      <c r="J709" s="3" t="inlineStr">
        <is>
          <t>Cái</t>
        </is>
      </c>
      <c r="K709" s="5" t="n">
        <v>269000</v>
      </c>
      <c r="L709" s="5" t="n">
        <v>317000</v>
      </c>
      <c r="M709" s="6" t="n">
        <v>390000</v>
      </c>
      <c r="N709" s="5" t="n"/>
      <c r="O709" s="5">
        <f>IF(AND(ISNUMBER(N709),ISNUMBER(M709)),N709-M709,"")</f>
        <v/>
      </c>
      <c r="P709" s="7">
        <f>IF(AND(ISNUMBER(N709),ISNUMBER(M709),M709&gt;0),(N709-M709)/M709,"")</f>
        <v/>
      </c>
      <c r="Q709" s="3">
        <f>IF(P709="","",IF(P709&lt;-0.02,"🔴 Bán phá giá sàn",IF(P709&gt;0.05,"🔵 Bán cao hơn","🟢 Đúng giá sàn TMĐT")))</f>
        <v/>
      </c>
      <c r="R709" s="3" t="n"/>
      <c r="S709" s="4" t="n"/>
      <c r="T709" s="4" t="n"/>
    </row>
    <row r="710">
      <c r="A710" s="3" t="n">
        <v>709</v>
      </c>
      <c r="B710" s="3" t="inlineStr">
        <is>
          <t>DL004</t>
        </is>
      </c>
      <c r="C710" s="4" t="inlineStr">
        <is>
          <t>HCM-BIGSHOP</t>
        </is>
      </c>
      <c r="D710" s="3" t="inlineStr">
        <is>
          <t>HCM</t>
        </is>
      </c>
      <c r="E710" s="3" t="inlineStr">
        <is>
          <t>XUÂN TRANG</t>
        </is>
      </c>
      <c r="F710" s="3" t="inlineStr">
        <is>
          <t>Website bán hàng</t>
        </is>
      </c>
      <c r="G710" s="4" t="inlineStr">
        <is>
          <t>SHOPEE: TIKTOK: LAZADA: WEBSITE BÁN HÀNG: https://bigshop.vn/</t>
        </is>
      </c>
      <c r="H710" s="3" t="inlineStr">
        <is>
          <t>HKE-200</t>
        </is>
      </c>
      <c r="I710" s="4" t="inlineStr">
        <is>
          <t>Hít kính điện tử HKE-200</t>
        </is>
      </c>
      <c r="J710" s="3" t="inlineStr">
        <is>
          <t>Cái</t>
        </is>
      </c>
      <c r="K710" s="5" t="n">
        <v>583000</v>
      </c>
      <c r="L710" s="5" t="n">
        <v>676000</v>
      </c>
      <c r="M710" s="6" t="n">
        <v>816000</v>
      </c>
      <c r="N710" s="5" t="n"/>
      <c r="O710" s="5">
        <f>IF(AND(ISNUMBER(N710),ISNUMBER(M710)),N710-M710,"")</f>
        <v/>
      </c>
      <c r="P710" s="7">
        <f>IF(AND(ISNUMBER(N710),ISNUMBER(M710),M710&gt;0),(N710-M710)/M710,"")</f>
        <v/>
      </c>
      <c r="Q710" s="3">
        <f>IF(P710="","",IF(P710&lt;-0.02,"🔴 Bán phá giá sàn",IF(P710&gt;0.05,"🔵 Bán cao hơn","🟢 Đúng giá sàn TMĐT")))</f>
        <v/>
      </c>
      <c r="R710" s="3" t="n"/>
      <c r="S710" s="4" t="n"/>
      <c r="T710" s="4" t="n"/>
    </row>
    <row r="711">
      <c r="A711" s="3" t="n">
        <v>710</v>
      </c>
      <c r="B711" s="3" t="inlineStr">
        <is>
          <t>DL004</t>
        </is>
      </c>
      <c r="C711" s="4" t="inlineStr">
        <is>
          <t>HCM-BIGSHOP</t>
        </is>
      </c>
      <c r="D711" s="3" t="inlineStr">
        <is>
          <t>HCM</t>
        </is>
      </c>
      <c r="E711" s="3" t="inlineStr">
        <is>
          <t>XUÂN TRANG</t>
        </is>
      </c>
      <c r="F711" s="3" t="inlineStr">
        <is>
          <t>Website bán hàng</t>
        </is>
      </c>
      <c r="G711" s="4" t="inlineStr">
        <is>
          <t>SHOPEE: TIKTOK: LAZADA: WEBSITE BÁN HÀNG: https://bigshop.vn/</t>
        </is>
      </c>
      <c r="H711" s="3" t="inlineStr">
        <is>
          <t>KPC-164</t>
        </is>
      </c>
      <c r="I711" s="4" t="inlineStr">
        <is>
          <t>Kéo cắt ống KPC-164</t>
        </is>
      </c>
      <c r="J711" s="3" t="inlineStr">
        <is>
          <t>Cái</t>
        </is>
      </c>
      <c r="K711" s="5" t="n">
        <v>262000</v>
      </c>
      <c r="L711" s="5" t="n">
        <v>309000</v>
      </c>
      <c r="M711" s="6" t="n">
        <v>380000</v>
      </c>
      <c r="N711" s="5" t="n"/>
      <c r="O711" s="5">
        <f>IF(AND(ISNUMBER(N711),ISNUMBER(M711)),N711-M711,"")</f>
        <v/>
      </c>
      <c r="P711" s="7">
        <f>IF(AND(ISNUMBER(N711),ISNUMBER(M711),M711&gt;0),(N711-M711)/M711,"")</f>
        <v/>
      </c>
      <c r="Q711" s="3">
        <f>IF(P711="","",IF(P711&lt;-0.02,"🔴 Bán phá giá sàn",IF(P711&gt;0.05,"🔵 Bán cao hơn","🟢 Đúng giá sàn TMĐT")))</f>
        <v/>
      </c>
      <c r="R711" s="3" t="n"/>
      <c r="S711" s="4" t="n"/>
      <c r="T711" s="4" t="n"/>
    </row>
    <row r="712">
      <c r="A712" s="3" t="n">
        <v>711</v>
      </c>
      <c r="B712" s="3" t="inlineStr">
        <is>
          <t>DL004</t>
        </is>
      </c>
      <c r="C712" s="4" t="inlineStr">
        <is>
          <t>HCM-BIGSHOP</t>
        </is>
      </c>
      <c r="D712" s="3" t="inlineStr">
        <is>
          <t>HCM</t>
        </is>
      </c>
      <c r="E712" s="3" t="inlineStr">
        <is>
          <t>XUÂN TRANG</t>
        </is>
      </c>
      <c r="F712" s="3" t="inlineStr">
        <is>
          <t>Website bán hàng</t>
        </is>
      </c>
      <c r="G712" s="4" t="inlineStr">
        <is>
          <t>SHOPEE: TIKTOK: LAZADA: WEBSITE BÁN HÀNG: https://bigshop.vn/</t>
        </is>
      </c>
      <c r="H712" s="3" t="inlineStr">
        <is>
          <t>KPC-242</t>
        </is>
      </c>
      <c r="I712" s="4" t="inlineStr">
        <is>
          <t>Kéo cắt ống KPC-242</t>
        </is>
      </c>
      <c r="J712" s="3" t="inlineStr">
        <is>
          <t>Cái</t>
        </is>
      </c>
      <c r="K712" s="5" t="n">
        <v>172000</v>
      </c>
      <c r="L712" s="5" t="n">
        <v>203000</v>
      </c>
      <c r="M712" s="6" t="n">
        <v>249000</v>
      </c>
      <c r="N712" s="5" t="n"/>
      <c r="O712" s="5">
        <f>IF(AND(ISNUMBER(N712),ISNUMBER(M712)),N712-M712,"")</f>
        <v/>
      </c>
      <c r="P712" s="7">
        <f>IF(AND(ISNUMBER(N712),ISNUMBER(M712),M712&gt;0),(N712-M712)/M712,"")</f>
        <v/>
      </c>
      <c r="Q712" s="3">
        <f>IF(P712="","",IF(P712&lt;-0.02,"🔴 Bán phá giá sàn",IF(P712&gt;0.05,"🔵 Bán cao hơn","🟢 Đúng giá sàn TMĐT")))</f>
        <v/>
      </c>
      <c r="R712" s="3" t="n"/>
      <c r="S712" s="4" t="n"/>
      <c r="T712" s="4" t="n"/>
    </row>
    <row r="713">
      <c r="A713" s="3" t="n">
        <v>712</v>
      </c>
      <c r="B713" s="3" t="inlineStr">
        <is>
          <t>DL004</t>
        </is>
      </c>
      <c r="C713" s="4" t="inlineStr">
        <is>
          <t>HCM-BIGSHOP</t>
        </is>
      </c>
      <c r="D713" s="3" t="inlineStr">
        <is>
          <t>HCM</t>
        </is>
      </c>
      <c r="E713" s="3" t="inlineStr">
        <is>
          <t>XUÂN TRANG</t>
        </is>
      </c>
      <c r="F713" s="3" t="inlineStr">
        <is>
          <t>Website bán hàng</t>
        </is>
      </c>
      <c r="G713" s="4" t="inlineStr">
        <is>
          <t>SHOPEE: TIKTOK: LAZADA: WEBSITE BÁN HÀNG: https://bigshop.vn/</t>
        </is>
      </c>
      <c r="H713" s="3" t="inlineStr">
        <is>
          <t>QE320</t>
        </is>
      </c>
      <c r="I713" s="4" t="inlineStr">
        <is>
          <t>Kéo cắt trên cao Kingblue QE320</t>
        </is>
      </c>
      <c r="J713" s="3" t="inlineStr">
        <is>
          <t>Cái</t>
        </is>
      </c>
      <c r="K713" s="5" t="n">
        <v>712000</v>
      </c>
      <c r="L713" s="5" t="n">
        <v>840000</v>
      </c>
      <c r="M713" s="6" t="n">
        <v>1032000</v>
      </c>
      <c r="N713" s="5" t="n"/>
      <c r="O713" s="5">
        <f>IF(AND(ISNUMBER(N713),ISNUMBER(M713)),N713-M713,"")</f>
        <v/>
      </c>
      <c r="P713" s="7">
        <f>IF(AND(ISNUMBER(N713),ISNUMBER(M713),M713&gt;0),(N713-M713)/M713,"")</f>
        <v/>
      </c>
      <c r="Q713" s="3">
        <f>IF(P713="","",IF(P713&lt;-0.02,"🔴 Bán phá giá sàn",IF(P713&gt;0.05,"🔵 Bán cao hơn","🟢 Đúng giá sàn TMĐT")))</f>
        <v/>
      </c>
      <c r="R713" s="3" t="n"/>
      <c r="S713" s="4" t="n"/>
      <c r="T713" s="4" t="n"/>
    </row>
    <row r="714">
      <c r="A714" s="3" t="n">
        <v>713</v>
      </c>
      <c r="B714" s="3" t="inlineStr">
        <is>
          <t>DL004</t>
        </is>
      </c>
      <c r="C714" s="4" t="inlineStr">
        <is>
          <t>HCM-BIGSHOP</t>
        </is>
      </c>
      <c r="D714" s="3" t="inlineStr">
        <is>
          <t>HCM</t>
        </is>
      </c>
      <c r="E714" s="3" t="inlineStr">
        <is>
          <t>XUÂN TRANG</t>
        </is>
      </c>
      <c r="F714" s="3" t="inlineStr">
        <is>
          <t>Website bán hàng</t>
        </is>
      </c>
      <c r="G714" s="4" t="inlineStr">
        <is>
          <t>SHOPEE: TIKTOK: LAZADA: WEBSITE BÁN HÀNG: https://bigshop.vn/</t>
        </is>
      </c>
      <c r="H714" s="3" t="inlineStr">
        <is>
          <t>KC3-09</t>
        </is>
      </c>
      <c r="I714" s="4" t="inlineStr">
        <is>
          <t>Kìm cắt đa năng KC3-09</t>
        </is>
      </c>
      <c r="J714" s="3" t="inlineStr">
        <is>
          <t>Cái</t>
        </is>
      </c>
      <c r="K714" s="5" t="n">
        <v>269000</v>
      </c>
      <c r="L714" s="5" t="n">
        <v>317000</v>
      </c>
      <c r="M714" s="6" t="n">
        <v>390000</v>
      </c>
      <c r="N714" s="5" t="n"/>
      <c r="O714" s="5">
        <f>IF(AND(ISNUMBER(N714),ISNUMBER(M714)),N714-M714,"")</f>
        <v/>
      </c>
      <c r="P714" s="7">
        <f>IF(AND(ISNUMBER(N714),ISNUMBER(M714),M714&gt;0),(N714-M714)/M714,"")</f>
        <v/>
      </c>
      <c r="Q714" s="3">
        <f>IF(P714="","",IF(P714&lt;-0.02,"🔴 Bán phá giá sàn",IF(P714&gt;0.05,"🔵 Bán cao hơn","🟢 Đúng giá sàn TMĐT")))</f>
        <v/>
      </c>
      <c r="R714" s="3" t="n"/>
      <c r="S714" s="4" t="n"/>
      <c r="T714" s="4" t="n"/>
    </row>
    <row r="715">
      <c r="A715" s="3" t="n">
        <v>714</v>
      </c>
      <c r="B715" s="3" t="inlineStr">
        <is>
          <t>DL004</t>
        </is>
      </c>
      <c r="C715" s="4" t="inlineStr">
        <is>
          <t>HCM-BIGSHOP</t>
        </is>
      </c>
      <c r="D715" s="3" t="inlineStr">
        <is>
          <t>HCM</t>
        </is>
      </c>
      <c r="E715" s="3" t="inlineStr">
        <is>
          <t>XUÂN TRANG</t>
        </is>
      </c>
      <c r="F715" s="3" t="inlineStr">
        <is>
          <t>Website bán hàng</t>
        </is>
      </c>
      <c r="G715" s="4" t="inlineStr">
        <is>
          <t>SHOPEE: TIKTOK: LAZADA: WEBSITE BÁN HÀNG: https://bigshop.vn/</t>
        </is>
      </c>
      <c r="H715" s="3" t="inlineStr">
        <is>
          <t>KCL-350</t>
        </is>
      </c>
      <c r="I715" s="4" t="inlineStr">
        <is>
          <t>Kìm cộng lực KCL-350</t>
        </is>
      </c>
      <c r="J715" s="3" t="inlineStr">
        <is>
          <t>Cái</t>
        </is>
      </c>
      <c r="K715" s="5" t="n">
        <v>253000</v>
      </c>
      <c r="L715" s="5" t="n">
        <v>299000</v>
      </c>
      <c r="M715" s="6" t="n">
        <v>367000</v>
      </c>
      <c r="N715" s="5" t="n"/>
      <c r="O715" s="5">
        <f>IF(AND(ISNUMBER(N715),ISNUMBER(M715)),N715-M715,"")</f>
        <v/>
      </c>
      <c r="P715" s="7">
        <f>IF(AND(ISNUMBER(N715),ISNUMBER(M715),M715&gt;0),(N715-M715)/M715,"")</f>
        <v/>
      </c>
      <c r="Q715" s="3">
        <f>IF(P715="","",IF(P715&lt;-0.02,"🔴 Bán phá giá sàn",IF(P715&gt;0.05,"🔵 Bán cao hơn","🟢 Đúng giá sàn TMĐT")))</f>
        <v/>
      </c>
      <c r="R715" s="3" t="n"/>
      <c r="S715" s="4" t="n"/>
      <c r="T715" s="4" t="n"/>
    </row>
    <row r="716">
      <c r="A716" s="3" t="n">
        <v>715</v>
      </c>
      <c r="B716" s="3" t="inlineStr">
        <is>
          <t>DL004</t>
        </is>
      </c>
      <c r="C716" s="4" t="inlineStr">
        <is>
          <t>HCM-BIGSHOP</t>
        </is>
      </c>
      <c r="D716" s="3" t="inlineStr">
        <is>
          <t>HCM</t>
        </is>
      </c>
      <c r="E716" s="3" t="inlineStr">
        <is>
          <t>XUÂN TRANG</t>
        </is>
      </c>
      <c r="F716" s="3" t="inlineStr">
        <is>
          <t>Website bán hàng</t>
        </is>
      </c>
      <c r="G716" s="4" t="inlineStr">
        <is>
          <t>SHOPEE: TIKTOK: LAZADA: WEBSITE BÁN HÀNG: https://bigshop.vn/</t>
        </is>
      </c>
      <c r="H716" s="3" t="inlineStr">
        <is>
          <t>KBY2-030CO</t>
        </is>
      </c>
      <c r="I716" s="4" t="inlineStr">
        <is>
          <t>Khoan inox KingBlue KBY2-030CO</t>
        </is>
      </c>
      <c r="J716" s="3" t="inlineStr">
        <is>
          <t>Cái</t>
        </is>
      </c>
      <c r="K716" s="5" t="n">
        <v>10000</v>
      </c>
      <c r="L716" s="5" t="n">
        <v>12000</v>
      </c>
      <c r="M716" s="6" t="n">
        <v>16000</v>
      </c>
      <c r="N716" s="5" t="n"/>
      <c r="O716" s="5">
        <f>IF(AND(ISNUMBER(N716),ISNUMBER(M716)),N716-M716,"")</f>
        <v/>
      </c>
      <c r="P716" s="7">
        <f>IF(AND(ISNUMBER(N716),ISNUMBER(M716),M716&gt;0),(N716-M716)/M716,"")</f>
        <v/>
      </c>
      <c r="Q716" s="3">
        <f>IF(P716="","",IF(P716&lt;-0.02,"🔴 Bán phá giá sàn",IF(P716&gt;0.05,"🔵 Bán cao hơn","🟢 Đúng giá sàn TMĐT")))</f>
        <v/>
      </c>
      <c r="R716" s="3" t="n"/>
      <c r="S716" s="4" t="n"/>
      <c r="T716" s="4" t="n"/>
    </row>
    <row r="717">
      <c r="A717" s="3" t="n">
        <v>716</v>
      </c>
      <c r="B717" s="3" t="inlineStr">
        <is>
          <t>DL004</t>
        </is>
      </c>
      <c r="C717" s="4" t="inlineStr">
        <is>
          <t>HCM-BIGSHOP</t>
        </is>
      </c>
      <c r="D717" s="3" t="inlineStr">
        <is>
          <t>HCM</t>
        </is>
      </c>
      <c r="E717" s="3" t="inlineStr">
        <is>
          <t>XUÂN TRANG</t>
        </is>
      </c>
      <c r="F717" s="3" t="inlineStr">
        <is>
          <t>Website bán hàng</t>
        </is>
      </c>
      <c r="G717" s="4" t="inlineStr">
        <is>
          <t>SHOPEE: TIKTOK: LAZADA: WEBSITE BÁN HÀNG: https://bigshop.vn/</t>
        </is>
      </c>
      <c r="H717" s="3" t="inlineStr">
        <is>
          <t>KRLK-63370</t>
        </is>
      </c>
      <c r="I717" s="4" t="inlineStr">
        <is>
          <t>Khoan rút lõi bê tông nước + khô KRLK-63*370</t>
        </is>
      </c>
      <c r="J717" s="3" t="inlineStr">
        <is>
          <t>Cái</t>
        </is>
      </c>
      <c r="K717" s="5" t="n">
        <v>282000</v>
      </c>
      <c r="L717" s="5" t="n">
        <v>338000</v>
      </c>
      <c r="M717" s="6" t="n">
        <v>423000</v>
      </c>
      <c r="N717" s="5" t="n"/>
      <c r="O717" s="5">
        <f>IF(AND(ISNUMBER(N717),ISNUMBER(M717)),N717-M717,"")</f>
        <v/>
      </c>
      <c r="P717" s="7">
        <f>IF(AND(ISNUMBER(N717),ISNUMBER(M717),M717&gt;0),(N717-M717)/M717,"")</f>
        <v/>
      </c>
      <c r="Q717" s="3">
        <f>IF(P717="","",IF(P717&lt;-0.02,"🔴 Bán phá giá sàn",IF(P717&gt;0.05,"🔵 Bán cao hơn","🟢 Đúng giá sàn TMĐT")))</f>
        <v/>
      </c>
      <c r="R717" s="3" t="n"/>
      <c r="S717" s="4" t="n"/>
      <c r="T717" s="4" t="n"/>
    </row>
    <row r="718">
      <c r="A718" s="3" t="n">
        <v>717</v>
      </c>
      <c r="B718" s="3" t="inlineStr">
        <is>
          <t>DL004</t>
        </is>
      </c>
      <c r="C718" s="4" t="inlineStr">
        <is>
          <t>HCM-BIGSHOP</t>
        </is>
      </c>
      <c r="D718" s="3" t="inlineStr">
        <is>
          <t>HCM</t>
        </is>
      </c>
      <c r="E718" s="3" t="inlineStr">
        <is>
          <t>XUÂN TRANG</t>
        </is>
      </c>
      <c r="F718" s="3" t="inlineStr">
        <is>
          <t>Website bán hàng</t>
        </is>
      </c>
      <c r="G718" s="4" t="inlineStr">
        <is>
          <t>SHOPEE: TIKTOK: LAZADA: WEBSITE BÁN HÀNG: https://bigshop.vn/</t>
        </is>
      </c>
      <c r="H718" s="3" t="inlineStr">
        <is>
          <t>KRL-22370</t>
        </is>
      </c>
      <c r="I718" s="4" t="inlineStr">
        <is>
          <t>Khoan rút lõi bê tông nước KRL-22*370</t>
        </is>
      </c>
      <c r="J718" s="3" t="inlineStr">
        <is>
          <t>Cái</t>
        </is>
      </c>
      <c r="K718" s="5" t="n">
        <v>161000</v>
      </c>
      <c r="L718" s="5" t="n">
        <v>193000</v>
      </c>
      <c r="M718" s="6" t="n">
        <v>242000</v>
      </c>
      <c r="N718" s="5" t="n"/>
      <c r="O718" s="5">
        <f>IF(AND(ISNUMBER(N718),ISNUMBER(M718)),N718-M718,"")</f>
        <v/>
      </c>
      <c r="P718" s="7">
        <f>IF(AND(ISNUMBER(N718),ISNUMBER(M718),M718&gt;0),(N718-M718)/M718,"")</f>
        <v/>
      </c>
      <c r="Q718" s="3">
        <f>IF(P718="","",IF(P718&lt;-0.02,"🔴 Bán phá giá sàn",IF(P718&gt;0.05,"🔵 Bán cao hơn","🟢 Đúng giá sàn TMĐT")))</f>
        <v/>
      </c>
      <c r="R718" s="3" t="n"/>
      <c r="S718" s="4" t="n"/>
      <c r="T718" s="4" t="n"/>
    </row>
    <row r="719">
      <c r="A719" s="3" t="n">
        <v>718</v>
      </c>
      <c r="B719" s="3" t="inlineStr">
        <is>
          <t>DL004</t>
        </is>
      </c>
      <c r="C719" s="4" t="inlineStr">
        <is>
          <t>HCM-BIGSHOP</t>
        </is>
      </c>
      <c r="D719" s="3" t="inlineStr">
        <is>
          <t>HCM</t>
        </is>
      </c>
      <c r="E719" s="3" t="inlineStr">
        <is>
          <t>XUÂN TRANG</t>
        </is>
      </c>
      <c r="F719" s="3" t="inlineStr">
        <is>
          <t>Website bán hàng</t>
        </is>
      </c>
      <c r="G719" s="4" t="inlineStr">
        <is>
          <t>SHOPEE: TIKTOK: LAZADA: WEBSITE BÁN HÀNG: https://bigshop.vn/</t>
        </is>
      </c>
      <c r="H719" s="3" t="inlineStr">
        <is>
          <t>KRL-51370</t>
        </is>
      </c>
      <c r="I719" s="4" t="inlineStr">
        <is>
          <t>Khoan rút lõi bê tông nước KRL-51*370</t>
        </is>
      </c>
      <c r="J719" s="3" t="inlineStr">
        <is>
          <t>Cái</t>
        </is>
      </c>
      <c r="K719" s="5" t="n">
        <v>282000</v>
      </c>
      <c r="L719" s="5" t="n">
        <v>338000</v>
      </c>
      <c r="M719" s="6" t="n">
        <v>423000</v>
      </c>
      <c r="N719" s="5" t="n"/>
      <c r="O719" s="5">
        <f>IF(AND(ISNUMBER(N719),ISNUMBER(M719)),N719-M719,"")</f>
        <v/>
      </c>
      <c r="P719" s="7">
        <f>IF(AND(ISNUMBER(N719),ISNUMBER(M719),M719&gt;0),(N719-M719)/M719,"")</f>
        <v/>
      </c>
      <c r="Q719" s="3">
        <f>IF(P719="","",IF(P719&lt;-0.02,"🔴 Bán phá giá sàn",IF(P719&gt;0.05,"🔵 Bán cao hơn","🟢 Đúng giá sàn TMĐT")))</f>
        <v/>
      </c>
      <c r="R719" s="3" t="n"/>
      <c r="S719" s="4" t="n"/>
      <c r="T719" s="4" t="n"/>
    </row>
    <row r="720">
      <c r="A720" s="3" t="n">
        <v>719</v>
      </c>
      <c r="B720" s="3" t="inlineStr">
        <is>
          <t>DL004</t>
        </is>
      </c>
      <c r="C720" s="4" t="inlineStr">
        <is>
          <t>HCM-BIGSHOP</t>
        </is>
      </c>
      <c r="D720" s="3" t="inlineStr">
        <is>
          <t>HCM</t>
        </is>
      </c>
      <c r="E720" s="3" t="inlineStr">
        <is>
          <t>XUÂN TRANG</t>
        </is>
      </c>
      <c r="F720" s="3" t="inlineStr">
        <is>
          <t>Website bán hàng</t>
        </is>
      </c>
      <c r="G720" s="4" t="inlineStr">
        <is>
          <t>SHOPEE: TIKTOK: LAZADA: WEBSITE BÁN HÀNG: https://bigshop.vn/</t>
        </is>
      </c>
      <c r="H720" s="3" t="inlineStr">
        <is>
          <t>KRL-76370</t>
        </is>
      </c>
      <c r="I720" s="4" t="inlineStr">
        <is>
          <t>Khoan rút lõi bê tông nước KRL-76*370</t>
        </is>
      </c>
      <c r="J720" s="3" t="inlineStr">
        <is>
          <t>Cái</t>
        </is>
      </c>
      <c r="K720" s="5" t="n">
        <v>391000</v>
      </c>
      <c r="L720" s="5" t="n">
        <v>469000</v>
      </c>
      <c r="M720" s="6" t="n">
        <v>587000</v>
      </c>
      <c r="N720" s="5" t="n"/>
      <c r="O720" s="5">
        <f>IF(AND(ISNUMBER(N720),ISNUMBER(M720)),N720-M720,"")</f>
        <v/>
      </c>
      <c r="P720" s="7">
        <f>IF(AND(ISNUMBER(N720),ISNUMBER(M720),M720&gt;0),(N720-M720)/M720,"")</f>
        <v/>
      </c>
      <c r="Q720" s="3">
        <f>IF(P720="","",IF(P720&lt;-0.02,"🔴 Bán phá giá sàn",IF(P720&gt;0.05,"🔵 Bán cao hơn","🟢 Đúng giá sàn TMĐT")))</f>
        <v/>
      </c>
      <c r="R720" s="3" t="n"/>
      <c r="S720" s="4" t="n"/>
      <c r="T720" s="4" t="n"/>
    </row>
    <row r="721">
      <c r="A721" s="3" t="n">
        <v>720</v>
      </c>
      <c r="B721" s="3" t="inlineStr">
        <is>
          <t>DL004</t>
        </is>
      </c>
      <c r="C721" s="4" t="inlineStr">
        <is>
          <t>HCM-BIGSHOP</t>
        </is>
      </c>
      <c r="D721" s="3" t="inlineStr">
        <is>
          <t>HCM</t>
        </is>
      </c>
      <c r="E721" s="3" t="inlineStr">
        <is>
          <t>XUÂN TRANG</t>
        </is>
      </c>
      <c r="F721" s="3" t="inlineStr">
        <is>
          <t>Website bán hàng</t>
        </is>
      </c>
      <c r="G721" s="4" t="inlineStr">
        <is>
          <t>SHOPEE: TIKTOK: LAZADA: WEBSITE BÁN HÀNG: https://bigshop.vn/</t>
        </is>
      </c>
      <c r="H721" s="3" t="inlineStr">
        <is>
          <t>TS-180R</t>
        </is>
      </c>
      <c r="I721" s="4" t="inlineStr">
        <is>
          <t>Lưỡi cắt KingBlue TS-180R</t>
        </is>
      </c>
      <c r="J721" s="3" t="inlineStr">
        <is>
          <t>Cái</t>
        </is>
      </c>
      <c r="K721" s="5" t="n">
        <v>110000</v>
      </c>
      <c r="L721" s="5" t="n">
        <v>130000</v>
      </c>
      <c r="M721" s="6" t="n">
        <v>160000</v>
      </c>
      <c r="N721" s="5" t="n"/>
      <c r="O721" s="5">
        <f>IF(AND(ISNUMBER(N721),ISNUMBER(M721)),N721-M721,"")</f>
        <v/>
      </c>
      <c r="P721" s="7">
        <f>IF(AND(ISNUMBER(N721),ISNUMBER(M721),M721&gt;0),(N721-M721)/M721,"")</f>
        <v/>
      </c>
      <c r="Q721" s="3">
        <f>IF(P721="","",IF(P721&lt;-0.02,"🔴 Bán phá giá sàn",IF(P721&gt;0.05,"🔵 Bán cao hơn","🟢 Đúng giá sàn TMĐT")))</f>
        <v/>
      </c>
      <c r="R721" s="3" t="n"/>
      <c r="S721" s="4" t="n"/>
      <c r="T721" s="4" t="n"/>
    </row>
    <row r="722">
      <c r="A722" s="3" t="n">
        <v>721</v>
      </c>
      <c r="B722" s="3" t="inlineStr">
        <is>
          <t>DL004</t>
        </is>
      </c>
      <c r="C722" s="4" t="inlineStr">
        <is>
          <t>HCM-BIGSHOP</t>
        </is>
      </c>
      <c r="D722" s="3" t="inlineStr">
        <is>
          <t>HCM</t>
        </is>
      </c>
      <c r="E722" s="3" t="inlineStr">
        <is>
          <t>XUÂN TRANG</t>
        </is>
      </c>
      <c r="F722" s="3" t="inlineStr">
        <is>
          <t>Website bán hàng</t>
        </is>
      </c>
      <c r="G722" s="4" t="inlineStr">
        <is>
          <t>SHOPEE: TIKTOK: LAZADA: WEBSITE BÁN HÀNG: https://bigshop.vn/</t>
        </is>
      </c>
      <c r="H722" s="3" t="inlineStr">
        <is>
          <t>KB-05XS</t>
        </is>
      </c>
      <c r="I722" s="4" t="inlineStr">
        <is>
          <t>Máy cân bằng KB-05XS</t>
        </is>
      </c>
      <c r="J722" s="3" t="inlineStr">
        <is>
          <t>Cái</t>
        </is>
      </c>
      <c r="K722" s="5" t="n">
        <v>2090000</v>
      </c>
      <c r="L722" s="5" t="n">
        <v>2340000</v>
      </c>
      <c r="M722" s="6" t="n">
        <v>2720000</v>
      </c>
      <c r="N722" s="5" t="n"/>
      <c r="O722" s="5">
        <f>IF(AND(ISNUMBER(N722),ISNUMBER(M722)),N722-M722,"")</f>
        <v/>
      </c>
      <c r="P722" s="7">
        <f>IF(AND(ISNUMBER(N722),ISNUMBER(M722),M722&gt;0),(N722-M722)/M722,"")</f>
        <v/>
      </c>
      <c r="Q722" s="3">
        <f>IF(P722="","",IF(P722&lt;-0.02,"🔴 Bán phá giá sàn",IF(P722&gt;0.05,"🔵 Bán cao hơn","🟢 Đúng giá sàn TMĐT")))</f>
        <v/>
      </c>
      <c r="R722" s="3" t="n"/>
      <c r="S722" s="4" t="n"/>
      <c r="T722" s="4" t="n"/>
    </row>
    <row r="723">
      <c r="A723" s="3" t="n">
        <v>722</v>
      </c>
      <c r="B723" s="3" t="inlineStr">
        <is>
          <t>DL004</t>
        </is>
      </c>
      <c r="C723" s="4" t="inlineStr">
        <is>
          <t>HCM-BIGSHOP</t>
        </is>
      </c>
      <c r="D723" s="3" t="inlineStr">
        <is>
          <t>HCM</t>
        </is>
      </c>
      <c r="E723" s="3" t="inlineStr">
        <is>
          <t>XUÂN TRANG</t>
        </is>
      </c>
      <c r="F723" s="3" t="inlineStr">
        <is>
          <t>Website bán hàng</t>
        </is>
      </c>
      <c r="G723" s="4" t="inlineStr">
        <is>
          <t>SHOPEE: TIKTOK: LAZADA: WEBSITE BÁN HÀNG: https://bigshop.vn/</t>
        </is>
      </c>
      <c r="H723" s="3" t="inlineStr">
        <is>
          <t>KBA-UL1200</t>
        </is>
      </c>
      <c r="I723" s="4" t="inlineStr">
        <is>
          <t>Máy rửa xe áp lực cao KBA-UL1200</t>
        </is>
      </c>
      <c r="J723" s="3" t="inlineStr">
        <is>
          <t>Cái</t>
        </is>
      </c>
      <c r="K723" s="5" t="n">
        <v>1290000</v>
      </c>
      <c r="L723" s="5" t="n">
        <v>1450000</v>
      </c>
      <c r="M723" s="6" t="n">
        <v>1680000</v>
      </c>
      <c r="N723" s="5" t="n"/>
      <c r="O723" s="5">
        <f>IF(AND(ISNUMBER(N723),ISNUMBER(M723)),N723-M723,"")</f>
        <v/>
      </c>
      <c r="P723" s="7">
        <f>IF(AND(ISNUMBER(N723),ISNUMBER(M723),M723&gt;0),(N723-M723)/M723,"")</f>
        <v/>
      </c>
      <c r="Q723" s="3">
        <f>IF(P723="","",IF(P723&lt;-0.02,"🔴 Bán phá giá sàn",IF(P723&gt;0.05,"🔵 Bán cao hơn","🟢 Đúng giá sàn TMĐT")))</f>
        <v/>
      </c>
      <c r="R723" s="3" t="n"/>
      <c r="S723" s="4" t="n"/>
      <c r="T723" s="4" t="n"/>
    </row>
    <row r="724">
      <c r="A724" s="3" t="n">
        <v>723</v>
      </c>
      <c r="B724" s="3" t="inlineStr">
        <is>
          <t>DL004</t>
        </is>
      </c>
      <c r="C724" s="4" t="inlineStr">
        <is>
          <t>HCM-BIGSHOP</t>
        </is>
      </c>
      <c r="D724" s="3" t="inlineStr">
        <is>
          <t>HCM</t>
        </is>
      </c>
      <c r="E724" s="3" t="inlineStr">
        <is>
          <t>XUÂN TRANG</t>
        </is>
      </c>
      <c r="F724" s="3" t="inlineStr">
        <is>
          <t>Website bán hàng</t>
        </is>
      </c>
      <c r="G724" s="4" t="inlineStr">
        <is>
          <t>SHOPEE: TIKTOK: LAZADA: WEBSITE BÁN HÀNG: https://bigshop.vn/</t>
        </is>
      </c>
      <c r="H724" s="3" t="inlineStr">
        <is>
          <t>KBA-I1500</t>
        </is>
      </c>
      <c r="I724" s="4" t="inlineStr">
        <is>
          <t>Máy rửa xe KBA-I1500</t>
        </is>
      </c>
      <c r="J724" s="3" t="inlineStr">
        <is>
          <t>Cái</t>
        </is>
      </c>
      <c r="K724" s="5" t="n">
        <v>2050000</v>
      </c>
      <c r="L724" s="5" t="n">
        <v>2300000</v>
      </c>
      <c r="M724" s="6" t="n">
        <v>2670000</v>
      </c>
      <c r="N724" s="5" t="n"/>
      <c r="O724" s="5">
        <f>IF(AND(ISNUMBER(N724),ISNUMBER(M724)),N724-M724,"")</f>
        <v/>
      </c>
      <c r="P724" s="7">
        <f>IF(AND(ISNUMBER(N724),ISNUMBER(M724),M724&gt;0),(N724-M724)/M724,"")</f>
        <v/>
      </c>
      <c r="Q724" s="3">
        <f>IF(P724="","",IF(P724&lt;-0.02,"🔴 Bán phá giá sàn",IF(P724&gt;0.05,"🔵 Bán cao hơn","🟢 Đúng giá sàn TMĐT")))</f>
        <v/>
      </c>
      <c r="R724" s="3" t="n"/>
      <c r="S724" s="4" t="n"/>
      <c r="T724" s="4" t="n"/>
    </row>
    <row r="725">
      <c r="A725" s="3" t="n">
        <v>724</v>
      </c>
      <c r="B725" s="3" t="inlineStr">
        <is>
          <t>DL004</t>
        </is>
      </c>
      <c r="C725" s="4" t="inlineStr">
        <is>
          <t>HCM-BIGSHOP</t>
        </is>
      </c>
      <c r="D725" s="3" t="inlineStr">
        <is>
          <t>HCM</t>
        </is>
      </c>
      <c r="E725" s="3" t="inlineStr">
        <is>
          <t>XUÂN TRANG</t>
        </is>
      </c>
      <c r="F725" s="3" t="inlineStr">
        <is>
          <t>Website bán hàng</t>
        </is>
      </c>
      <c r="G725" s="4" t="inlineStr">
        <is>
          <t>SHOPEE: TIKTOK: LAZADA: WEBSITE BÁN HÀNG: https://bigshop.vn/</t>
        </is>
      </c>
      <c r="H725" s="3" t="inlineStr">
        <is>
          <t>V50S</t>
        </is>
      </c>
      <c r="I725" s="4" t="inlineStr">
        <is>
          <t>Mũi bắn vít PH2 V50S</t>
        </is>
      </c>
      <c r="J725" s="3" t="inlineStr">
        <is>
          <t>Vỉ</t>
        </is>
      </c>
      <c r="K725" s="5" t="n">
        <v>28000</v>
      </c>
      <c r="L725" s="5" t="n">
        <v>36000</v>
      </c>
      <c r="M725" s="6" t="n">
        <v>48000</v>
      </c>
      <c r="N725" s="5" t="n"/>
      <c r="O725" s="5">
        <f>IF(AND(ISNUMBER(N725),ISNUMBER(M725)),N725-M725,"")</f>
        <v/>
      </c>
      <c r="P725" s="7">
        <f>IF(AND(ISNUMBER(N725),ISNUMBER(M725),M725&gt;0),(N725-M725)/M725,"")</f>
        <v/>
      </c>
      <c r="Q725" s="3">
        <f>IF(P725="","",IF(P725&lt;-0.02,"🔴 Bán phá giá sàn",IF(P725&gt;0.05,"🔵 Bán cao hơn","🟢 Đúng giá sàn TMĐT")))</f>
        <v/>
      </c>
      <c r="R725" s="3" t="n"/>
      <c r="S725" s="4" t="n"/>
      <c r="T725" s="4" t="n"/>
    </row>
    <row r="726">
      <c r="A726" s="3" t="n">
        <v>725</v>
      </c>
      <c r="B726" s="3" t="inlineStr">
        <is>
          <t>DL004</t>
        </is>
      </c>
      <c r="C726" s="4" t="inlineStr">
        <is>
          <t>HCM-BIGSHOP</t>
        </is>
      </c>
      <c r="D726" s="3" t="inlineStr">
        <is>
          <t>HCM</t>
        </is>
      </c>
      <c r="E726" s="3" t="inlineStr">
        <is>
          <t>XUÂN TRANG</t>
        </is>
      </c>
      <c r="F726" s="3" t="inlineStr">
        <is>
          <t>Website bán hàng</t>
        </is>
      </c>
      <c r="G726" s="4" t="inlineStr">
        <is>
          <t>SHOPEE: TIKTOK: LAZADA: WEBSITE BÁN HÀNG: https://bigshop.vn/</t>
        </is>
      </c>
      <c r="H726" s="3" t="inlineStr"/>
      <c r="I726" s="4" t="inlineStr">
        <is>
          <t>Mũi định tâm chuôi dài</t>
        </is>
      </c>
      <c r="J726" s="3" t="inlineStr">
        <is>
          <t>Cái</t>
        </is>
      </c>
      <c r="K726" s="5" t="n">
        <v>269000</v>
      </c>
      <c r="L726" s="5" t="n">
        <v>317000</v>
      </c>
      <c r="M726" s="6" t="n">
        <v>390000</v>
      </c>
      <c r="N726" s="5" t="n"/>
      <c r="O726" s="5">
        <f>IF(AND(ISNUMBER(N726),ISNUMBER(M726)),N726-M726,"")</f>
        <v/>
      </c>
      <c r="P726" s="7">
        <f>IF(AND(ISNUMBER(N726),ISNUMBER(M726),M726&gt;0),(N726-M726)/M726,"")</f>
        <v/>
      </c>
      <c r="Q726" s="3">
        <f>IF(P726="","",IF(P726&lt;-0.02,"🔴 Bán phá giá sàn",IF(P726&gt;0.05,"🔵 Bán cao hơn","🟢 Đúng giá sàn TMĐT")))</f>
        <v/>
      </c>
      <c r="R726" s="3" t="n"/>
      <c r="S726" s="4" t="n"/>
      <c r="T726" s="4" t="n"/>
    </row>
    <row r="727">
      <c r="A727" s="3" t="n">
        <v>726</v>
      </c>
      <c r="B727" s="3" t="inlineStr">
        <is>
          <t>DL004</t>
        </is>
      </c>
      <c r="C727" s="4" t="inlineStr">
        <is>
          <t>HCM-BIGSHOP</t>
        </is>
      </c>
      <c r="D727" s="3" t="inlineStr">
        <is>
          <t>HCM</t>
        </is>
      </c>
      <c r="E727" s="3" t="inlineStr">
        <is>
          <t>XUÂN TRANG</t>
        </is>
      </c>
      <c r="F727" s="3" t="inlineStr">
        <is>
          <t>Website bán hàng</t>
        </is>
      </c>
      <c r="G727" s="4" t="inlineStr">
        <is>
          <t>SHOPEE: TIKTOK: LAZADA: WEBSITE BÁN HÀNG: https://bigshop.vn/</t>
        </is>
      </c>
      <c r="H727" s="3" t="inlineStr"/>
      <c r="I727" s="4" t="inlineStr">
        <is>
          <t>Mũi đục bê tông KBVd-14*250*22</t>
        </is>
      </c>
      <c r="J727" s="3" t="inlineStr">
        <is>
          <t>Cái</t>
        </is>
      </c>
      <c r="K727" s="5" t="n">
        <v>269000</v>
      </c>
      <c r="L727" s="5" t="n">
        <v>317000</v>
      </c>
      <c r="M727" s="6" t="n">
        <v>390000</v>
      </c>
      <c r="N727" s="5" t="n"/>
      <c r="O727" s="5">
        <f>IF(AND(ISNUMBER(N727),ISNUMBER(M727)),N727-M727,"")</f>
        <v/>
      </c>
      <c r="P727" s="7">
        <f>IF(AND(ISNUMBER(N727),ISNUMBER(M727),M727&gt;0),(N727-M727)/M727,"")</f>
        <v/>
      </c>
      <c r="Q727" s="3">
        <f>IF(P727="","",IF(P727&lt;-0.02,"🔴 Bán phá giá sàn",IF(P727&gt;0.05,"🔵 Bán cao hơn","🟢 Đúng giá sàn TMĐT")))</f>
        <v/>
      </c>
      <c r="R727" s="3" t="n"/>
      <c r="S727" s="4" t="n"/>
      <c r="T727" s="4" t="n"/>
    </row>
    <row r="728">
      <c r="A728" s="3" t="n">
        <v>727</v>
      </c>
      <c r="B728" s="3" t="inlineStr">
        <is>
          <t>DL004</t>
        </is>
      </c>
      <c r="C728" s="4" t="inlineStr">
        <is>
          <t>HCM-BIGSHOP</t>
        </is>
      </c>
      <c r="D728" s="3" t="inlineStr">
        <is>
          <t>HCM</t>
        </is>
      </c>
      <c r="E728" s="3" t="inlineStr">
        <is>
          <t>XUÂN TRANG</t>
        </is>
      </c>
      <c r="F728" s="3" t="inlineStr">
        <is>
          <t>Website bán hàng</t>
        </is>
      </c>
      <c r="G728" s="4" t="inlineStr">
        <is>
          <t>SHOPEE: TIKTOK: LAZADA: WEBSITE BÁN HÀNG: https://bigshop.vn/</t>
        </is>
      </c>
      <c r="H728" s="3" t="inlineStr"/>
      <c r="I728" s="4" t="inlineStr">
        <is>
          <t>Mũi đục bê tông KBVd-17*280*25</t>
        </is>
      </c>
      <c r="J728" s="3" t="inlineStr">
        <is>
          <t>Cái</t>
        </is>
      </c>
      <c r="K728" s="5" t="n">
        <v>269000</v>
      </c>
      <c r="L728" s="5" t="n">
        <v>317000</v>
      </c>
      <c r="M728" s="6" t="n">
        <v>390000</v>
      </c>
      <c r="N728" s="5" t="n"/>
      <c r="O728" s="5">
        <f>IF(AND(ISNUMBER(N728),ISNUMBER(M728)),N728-M728,"")</f>
        <v/>
      </c>
      <c r="P728" s="7">
        <f>IF(AND(ISNUMBER(N728),ISNUMBER(M728),M728&gt;0),(N728-M728)/M728,"")</f>
        <v/>
      </c>
      <c r="Q728" s="3">
        <f>IF(P728="","",IF(P728&lt;-0.02,"🔴 Bán phá giá sàn",IF(P728&gt;0.05,"🔵 Bán cao hơn","🟢 Đúng giá sàn TMĐT")))</f>
        <v/>
      </c>
      <c r="R728" s="3" t="n"/>
      <c r="S728" s="4" t="n"/>
      <c r="T728" s="4" t="n"/>
    </row>
    <row r="729">
      <c r="A729" s="3" t="n">
        <v>728</v>
      </c>
      <c r="B729" s="3" t="inlineStr">
        <is>
          <t>DL004</t>
        </is>
      </c>
      <c r="C729" s="4" t="inlineStr">
        <is>
          <t>HCM-BIGSHOP</t>
        </is>
      </c>
      <c r="D729" s="3" t="inlineStr">
        <is>
          <t>HCM</t>
        </is>
      </c>
      <c r="E729" s="3" t="inlineStr">
        <is>
          <t>XUÂN TRANG</t>
        </is>
      </c>
      <c r="F729" s="3" t="inlineStr">
        <is>
          <t>Website bán hàng</t>
        </is>
      </c>
      <c r="G729" s="4" t="inlineStr">
        <is>
          <t>SHOPEE: TIKTOK: LAZADA: WEBSITE BÁN HÀNG: https://bigshop.vn/</t>
        </is>
      </c>
      <c r="H729" s="3" t="inlineStr"/>
      <c r="I729" s="4" t="inlineStr">
        <is>
          <t>Mũi đục bê tông KBVn-14*250</t>
        </is>
      </c>
      <c r="J729" s="3" t="inlineStr">
        <is>
          <t>Cái</t>
        </is>
      </c>
      <c r="K729" s="5" t="n">
        <v>269000</v>
      </c>
      <c r="L729" s="5" t="n">
        <v>317000</v>
      </c>
      <c r="M729" s="6" t="n">
        <v>390000</v>
      </c>
      <c r="N729" s="5" t="n"/>
      <c r="O729" s="5">
        <f>IF(AND(ISNUMBER(N729),ISNUMBER(M729)),N729-M729,"")</f>
        <v/>
      </c>
      <c r="P729" s="7">
        <f>IF(AND(ISNUMBER(N729),ISNUMBER(M729),M729&gt;0),(N729-M729)/M729,"")</f>
        <v/>
      </c>
      <c r="Q729" s="3">
        <f>IF(P729="","",IF(P729&lt;-0.02,"🔴 Bán phá giá sàn",IF(P729&gt;0.05,"🔵 Bán cao hơn","🟢 Đúng giá sàn TMĐT")))</f>
        <v/>
      </c>
      <c r="R729" s="3" t="n"/>
      <c r="S729" s="4" t="n"/>
      <c r="T729" s="4" t="n"/>
    </row>
    <row r="730">
      <c r="A730" s="3" t="n">
        <v>729</v>
      </c>
      <c r="B730" s="3" t="inlineStr">
        <is>
          <t>DL004</t>
        </is>
      </c>
      <c r="C730" s="4" t="inlineStr">
        <is>
          <t>HCM-BIGSHOP</t>
        </is>
      </c>
      <c r="D730" s="3" t="inlineStr">
        <is>
          <t>HCM</t>
        </is>
      </c>
      <c r="E730" s="3" t="inlineStr">
        <is>
          <t>XUÂN TRANG</t>
        </is>
      </c>
      <c r="F730" s="3" t="inlineStr">
        <is>
          <t>Website bán hàng</t>
        </is>
      </c>
      <c r="G730" s="4" t="inlineStr">
        <is>
          <t>SHOPEE: TIKTOK: LAZADA: WEBSITE BÁN HÀNG: https://bigshop.vn/</t>
        </is>
      </c>
      <c r="H730" s="3" t="inlineStr"/>
      <c r="I730" s="4" t="inlineStr">
        <is>
          <t>Mũi đục bê tông KBVn-17*280</t>
        </is>
      </c>
      <c r="J730" s="3" t="inlineStr">
        <is>
          <t>Cái</t>
        </is>
      </c>
      <c r="K730" s="5" t="n">
        <v>269000</v>
      </c>
      <c r="L730" s="5" t="n">
        <v>317000</v>
      </c>
      <c r="M730" s="6" t="n">
        <v>390000</v>
      </c>
      <c r="N730" s="5" t="n"/>
      <c r="O730" s="5">
        <f>IF(AND(ISNUMBER(N730),ISNUMBER(M730)),N730-M730,"")</f>
        <v/>
      </c>
      <c r="P730" s="7">
        <f>IF(AND(ISNUMBER(N730),ISNUMBER(M730),M730&gt;0),(N730-M730)/M730,"")</f>
        <v/>
      </c>
      <c r="Q730" s="3">
        <f>IF(P730="","",IF(P730&lt;-0.02,"🔴 Bán phá giá sàn",IF(P730&gt;0.05,"🔵 Bán cao hơn","🟢 Đúng giá sàn TMĐT")))</f>
        <v/>
      </c>
      <c r="R730" s="3" t="n"/>
      <c r="S730" s="4" t="n"/>
      <c r="T730" s="4" t="n"/>
    </row>
    <row r="731">
      <c r="A731" s="3" t="n">
        <v>730</v>
      </c>
      <c r="B731" s="3" t="inlineStr">
        <is>
          <t>DL004</t>
        </is>
      </c>
      <c r="C731" s="4" t="inlineStr">
        <is>
          <t>HCM-BIGSHOP</t>
        </is>
      </c>
      <c r="D731" s="3" t="inlineStr">
        <is>
          <t>HCM</t>
        </is>
      </c>
      <c r="E731" s="3" t="inlineStr">
        <is>
          <t>XUÂN TRANG</t>
        </is>
      </c>
      <c r="F731" s="3" t="inlineStr">
        <is>
          <t>Website bán hàng</t>
        </is>
      </c>
      <c r="G731" s="4" t="inlineStr">
        <is>
          <t>SHOPEE: TIKTOK: LAZADA: WEBSITE BÁN HÀNG: https://bigshop.vn/</t>
        </is>
      </c>
      <c r="H731" s="3" t="inlineStr">
        <is>
          <t>KBL4-06160</t>
        </is>
      </c>
      <c r="I731" s="4" t="inlineStr">
        <is>
          <t>Mũi khoan bê tông 4 cạnh KBL4-06*160</t>
        </is>
      </c>
      <c r="J731" s="3" t="inlineStr">
        <is>
          <t>Cái</t>
        </is>
      </c>
      <c r="K731" s="5" t="n">
        <v>24000</v>
      </c>
      <c r="L731" s="5" t="n">
        <v>29000</v>
      </c>
      <c r="M731" s="6" t="n">
        <v>37000</v>
      </c>
      <c r="N731" s="5" t="n"/>
      <c r="O731" s="5">
        <f>IF(AND(ISNUMBER(N731),ISNUMBER(M731)),N731-M731,"")</f>
        <v/>
      </c>
      <c r="P731" s="7">
        <f>IF(AND(ISNUMBER(N731),ISNUMBER(M731),M731&gt;0),(N731-M731)/M731,"")</f>
        <v/>
      </c>
      <c r="Q731" s="3">
        <f>IF(P731="","",IF(P731&lt;-0.02,"🔴 Bán phá giá sàn",IF(P731&gt;0.05,"🔵 Bán cao hơn","🟢 Đúng giá sàn TMĐT")))</f>
        <v/>
      </c>
      <c r="R731" s="3" t="n"/>
      <c r="S731" s="4" t="n"/>
      <c r="T731" s="4" t="n"/>
    </row>
    <row r="732">
      <c r="A732" s="3" t="n">
        <v>731</v>
      </c>
      <c r="B732" s="3" t="inlineStr">
        <is>
          <t>DL004</t>
        </is>
      </c>
      <c r="C732" s="4" t="inlineStr">
        <is>
          <t>HCM-BIGSHOP</t>
        </is>
      </c>
      <c r="D732" s="3" t="inlineStr">
        <is>
          <t>HCM</t>
        </is>
      </c>
      <c r="E732" s="3" t="inlineStr">
        <is>
          <t>XUÂN TRANG</t>
        </is>
      </c>
      <c r="F732" s="3" t="inlineStr">
        <is>
          <t>Website bán hàng</t>
        </is>
      </c>
      <c r="G732" s="4" t="inlineStr">
        <is>
          <t>SHOPEE: TIKTOK: LAZADA: WEBSITE BÁN HÀNG: https://bigshop.vn/</t>
        </is>
      </c>
      <c r="H732" s="3" t="inlineStr">
        <is>
          <t>KBL4-08160</t>
        </is>
      </c>
      <c r="I732" s="4" t="inlineStr">
        <is>
          <t>Mũi khoan bê tông 4 cạnh KBL4-08*160</t>
        </is>
      </c>
      <c r="J732" s="3" t="inlineStr">
        <is>
          <t>Cái</t>
        </is>
      </c>
      <c r="K732" s="5" t="n">
        <v>27000</v>
      </c>
      <c r="L732" s="5" t="n">
        <v>33000</v>
      </c>
      <c r="M732" s="6" t="n">
        <v>42000</v>
      </c>
      <c r="N732" s="5" t="n"/>
      <c r="O732" s="5">
        <f>IF(AND(ISNUMBER(N732),ISNUMBER(M732)),N732-M732,"")</f>
        <v/>
      </c>
      <c r="P732" s="7">
        <f>IF(AND(ISNUMBER(N732),ISNUMBER(M732),M732&gt;0),(N732-M732)/M732,"")</f>
        <v/>
      </c>
      <c r="Q732" s="3">
        <f>IF(P732="","",IF(P732&lt;-0.02,"🔴 Bán phá giá sàn",IF(P732&gt;0.05,"🔵 Bán cao hơn","🟢 Đúng giá sàn TMĐT")))</f>
        <v/>
      </c>
      <c r="R732" s="3" t="n"/>
      <c r="S732" s="4" t="n"/>
      <c r="T732" s="4" t="n"/>
    </row>
    <row r="733">
      <c r="A733" s="3" t="n">
        <v>732</v>
      </c>
      <c r="B733" s="3" t="inlineStr">
        <is>
          <t>DL004</t>
        </is>
      </c>
      <c r="C733" s="4" t="inlineStr">
        <is>
          <t>HCM-BIGSHOP</t>
        </is>
      </c>
      <c r="D733" s="3" t="inlineStr">
        <is>
          <t>HCM</t>
        </is>
      </c>
      <c r="E733" s="3" t="inlineStr">
        <is>
          <t>XUÂN TRANG</t>
        </is>
      </c>
      <c r="F733" s="3" t="inlineStr">
        <is>
          <t>Website bán hàng</t>
        </is>
      </c>
      <c r="G733" s="4" t="inlineStr">
        <is>
          <t>SHOPEE: TIKTOK: LAZADA: WEBSITE BÁN HÀNG: https://bigshop.vn/</t>
        </is>
      </c>
      <c r="H733" s="3" t="inlineStr">
        <is>
          <t>KBL4-10160</t>
        </is>
      </c>
      <c r="I733" s="4" t="inlineStr">
        <is>
          <t>Mũi khoan bê tông 4 cạnh KBL4-10*160</t>
        </is>
      </c>
      <c r="J733" s="3" t="inlineStr">
        <is>
          <t>Cái</t>
        </is>
      </c>
      <c r="K733" s="5" t="n">
        <v>30000</v>
      </c>
      <c r="L733" s="5" t="n">
        <v>37000</v>
      </c>
      <c r="M733" s="6" t="n">
        <v>47000</v>
      </c>
      <c r="N733" s="5" t="n"/>
      <c r="O733" s="5">
        <f>IF(AND(ISNUMBER(N733),ISNUMBER(M733)),N733-M733,"")</f>
        <v/>
      </c>
      <c r="P733" s="7">
        <f>IF(AND(ISNUMBER(N733),ISNUMBER(M733),M733&gt;0),(N733-M733)/M733,"")</f>
        <v/>
      </c>
      <c r="Q733" s="3">
        <f>IF(P733="","",IF(P733&lt;-0.02,"🔴 Bán phá giá sàn",IF(P733&gt;0.05,"🔵 Bán cao hơn","🟢 Đúng giá sàn TMĐT")))</f>
        <v/>
      </c>
      <c r="R733" s="3" t="n"/>
      <c r="S733" s="4" t="n"/>
      <c r="T733" s="4" t="n"/>
    </row>
    <row r="734">
      <c r="A734" s="3" t="n">
        <v>733</v>
      </c>
      <c r="B734" s="3" t="inlineStr">
        <is>
          <t>DL004</t>
        </is>
      </c>
      <c r="C734" s="4" t="inlineStr">
        <is>
          <t>HCM-BIGSHOP</t>
        </is>
      </c>
      <c r="D734" s="3" t="inlineStr">
        <is>
          <t>HCM</t>
        </is>
      </c>
      <c r="E734" s="3" t="inlineStr">
        <is>
          <t>XUÂN TRANG</t>
        </is>
      </c>
      <c r="F734" s="3" t="inlineStr">
        <is>
          <t>Website bán hàng</t>
        </is>
      </c>
      <c r="G734" s="4" t="inlineStr">
        <is>
          <t>SHOPEE: TIKTOK: LAZADA: WEBSITE BÁN HÀNG: https://bigshop.vn/</t>
        </is>
      </c>
      <c r="H734" s="3" t="inlineStr">
        <is>
          <t>KBL4-12160</t>
        </is>
      </c>
      <c r="I734" s="4" t="inlineStr">
        <is>
          <t>Mũi khoan bê tông 4 cạnh KBL4-12*160</t>
        </is>
      </c>
      <c r="J734" s="3" t="inlineStr">
        <is>
          <t>Cái</t>
        </is>
      </c>
      <c r="K734" s="5" t="n">
        <v>33000</v>
      </c>
      <c r="L734" s="5" t="n">
        <v>40000</v>
      </c>
      <c r="M734" s="6" t="n">
        <v>51000</v>
      </c>
      <c r="N734" s="5" t="n"/>
      <c r="O734" s="5">
        <f>IF(AND(ISNUMBER(N734),ISNUMBER(M734)),N734-M734,"")</f>
        <v/>
      </c>
      <c r="P734" s="7">
        <f>IF(AND(ISNUMBER(N734),ISNUMBER(M734),M734&gt;0),(N734-M734)/M734,"")</f>
        <v/>
      </c>
      <c r="Q734" s="3">
        <f>IF(P734="","",IF(P734&lt;-0.02,"🔴 Bán phá giá sàn",IF(P734&gt;0.05,"🔵 Bán cao hơn","🟢 Đúng giá sàn TMĐT")))</f>
        <v/>
      </c>
      <c r="R734" s="3" t="n"/>
      <c r="S734" s="4" t="n"/>
      <c r="T734" s="4" t="n"/>
    </row>
    <row r="735">
      <c r="A735" s="3" t="n">
        <v>734</v>
      </c>
      <c r="B735" s="3" t="inlineStr">
        <is>
          <t>DL004</t>
        </is>
      </c>
      <c r="C735" s="4" t="inlineStr">
        <is>
          <t>HCM-BIGSHOP</t>
        </is>
      </c>
      <c r="D735" s="3" t="inlineStr">
        <is>
          <t>HCM</t>
        </is>
      </c>
      <c r="E735" s="3" t="inlineStr">
        <is>
          <t>XUÂN TRANG</t>
        </is>
      </c>
      <c r="F735" s="3" t="inlineStr">
        <is>
          <t>Website bán hàng</t>
        </is>
      </c>
      <c r="G735" s="4" t="inlineStr">
        <is>
          <t>SHOPEE: TIKTOK: LAZADA: WEBSITE BÁN HÀNG: https://bigshop.vn/</t>
        </is>
      </c>
      <c r="H735" s="3" t="inlineStr">
        <is>
          <t>KBL2-08110</t>
        </is>
      </c>
      <c r="I735" s="4" t="inlineStr">
        <is>
          <t>Mũi khoan bê tông gài 2 cạnh KBL2-08*110</t>
        </is>
      </c>
      <c r="J735" s="3" t="inlineStr">
        <is>
          <t>Cái</t>
        </is>
      </c>
      <c r="K735" s="5" t="n">
        <v>22000</v>
      </c>
      <c r="L735" s="5" t="n">
        <v>27000</v>
      </c>
      <c r="M735" s="6" t="n">
        <v>34000</v>
      </c>
      <c r="N735" s="5" t="n"/>
      <c r="O735" s="5">
        <f>IF(AND(ISNUMBER(N735),ISNUMBER(M735)),N735-M735,"")</f>
        <v/>
      </c>
      <c r="P735" s="7">
        <f>IF(AND(ISNUMBER(N735),ISNUMBER(M735),M735&gt;0),(N735-M735)/M735,"")</f>
        <v/>
      </c>
      <c r="Q735" s="3">
        <f>IF(P735="","",IF(P735&lt;-0.02,"🔴 Bán phá giá sàn",IF(P735&gt;0.05,"🔵 Bán cao hơn","🟢 Đúng giá sàn TMĐT")))</f>
        <v/>
      </c>
      <c r="R735" s="3" t="n"/>
      <c r="S735" s="4" t="n"/>
      <c r="T735" s="4" t="n"/>
    </row>
    <row r="736">
      <c r="A736" s="3" t="n">
        <v>735</v>
      </c>
      <c r="B736" s="3" t="inlineStr">
        <is>
          <t>DL004</t>
        </is>
      </c>
      <c r="C736" s="4" t="inlineStr">
        <is>
          <t>HCM-BIGSHOP</t>
        </is>
      </c>
      <c r="D736" s="3" t="inlineStr">
        <is>
          <t>HCM</t>
        </is>
      </c>
      <c r="E736" s="3" t="inlineStr">
        <is>
          <t>XUÂN TRANG</t>
        </is>
      </c>
      <c r="F736" s="3" t="inlineStr">
        <is>
          <t>Website bán hàng</t>
        </is>
      </c>
      <c r="G736" s="4" t="inlineStr">
        <is>
          <t>SHOPEE: TIKTOK: LAZADA: WEBSITE BÁN HÀNG: https://bigshop.vn/</t>
        </is>
      </c>
      <c r="H736" s="3" t="inlineStr">
        <is>
          <t>KBL2-08160</t>
        </is>
      </c>
      <c r="I736" s="4" t="inlineStr">
        <is>
          <t>Mũi khoan bê tông gài 2 cạnh KBL2-08*160</t>
        </is>
      </c>
      <c r="J736" s="3" t="inlineStr">
        <is>
          <t>Cái</t>
        </is>
      </c>
      <c r="K736" s="5" t="n">
        <v>25000</v>
      </c>
      <c r="L736" s="5" t="n">
        <v>31000</v>
      </c>
      <c r="M736" s="6" t="n">
        <v>39000</v>
      </c>
      <c r="N736" s="5" t="n"/>
      <c r="O736" s="5">
        <f>IF(AND(ISNUMBER(N736),ISNUMBER(M736)),N736-M736,"")</f>
        <v/>
      </c>
      <c r="P736" s="7">
        <f>IF(AND(ISNUMBER(N736),ISNUMBER(M736),M736&gt;0),(N736-M736)/M736,"")</f>
        <v/>
      </c>
      <c r="Q736" s="3">
        <f>IF(P736="","",IF(P736&lt;-0.02,"🔴 Bán phá giá sàn",IF(P736&gt;0.05,"🔵 Bán cao hơn","🟢 Đúng giá sàn TMĐT")))</f>
        <v/>
      </c>
      <c r="R736" s="3" t="n"/>
      <c r="S736" s="4" t="n"/>
      <c r="T736" s="4" t="n"/>
    </row>
    <row r="737">
      <c r="A737" s="3" t="n">
        <v>736</v>
      </c>
      <c r="B737" s="3" t="inlineStr">
        <is>
          <t>DL004</t>
        </is>
      </c>
      <c r="C737" s="4" t="inlineStr">
        <is>
          <t>HCM-BIGSHOP</t>
        </is>
      </c>
      <c r="D737" s="3" t="inlineStr">
        <is>
          <t>HCM</t>
        </is>
      </c>
      <c r="E737" s="3" t="inlineStr">
        <is>
          <t>XUÂN TRANG</t>
        </is>
      </c>
      <c r="F737" s="3" t="inlineStr">
        <is>
          <t>Website bán hàng</t>
        </is>
      </c>
      <c r="G737" s="4" t="inlineStr">
        <is>
          <t>SHOPEE: TIKTOK: LAZADA: WEBSITE BÁN HÀNG: https://bigshop.vn/</t>
        </is>
      </c>
      <c r="H737" s="3" t="inlineStr">
        <is>
          <t>KBL2-12310</t>
        </is>
      </c>
      <c r="I737" s="4" t="inlineStr">
        <is>
          <t>Mũi khoan bê tông gài xuyên tường 2 cạnh KBL2-12*310</t>
        </is>
      </c>
      <c r="J737" s="3" t="inlineStr">
        <is>
          <t>Cái</t>
        </is>
      </c>
      <c r="K737" s="5" t="n">
        <v>45000</v>
      </c>
      <c r="L737" s="5" t="n">
        <v>55000</v>
      </c>
      <c r="M737" s="6" t="n">
        <v>70000</v>
      </c>
      <c r="N737" s="5" t="n"/>
      <c r="O737" s="5">
        <f>IF(AND(ISNUMBER(N737),ISNUMBER(M737)),N737-M737,"")</f>
        <v/>
      </c>
      <c r="P737" s="7">
        <f>IF(AND(ISNUMBER(N737),ISNUMBER(M737),M737&gt;0),(N737-M737)/M737,"")</f>
        <v/>
      </c>
      <c r="Q737" s="3">
        <f>IF(P737="","",IF(P737&lt;-0.02,"🔴 Bán phá giá sàn",IF(P737&gt;0.05,"🔵 Bán cao hơn","🟢 Đúng giá sàn TMĐT")))</f>
        <v/>
      </c>
      <c r="R737" s="3" t="n"/>
      <c r="S737" s="4" t="n"/>
      <c r="T737" s="4" t="n"/>
    </row>
    <row r="738">
      <c r="A738" s="3" t="n">
        <v>737</v>
      </c>
      <c r="B738" s="3" t="inlineStr">
        <is>
          <t>DL004</t>
        </is>
      </c>
      <c r="C738" s="4" t="inlineStr">
        <is>
          <t>HCM-BIGSHOP</t>
        </is>
      </c>
      <c r="D738" s="3" t="inlineStr">
        <is>
          <t>HCM</t>
        </is>
      </c>
      <c r="E738" s="3" t="inlineStr">
        <is>
          <t>XUÂN TRANG</t>
        </is>
      </c>
      <c r="F738" s="3" t="inlineStr">
        <is>
          <t>Website bán hàng</t>
        </is>
      </c>
      <c r="G738" s="4" t="inlineStr">
        <is>
          <t>SHOPEE: TIKTOK: LAZADA: WEBSITE BÁN HÀNG: https://bigshop.vn/</t>
        </is>
      </c>
      <c r="H738" s="3" t="inlineStr">
        <is>
          <t>KBH4S-08117</t>
        </is>
      </c>
      <c r="I738" s="4" t="inlineStr">
        <is>
          <t>Mũi khoan ĐN lục giác 4 cạnh KBH4S-08*117</t>
        </is>
      </c>
      <c r="J738" s="3" t="inlineStr">
        <is>
          <t>Cái</t>
        </is>
      </c>
      <c r="K738" s="5" t="n">
        <v>32000</v>
      </c>
      <c r="L738" s="5" t="n">
        <v>40000</v>
      </c>
      <c r="M738" s="6" t="n">
        <v>51000</v>
      </c>
      <c r="N738" s="5" t="n"/>
      <c r="O738" s="5">
        <f>IF(AND(ISNUMBER(N738),ISNUMBER(M738)),N738-M738,"")</f>
        <v/>
      </c>
      <c r="P738" s="7">
        <f>IF(AND(ISNUMBER(N738),ISNUMBER(M738),M738&gt;0),(N738-M738)/M738,"")</f>
        <v/>
      </c>
      <c r="Q738" s="3">
        <f>IF(P738="","",IF(P738&lt;-0.02,"🔴 Bán phá giá sàn",IF(P738&gt;0.05,"🔵 Bán cao hơn","🟢 Đúng giá sàn TMĐT")))</f>
        <v/>
      </c>
      <c r="R738" s="3" t="n"/>
      <c r="S738" s="4" t="n"/>
      <c r="T738" s="4" t="n"/>
    </row>
    <row r="739">
      <c r="A739" s="3" t="n">
        <v>738</v>
      </c>
      <c r="B739" s="3" t="inlineStr">
        <is>
          <t>DL004</t>
        </is>
      </c>
      <c r="C739" s="4" t="inlineStr">
        <is>
          <t>HCM-BIGSHOP</t>
        </is>
      </c>
      <c r="D739" s="3" t="inlineStr">
        <is>
          <t>HCM</t>
        </is>
      </c>
      <c r="E739" s="3" t="inlineStr">
        <is>
          <t>XUÂN TRANG</t>
        </is>
      </c>
      <c r="F739" s="3" t="inlineStr">
        <is>
          <t>Website bán hàng</t>
        </is>
      </c>
      <c r="G739" s="4" t="inlineStr">
        <is>
          <t>SHOPEE: TIKTOK: LAZADA: WEBSITE BÁN HÀNG: https://bigshop.vn/</t>
        </is>
      </c>
      <c r="H739" s="3" t="inlineStr">
        <is>
          <t>KRS-55155</t>
        </is>
      </c>
      <c r="I739" s="4" t="inlineStr">
        <is>
          <t>Mũi khoan rút lõi khô KRS-55*155 (new)</t>
        </is>
      </c>
      <c r="J739" s="3" t="inlineStr">
        <is>
          <t>Cái</t>
        </is>
      </c>
      <c r="K739" s="5" t="n">
        <v>1190000</v>
      </c>
      <c r="L739" s="5" t="n">
        <v>1380000</v>
      </c>
      <c r="M739" s="6" t="n">
        <v>1666000</v>
      </c>
      <c r="N739" s="5" t="n"/>
      <c r="O739" s="5">
        <f>IF(AND(ISNUMBER(N739),ISNUMBER(M739)),N739-M739,"")</f>
        <v/>
      </c>
      <c r="P739" s="7">
        <f>IF(AND(ISNUMBER(N739),ISNUMBER(M739),M739&gt;0),(N739-M739)/M739,"")</f>
        <v/>
      </c>
      <c r="Q739" s="3">
        <f>IF(P739="","",IF(P739&lt;-0.02,"🔴 Bán phá giá sàn",IF(P739&gt;0.05,"🔵 Bán cao hơn","🟢 Đúng giá sàn TMĐT")))</f>
        <v/>
      </c>
      <c r="R739" s="3" t="n"/>
      <c r="S739" s="4" t="n"/>
      <c r="T739" s="4" t="n"/>
    </row>
    <row r="740">
      <c r="A740" s="3" t="n">
        <v>739</v>
      </c>
      <c r="B740" s="3" t="inlineStr">
        <is>
          <t>DL004</t>
        </is>
      </c>
      <c r="C740" s="4" t="inlineStr">
        <is>
          <t>HCM-BIGSHOP</t>
        </is>
      </c>
      <c r="D740" s="3" t="inlineStr">
        <is>
          <t>HCM</t>
        </is>
      </c>
      <c r="E740" s="3" t="inlineStr">
        <is>
          <t>XUÂN TRANG</t>
        </is>
      </c>
      <c r="F740" s="3" t="inlineStr">
        <is>
          <t>Website bán hàng</t>
        </is>
      </c>
      <c r="G740" s="4" t="inlineStr">
        <is>
          <t>SHOPEE: TIKTOK: LAZADA: WEBSITE BÁN HÀNG: https://bigshop.vn/</t>
        </is>
      </c>
      <c r="H740" s="3" t="inlineStr">
        <is>
          <t>KRS-60155</t>
        </is>
      </c>
      <c r="I740" s="4" t="inlineStr">
        <is>
          <t>Mũi khoan rút lõi khô KRS-60*155</t>
        </is>
      </c>
      <c r="J740" s="3" t="inlineStr">
        <is>
          <t>Cái</t>
        </is>
      </c>
      <c r="K740" s="5" t="n">
        <v>1290000</v>
      </c>
      <c r="L740" s="5" t="n">
        <v>1496000</v>
      </c>
      <c r="M740" s="6" t="n">
        <v>1806000</v>
      </c>
      <c r="N740" s="5" t="n"/>
      <c r="O740" s="5">
        <f>IF(AND(ISNUMBER(N740),ISNUMBER(M740)),N740-M740,"")</f>
        <v/>
      </c>
      <c r="P740" s="7">
        <f>IF(AND(ISNUMBER(N740),ISNUMBER(M740),M740&gt;0),(N740-M740)/M740,"")</f>
        <v/>
      </c>
      <c r="Q740" s="3">
        <f>IF(P740="","",IF(P740&lt;-0.02,"🔴 Bán phá giá sàn",IF(P740&gt;0.05,"🔵 Bán cao hơn","🟢 Đúng giá sàn TMĐT")))</f>
        <v/>
      </c>
      <c r="R740" s="3" t="n"/>
      <c r="S740" s="4" t="n"/>
      <c r="T740" s="4" t="n"/>
    </row>
    <row r="741">
      <c r="A741" s="3" t="n">
        <v>740</v>
      </c>
      <c r="B741" s="3" t="inlineStr">
        <is>
          <t>DL004</t>
        </is>
      </c>
      <c r="C741" s="4" t="inlineStr">
        <is>
          <t>HCM-BIGSHOP</t>
        </is>
      </c>
      <c r="D741" s="3" t="inlineStr">
        <is>
          <t>HCM</t>
        </is>
      </c>
      <c r="E741" s="3" t="inlineStr">
        <is>
          <t>XUÂN TRANG</t>
        </is>
      </c>
      <c r="F741" s="3" t="inlineStr">
        <is>
          <t>Website bán hàng</t>
        </is>
      </c>
      <c r="G741" s="4" t="inlineStr">
        <is>
          <t>SHOPEE: TIKTOK: LAZADA: WEBSITE BÁN HÀNG: https://bigshop.vn/</t>
        </is>
      </c>
      <c r="H741" s="3" t="inlineStr">
        <is>
          <t>KRS-60155</t>
        </is>
      </c>
      <c r="I741" s="4" t="inlineStr">
        <is>
          <t>Mũi khoan rút lõi khô KRS-60*155 (New)</t>
        </is>
      </c>
      <c r="J741" s="3" t="inlineStr">
        <is>
          <t>Cái</t>
        </is>
      </c>
      <c r="K741" s="5" t="n">
        <v>1290000</v>
      </c>
      <c r="L741" s="5" t="n">
        <v>1496000</v>
      </c>
      <c r="M741" s="6" t="n">
        <v>1806000</v>
      </c>
      <c r="N741" s="5" t="n"/>
      <c r="O741" s="5">
        <f>IF(AND(ISNUMBER(N741),ISNUMBER(M741)),N741-M741,"")</f>
        <v/>
      </c>
      <c r="P741" s="7">
        <f>IF(AND(ISNUMBER(N741),ISNUMBER(M741),M741&gt;0),(N741-M741)/M741,"")</f>
        <v/>
      </c>
      <c r="Q741" s="3">
        <f>IF(P741="","",IF(P741&lt;-0.02,"🔴 Bán phá giá sàn",IF(P741&gt;0.05,"🔵 Bán cao hơn","🟢 Đúng giá sàn TMĐT")))</f>
        <v/>
      </c>
      <c r="R741" s="3" t="n"/>
      <c r="S741" s="4" t="n"/>
      <c r="T741" s="4" t="n"/>
    </row>
    <row r="742">
      <c r="A742" s="3" t="n">
        <v>741</v>
      </c>
      <c r="B742" s="3" t="inlineStr">
        <is>
          <t>DL004</t>
        </is>
      </c>
      <c r="C742" s="4" t="inlineStr">
        <is>
          <t>HCM-BIGSHOP</t>
        </is>
      </c>
      <c r="D742" s="3" t="inlineStr">
        <is>
          <t>HCM</t>
        </is>
      </c>
      <c r="E742" s="3" t="inlineStr">
        <is>
          <t>XUÂN TRANG</t>
        </is>
      </c>
      <c r="F742" s="3" t="inlineStr">
        <is>
          <t>Website bán hàng</t>
        </is>
      </c>
      <c r="G742" s="4" t="inlineStr">
        <is>
          <t>SHOPEE: TIKTOK: LAZADA: WEBSITE BÁN HÀNG: https://bigshop.vn/</t>
        </is>
      </c>
      <c r="H742" s="3" t="inlineStr">
        <is>
          <t>M3-21/35</t>
        </is>
      </c>
      <c r="I742" s="4" t="inlineStr">
        <is>
          <t>Mũi khoan từ KingBlue M3-21/35</t>
        </is>
      </c>
      <c r="J742" s="3" t="inlineStr">
        <is>
          <t>Cái</t>
        </is>
      </c>
      <c r="K742" s="5" t="n">
        <v>269000</v>
      </c>
      <c r="L742" s="5" t="n">
        <v>317000</v>
      </c>
      <c r="M742" s="6" t="n">
        <v>390000</v>
      </c>
      <c r="N742" s="5" t="n"/>
      <c r="O742" s="5">
        <f>IF(AND(ISNUMBER(N742),ISNUMBER(M742)),N742-M742,"")</f>
        <v/>
      </c>
      <c r="P742" s="7">
        <f>IF(AND(ISNUMBER(N742),ISNUMBER(M742),M742&gt;0),(N742-M742)/M742,"")</f>
        <v/>
      </c>
      <c r="Q742" s="3">
        <f>IF(P742="","",IF(P742&lt;-0.02,"🔴 Bán phá giá sàn",IF(P742&gt;0.05,"🔵 Bán cao hơn","🟢 Đúng giá sàn TMĐT")))</f>
        <v/>
      </c>
      <c r="R742" s="3" t="n"/>
      <c r="S742" s="4" t="n"/>
      <c r="T742" s="4" t="n"/>
    </row>
    <row r="743">
      <c r="A743" s="3" t="n">
        <v>742</v>
      </c>
      <c r="B743" s="3" t="inlineStr">
        <is>
          <t>DL004</t>
        </is>
      </c>
      <c r="C743" s="4" t="inlineStr">
        <is>
          <t>HCM-BIGSHOP</t>
        </is>
      </c>
      <c r="D743" s="3" t="inlineStr">
        <is>
          <t>HCM</t>
        </is>
      </c>
      <c r="E743" s="3" t="inlineStr">
        <is>
          <t>XUÂN TRANG</t>
        </is>
      </c>
      <c r="F743" s="3" t="inlineStr">
        <is>
          <t>Website bán hàng</t>
        </is>
      </c>
      <c r="G743" s="4" t="inlineStr">
        <is>
          <t>SHOPEE: TIKTOK: LAZADA: WEBSITE BÁN HÀNG: https://bigshop.vn/</t>
        </is>
      </c>
      <c r="H743" s="3" t="inlineStr">
        <is>
          <t>M3-33/35</t>
        </is>
      </c>
      <c r="I743" s="4" t="inlineStr">
        <is>
          <t>Mũi khoan từ KingBlue M3-33/35</t>
        </is>
      </c>
      <c r="J743" s="3" t="inlineStr">
        <is>
          <t>Cái</t>
        </is>
      </c>
      <c r="K743" s="5" t="n">
        <v>269000</v>
      </c>
      <c r="L743" s="5" t="n">
        <v>317000</v>
      </c>
      <c r="M743" s="6" t="n">
        <v>390000</v>
      </c>
      <c r="N743" s="5" t="n"/>
      <c r="O743" s="5">
        <f>IF(AND(ISNUMBER(N743),ISNUMBER(M743)),N743-M743,"")</f>
        <v/>
      </c>
      <c r="P743" s="7">
        <f>IF(AND(ISNUMBER(N743),ISNUMBER(M743),M743&gt;0),(N743-M743)/M743,"")</f>
        <v/>
      </c>
      <c r="Q743" s="3">
        <f>IF(P743="","",IF(P743&lt;-0.02,"🔴 Bán phá giá sàn",IF(P743&gt;0.05,"🔵 Bán cao hơn","🟢 Đúng giá sàn TMĐT")))</f>
        <v/>
      </c>
      <c r="R743" s="3" t="n"/>
      <c r="S743" s="4" t="n"/>
      <c r="T743" s="4" t="n"/>
    </row>
    <row r="744">
      <c r="A744" s="3" t="n">
        <v>743</v>
      </c>
      <c r="B744" s="3" t="inlineStr">
        <is>
          <t>DL004</t>
        </is>
      </c>
      <c r="C744" s="4" t="inlineStr">
        <is>
          <t>HCM-BIGSHOP</t>
        </is>
      </c>
      <c r="D744" s="3" t="inlineStr">
        <is>
          <t>HCM</t>
        </is>
      </c>
      <c r="E744" s="3" t="inlineStr">
        <is>
          <t>XUÂN TRANG</t>
        </is>
      </c>
      <c r="F744" s="3" t="inlineStr">
        <is>
          <t>Website bán hàng</t>
        </is>
      </c>
      <c r="G744" s="4" t="inlineStr">
        <is>
          <t>SHOPEE: TIKTOK: LAZADA: WEBSITE BÁN HÀNG: https://bigshop.vn/</t>
        </is>
      </c>
      <c r="H744" s="3" t="inlineStr">
        <is>
          <t>KBT-0432</t>
        </is>
      </c>
      <c r="I744" s="4" t="inlineStr">
        <is>
          <t>Mũi khoan tháp M2 KBT-04*32</t>
        </is>
      </c>
      <c r="J744" s="3" t="inlineStr">
        <is>
          <t>Cái</t>
        </is>
      </c>
      <c r="K744" s="5" t="n">
        <v>319000</v>
      </c>
      <c r="L744" s="5" t="n">
        <v>395000</v>
      </c>
      <c r="M744" s="6" t="n">
        <v>510000</v>
      </c>
      <c r="N744" s="5" t="n"/>
      <c r="O744" s="5">
        <f>IF(AND(ISNUMBER(N744),ISNUMBER(M744)),N744-M744,"")</f>
        <v/>
      </c>
      <c r="P744" s="7">
        <f>IF(AND(ISNUMBER(N744),ISNUMBER(M744),M744&gt;0),(N744-M744)/M744,"")</f>
        <v/>
      </c>
      <c r="Q744" s="3">
        <f>IF(P744="","",IF(P744&lt;-0.02,"🔴 Bán phá giá sàn",IF(P744&gt;0.05,"🔵 Bán cao hơn","🟢 Đúng giá sàn TMĐT")))</f>
        <v/>
      </c>
      <c r="R744" s="3" t="n"/>
      <c r="S744" s="4" t="n"/>
      <c r="T744" s="4" t="n"/>
    </row>
    <row r="745">
      <c r="A745" s="3" t="n">
        <v>744</v>
      </c>
      <c r="B745" s="3" t="inlineStr">
        <is>
          <t>DL004</t>
        </is>
      </c>
      <c r="C745" s="4" t="inlineStr">
        <is>
          <t>HCM-BIGSHOP</t>
        </is>
      </c>
      <c r="D745" s="3" t="inlineStr">
        <is>
          <t>HCM</t>
        </is>
      </c>
      <c r="E745" s="3" t="inlineStr">
        <is>
          <t>XUÂN TRANG</t>
        </is>
      </c>
      <c r="F745" s="3" t="inlineStr">
        <is>
          <t>Website bán hàng</t>
        </is>
      </c>
      <c r="G745" s="4" t="inlineStr">
        <is>
          <t>SHOPEE: TIKTOK: LAZADA: WEBSITE BÁN HÀNG: https://bigshop.vn/</t>
        </is>
      </c>
      <c r="H745" s="3" t="inlineStr">
        <is>
          <t>KBY1-020</t>
        </is>
      </c>
      <c r="I745" s="4" t="inlineStr">
        <is>
          <t>Mũi khoan thép KBY1-020</t>
        </is>
      </c>
      <c r="J745" s="3" t="inlineStr">
        <is>
          <t>Cái</t>
        </is>
      </c>
      <c r="K745" s="5" t="n">
        <v>6000</v>
      </c>
      <c r="L745" s="5" t="n">
        <v>8000</v>
      </c>
      <c r="M745" s="6" t="n">
        <v>10000</v>
      </c>
      <c r="N745" s="5" t="n"/>
      <c r="O745" s="5">
        <f>IF(AND(ISNUMBER(N745),ISNUMBER(M745)),N745-M745,"")</f>
        <v/>
      </c>
      <c r="P745" s="7">
        <f>IF(AND(ISNUMBER(N745),ISNUMBER(M745),M745&gt;0),(N745-M745)/M745,"")</f>
        <v/>
      </c>
      <c r="Q745" s="3">
        <f>IF(P745="","",IF(P745&lt;-0.02,"🔴 Bán phá giá sàn",IF(P745&gt;0.05,"🔵 Bán cao hơn","🟢 Đúng giá sàn TMĐT")))</f>
        <v/>
      </c>
      <c r="R745" s="3" t="n"/>
      <c r="S745" s="4" t="n"/>
      <c r="T745" s="4" t="n"/>
    </row>
    <row r="746">
      <c r="A746" s="3" t="n">
        <v>745</v>
      </c>
      <c r="B746" s="3" t="inlineStr">
        <is>
          <t>DL004</t>
        </is>
      </c>
      <c r="C746" s="4" t="inlineStr">
        <is>
          <t>HCM-BIGSHOP</t>
        </is>
      </c>
      <c r="D746" s="3" t="inlineStr">
        <is>
          <t>HCM</t>
        </is>
      </c>
      <c r="E746" s="3" t="inlineStr">
        <is>
          <t>XUÂN TRANG</t>
        </is>
      </c>
      <c r="F746" s="3" t="inlineStr">
        <is>
          <t>Website bán hàng</t>
        </is>
      </c>
      <c r="G746" s="4" t="inlineStr">
        <is>
          <t>SHOPEE: TIKTOK: LAZADA: WEBSITE BÁN HÀNG: https://bigshop.vn/</t>
        </is>
      </c>
      <c r="H746" s="3" t="inlineStr">
        <is>
          <t>KBY1-025</t>
        </is>
      </c>
      <c r="I746" s="4" t="inlineStr">
        <is>
          <t>Mũi khoan thép KBY1-025</t>
        </is>
      </c>
      <c r="J746" s="3" t="inlineStr">
        <is>
          <t>Cái</t>
        </is>
      </c>
      <c r="K746" s="5" t="n">
        <v>6000</v>
      </c>
      <c r="L746" s="5" t="n">
        <v>8000</v>
      </c>
      <c r="M746" s="6" t="n">
        <v>10000</v>
      </c>
      <c r="N746" s="5" t="n"/>
      <c r="O746" s="5">
        <f>IF(AND(ISNUMBER(N746),ISNUMBER(M746)),N746-M746,"")</f>
        <v/>
      </c>
      <c r="P746" s="7">
        <f>IF(AND(ISNUMBER(N746),ISNUMBER(M746),M746&gt;0),(N746-M746)/M746,"")</f>
        <v/>
      </c>
      <c r="Q746" s="3">
        <f>IF(P746="","",IF(P746&lt;-0.02,"🔴 Bán phá giá sàn",IF(P746&gt;0.05,"🔵 Bán cao hơn","🟢 Đúng giá sàn TMĐT")))</f>
        <v/>
      </c>
      <c r="R746" s="3" t="n"/>
      <c r="S746" s="4" t="n"/>
      <c r="T746" s="4" t="n"/>
    </row>
    <row r="747">
      <c r="A747" s="3" t="n">
        <v>746</v>
      </c>
      <c r="B747" s="3" t="inlineStr">
        <is>
          <t>DL004</t>
        </is>
      </c>
      <c r="C747" s="4" t="inlineStr">
        <is>
          <t>HCM-BIGSHOP</t>
        </is>
      </c>
      <c r="D747" s="3" t="inlineStr">
        <is>
          <t>HCM</t>
        </is>
      </c>
      <c r="E747" s="3" t="inlineStr">
        <is>
          <t>XUÂN TRANG</t>
        </is>
      </c>
      <c r="F747" s="3" t="inlineStr">
        <is>
          <t>Website bán hàng</t>
        </is>
      </c>
      <c r="G747" s="4" t="inlineStr">
        <is>
          <t>SHOPEE: TIKTOK: LAZADA: WEBSITE BÁN HÀNG: https://bigshop.vn/</t>
        </is>
      </c>
      <c r="H747" s="3" t="inlineStr">
        <is>
          <t>KBY1-032</t>
        </is>
      </c>
      <c r="I747" s="4" t="inlineStr">
        <is>
          <t>Mũi khoan thép KBY1-032</t>
        </is>
      </c>
      <c r="J747" s="3" t="inlineStr">
        <is>
          <t>Cái</t>
        </is>
      </c>
      <c r="K747" s="5" t="n">
        <v>9000</v>
      </c>
      <c r="L747" s="5" t="n">
        <v>11000</v>
      </c>
      <c r="M747" s="6" t="n">
        <v>14000</v>
      </c>
      <c r="N747" s="5" t="n"/>
      <c r="O747" s="5">
        <f>IF(AND(ISNUMBER(N747),ISNUMBER(M747)),N747-M747,"")</f>
        <v/>
      </c>
      <c r="P747" s="7">
        <f>IF(AND(ISNUMBER(N747),ISNUMBER(M747),M747&gt;0),(N747-M747)/M747,"")</f>
        <v/>
      </c>
      <c r="Q747" s="3">
        <f>IF(P747="","",IF(P747&lt;-0.02,"🔴 Bán phá giá sàn",IF(P747&gt;0.05,"🔵 Bán cao hơn","🟢 Đúng giá sàn TMĐT")))</f>
        <v/>
      </c>
      <c r="R747" s="3" t="n"/>
      <c r="S747" s="4" t="n"/>
      <c r="T747" s="4" t="n"/>
    </row>
    <row r="748">
      <c r="A748" s="3" t="n">
        <v>747</v>
      </c>
      <c r="B748" s="3" t="inlineStr">
        <is>
          <t>DL004</t>
        </is>
      </c>
      <c r="C748" s="4" t="inlineStr">
        <is>
          <t>HCM-BIGSHOP</t>
        </is>
      </c>
      <c r="D748" s="3" t="inlineStr">
        <is>
          <t>HCM</t>
        </is>
      </c>
      <c r="E748" s="3" t="inlineStr">
        <is>
          <t>XUÂN TRANG</t>
        </is>
      </c>
      <c r="F748" s="3" t="inlineStr">
        <is>
          <t>Website bán hàng</t>
        </is>
      </c>
      <c r="G748" s="4" t="inlineStr">
        <is>
          <t>SHOPEE: TIKTOK: LAZADA: WEBSITE BÁN HÀNG: https://bigshop.vn/</t>
        </is>
      </c>
      <c r="H748" s="3" t="inlineStr">
        <is>
          <t>KBL4-10350</t>
        </is>
      </c>
      <c r="I748" s="4" t="inlineStr">
        <is>
          <t>Mũi khoan xuyên tường 4 cạnh KBL4-10*350</t>
        </is>
      </c>
      <c r="J748" s="3" t="inlineStr">
        <is>
          <t>Cái</t>
        </is>
      </c>
      <c r="K748" s="5" t="n">
        <v>81000</v>
      </c>
      <c r="L748" s="5" t="n">
        <v>99000</v>
      </c>
      <c r="M748" s="6" t="n">
        <v>126000</v>
      </c>
      <c r="N748" s="5" t="n"/>
      <c r="O748" s="5">
        <f>IF(AND(ISNUMBER(N748),ISNUMBER(M748)),N748-M748,"")</f>
        <v/>
      </c>
      <c r="P748" s="7">
        <f>IF(AND(ISNUMBER(N748),ISNUMBER(M748),M748&gt;0),(N748-M748)/M748,"")</f>
        <v/>
      </c>
      <c r="Q748" s="3">
        <f>IF(P748="","",IF(P748&lt;-0.02,"🔴 Bán phá giá sàn",IF(P748&gt;0.05,"🔵 Bán cao hơn","🟢 Đúng giá sàn TMĐT")))</f>
        <v/>
      </c>
      <c r="R748" s="3" t="n"/>
      <c r="S748" s="4" t="n"/>
      <c r="T748" s="4" t="n"/>
    </row>
    <row r="749">
      <c r="A749" s="3" t="n">
        <v>748</v>
      </c>
      <c r="B749" s="3" t="inlineStr">
        <is>
          <t>DL004</t>
        </is>
      </c>
      <c r="C749" s="4" t="inlineStr">
        <is>
          <t>HCM-BIGSHOP</t>
        </is>
      </c>
      <c r="D749" s="3" t="inlineStr">
        <is>
          <t>HCM</t>
        </is>
      </c>
      <c r="E749" s="3" t="inlineStr">
        <is>
          <t>XUÂN TRANG</t>
        </is>
      </c>
      <c r="F749" s="3" t="inlineStr">
        <is>
          <t>Website bán hàng</t>
        </is>
      </c>
      <c r="G749" s="4" t="inlineStr">
        <is>
          <t>SHOPEE: TIKTOK: LAZADA: WEBSITE BÁN HÀNG: https://bigshop.vn/</t>
        </is>
      </c>
      <c r="H749" s="3" t="inlineStr">
        <is>
          <t>KBL4-14350</t>
        </is>
      </c>
      <c r="I749" s="4" t="inlineStr">
        <is>
          <t>Mũi khoan xuyên tường 4 cạnh KBL4-14*350</t>
        </is>
      </c>
      <c r="J749" s="3" t="inlineStr">
        <is>
          <t>Cái</t>
        </is>
      </c>
      <c r="K749" s="5" t="n">
        <v>105000</v>
      </c>
      <c r="L749" s="5" t="n">
        <v>128000</v>
      </c>
      <c r="M749" s="6" t="n">
        <v>163000</v>
      </c>
      <c r="N749" s="5" t="n"/>
      <c r="O749" s="5">
        <f>IF(AND(ISNUMBER(N749),ISNUMBER(M749)),N749-M749,"")</f>
        <v/>
      </c>
      <c r="P749" s="7">
        <f>IF(AND(ISNUMBER(N749),ISNUMBER(M749),M749&gt;0),(N749-M749)/M749,"")</f>
        <v/>
      </c>
      <c r="Q749" s="3">
        <f>IF(P749="","",IF(P749&lt;-0.02,"🔴 Bán phá giá sàn",IF(P749&gt;0.05,"🔵 Bán cao hơn","🟢 Đúng giá sàn TMĐT")))</f>
        <v/>
      </c>
      <c r="R749" s="3" t="n"/>
      <c r="S749" s="4" t="n"/>
      <c r="T749" s="4" t="n"/>
    </row>
    <row r="750">
      <c r="A750" s="3" t="n">
        <v>749</v>
      </c>
      <c r="B750" s="3" t="inlineStr">
        <is>
          <t>DL004</t>
        </is>
      </c>
      <c r="C750" s="4" t="inlineStr">
        <is>
          <t>HCM-BIGSHOP</t>
        </is>
      </c>
      <c r="D750" s="3" t="inlineStr">
        <is>
          <t>HCM</t>
        </is>
      </c>
      <c r="E750" s="3" t="inlineStr">
        <is>
          <t>XUÂN TRANG</t>
        </is>
      </c>
      <c r="F750" s="3" t="inlineStr">
        <is>
          <t>Website bán hàng</t>
        </is>
      </c>
      <c r="G750" s="4" t="inlineStr">
        <is>
          <t>SHOPEE: TIKTOK: LAZADA: WEBSITE BÁN HÀNG: https://bigshop.vn/</t>
        </is>
      </c>
      <c r="H750" s="3" t="inlineStr">
        <is>
          <t>KBL4-16350</t>
        </is>
      </c>
      <c r="I750" s="4" t="inlineStr">
        <is>
          <t>Mũi khoan xuyên tường 4 cạnh KBL4-16*350</t>
        </is>
      </c>
      <c r="J750" s="3" t="inlineStr">
        <is>
          <t>Cái</t>
        </is>
      </c>
      <c r="K750" s="5" t="n">
        <v>126000</v>
      </c>
      <c r="L750" s="5" t="n">
        <v>154000</v>
      </c>
      <c r="M750" s="6" t="n">
        <v>195000</v>
      </c>
      <c r="N750" s="5" t="n"/>
      <c r="O750" s="5">
        <f>IF(AND(ISNUMBER(N750),ISNUMBER(M750)),N750-M750,"")</f>
        <v/>
      </c>
      <c r="P750" s="7">
        <f>IF(AND(ISNUMBER(N750),ISNUMBER(M750),M750&gt;0),(N750-M750)/M750,"")</f>
        <v/>
      </c>
      <c r="Q750" s="3">
        <f>IF(P750="","",IF(P750&lt;-0.02,"🔴 Bán phá giá sàn",IF(P750&gt;0.05,"🔵 Bán cao hơn","🟢 Đúng giá sàn TMĐT")))</f>
        <v/>
      </c>
      <c r="R750" s="3" t="n"/>
      <c r="S750" s="4" t="n"/>
      <c r="T750" s="4" t="n"/>
    </row>
    <row r="751">
      <c r="A751" s="3" t="n">
        <v>750</v>
      </c>
      <c r="B751" s="3" t="inlineStr">
        <is>
          <t>DL004</t>
        </is>
      </c>
      <c r="C751" s="4" t="inlineStr">
        <is>
          <t>HCM-BIGSHOP</t>
        </is>
      </c>
      <c r="D751" s="3" t="inlineStr">
        <is>
          <t>HCM</t>
        </is>
      </c>
      <c r="E751" s="3" t="inlineStr">
        <is>
          <t>XUÂN TRANG</t>
        </is>
      </c>
      <c r="F751" s="3" t="inlineStr">
        <is>
          <t>Website bán hàng</t>
        </is>
      </c>
      <c r="G751" s="4" t="inlineStr">
        <is>
          <t>SHOPEE: TIKTOK: LAZADA: WEBSITE BÁN HÀNG: https://bigshop.vn/</t>
        </is>
      </c>
      <c r="H751" s="3" t="inlineStr">
        <is>
          <t>R1-35/25</t>
        </is>
      </c>
      <c r="I751" s="4" t="inlineStr">
        <is>
          <t>Mũi khoét hợp kim BlueBird R1-35/25</t>
        </is>
      </c>
      <c r="J751" s="3" t="inlineStr">
        <is>
          <t>Cái</t>
        </is>
      </c>
      <c r="K751" s="5" t="n">
        <v>129000</v>
      </c>
      <c r="L751" s="5" t="n">
        <v>157000</v>
      </c>
      <c r="M751" s="6" t="n">
        <v>200000</v>
      </c>
      <c r="N751" s="5" t="n"/>
      <c r="O751" s="5">
        <f>IF(AND(ISNUMBER(N751),ISNUMBER(M751)),N751-M751,"")</f>
        <v/>
      </c>
      <c r="P751" s="7">
        <f>IF(AND(ISNUMBER(N751),ISNUMBER(M751),M751&gt;0),(N751-M751)/M751,"")</f>
        <v/>
      </c>
      <c r="Q751" s="3">
        <f>IF(P751="","",IF(P751&lt;-0.02,"🔴 Bán phá giá sàn",IF(P751&gt;0.05,"🔵 Bán cao hơn","🟢 Đúng giá sàn TMĐT")))</f>
        <v/>
      </c>
      <c r="R751" s="3" t="n"/>
      <c r="S751" s="4" t="n"/>
      <c r="T751" s="4" t="n"/>
    </row>
    <row r="752">
      <c r="A752" s="3" t="n">
        <v>751</v>
      </c>
      <c r="B752" s="3" t="inlineStr">
        <is>
          <t>DL004</t>
        </is>
      </c>
      <c r="C752" s="4" t="inlineStr">
        <is>
          <t>HCM-BIGSHOP</t>
        </is>
      </c>
      <c r="D752" s="3" t="inlineStr">
        <is>
          <t>HCM</t>
        </is>
      </c>
      <c r="E752" s="3" t="inlineStr">
        <is>
          <t>XUÂN TRANG</t>
        </is>
      </c>
      <c r="F752" s="3" t="inlineStr">
        <is>
          <t>Website bán hàng</t>
        </is>
      </c>
      <c r="G752" s="4" t="inlineStr">
        <is>
          <t>SHOPEE: TIKTOK: LAZADA: WEBSITE BÁN HÀNG: https://bigshop.vn/</t>
        </is>
      </c>
      <c r="H752" s="3" t="inlineStr">
        <is>
          <t>R1-60/25</t>
        </is>
      </c>
      <c r="I752" s="4" t="inlineStr">
        <is>
          <t>Mũi khoét hợp kim Bluebird R1-60/25</t>
        </is>
      </c>
      <c r="J752" s="3" t="inlineStr">
        <is>
          <t>Cái</t>
        </is>
      </c>
      <c r="K752" s="5" t="n">
        <v>219000</v>
      </c>
      <c r="L752" s="5" t="n">
        <v>267000</v>
      </c>
      <c r="M752" s="6" t="n">
        <v>340000</v>
      </c>
      <c r="N752" s="5" t="n"/>
      <c r="O752" s="5">
        <f>IF(AND(ISNUMBER(N752),ISNUMBER(M752)),N752-M752,"")</f>
        <v/>
      </c>
      <c r="P752" s="7">
        <f>IF(AND(ISNUMBER(N752),ISNUMBER(M752),M752&gt;0),(N752-M752)/M752,"")</f>
        <v/>
      </c>
      <c r="Q752" s="3">
        <f>IF(P752="","",IF(P752&lt;-0.02,"🔴 Bán phá giá sàn",IF(P752&gt;0.05,"🔵 Bán cao hơn","🟢 Đúng giá sàn TMĐT")))</f>
        <v/>
      </c>
      <c r="R752" s="3" t="n"/>
      <c r="S752" s="4" t="n"/>
      <c r="T752" s="4" t="n"/>
    </row>
    <row r="753">
      <c r="A753" s="3" t="n">
        <v>752</v>
      </c>
      <c r="B753" s="3" t="inlineStr">
        <is>
          <t>DL004</t>
        </is>
      </c>
      <c r="C753" s="4" t="inlineStr">
        <is>
          <t>HCM-BIGSHOP</t>
        </is>
      </c>
      <c r="D753" s="3" t="inlineStr">
        <is>
          <t>HCM</t>
        </is>
      </c>
      <c r="E753" s="3" t="inlineStr">
        <is>
          <t>XUÂN TRANG</t>
        </is>
      </c>
      <c r="F753" s="3" t="inlineStr">
        <is>
          <t>Website bán hàng</t>
        </is>
      </c>
      <c r="G753" s="4" t="inlineStr">
        <is>
          <t>SHOPEE: TIKTOK: LAZADA: WEBSITE BÁN HÀNG: https://bigshop.vn/</t>
        </is>
      </c>
      <c r="H753" s="3" t="inlineStr">
        <is>
          <t>R1-75/25</t>
        </is>
      </c>
      <c r="I753" s="4" t="inlineStr">
        <is>
          <t>Mũi khoét hợp kim Bluebird R1-75/25</t>
        </is>
      </c>
      <c r="J753" s="3" t="inlineStr">
        <is>
          <t>Cái</t>
        </is>
      </c>
      <c r="K753" s="5" t="n">
        <v>276000</v>
      </c>
      <c r="L753" s="5" t="n">
        <v>337000</v>
      </c>
      <c r="M753" s="6" t="n">
        <v>428000</v>
      </c>
      <c r="N753" s="5" t="n"/>
      <c r="O753" s="5">
        <f>IF(AND(ISNUMBER(N753),ISNUMBER(M753)),N753-M753,"")</f>
        <v/>
      </c>
      <c r="P753" s="7">
        <f>IF(AND(ISNUMBER(N753),ISNUMBER(M753),M753&gt;0),(N753-M753)/M753,"")</f>
        <v/>
      </c>
      <c r="Q753" s="3">
        <f>IF(P753="","",IF(P753&lt;-0.02,"🔴 Bán phá giá sàn",IF(P753&gt;0.05,"🔵 Bán cao hơn","🟢 Đúng giá sàn TMĐT")))</f>
        <v/>
      </c>
      <c r="R753" s="3" t="n"/>
      <c r="S753" s="4" t="n"/>
      <c r="T753" s="4" t="n"/>
    </row>
    <row r="754">
      <c r="A754" s="3" t="n">
        <v>753</v>
      </c>
      <c r="B754" s="3" t="inlineStr">
        <is>
          <t>DL004</t>
        </is>
      </c>
      <c r="C754" s="4" t="inlineStr">
        <is>
          <t>HCM-BIGSHOP</t>
        </is>
      </c>
      <c r="D754" s="3" t="inlineStr">
        <is>
          <t>HCM</t>
        </is>
      </c>
      <c r="E754" s="3" t="inlineStr">
        <is>
          <t>XUÂN TRANG</t>
        </is>
      </c>
      <c r="F754" s="3" t="inlineStr">
        <is>
          <t>Website bán hàng</t>
        </is>
      </c>
      <c r="G754" s="4" t="inlineStr">
        <is>
          <t>SHOPEE: TIKTOK: LAZADA: WEBSITE BÁN HÀNG: https://bigshop.vn/</t>
        </is>
      </c>
      <c r="H754" s="3" t="inlineStr">
        <is>
          <t>R1-16/25</t>
        </is>
      </c>
      <c r="I754" s="4" t="inlineStr">
        <is>
          <t>Mũi khoét hợp kim Kingblue R1-16/25</t>
        </is>
      </c>
      <c r="J754" s="3" t="inlineStr">
        <is>
          <t>Cái</t>
        </is>
      </c>
      <c r="K754" s="5" t="n">
        <v>59000</v>
      </c>
      <c r="L754" s="5" t="n">
        <v>72000</v>
      </c>
      <c r="M754" s="6" t="n">
        <v>92000</v>
      </c>
      <c r="N754" s="5" t="n"/>
      <c r="O754" s="5">
        <f>IF(AND(ISNUMBER(N754),ISNUMBER(M754)),N754-M754,"")</f>
        <v/>
      </c>
      <c r="P754" s="7">
        <f>IF(AND(ISNUMBER(N754),ISNUMBER(M754),M754&gt;0),(N754-M754)/M754,"")</f>
        <v/>
      </c>
      <c r="Q754" s="3">
        <f>IF(P754="","",IF(P754&lt;-0.02,"🔴 Bán phá giá sàn",IF(P754&gt;0.05,"🔵 Bán cao hơn","🟢 Đúng giá sàn TMĐT")))</f>
        <v/>
      </c>
      <c r="R754" s="3" t="n"/>
      <c r="S754" s="4" t="n"/>
      <c r="T754" s="4" t="n"/>
    </row>
    <row r="755">
      <c r="A755" s="3" t="n">
        <v>754</v>
      </c>
      <c r="B755" s="3" t="inlineStr">
        <is>
          <t>DL004</t>
        </is>
      </c>
      <c r="C755" s="4" t="inlineStr">
        <is>
          <t>HCM-BIGSHOP</t>
        </is>
      </c>
      <c r="D755" s="3" t="inlineStr">
        <is>
          <t>HCM</t>
        </is>
      </c>
      <c r="E755" s="3" t="inlineStr">
        <is>
          <t>XUÂN TRANG</t>
        </is>
      </c>
      <c r="F755" s="3" t="inlineStr">
        <is>
          <t>Website bán hàng</t>
        </is>
      </c>
      <c r="G755" s="4" t="inlineStr">
        <is>
          <t>SHOPEE: TIKTOK: LAZADA: WEBSITE BÁN HÀNG: https://bigshop.vn/</t>
        </is>
      </c>
      <c r="H755" s="3" t="inlineStr">
        <is>
          <t>R1-20/25</t>
        </is>
      </c>
      <c r="I755" s="4" t="inlineStr">
        <is>
          <t>Mũi khoét hợp kim Kingblue R1-20/25</t>
        </is>
      </c>
      <c r="J755" s="3" t="inlineStr">
        <is>
          <t>Cái</t>
        </is>
      </c>
      <c r="K755" s="5" t="n">
        <v>72000</v>
      </c>
      <c r="L755" s="5" t="n">
        <v>88000</v>
      </c>
      <c r="M755" s="6" t="n">
        <v>112000</v>
      </c>
      <c r="N755" s="5" t="n"/>
      <c r="O755" s="5">
        <f>IF(AND(ISNUMBER(N755),ISNUMBER(M755)),N755-M755,"")</f>
        <v/>
      </c>
      <c r="P755" s="7">
        <f>IF(AND(ISNUMBER(N755),ISNUMBER(M755),M755&gt;0),(N755-M755)/M755,"")</f>
        <v/>
      </c>
      <c r="Q755" s="3">
        <f>IF(P755="","",IF(P755&lt;-0.02,"🔴 Bán phá giá sàn",IF(P755&gt;0.05,"🔵 Bán cao hơn","🟢 Đúng giá sàn TMĐT")))</f>
        <v/>
      </c>
      <c r="R755" s="3" t="n"/>
      <c r="S755" s="4" t="n"/>
      <c r="T755" s="4" t="n"/>
    </row>
    <row r="756">
      <c r="A756" s="3" t="n">
        <v>755</v>
      </c>
      <c r="B756" s="3" t="inlineStr">
        <is>
          <t>DL004</t>
        </is>
      </c>
      <c r="C756" s="4" t="inlineStr">
        <is>
          <t>HCM-BIGSHOP</t>
        </is>
      </c>
      <c r="D756" s="3" t="inlineStr">
        <is>
          <t>HCM</t>
        </is>
      </c>
      <c r="E756" s="3" t="inlineStr">
        <is>
          <t>XUÂN TRANG</t>
        </is>
      </c>
      <c r="F756" s="3" t="inlineStr">
        <is>
          <t>Website bán hàng</t>
        </is>
      </c>
      <c r="G756" s="4" t="inlineStr">
        <is>
          <t>SHOPEE: TIKTOK: LAZADA: WEBSITE BÁN HÀNG: https://bigshop.vn/</t>
        </is>
      </c>
      <c r="H756" s="3" t="inlineStr">
        <is>
          <t>R1-25/25</t>
        </is>
      </c>
      <c r="I756" s="4" t="inlineStr">
        <is>
          <t>Mũi khoét hợp kim Kingblue R1-25/25</t>
        </is>
      </c>
      <c r="J756" s="3" t="inlineStr">
        <is>
          <t>Cái</t>
        </is>
      </c>
      <c r="K756" s="5" t="n">
        <v>91000</v>
      </c>
      <c r="L756" s="5" t="n">
        <v>111000</v>
      </c>
      <c r="M756" s="6" t="n">
        <v>141000</v>
      </c>
      <c r="N756" s="5" t="n"/>
      <c r="O756" s="5">
        <f>IF(AND(ISNUMBER(N756),ISNUMBER(M756)),N756-M756,"")</f>
        <v/>
      </c>
      <c r="P756" s="7">
        <f>IF(AND(ISNUMBER(N756),ISNUMBER(M756),M756&gt;0),(N756-M756)/M756,"")</f>
        <v/>
      </c>
      <c r="Q756" s="3">
        <f>IF(P756="","",IF(P756&lt;-0.02,"🔴 Bán phá giá sàn",IF(P756&gt;0.05,"🔵 Bán cao hơn","🟢 Đúng giá sàn TMĐT")))</f>
        <v/>
      </c>
      <c r="R756" s="3" t="n"/>
      <c r="S756" s="4" t="n"/>
      <c r="T756" s="4" t="n"/>
    </row>
    <row r="757">
      <c r="A757" s="3" t="n">
        <v>756</v>
      </c>
      <c r="B757" s="3" t="inlineStr">
        <is>
          <t>DL004</t>
        </is>
      </c>
      <c r="C757" s="4" t="inlineStr">
        <is>
          <t>HCM-BIGSHOP</t>
        </is>
      </c>
      <c r="D757" s="3" t="inlineStr">
        <is>
          <t>HCM</t>
        </is>
      </c>
      <c r="E757" s="3" t="inlineStr">
        <is>
          <t>XUÂN TRANG</t>
        </is>
      </c>
      <c r="F757" s="3" t="inlineStr">
        <is>
          <t>Website bán hàng</t>
        </is>
      </c>
      <c r="G757" s="4" t="inlineStr">
        <is>
          <t>SHOPEE: TIKTOK: LAZADA: WEBSITE BÁN HÀNG: https://bigshop.vn/</t>
        </is>
      </c>
      <c r="H757" s="3" t="inlineStr">
        <is>
          <t>KZ-40</t>
        </is>
      </c>
      <c r="I757" s="4" t="inlineStr">
        <is>
          <t>Nhám xếp KingBlue KZ-40 (NEW)</t>
        </is>
      </c>
      <c r="J757" s="3" t="inlineStr">
        <is>
          <t>Cái</t>
        </is>
      </c>
      <c r="K757" s="5" t="n">
        <v>269000</v>
      </c>
      <c r="L757" s="5" t="n">
        <v>317000</v>
      </c>
      <c r="M757" s="6" t="n">
        <v>390000</v>
      </c>
      <c r="N757" s="5" t="n"/>
      <c r="O757" s="5">
        <f>IF(AND(ISNUMBER(N757),ISNUMBER(M757)),N757-M757,"")</f>
        <v/>
      </c>
      <c r="P757" s="7">
        <f>IF(AND(ISNUMBER(N757),ISNUMBER(M757),M757&gt;0),(N757-M757)/M757,"")</f>
        <v/>
      </c>
      <c r="Q757" s="3">
        <f>IF(P757="","",IF(P757&lt;-0.02,"🔴 Bán phá giá sàn",IF(P757&gt;0.05,"🔵 Bán cao hơn","🟢 Đúng giá sàn TMĐT")))</f>
        <v/>
      </c>
      <c r="R757" s="3" t="n"/>
      <c r="S757" s="4" t="n"/>
      <c r="T757" s="4" t="n"/>
    </row>
    <row r="758">
      <c r="A758" s="3" t="n">
        <v>757</v>
      </c>
      <c r="B758" s="3" t="inlineStr">
        <is>
          <t>DL004</t>
        </is>
      </c>
      <c r="C758" s="4" t="inlineStr">
        <is>
          <t>HCM-BIGSHOP</t>
        </is>
      </c>
      <c r="D758" s="3" t="inlineStr">
        <is>
          <t>HCM</t>
        </is>
      </c>
      <c r="E758" s="3" t="inlineStr">
        <is>
          <t>XUÂN TRANG</t>
        </is>
      </c>
      <c r="F758" s="3" t="inlineStr">
        <is>
          <t>Website bán hàng</t>
        </is>
      </c>
      <c r="G758" s="4" t="inlineStr">
        <is>
          <t>SHOPEE: TIKTOK: LAZADA: WEBSITE BÁN HÀNG: https://bigshop.vn/</t>
        </is>
      </c>
      <c r="H758" s="3" t="inlineStr">
        <is>
          <t>KZ-60</t>
        </is>
      </c>
      <c r="I758" s="4" t="inlineStr">
        <is>
          <t>Nhám xếp KingBlue KZ-60 (NEW)</t>
        </is>
      </c>
      <c r="J758" s="3" t="inlineStr">
        <is>
          <t>Cái</t>
        </is>
      </c>
      <c r="K758" s="5" t="n">
        <v>269000</v>
      </c>
      <c r="L758" s="5" t="n">
        <v>317000</v>
      </c>
      <c r="M758" s="6" t="n">
        <v>390000</v>
      </c>
      <c r="N758" s="5" t="n"/>
      <c r="O758" s="5">
        <f>IF(AND(ISNUMBER(N758),ISNUMBER(M758)),N758-M758,"")</f>
        <v/>
      </c>
      <c r="P758" s="7">
        <f>IF(AND(ISNUMBER(N758),ISNUMBER(M758),M758&gt;0),(N758-M758)/M758,"")</f>
        <v/>
      </c>
      <c r="Q758" s="3">
        <f>IF(P758="","",IF(P758&lt;-0.02,"🔴 Bán phá giá sàn",IF(P758&gt;0.05,"🔵 Bán cao hơn","🟢 Đúng giá sàn TMĐT")))</f>
        <v/>
      </c>
      <c r="R758" s="3" t="n"/>
      <c r="S758" s="4" t="n"/>
      <c r="T758" s="4" t="n"/>
    </row>
    <row r="759">
      <c r="A759" s="3" t="n">
        <v>758</v>
      </c>
      <c r="B759" s="3" t="inlineStr">
        <is>
          <t>DL004</t>
        </is>
      </c>
      <c r="C759" s="4" t="inlineStr">
        <is>
          <t>HCM-BIGSHOP</t>
        </is>
      </c>
      <c r="D759" s="3" t="inlineStr">
        <is>
          <t>HCM</t>
        </is>
      </c>
      <c r="E759" s="3" t="inlineStr">
        <is>
          <t>XUÂN TRANG</t>
        </is>
      </c>
      <c r="F759" s="3" t="inlineStr">
        <is>
          <t>Website bán hàng</t>
        </is>
      </c>
      <c r="G759" s="4" t="inlineStr">
        <is>
          <t>SHOPEE: TIKTOK: LAZADA: WEBSITE BÁN HÀNG: https://bigshop.vn/</t>
        </is>
      </c>
      <c r="H759" s="3" t="inlineStr">
        <is>
          <t>KBA-I1500</t>
        </is>
      </c>
      <c r="I759" s="4" t="inlineStr">
        <is>
          <t>Ống dẫn nước PVC 8m - Phụ kiện máy rửa xe KBA-I1500</t>
        </is>
      </c>
      <c r="J759" s="3" t="inlineStr">
        <is>
          <t>Cái</t>
        </is>
      </c>
      <c r="K759" s="5" t="n">
        <v>2050000</v>
      </c>
      <c r="L759" s="5" t="n">
        <v>2300000</v>
      </c>
      <c r="M759" s="6" t="n">
        <v>2670000</v>
      </c>
      <c r="N759" s="5" t="n"/>
      <c r="O759" s="5">
        <f>IF(AND(ISNUMBER(N759),ISNUMBER(M759)),N759-M759,"")</f>
        <v/>
      </c>
      <c r="P759" s="7">
        <f>IF(AND(ISNUMBER(N759),ISNUMBER(M759),M759&gt;0),(N759-M759)/M759,"")</f>
        <v/>
      </c>
      <c r="Q759" s="3">
        <f>IF(P759="","",IF(P759&lt;-0.02,"🔴 Bán phá giá sàn",IF(P759&gt;0.05,"🔵 Bán cao hơn","🟢 Đúng giá sàn TMĐT")))</f>
        <v/>
      </c>
      <c r="R759" s="3" t="n"/>
      <c r="S759" s="4" t="n"/>
      <c r="T759" s="4" t="n"/>
    </row>
    <row r="760">
      <c r="A760" s="3" t="n">
        <v>759</v>
      </c>
      <c r="B760" s="3" t="inlineStr">
        <is>
          <t>DL004</t>
        </is>
      </c>
      <c r="C760" s="4" t="inlineStr">
        <is>
          <t>HCM-BIGSHOP</t>
        </is>
      </c>
      <c r="D760" s="3" t="inlineStr">
        <is>
          <t>HCM</t>
        </is>
      </c>
      <c r="E760" s="3" t="inlineStr">
        <is>
          <t>XUÂN TRANG</t>
        </is>
      </c>
      <c r="F760" s="3" t="inlineStr">
        <is>
          <t>Website bán hàng</t>
        </is>
      </c>
      <c r="G760" s="4" t="inlineStr">
        <is>
          <t>SHOPEE: TIKTOK: LAZADA: WEBSITE BÁN HÀNG: https://bigshop.vn/</t>
        </is>
      </c>
      <c r="H760" s="3" t="inlineStr">
        <is>
          <t>B2040</t>
        </is>
      </c>
      <c r="I760" s="4" t="inlineStr">
        <is>
          <t>Pin B2040</t>
        </is>
      </c>
      <c r="J760" s="3" t="inlineStr">
        <is>
          <t>Cái</t>
        </is>
      </c>
      <c r="K760" s="5" t="n">
        <v>660000</v>
      </c>
      <c r="L760" s="5" t="n">
        <v>739000</v>
      </c>
      <c r="M760" s="6" t="n">
        <v>858000</v>
      </c>
      <c r="N760" s="5" t="n"/>
      <c r="O760" s="5">
        <f>IF(AND(ISNUMBER(N760),ISNUMBER(M760)),N760-M760,"")</f>
        <v/>
      </c>
      <c r="P760" s="7">
        <f>IF(AND(ISNUMBER(N760),ISNUMBER(M760),M760&gt;0),(N760-M760)/M760,"")</f>
        <v/>
      </c>
      <c r="Q760" s="3">
        <f>IF(P760="","",IF(P760&lt;-0.02,"🔴 Bán phá giá sàn",IF(P760&gt;0.05,"🔵 Bán cao hơn","🟢 Đúng giá sàn TMĐT")))</f>
        <v/>
      </c>
      <c r="R760" s="3" t="n"/>
      <c r="S760" s="4" t="n"/>
      <c r="T760" s="4" t="n"/>
    </row>
    <row r="761">
      <c r="A761" s="3" t="n">
        <v>760</v>
      </c>
      <c r="B761" s="3" t="inlineStr">
        <is>
          <t>DL004</t>
        </is>
      </c>
      <c r="C761" s="4" t="inlineStr">
        <is>
          <t>HCM-BIGSHOP</t>
        </is>
      </c>
      <c r="D761" s="3" t="inlineStr">
        <is>
          <t>HCM</t>
        </is>
      </c>
      <c r="E761" s="3" t="inlineStr">
        <is>
          <t>XUÂN TRANG</t>
        </is>
      </c>
      <c r="F761" s="3" t="inlineStr">
        <is>
          <t>Website bán hàng</t>
        </is>
      </c>
      <c r="G761" s="4" t="inlineStr">
        <is>
          <t>SHOPEE: TIKTOK: LAZADA: WEBSITE BÁN HÀNG: https://bigshop.vn/</t>
        </is>
      </c>
      <c r="H761" s="3" t="inlineStr"/>
      <c r="I761" s="4" t="inlineStr">
        <is>
          <t>Pin máy rung gạch 2.0Ah</t>
        </is>
      </c>
      <c r="J761" s="3" t="inlineStr">
        <is>
          <t>Cái</t>
        </is>
      </c>
      <c r="K761" s="5" t="n">
        <v>269000</v>
      </c>
      <c r="L761" s="5" t="n">
        <v>317000</v>
      </c>
      <c r="M761" s="6" t="n">
        <v>390000</v>
      </c>
      <c r="N761" s="5" t="n"/>
      <c r="O761" s="5">
        <f>IF(AND(ISNUMBER(N761),ISNUMBER(M761)),N761-M761,"")</f>
        <v/>
      </c>
      <c r="P761" s="7">
        <f>IF(AND(ISNUMBER(N761),ISNUMBER(M761),M761&gt;0),(N761-M761)/M761,"")</f>
        <v/>
      </c>
      <c r="Q761" s="3">
        <f>IF(P761="","",IF(P761&lt;-0.02,"🔴 Bán phá giá sàn",IF(P761&gt;0.05,"🔵 Bán cao hơn","🟢 Đúng giá sàn TMĐT")))</f>
        <v/>
      </c>
      <c r="R761" s="3" t="n"/>
      <c r="S761" s="4" t="n"/>
      <c r="T761" s="4" t="n"/>
    </row>
    <row r="762">
      <c r="A762" s="3" t="n">
        <v>761</v>
      </c>
      <c r="B762" s="3" t="inlineStr">
        <is>
          <t>DL004</t>
        </is>
      </c>
      <c r="C762" s="4" t="inlineStr">
        <is>
          <t>HCM-BIGSHOP</t>
        </is>
      </c>
      <c r="D762" s="3" t="inlineStr">
        <is>
          <t>HCM</t>
        </is>
      </c>
      <c r="E762" s="3" t="inlineStr">
        <is>
          <t>XUÂN TRANG</t>
        </is>
      </c>
      <c r="F762" s="3" t="inlineStr">
        <is>
          <t>Website bán hàng</t>
        </is>
      </c>
      <c r="G762" s="4" t="inlineStr">
        <is>
          <t>SHOPEE: TIKTOK: LAZADA: WEBSITE BÁN HÀNG: https://bigshop.vn/</t>
        </is>
      </c>
      <c r="H762" s="3" t="inlineStr">
        <is>
          <t>B2A20</t>
        </is>
      </c>
      <c r="I762" s="4" t="inlineStr">
        <is>
          <t>Sạc pin B2A20</t>
        </is>
      </c>
      <c r="J762" s="3" t="inlineStr">
        <is>
          <t>Cái</t>
        </is>
      </c>
      <c r="K762" s="5" t="n">
        <v>270000</v>
      </c>
      <c r="L762" s="5" t="n">
        <v>302000</v>
      </c>
      <c r="M762" s="6" t="n">
        <v>351000</v>
      </c>
      <c r="N762" s="5" t="n"/>
      <c r="O762" s="5">
        <f>IF(AND(ISNUMBER(N762),ISNUMBER(M762)),N762-M762,"")</f>
        <v/>
      </c>
      <c r="P762" s="7">
        <f>IF(AND(ISNUMBER(N762),ISNUMBER(M762),M762&gt;0),(N762-M762)/M762,"")</f>
        <v/>
      </c>
      <c r="Q762" s="3">
        <f>IF(P762="","",IF(P762&lt;-0.02,"🔴 Bán phá giá sàn",IF(P762&gt;0.05,"🔵 Bán cao hơn","🟢 Đúng giá sàn TMĐT")))</f>
        <v/>
      </c>
      <c r="R762" s="3" t="n"/>
      <c r="S762" s="4" t="n"/>
      <c r="T762" s="4" t="n"/>
    </row>
    <row r="763">
      <c r="A763" s="3" t="n">
        <v>762</v>
      </c>
      <c r="B763" s="3" t="inlineStr">
        <is>
          <t>DL004</t>
        </is>
      </c>
      <c r="C763" s="4" t="inlineStr">
        <is>
          <t>HCM-BIGSHOP</t>
        </is>
      </c>
      <c r="D763" s="3" t="inlineStr">
        <is>
          <t>HCM</t>
        </is>
      </c>
      <c r="E763" s="3" t="inlineStr">
        <is>
          <t>XUÂN TRANG</t>
        </is>
      </c>
      <c r="F763" s="3" t="inlineStr">
        <is>
          <t>Website bán hàng</t>
        </is>
      </c>
      <c r="G763" s="4" t="inlineStr">
        <is>
          <t>SHOPEE: TIKTOK: LAZADA: WEBSITE BÁN HÀNG: https://bigshop.vn/</t>
        </is>
      </c>
      <c r="H763" s="3" t="inlineStr">
        <is>
          <t>KFF-73</t>
        </is>
      </c>
      <c r="I763" s="4" t="inlineStr">
        <is>
          <t>Súng bắn đinh bê tông KFF-73</t>
        </is>
      </c>
      <c r="J763" s="3" t="inlineStr">
        <is>
          <t>Cái</t>
        </is>
      </c>
      <c r="K763" s="5" t="n">
        <v>660000</v>
      </c>
      <c r="L763" s="5" t="n">
        <v>739000</v>
      </c>
      <c r="M763" s="6" t="n">
        <v>858000</v>
      </c>
      <c r="N763" s="5" t="n"/>
      <c r="O763" s="5">
        <f>IF(AND(ISNUMBER(N763),ISNUMBER(M763)),N763-M763,"")</f>
        <v/>
      </c>
      <c r="P763" s="7">
        <f>IF(AND(ISNUMBER(N763),ISNUMBER(M763),M763&gt;0),(N763-M763)/M763,"")</f>
        <v/>
      </c>
      <c r="Q763" s="3">
        <f>IF(P763="","",IF(P763&lt;-0.02,"🔴 Bán phá giá sàn",IF(P763&gt;0.05,"🔵 Bán cao hơn","🟢 Đúng giá sàn TMĐT")))</f>
        <v/>
      </c>
      <c r="R763" s="3" t="n"/>
      <c r="S763" s="4" t="n"/>
      <c r="T763" s="4" t="n"/>
    </row>
    <row r="764">
      <c r="A764" s="3" t="n">
        <v>763</v>
      </c>
      <c r="B764" s="3" t="inlineStr">
        <is>
          <t>DL004</t>
        </is>
      </c>
      <c r="C764" s="4" t="inlineStr">
        <is>
          <t>HCM-BIGSHOP</t>
        </is>
      </c>
      <c r="D764" s="3" t="inlineStr">
        <is>
          <t>HCM</t>
        </is>
      </c>
      <c r="E764" s="3" t="inlineStr">
        <is>
          <t>XUÂN TRANG</t>
        </is>
      </c>
      <c r="F764" s="3" t="inlineStr">
        <is>
          <t>Website bán hàng</t>
        </is>
      </c>
      <c r="G764" s="4" t="inlineStr">
        <is>
          <t>SHOPEE: TIKTOK: LAZADA: WEBSITE BÁN HÀNG: https://bigshop.vn/</t>
        </is>
      </c>
      <c r="H764" s="3" t="inlineStr">
        <is>
          <t>KBO-FG30</t>
        </is>
      </c>
      <c r="I764" s="4" t="inlineStr">
        <is>
          <t>Súng bắn đinh hơi KBO-FG30</t>
        </is>
      </c>
      <c r="J764" s="3" t="inlineStr">
        <is>
          <t>Cái</t>
        </is>
      </c>
      <c r="K764" s="5" t="n">
        <v>426000</v>
      </c>
      <c r="L764" s="5" t="n">
        <v>494000</v>
      </c>
      <c r="M764" s="6" t="n">
        <v>596000</v>
      </c>
      <c r="N764" s="5" t="n"/>
      <c r="O764" s="5">
        <f>IF(AND(ISNUMBER(N764),ISNUMBER(M764)),N764-M764,"")</f>
        <v/>
      </c>
      <c r="P764" s="7">
        <f>IF(AND(ISNUMBER(N764),ISNUMBER(M764),M764&gt;0),(N764-M764)/M764,"")</f>
        <v/>
      </c>
      <c r="Q764" s="3">
        <f>IF(P764="","",IF(P764&lt;-0.02,"🔴 Bán phá giá sàn",IF(P764&gt;0.05,"🔵 Bán cao hơn","🟢 Đúng giá sàn TMĐT")))</f>
        <v/>
      </c>
      <c r="R764" s="3" t="n"/>
      <c r="S764" s="4" t="n"/>
      <c r="T764" s="4" t="n"/>
    </row>
    <row r="765">
      <c r="A765" s="3" t="n">
        <v>764</v>
      </c>
      <c r="B765" s="3" t="inlineStr">
        <is>
          <t>DL004</t>
        </is>
      </c>
      <c r="C765" s="4" t="inlineStr">
        <is>
          <t>HCM-BIGSHOP</t>
        </is>
      </c>
      <c r="D765" s="3" t="inlineStr">
        <is>
          <t>HCM</t>
        </is>
      </c>
      <c r="E765" s="3" t="inlineStr">
        <is>
          <t>XUÂN TRANG</t>
        </is>
      </c>
      <c r="F765" s="3" t="inlineStr">
        <is>
          <t>Website bán hàng</t>
        </is>
      </c>
      <c r="G765" s="4" t="inlineStr">
        <is>
          <t>SHOPEE: TIKTOK: LAZADA: WEBSITE BÁN HÀNG: https://bigshop.vn/</t>
        </is>
      </c>
      <c r="H765" s="3" t="inlineStr">
        <is>
          <t>KBO-X0215</t>
        </is>
      </c>
      <c r="I765" s="4" t="inlineStr">
        <is>
          <t>Súng Xịt Hơi KBO-X0215</t>
        </is>
      </c>
      <c r="J765" s="3" t="inlineStr">
        <is>
          <t>Cái</t>
        </is>
      </c>
      <c r="K765" s="5" t="n">
        <v>97000</v>
      </c>
      <c r="L765" s="5" t="n">
        <v>115000</v>
      </c>
      <c r="M765" s="6" t="n">
        <v>141000</v>
      </c>
      <c r="N765" s="5" t="n"/>
      <c r="O765" s="5">
        <f>IF(AND(ISNUMBER(N765),ISNUMBER(M765)),N765-M765,"")</f>
        <v/>
      </c>
      <c r="P765" s="7">
        <f>IF(AND(ISNUMBER(N765),ISNUMBER(M765),M765&gt;0),(N765-M765)/M765,"")</f>
        <v/>
      </c>
      <c r="Q765" s="3">
        <f>IF(P765="","",IF(P765&lt;-0.02,"🔴 Bán phá giá sàn",IF(P765&gt;0.05,"🔵 Bán cao hơn","🟢 Đúng giá sàn TMĐT")))</f>
        <v/>
      </c>
      <c r="R765" s="3" t="n"/>
      <c r="S765" s="4" t="n"/>
      <c r="T765" s="4" t="n"/>
    </row>
    <row r="766">
      <c r="A766" s="3" t="n">
        <v>765</v>
      </c>
      <c r="B766" s="3" t="inlineStr">
        <is>
          <t>DL004</t>
        </is>
      </c>
      <c r="C766" s="4" t="inlineStr">
        <is>
          <t>HCM-BIGSHOP</t>
        </is>
      </c>
      <c r="D766" s="3" t="inlineStr">
        <is>
          <t>HCM</t>
        </is>
      </c>
      <c r="E766" s="3" t="inlineStr">
        <is>
          <t>XUÂN TRANG</t>
        </is>
      </c>
      <c r="F766" s="3" t="inlineStr">
        <is>
          <t>Website bán hàng</t>
        </is>
      </c>
      <c r="G766" s="4" t="inlineStr">
        <is>
          <t>SHOPEE: TIKTOK: LAZADA: WEBSITE BÁN HÀNG: https://bigshop.vn/</t>
        </is>
      </c>
      <c r="H766" s="3" t="inlineStr">
        <is>
          <t>KHD4212</t>
        </is>
      </c>
      <c r="I766" s="4" t="inlineStr">
        <is>
          <t>Thùng đựng đồ nghề kèm phụ kiện KHD4212 NEW</t>
        </is>
      </c>
      <c r="J766" s="3" t="inlineStr">
        <is>
          <t>Cái</t>
        </is>
      </c>
      <c r="K766" s="5" t="n">
        <v>1996</v>
      </c>
      <c r="L766" s="5" t="n">
        <v>539000</v>
      </c>
      <c r="M766" s="6" t="n">
        <v>615000</v>
      </c>
      <c r="N766" s="5" t="n"/>
      <c r="O766" s="5">
        <f>IF(AND(ISNUMBER(N766),ISNUMBER(M766)),N766-M766,"")</f>
        <v/>
      </c>
      <c r="P766" s="7">
        <f>IF(AND(ISNUMBER(N766),ISNUMBER(M766),M766&gt;0),(N766-M766)/M766,"")</f>
        <v/>
      </c>
      <c r="Q766" s="3">
        <f>IF(P766="","",IF(P766&lt;-0.02,"🔴 Bán phá giá sàn",IF(P766&gt;0.05,"🔵 Bán cao hơn","🟢 Đúng giá sàn TMĐT")))</f>
        <v/>
      </c>
      <c r="R766" s="3" t="n"/>
      <c r="S766" s="4" t="n"/>
      <c r="T766" s="4" t="n"/>
    </row>
    <row r="767">
      <c r="A767" s="3" t="n">
        <v>766</v>
      </c>
      <c r="B767" s="3" t="inlineStr">
        <is>
          <t>DL004</t>
        </is>
      </c>
      <c r="C767" s="4" t="inlineStr">
        <is>
          <t>HCM-BIGSHOP</t>
        </is>
      </c>
      <c r="D767" s="3" t="inlineStr">
        <is>
          <t>HCM</t>
        </is>
      </c>
      <c r="E767" s="3" t="inlineStr">
        <is>
          <t>XUÂN TRANG</t>
        </is>
      </c>
      <c r="F767" s="3" t="inlineStr">
        <is>
          <t>Website bán hàng</t>
        </is>
      </c>
      <c r="G767" s="4" t="inlineStr">
        <is>
          <t>SHOPEE: TIKTOK: LAZADA: WEBSITE BÁN HÀNG: https://bigshop.vn/</t>
        </is>
      </c>
      <c r="H767" s="3" t="inlineStr">
        <is>
          <t>KHD20</t>
        </is>
      </c>
      <c r="I767" s="4" t="inlineStr">
        <is>
          <t>Thùng đựng đồ nghề KHD20</t>
        </is>
      </c>
      <c r="J767" s="3" t="inlineStr">
        <is>
          <t>Cái</t>
        </is>
      </c>
      <c r="K767" s="5" t="n">
        <v>396000</v>
      </c>
      <c r="L767" s="5" t="n">
        <v>452000</v>
      </c>
      <c r="M767" s="6" t="n">
        <v>535000</v>
      </c>
      <c r="N767" s="5" t="n"/>
      <c r="O767" s="5">
        <f>IF(AND(ISNUMBER(N767),ISNUMBER(M767)),N767-M767,"")</f>
        <v/>
      </c>
      <c r="P767" s="7">
        <f>IF(AND(ISNUMBER(N767),ISNUMBER(M767),M767&gt;0),(N767-M767)/M767,"")</f>
        <v/>
      </c>
      <c r="Q767" s="3">
        <f>IF(P767="","",IF(P767&lt;-0.02,"🔴 Bán phá giá sàn",IF(P767&gt;0.05,"🔵 Bán cao hơn","🟢 Đúng giá sàn TMĐT")))</f>
        <v/>
      </c>
      <c r="R767" s="3" t="n"/>
      <c r="S767" s="4" t="n"/>
      <c r="T767" s="4" t="n"/>
    </row>
    <row r="768">
      <c r="A768" s="3" t="n">
        <v>767</v>
      </c>
      <c r="B768" s="3" t="inlineStr">
        <is>
          <t>DL004</t>
        </is>
      </c>
      <c r="C768" s="4" t="inlineStr">
        <is>
          <t>HCM-BIGSHOP</t>
        </is>
      </c>
      <c r="D768" s="3" t="inlineStr">
        <is>
          <t>HCM</t>
        </is>
      </c>
      <c r="E768" s="3" t="inlineStr">
        <is>
          <t>XUÂN TRANG</t>
        </is>
      </c>
      <c r="F768" s="3" t="inlineStr">
        <is>
          <t>Website bán hàng</t>
        </is>
      </c>
      <c r="G768" s="4" t="inlineStr">
        <is>
          <t>SHOPEE: TIKTOK: LAZADA: WEBSITE BÁN HÀNG: https://bigshop.vn/</t>
        </is>
      </c>
      <c r="H768" s="3" t="inlineStr">
        <is>
          <t>KHD4216</t>
        </is>
      </c>
      <c r="I768" s="4" t="inlineStr">
        <is>
          <t>Thùng đựng đồ nghề KHD4216</t>
        </is>
      </c>
      <c r="J768" s="3" t="inlineStr">
        <is>
          <t>Cái</t>
        </is>
      </c>
      <c r="K768" s="5" t="n">
        <v>2065</v>
      </c>
      <c r="L768" s="5" t="n">
        <v>484000</v>
      </c>
      <c r="M768" s="6" t="n">
        <v>552000</v>
      </c>
      <c r="N768" s="5" t="n"/>
      <c r="O768" s="5">
        <f>IF(AND(ISNUMBER(N768),ISNUMBER(M768)),N768-M768,"")</f>
        <v/>
      </c>
      <c r="P768" s="7">
        <f>IF(AND(ISNUMBER(N768),ISNUMBER(M768),M768&gt;0),(N768-M768)/M768,"")</f>
        <v/>
      </c>
      <c r="Q768" s="3">
        <f>IF(P768="","",IF(P768&lt;-0.02,"🔴 Bán phá giá sàn",IF(P768&gt;0.05,"🔵 Bán cao hơn","🟢 Đúng giá sàn TMĐT")))</f>
        <v/>
      </c>
      <c r="R768" s="3" t="n"/>
      <c r="S768" s="4" t="n"/>
      <c r="T768" s="4" t="n"/>
    </row>
    <row r="769">
      <c r="A769" s="3" t="n">
        <v>768</v>
      </c>
      <c r="B769" s="3" t="inlineStr">
        <is>
          <t>DL004</t>
        </is>
      </c>
      <c r="C769" s="4" t="inlineStr">
        <is>
          <t>HCM-BIGSHOP</t>
        </is>
      </c>
      <c r="D769" s="3" t="inlineStr">
        <is>
          <t>HCM</t>
        </is>
      </c>
      <c r="E769" s="3" t="inlineStr">
        <is>
          <t>XUÂN TRANG</t>
        </is>
      </c>
      <c r="F769" s="3" t="inlineStr">
        <is>
          <t>Website bán hàng</t>
        </is>
      </c>
      <c r="G769" s="4" t="inlineStr">
        <is>
          <t>SHOPEE: TIKTOK: LAZADA: WEBSITE BÁN HÀNG: https://bigshop.vn/</t>
        </is>
      </c>
      <c r="H769" s="3" t="inlineStr">
        <is>
          <t>KHD4233</t>
        </is>
      </c>
      <c r="I769" s="4" t="inlineStr">
        <is>
          <t>Thùng đựng đồ nghề KHD4233</t>
        </is>
      </c>
      <c r="J769" s="3" t="inlineStr">
        <is>
          <t>Cái</t>
        </is>
      </c>
      <c r="K769" s="5" t="n">
        <v>269000</v>
      </c>
      <c r="L769" s="5" t="n">
        <v>317000</v>
      </c>
      <c r="M769" s="6" t="n">
        <v>390000</v>
      </c>
      <c r="N769" s="5" t="n"/>
      <c r="O769" s="5">
        <f>IF(AND(ISNUMBER(N769),ISNUMBER(M769)),N769-M769,"")</f>
        <v/>
      </c>
      <c r="P769" s="7">
        <f>IF(AND(ISNUMBER(N769),ISNUMBER(M769),M769&gt;0),(N769-M769)/M769,"")</f>
        <v/>
      </c>
      <c r="Q769" s="3">
        <f>IF(P769="","",IF(P769&lt;-0.02,"🔴 Bán phá giá sàn",IF(P769&gt;0.05,"🔵 Bán cao hơn","🟢 Đúng giá sàn TMĐT")))</f>
        <v/>
      </c>
      <c r="R769" s="3" t="n"/>
      <c r="S769" s="4" t="n"/>
      <c r="T769" s="4" t="n"/>
    </row>
    <row r="770">
      <c r="A770" s="3" t="n">
        <v>769</v>
      </c>
      <c r="B770" s="3" t="inlineStr">
        <is>
          <t>DL004</t>
        </is>
      </c>
      <c r="C770" s="4" t="inlineStr">
        <is>
          <t>HCM-BIGSHOP</t>
        </is>
      </c>
      <c r="D770" s="3" t="inlineStr">
        <is>
          <t>HCM</t>
        </is>
      </c>
      <c r="E770" s="3" t="inlineStr">
        <is>
          <t>XUÂN TRANG</t>
        </is>
      </c>
      <c r="F770" s="3" t="inlineStr">
        <is>
          <t>Website bán hàng</t>
        </is>
      </c>
      <c r="G770" s="4" t="inlineStr">
        <is>
          <t>SHOPEE: TIKTOK: LAZADA: WEBSITE BÁN HÀNG: https://bigshop.vn/</t>
        </is>
      </c>
      <c r="H770" s="3" t="inlineStr">
        <is>
          <t>KNZ-100X</t>
        </is>
      </c>
      <c r="I770" s="4" t="inlineStr">
        <is>
          <t>Thước đo khoảng cách laser KNZ-100X</t>
        </is>
      </c>
      <c r="J770" s="3" t="inlineStr">
        <is>
          <t>Cái</t>
        </is>
      </c>
      <c r="K770" s="5" t="n">
        <v>730000</v>
      </c>
      <c r="L770" s="5" t="n">
        <v>810000</v>
      </c>
      <c r="M770" s="6" t="n">
        <v>940000</v>
      </c>
      <c r="N770" s="5" t="n"/>
      <c r="O770" s="5">
        <f>IF(AND(ISNUMBER(N770),ISNUMBER(M770)),N770-M770,"")</f>
        <v/>
      </c>
      <c r="P770" s="7">
        <f>IF(AND(ISNUMBER(N770),ISNUMBER(M770),M770&gt;0),(N770-M770)/M770,"")</f>
        <v/>
      </c>
      <c r="Q770" s="3">
        <f>IF(P770="","",IF(P770&lt;-0.02,"🔴 Bán phá giá sàn",IF(P770&gt;0.05,"🔵 Bán cao hơn","🟢 Đúng giá sàn TMĐT")))</f>
        <v/>
      </c>
      <c r="R770" s="3" t="n"/>
      <c r="S770" s="4" t="n"/>
      <c r="T770" s="4" t="n"/>
    </row>
    <row r="771">
      <c r="A771" s="3" t="n">
        <v>770</v>
      </c>
      <c r="B771" s="3" t="inlineStr">
        <is>
          <t>DL004</t>
        </is>
      </c>
      <c r="C771" s="4" t="inlineStr">
        <is>
          <t>HCM-BIGSHOP</t>
        </is>
      </c>
      <c r="D771" s="3" t="inlineStr">
        <is>
          <t>HCM</t>
        </is>
      </c>
      <c r="E771" s="3" t="inlineStr">
        <is>
          <t>XUÂN TRANG</t>
        </is>
      </c>
      <c r="F771" s="3" t="inlineStr">
        <is>
          <t>Website bán hàng</t>
        </is>
      </c>
      <c r="G771" s="4" t="inlineStr">
        <is>
          <t>SHOPEE: TIKTOK: LAZADA: WEBSITE BÁN HÀNG: https://bigshop.vn/</t>
        </is>
      </c>
      <c r="H771" s="3" t="inlineStr">
        <is>
          <t>KNZ-80R</t>
        </is>
      </c>
      <c r="I771" s="4" t="inlineStr">
        <is>
          <t>Thước đo khoảng cách laser KNZ-80R</t>
        </is>
      </c>
      <c r="J771" s="3" t="inlineStr">
        <is>
          <t>Cái</t>
        </is>
      </c>
      <c r="K771" s="5" t="n">
        <v>269000</v>
      </c>
      <c r="L771" s="5" t="n">
        <v>317000</v>
      </c>
      <c r="M771" s="6" t="n">
        <v>390000</v>
      </c>
      <c r="N771" s="5" t="n"/>
      <c r="O771" s="5">
        <f>IF(AND(ISNUMBER(N771),ISNUMBER(M771)),N771-M771,"")</f>
        <v/>
      </c>
      <c r="P771" s="7">
        <f>IF(AND(ISNUMBER(N771),ISNUMBER(M771),M771&gt;0),(N771-M771)/M771,"")</f>
        <v/>
      </c>
      <c r="Q771" s="3">
        <f>IF(P771="","",IF(P771&lt;-0.02,"🔴 Bán phá giá sàn",IF(P771&gt;0.05,"🔵 Bán cao hơn","🟢 Đúng giá sàn TMĐT")))</f>
        <v/>
      </c>
      <c r="R771" s="3" t="n"/>
      <c r="S771" s="4" t="n"/>
      <c r="T771" s="4" t="n"/>
    </row>
    <row r="772">
      <c r="A772" s="3" t="n">
        <v>771</v>
      </c>
      <c r="B772" s="3" t="inlineStr">
        <is>
          <t>DL005</t>
        </is>
      </c>
      <c r="C772" s="4" t="inlineStr">
        <is>
          <t>ThinkSafe HCM</t>
        </is>
      </c>
      <c r="D772" s="3" t="inlineStr">
        <is>
          <t>HCM</t>
        </is>
      </c>
      <c r="E772" s="3" t="inlineStr">
        <is>
          <t>XUÂN TRANG</t>
        </is>
      </c>
      <c r="F772" s="3" t="inlineStr">
        <is>
          <t>Shopee, Tiktok</t>
        </is>
      </c>
      <c r="G772" s="4" t="inlineStr">
        <is>
          <t>SHOPEE: https://shopee.vn/baohothinksafe?uls_trackid=56slrjbp02l6&amp;utm_content=3kGSyWceAz2CP3beojAsTsVsisVR TIKTOK: https://www.tiktok.com/@thinksafevn LAZADA: WEBSITE BÁN HÀNG:</t>
        </is>
      </c>
      <c r="H772" s="3" t="inlineStr">
        <is>
          <t>H03LT1722</t>
        </is>
      </c>
      <c r="I772" s="4" t="inlineStr">
        <is>
          <t>Bộ cờ lê H03LT1722 gồm đầu 17mm và 22mm</t>
        </is>
      </c>
      <c r="J772" s="3" t="inlineStr">
        <is>
          <t>Cái</t>
        </is>
      </c>
      <c r="K772" s="5" t="n">
        <v>269000</v>
      </c>
      <c r="L772" s="5" t="n">
        <v>317000</v>
      </c>
      <c r="M772" s="6" t="n">
        <v>390000</v>
      </c>
      <c r="N772" s="5" t="n"/>
      <c r="O772" s="5">
        <f>IF(AND(ISNUMBER(N772),ISNUMBER(M772)),N772-M772,"")</f>
        <v/>
      </c>
      <c r="P772" s="7">
        <f>IF(AND(ISNUMBER(N772),ISNUMBER(M772),M772&gt;0),(N772-M772)/M772,"")</f>
        <v/>
      </c>
      <c r="Q772" s="3">
        <f>IF(P772="","",IF(P772&lt;-0.02,"🔴 Bán phá giá sàn",IF(P772&gt;0.05,"🔵 Bán cao hơn","🟢 Đúng giá sàn TMĐT")))</f>
        <v/>
      </c>
      <c r="R772" s="3" t="n"/>
      <c r="S772" s="4" t="n"/>
      <c r="T772" s="4" t="n"/>
    </row>
    <row r="773">
      <c r="A773" s="3" t="n">
        <v>772</v>
      </c>
      <c r="B773" s="3" t="inlineStr">
        <is>
          <t>DL005</t>
        </is>
      </c>
      <c r="C773" s="4" t="inlineStr">
        <is>
          <t>ThinkSafe HCM</t>
        </is>
      </c>
      <c r="D773" s="3" t="inlineStr">
        <is>
          <t>HCM</t>
        </is>
      </c>
      <c r="E773" s="3" t="inlineStr">
        <is>
          <t>XUÂN TRANG</t>
        </is>
      </c>
      <c r="F773" s="3" t="inlineStr">
        <is>
          <t>Shopee, Tiktok</t>
        </is>
      </c>
      <c r="G773" s="4" t="inlineStr">
        <is>
          <t>SHOPEE: https://shopee.vn/baohothinksafe?uls_trackid=56slrjbp02l6&amp;utm_content=3kGSyWceAz2CP3beojAsTsVsisVR TIKTOK: https://www.tiktok.com/@thinksafevn LAZADA: WEBSITE BÁN HÀNG:</t>
        </is>
      </c>
      <c r="H773" s="3" t="inlineStr"/>
      <c r="I773" s="4" t="inlineStr">
        <is>
          <t>Bộ chuyển đổi chân pin KingBlue</t>
        </is>
      </c>
      <c r="J773" s="3" t="inlineStr">
        <is>
          <t>Cái</t>
        </is>
      </c>
      <c r="K773" s="5" t="n">
        <v>269000</v>
      </c>
      <c r="L773" s="5" t="n">
        <v>317000</v>
      </c>
      <c r="M773" s="6" t="n">
        <v>390000</v>
      </c>
      <c r="N773" s="5" t="n"/>
      <c r="O773" s="5">
        <f>IF(AND(ISNUMBER(N773),ISNUMBER(M773)),N773-M773,"")</f>
        <v/>
      </c>
      <c r="P773" s="7">
        <f>IF(AND(ISNUMBER(N773),ISNUMBER(M773),M773&gt;0),(N773-M773)/M773,"")</f>
        <v/>
      </c>
      <c r="Q773" s="3">
        <f>IF(P773="","",IF(P773&lt;-0.02,"🔴 Bán phá giá sàn",IF(P773&gt;0.05,"🔵 Bán cao hơn","🟢 Đúng giá sàn TMĐT")))</f>
        <v/>
      </c>
      <c r="R773" s="3" t="n"/>
      <c r="S773" s="4" t="n"/>
      <c r="T773" s="4" t="n"/>
    </row>
    <row r="774">
      <c r="A774" s="3" t="n">
        <v>773</v>
      </c>
      <c r="B774" s="3" t="inlineStr">
        <is>
          <t>DL005</t>
        </is>
      </c>
      <c r="C774" s="4" t="inlineStr">
        <is>
          <t>ThinkSafe HCM</t>
        </is>
      </c>
      <c r="D774" s="3" t="inlineStr">
        <is>
          <t>HCM</t>
        </is>
      </c>
      <c r="E774" s="3" t="inlineStr">
        <is>
          <t>XUÂN TRANG</t>
        </is>
      </c>
      <c r="F774" s="3" t="inlineStr">
        <is>
          <t>Shopee, Tiktok</t>
        </is>
      </c>
      <c r="G774" s="4" t="inlineStr">
        <is>
          <t>SHOPEE: https://shopee.vn/baohothinksafe?uls_trackid=56slrjbp02l6&amp;utm_content=3kGSyWceAz2CP3beojAsTsVsisVR TIKTOK: https://www.tiktok.com/@thinksafevn LAZADA: WEBSITE BÁN HÀNG:</t>
        </is>
      </c>
      <c r="H774" s="3" t="inlineStr">
        <is>
          <t>T9100E</t>
        </is>
      </c>
      <c r="I774" s="4" t="inlineStr">
        <is>
          <t>Bộ đầu hoa thị T9100E</t>
        </is>
      </c>
      <c r="J774" s="3" t="inlineStr">
        <is>
          <t>Bộ</t>
        </is>
      </c>
      <c r="K774" s="5" t="n">
        <v>86000</v>
      </c>
      <c r="L774" s="5" t="n">
        <v>108000</v>
      </c>
      <c r="M774" s="6" t="n">
        <v>142000</v>
      </c>
      <c r="N774" s="5" t="n"/>
      <c r="O774" s="5">
        <f>IF(AND(ISNUMBER(N774),ISNUMBER(M774)),N774-M774,"")</f>
        <v/>
      </c>
      <c r="P774" s="7">
        <f>IF(AND(ISNUMBER(N774),ISNUMBER(M774),M774&gt;0),(N774-M774)/M774,"")</f>
        <v/>
      </c>
      <c r="Q774" s="3">
        <f>IF(P774="","",IF(P774&lt;-0.02,"🔴 Bán phá giá sàn",IF(P774&gt;0.05,"🔵 Bán cao hơn","🟢 Đúng giá sàn TMĐT")))</f>
        <v/>
      </c>
      <c r="R774" s="3" t="n"/>
      <c r="S774" s="4" t="n"/>
      <c r="T774" s="4" t="n"/>
    </row>
    <row r="775">
      <c r="A775" s="3" t="n">
        <v>774</v>
      </c>
      <c r="B775" s="3" t="inlineStr">
        <is>
          <t>DL005</t>
        </is>
      </c>
      <c r="C775" s="4" t="inlineStr">
        <is>
          <t>ThinkSafe HCM</t>
        </is>
      </c>
      <c r="D775" s="3" t="inlineStr">
        <is>
          <t>HCM</t>
        </is>
      </c>
      <c r="E775" s="3" t="inlineStr">
        <is>
          <t>XUÂN TRANG</t>
        </is>
      </c>
      <c r="F775" s="3" t="inlineStr">
        <is>
          <t>Shopee, Tiktok</t>
        </is>
      </c>
      <c r="G775" s="4" t="inlineStr">
        <is>
          <t>SHOPEE: https://shopee.vn/baohothinksafe?uls_trackid=56slrjbp02l6&amp;utm_content=3kGSyWceAz2CP3beojAsTsVsisVR TIKTOK: https://www.tiktok.com/@thinksafevn LAZADA: WEBSITE BÁN HÀNG:</t>
        </is>
      </c>
      <c r="H775" s="3" t="inlineStr">
        <is>
          <t>L8100E</t>
        </is>
      </c>
      <c r="I775" s="4" t="inlineStr">
        <is>
          <t>Bộ đầu lục giác L8100E</t>
        </is>
      </c>
      <c r="J775" s="3" t="inlineStr">
        <is>
          <t>Bộ</t>
        </is>
      </c>
      <c r="K775" s="5" t="n">
        <v>86000</v>
      </c>
      <c r="L775" s="5" t="n">
        <v>108000</v>
      </c>
      <c r="M775" s="6" t="n">
        <v>142000</v>
      </c>
      <c r="N775" s="5" t="n"/>
      <c r="O775" s="5">
        <f>IF(AND(ISNUMBER(N775),ISNUMBER(M775)),N775-M775,"")</f>
        <v/>
      </c>
      <c r="P775" s="7">
        <f>IF(AND(ISNUMBER(N775),ISNUMBER(M775),M775&gt;0),(N775-M775)/M775,"")</f>
        <v/>
      </c>
      <c r="Q775" s="3">
        <f>IF(P775="","",IF(P775&lt;-0.02,"🔴 Bán phá giá sàn",IF(P775&gt;0.05,"🔵 Bán cao hơn","🟢 Đúng giá sàn TMĐT")))</f>
        <v/>
      </c>
      <c r="R775" s="3" t="n"/>
      <c r="S775" s="4" t="n"/>
      <c r="T775" s="4" t="n"/>
    </row>
    <row r="776">
      <c r="A776" s="3" t="n">
        <v>775</v>
      </c>
      <c r="B776" s="3" t="inlineStr">
        <is>
          <t>DL005</t>
        </is>
      </c>
      <c r="C776" s="4" t="inlineStr">
        <is>
          <t>ThinkSafe HCM</t>
        </is>
      </c>
      <c r="D776" s="3" t="inlineStr">
        <is>
          <t>HCM</t>
        </is>
      </c>
      <c r="E776" s="3" t="inlineStr">
        <is>
          <t>XUÂN TRANG</t>
        </is>
      </c>
      <c r="F776" s="3" t="inlineStr">
        <is>
          <t>Shopee, Tiktok</t>
        </is>
      </c>
      <c r="G776" s="4" t="inlineStr">
        <is>
          <t>SHOPEE: https://shopee.vn/baohothinksafe?uls_trackid=56slrjbp02l6&amp;utm_content=3kGSyWceAz2CP3beojAsTsVsisVR TIKTOK: https://www.tiktok.com/@thinksafevn LAZADA: WEBSITE BÁN HÀNG:</t>
        </is>
      </c>
      <c r="H776" s="3" t="inlineStr">
        <is>
          <t>KBYT6</t>
        </is>
      </c>
      <c r="I776" s="4" t="inlineStr">
        <is>
          <t>Bộ lấy ốc gãy KingBlue KBYT6</t>
        </is>
      </c>
      <c r="J776" s="3" t="inlineStr">
        <is>
          <t>Bộ</t>
        </is>
      </c>
      <c r="K776" s="5" t="n">
        <v>68000</v>
      </c>
      <c r="L776" s="5" t="n">
        <v>80000</v>
      </c>
      <c r="M776" s="6" t="n">
        <v>99000</v>
      </c>
      <c r="N776" s="5" t="n"/>
      <c r="O776" s="5">
        <f>IF(AND(ISNUMBER(N776),ISNUMBER(M776)),N776-M776,"")</f>
        <v/>
      </c>
      <c r="P776" s="7">
        <f>IF(AND(ISNUMBER(N776),ISNUMBER(M776),M776&gt;0),(N776-M776)/M776,"")</f>
        <v/>
      </c>
      <c r="Q776" s="3">
        <f>IF(P776="","",IF(P776&lt;-0.02,"🔴 Bán phá giá sàn",IF(P776&gt;0.05,"🔵 Bán cao hơn","🟢 Đúng giá sàn TMĐT")))</f>
        <v/>
      </c>
      <c r="R776" s="3" t="n"/>
      <c r="S776" s="4" t="n"/>
      <c r="T776" s="4" t="n"/>
    </row>
    <row r="777">
      <c r="A777" s="3" t="n">
        <v>776</v>
      </c>
      <c r="B777" s="3" t="inlineStr">
        <is>
          <t>DL005</t>
        </is>
      </c>
      <c r="C777" s="4" t="inlineStr">
        <is>
          <t>ThinkSafe HCM</t>
        </is>
      </c>
      <c r="D777" s="3" t="inlineStr">
        <is>
          <t>HCM</t>
        </is>
      </c>
      <c r="E777" s="3" t="inlineStr">
        <is>
          <t>XUÂN TRANG</t>
        </is>
      </c>
      <c r="F777" s="3" t="inlineStr">
        <is>
          <t>Shopee, Tiktok</t>
        </is>
      </c>
      <c r="G777" s="4" t="inlineStr">
        <is>
          <t>SHOPEE: https://shopee.vn/baohothinksafe?uls_trackid=56slrjbp02l6&amp;utm_content=3kGSyWceAz2CP3beojAsTsVsisVR TIKTOK: https://www.tiktok.com/@thinksafevn LAZADA: WEBSITE BÁN HÀNG:</t>
        </is>
      </c>
      <c r="H777" s="3" t="inlineStr">
        <is>
          <t>KB-R1323</t>
        </is>
      </c>
      <c r="I777" s="4" t="inlineStr">
        <is>
          <t>Bộ loe ống đồng 2 chức năng KingBlue KB-R1323</t>
        </is>
      </c>
      <c r="J777" s="3" t="inlineStr">
        <is>
          <t>Cái</t>
        </is>
      </c>
      <c r="K777" s="5" t="n">
        <v>1720000</v>
      </c>
      <c r="L777" s="5" t="n">
        <v>1926000</v>
      </c>
      <c r="M777" s="6" t="n">
        <v>2236000</v>
      </c>
      <c r="N777" s="5" t="n"/>
      <c r="O777" s="5">
        <f>IF(AND(ISNUMBER(N777),ISNUMBER(M777)),N777-M777,"")</f>
        <v/>
      </c>
      <c r="P777" s="7">
        <f>IF(AND(ISNUMBER(N777),ISNUMBER(M777),M777&gt;0),(N777-M777)/M777,"")</f>
        <v/>
      </c>
      <c r="Q777" s="3">
        <f>IF(P777="","",IF(P777&lt;-0.02,"🔴 Bán phá giá sàn",IF(P777&gt;0.05,"🔵 Bán cao hơn","🟢 Đúng giá sàn TMĐT")))</f>
        <v/>
      </c>
      <c r="R777" s="3" t="n"/>
      <c r="S777" s="4" t="n"/>
      <c r="T777" s="4" t="n"/>
    </row>
    <row r="778">
      <c r="A778" s="3" t="n">
        <v>777</v>
      </c>
      <c r="B778" s="3" t="inlineStr">
        <is>
          <t>DL005</t>
        </is>
      </c>
      <c r="C778" s="4" t="inlineStr">
        <is>
          <t>ThinkSafe HCM</t>
        </is>
      </c>
      <c r="D778" s="3" t="inlineStr">
        <is>
          <t>HCM</t>
        </is>
      </c>
      <c r="E778" s="3" t="inlineStr">
        <is>
          <t>XUÂN TRANG</t>
        </is>
      </c>
      <c r="F778" s="3" t="inlineStr">
        <is>
          <t>Shopee, Tiktok</t>
        </is>
      </c>
      <c r="G778" s="4" t="inlineStr">
        <is>
          <t>SHOPEE: https://shopee.vn/baohothinksafe?uls_trackid=56slrjbp02l6&amp;utm_content=3kGSyWceAz2CP3beojAsTsVsisVR TIKTOK: https://www.tiktok.com/@thinksafevn LAZADA: WEBSITE BÁN HÀNG:</t>
        </is>
      </c>
      <c r="H778" s="3" t="inlineStr">
        <is>
          <t>KB-C1323</t>
        </is>
      </c>
      <c r="I778" s="4" t="inlineStr">
        <is>
          <t>Bộ loe ống đồng KingBlue KB-C1323</t>
        </is>
      </c>
      <c r="J778" s="3" t="inlineStr">
        <is>
          <t>Cái</t>
        </is>
      </c>
      <c r="K778" s="5" t="n">
        <v>1140000</v>
      </c>
      <c r="L778" s="5" t="n">
        <v>1277000</v>
      </c>
      <c r="M778" s="6" t="n">
        <v>1482000</v>
      </c>
      <c r="N778" s="5" t="n"/>
      <c r="O778" s="5">
        <f>IF(AND(ISNUMBER(N778),ISNUMBER(M778)),N778-M778,"")</f>
        <v/>
      </c>
      <c r="P778" s="7">
        <f>IF(AND(ISNUMBER(N778),ISNUMBER(M778),M778&gt;0),(N778-M778)/M778,"")</f>
        <v/>
      </c>
      <c r="Q778" s="3">
        <f>IF(P778="","",IF(P778&lt;-0.02,"🔴 Bán phá giá sàn",IF(P778&gt;0.05,"🔵 Bán cao hơn","🟢 Đúng giá sàn TMĐT")))</f>
        <v/>
      </c>
      <c r="R778" s="3" t="n"/>
      <c r="S778" s="4" t="n"/>
      <c r="T778" s="4" t="n"/>
    </row>
    <row r="779">
      <c r="A779" s="3" t="n">
        <v>778</v>
      </c>
      <c r="B779" s="3" t="inlineStr">
        <is>
          <t>DL005</t>
        </is>
      </c>
      <c r="C779" s="4" t="inlineStr">
        <is>
          <t>ThinkSafe HCM</t>
        </is>
      </c>
      <c r="D779" s="3" t="inlineStr">
        <is>
          <t>HCM</t>
        </is>
      </c>
      <c r="E779" s="3" t="inlineStr">
        <is>
          <t>XUÂN TRANG</t>
        </is>
      </c>
      <c r="F779" s="3" t="inlineStr">
        <is>
          <t>Shopee, Tiktok</t>
        </is>
      </c>
      <c r="G779" s="4" t="inlineStr">
        <is>
          <t>SHOPEE: https://shopee.vn/baohothinksafe?uls_trackid=56slrjbp02l6&amp;utm_content=3kGSyWceAz2CP3beojAsTsVsisVR TIKTOK: https://www.tiktok.com/@thinksafevn LAZADA: WEBSITE BÁN HÀNG:</t>
        </is>
      </c>
      <c r="H779" s="3" t="inlineStr">
        <is>
          <t>KL-008</t>
        </is>
      </c>
      <c r="I779" s="4" t="inlineStr">
        <is>
          <t>Bộ lục giác gập KL-008</t>
        </is>
      </c>
      <c r="J779" s="3" t="inlineStr">
        <is>
          <t>Cái</t>
        </is>
      </c>
      <c r="K779" s="5" t="n">
        <v>269000</v>
      </c>
      <c r="L779" s="5" t="n">
        <v>317000</v>
      </c>
      <c r="M779" s="6" t="n">
        <v>390000</v>
      </c>
      <c r="N779" s="5" t="n"/>
      <c r="O779" s="5">
        <f>IF(AND(ISNUMBER(N779),ISNUMBER(M779)),N779-M779,"")</f>
        <v/>
      </c>
      <c r="P779" s="7">
        <f>IF(AND(ISNUMBER(N779),ISNUMBER(M779),M779&gt;0),(N779-M779)/M779,"")</f>
        <v/>
      </c>
      <c r="Q779" s="3">
        <f>IF(P779="","",IF(P779&lt;-0.02,"🔴 Bán phá giá sàn",IF(P779&gt;0.05,"🔵 Bán cao hơn","🟢 Đúng giá sàn TMĐT")))</f>
        <v/>
      </c>
      <c r="R779" s="3" t="n"/>
      <c r="S779" s="4" t="n"/>
      <c r="T779" s="4" t="n"/>
    </row>
    <row r="780">
      <c r="A780" s="3" t="n">
        <v>779</v>
      </c>
      <c r="B780" s="3" t="inlineStr">
        <is>
          <t>DL005</t>
        </is>
      </c>
      <c r="C780" s="4" t="inlineStr">
        <is>
          <t>ThinkSafe HCM</t>
        </is>
      </c>
      <c r="D780" s="3" t="inlineStr">
        <is>
          <t>HCM</t>
        </is>
      </c>
      <c r="E780" s="3" t="inlineStr">
        <is>
          <t>XUÂN TRANG</t>
        </is>
      </c>
      <c r="F780" s="3" t="inlineStr">
        <is>
          <t>Shopee, Tiktok</t>
        </is>
      </c>
      <c r="G780" s="4" t="inlineStr">
        <is>
          <t>SHOPEE: https://shopee.vn/baohothinksafe?uls_trackid=56slrjbp02l6&amp;utm_content=3kGSyWceAz2CP3beojAsTsVsisVR TIKTOK: https://www.tiktok.com/@thinksafevn LAZADA: WEBSITE BÁN HÀNG:</t>
        </is>
      </c>
      <c r="H780" s="3" t="inlineStr">
        <is>
          <t>KL018</t>
        </is>
      </c>
      <c r="I780" s="4" t="inlineStr">
        <is>
          <t>Bộ lục giác KL018</t>
        </is>
      </c>
      <c r="J780" s="3" t="inlineStr">
        <is>
          <t>Cái</t>
        </is>
      </c>
      <c r="K780" s="5" t="n">
        <v>269000</v>
      </c>
      <c r="L780" s="5" t="n">
        <v>317000</v>
      </c>
      <c r="M780" s="6" t="n">
        <v>390000</v>
      </c>
      <c r="N780" s="5" t="n"/>
      <c r="O780" s="5">
        <f>IF(AND(ISNUMBER(N780),ISNUMBER(M780)),N780-M780,"")</f>
        <v/>
      </c>
      <c r="P780" s="7">
        <f>IF(AND(ISNUMBER(N780),ISNUMBER(M780),M780&gt;0),(N780-M780)/M780,"")</f>
        <v/>
      </c>
      <c r="Q780" s="3">
        <f>IF(P780="","",IF(P780&lt;-0.02,"🔴 Bán phá giá sàn",IF(P780&gt;0.05,"🔵 Bán cao hơn","🟢 Đúng giá sàn TMĐT")))</f>
        <v/>
      </c>
      <c r="R780" s="3" t="n"/>
      <c r="S780" s="4" t="n"/>
      <c r="T780" s="4" t="n"/>
    </row>
    <row r="781">
      <c r="A781" s="3" t="n">
        <v>780</v>
      </c>
      <c r="B781" s="3" t="inlineStr">
        <is>
          <t>DL005</t>
        </is>
      </c>
      <c r="C781" s="4" t="inlineStr">
        <is>
          <t>ThinkSafe HCM</t>
        </is>
      </c>
      <c r="D781" s="3" t="inlineStr">
        <is>
          <t>HCM</t>
        </is>
      </c>
      <c r="E781" s="3" t="inlineStr">
        <is>
          <t>XUÂN TRANG</t>
        </is>
      </c>
      <c r="F781" s="3" t="inlineStr">
        <is>
          <t>Shopee, Tiktok</t>
        </is>
      </c>
      <c r="G781" s="4" t="inlineStr">
        <is>
          <t>SHOPEE: https://shopee.vn/baohothinksafe?uls_trackid=56slrjbp02l6&amp;utm_content=3kGSyWceAz2CP3beojAsTsVsisVR TIKTOK: https://www.tiktok.com/@thinksafevn LAZADA: WEBSITE BÁN HÀNG:</t>
        </is>
      </c>
      <c r="H781" s="3" t="inlineStr">
        <is>
          <t>KL5-09</t>
        </is>
      </c>
      <c r="I781" s="4" t="inlineStr">
        <is>
          <t>Bộ lục giác KL5-09 ( đầu bi)</t>
        </is>
      </c>
      <c r="J781" s="3" t="inlineStr">
        <is>
          <t>Cái</t>
        </is>
      </c>
      <c r="K781" s="5" t="n">
        <v>269000</v>
      </c>
      <c r="L781" s="5" t="n">
        <v>317000</v>
      </c>
      <c r="M781" s="6" t="n">
        <v>390000</v>
      </c>
      <c r="N781" s="5" t="n"/>
      <c r="O781" s="5">
        <f>IF(AND(ISNUMBER(N781),ISNUMBER(M781)),N781-M781,"")</f>
        <v/>
      </c>
      <c r="P781" s="7">
        <f>IF(AND(ISNUMBER(N781),ISNUMBER(M781),M781&gt;0),(N781-M781)/M781,"")</f>
        <v/>
      </c>
      <c r="Q781" s="3">
        <f>IF(P781="","",IF(P781&lt;-0.02,"🔴 Bán phá giá sàn",IF(P781&gt;0.05,"🔵 Bán cao hơn","🟢 Đúng giá sàn TMĐT")))</f>
        <v/>
      </c>
      <c r="R781" s="3" t="n"/>
      <c r="S781" s="4" t="n"/>
      <c r="T781" s="4" t="n"/>
    </row>
    <row r="782">
      <c r="A782" s="3" t="n">
        <v>781</v>
      </c>
      <c r="B782" s="3" t="inlineStr">
        <is>
          <t>DL005</t>
        </is>
      </c>
      <c r="C782" s="4" t="inlineStr">
        <is>
          <t>ThinkSafe HCM</t>
        </is>
      </c>
      <c r="D782" s="3" t="inlineStr">
        <is>
          <t>HCM</t>
        </is>
      </c>
      <c r="E782" s="3" t="inlineStr">
        <is>
          <t>XUÂN TRANG</t>
        </is>
      </c>
      <c r="F782" s="3" t="inlineStr">
        <is>
          <t>Shopee, Tiktok</t>
        </is>
      </c>
      <c r="G782" s="4" t="inlineStr">
        <is>
          <t>SHOPEE: https://shopee.vn/baohothinksafe?uls_trackid=56slrjbp02l6&amp;utm_content=3kGSyWceAz2CP3beojAsTsVsisVR TIKTOK: https://www.tiktok.com/@thinksafevn LAZADA: WEBSITE BÁN HÀNG:</t>
        </is>
      </c>
      <c r="H782" s="3" t="inlineStr">
        <is>
          <t>KL7-09</t>
        </is>
      </c>
      <c r="I782" s="4" t="inlineStr">
        <is>
          <t>Bộ lục giác KL7-09 ( đầu bi)</t>
        </is>
      </c>
      <c r="J782" s="3" t="inlineStr">
        <is>
          <t>Cái</t>
        </is>
      </c>
      <c r="K782" s="5" t="n">
        <v>269000</v>
      </c>
      <c r="L782" s="5" t="n">
        <v>317000</v>
      </c>
      <c r="M782" s="6" t="n">
        <v>390000</v>
      </c>
      <c r="N782" s="5" t="n"/>
      <c r="O782" s="5">
        <f>IF(AND(ISNUMBER(N782),ISNUMBER(M782)),N782-M782,"")</f>
        <v/>
      </c>
      <c r="P782" s="7">
        <f>IF(AND(ISNUMBER(N782),ISNUMBER(M782),M782&gt;0),(N782-M782)/M782,"")</f>
        <v/>
      </c>
      <c r="Q782" s="3">
        <f>IF(P782="","",IF(P782&lt;-0.02,"🔴 Bán phá giá sàn",IF(P782&gt;0.05,"🔵 Bán cao hơn","🟢 Đúng giá sàn TMĐT")))</f>
        <v/>
      </c>
      <c r="R782" s="3" t="n"/>
      <c r="S782" s="4" t="n"/>
      <c r="T782" s="4" t="n"/>
    </row>
    <row r="783">
      <c r="A783" s="3" t="n">
        <v>782</v>
      </c>
      <c r="B783" s="3" t="inlineStr">
        <is>
          <t>DL005</t>
        </is>
      </c>
      <c r="C783" s="4" t="inlineStr">
        <is>
          <t>ThinkSafe HCM</t>
        </is>
      </c>
      <c r="D783" s="3" t="inlineStr">
        <is>
          <t>HCM</t>
        </is>
      </c>
      <c r="E783" s="3" t="inlineStr">
        <is>
          <t>XUÂN TRANG</t>
        </is>
      </c>
      <c r="F783" s="3" t="inlineStr">
        <is>
          <t>Shopee, Tiktok</t>
        </is>
      </c>
      <c r="G783" s="4" t="inlineStr">
        <is>
          <t>SHOPEE: https://shopee.vn/baohothinksafe?uls_trackid=56slrjbp02l6&amp;utm_content=3kGSyWceAz2CP3beojAsTsVsisVR TIKTOK: https://www.tiktok.com/@thinksafevn LAZADA: WEBSITE BÁN HÀNG:</t>
        </is>
      </c>
      <c r="H783" s="3" t="inlineStr">
        <is>
          <t>KL9-09</t>
        </is>
      </c>
      <c r="I783" s="4" t="inlineStr">
        <is>
          <t>Bộ lục giác KL9-09 (đầu hoa thị)</t>
        </is>
      </c>
      <c r="J783" s="3" t="inlineStr">
        <is>
          <t>Cái</t>
        </is>
      </c>
      <c r="K783" s="5" t="n">
        <v>269000</v>
      </c>
      <c r="L783" s="5" t="n">
        <v>317000</v>
      </c>
      <c r="M783" s="6" t="n">
        <v>390000</v>
      </c>
      <c r="N783" s="5" t="n"/>
      <c r="O783" s="5">
        <f>IF(AND(ISNUMBER(N783),ISNUMBER(M783)),N783-M783,"")</f>
        <v/>
      </c>
      <c r="P783" s="7">
        <f>IF(AND(ISNUMBER(N783),ISNUMBER(M783),M783&gt;0),(N783-M783)/M783,"")</f>
        <v/>
      </c>
      <c r="Q783" s="3">
        <f>IF(P783="","",IF(P783&lt;-0.02,"🔴 Bán phá giá sàn",IF(P783&gt;0.05,"🔵 Bán cao hơn","🟢 Đúng giá sàn TMĐT")))</f>
        <v/>
      </c>
      <c r="R783" s="3" t="n"/>
      <c r="S783" s="4" t="n"/>
      <c r="T783" s="4" t="n"/>
    </row>
    <row r="784">
      <c r="A784" s="3" t="n">
        <v>783</v>
      </c>
      <c r="B784" s="3" t="inlineStr">
        <is>
          <t>DL005</t>
        </is>
      </c>
      <c r="C784" s="4" t="inlineStr">
        <is>
          <t>ThinkSafe HCM</t>
        </is>
      </c>
      <c r="D784" s="3" t="inlineStr">
        <is>
          <t>HCM</t>
        </is>
      </c>
      <c r="E784" s="3" t="inlineStr">
        <is>
          <t>XUÂN TRANG</t>
        </is>
      </c>
      <c r="F784" s="3" t="inlineStr">
        <is>
          <t>Shopee, Tiktok</t>
        </is>
      </c>
      <c r="G784" s="4" t="inlineStr">
        <is>
          <t>SHOPEE: https://shopee.vn/baohothinksafe?uls_trackid=56slrjbp02l6&amp;utm_content=3kGSyWceAz2CP3beojAsTsVsisVR TIKTOK: https://www.tiktok.com/@thinksafevn LAZADA: WEBSITE BÁN HÀNG:</t>
        </is>
      </c>
      <c r="H784" s="3" t="inlineStr">
        <is>
          <t>KLJ015</t>
        </is>
      </c>
      <c r="I784" s="4" t="inlineStr">
        <is>
          <t>Bộ mũi khoan King Blue KLJ015</t>
        </is>
      </c>
      <c r="J784" s="3" t="inlineStr">
        <is>
          <t>Cái</t>
        </is>
      </c>
      <c r="K784" s="5" t="n">
        <v>269000</v>
      </c>
      <c r="L784" s="5" t="n">
        <v>317000</v>
      </c>
      <c r="M784" s="6" t="n">
        <v>390000</v>
      </c>
      <c r="N784" s="5" t="n"/>
      <c r="O784" s="5">
        <f>IF(AND(ISNUMBER(N784),ISNUMBER(M784)),N784-M784,"")</f>
        <v/>
      </c>
      <c r="P784" s="7">
        <f>IF(AND(ISNUMBER(N784),ISNUMBER(M784),M784&gt;0),(N784-M784)/M784,"")</f>
        <v/>
      </c>
      <c r="Q784" s="3">
        <f>IF(P784="","",IF(P784&lt;-0.02,"🔴 Bán phá giá sàn",IF(P784&gt;0.05,"🔵 Bán cao hơn","🟢 Đúng giá sàn TMĐT")))</f>
        <v/>
      </c>
      <c r="R784" s="3" t="n"/>
      <c r="S784" s="4" t="n"/>
      <c r="T784" s="4" t="n"/>
    </row>
    <row r="785">
      <c r="A785" s="3" t="n">
        <v>784</v>
      </c>
      <c r="B785" s="3" t="inlineStr">
        <is>
          <t>DL005</t>
        </is>
      </c>
      <c r="C785" s="4" t="inlineStr">
        <is>
          <t>ThinkSafe HCM</t>
        </is>
      </c>
      <c r="D785" s="3" t="inlineStr">
        <is>
          <t>HCM</t>
        </is>
      </c>
      <c r="E785" s="3" t="inlineStr">
        <is>
          <t>XUÂN TRANG</t>
        </is>
      </c>
      <c r="F785" s="3" t="inlineStr">
        <is>
          <t>Shopee, Tiktok</t>
        </is>
      </c>
      <c r="G785" s="4" t="inlineStr">
        <is>
          <t>SHOPEE: https://shopee.vn/baohothinksafe?uls_trackid=56slrjbp02l6&amp;utm_content=3kGSyWceAz2CP3beojAsTsVsisVR TIKTOK: https://www.tiktok.com/@thinksafevn LAZADA: WEBSITE BÁN HÀNG:</t>
        </is>
      </c>
      <c r="H785" s="3" t="inlineStr">
        <is>
          <t>KBY1-B10</t>
        </is>
      </c>
      <c r="I785" s="4" t="inlineStr">
        <is>
          <t>Bộ mũi khoan thép Kingblue KBY1-B10</t>
        </is>
      </c>
      <c r="J785" s="3" t="inlineStr">
        <is>
          <t>Bộ</t>
        </is>
      </c>
      <c r="K785" s="5" t="n">
        <v>244000</v>
      </c>
      <c r="L785" s="5" t="n">
        <v>302000</v>
      </c>
      <c r="M785" s="6" t="n">
        <v>390000</v>
      </c>
      <c r="N785" s="5" t="n"/>
      <c r="O785" s="5">
        <f>IF(AND(ISNUMBER(N785),ISNUMBER(M785)),N785-M785,"")</f>
        <v/>
      </c>
      <c r="P785" s="7">
        <f>IF(AND(ISNUMBER(N785),ISNUMBER(M785),M785&gt;0),(N785-M785)/M785,"")</f>
        <v/>
      </c>
      <c r="Q785" s="3">
        <f>IF(P785="","",IF(P785&lt;-0.02,"🔴 Bán phá giá sàn",IF(P785&gt;0.05,"🔵 Bán cao hơn","🟢 Đúng giá sàn TMĐT")))</f>
        <v/>
      </c>
      <c r="R785" s="3" t="n"/>
      <c r="S785" s="4" t="n"/>
      <c r="T785" s="4" t="n"/>
    </row>
    <row r="786">
      <c r="A786" s="3" t="n">
        <v>785</v>
      </c>
      <c r="B786" s="3" t="inlineStr">
        <is>
          <t>DL005</t>
        </is>
      </c>
      <c r="C786" s="4" t="inlineStr">
        <is>
          <t>ThinkSafe HCM</t>
        </is>
      </c>
      <c r="D786" s="3" t="inlineStr">
        <is>
          <t>HCM</t>
        </is>
      </c>
      <c r="E786" s="3" t="inlineStr">
        <is>
          <t>XUÂN TRANG</t>
        </is>
      </c>
      <c r="F786" s="3" t="inlineStr">
        <is>
          <t>Shopee, Tiktok</t>
        </is>
      </c>
      <c r="G786" s="4" t="inlineStr">
        <is>
          <t>SHOPEE: https://shopee.vn/baohothinksafe?uls_trackid=56slrjbp02l6&amp;utm_content=3kGSyWceAz2CP3beojAsTsVsisVR TIKTOK: https://www.tiktok.com/@thinksafevn LAZADA: WEBSITE BÁN HÀNG:</t>
        </is>
      </c>
      <c r="H786" s="3" t="inlineStr">
        <is>
          <t>KV10-13</t>
        </is>
      </c>
      <c r="I786" s="4" t="inlineStr">
        <is>
          <t>Bộ tuvit đóng KV10-13</t>
        </is>
      </c>
      <c r="J786" s="3" t="inlineStr">
        <is>
          <t>Cái</t>
        </is>
      </c>
      <c r="K786" s="5" t="n">
        <v>269000</v>
      </c>
      <c r="L786" s="5" t="n">
        <v>317000</v>
      </c>
      <c r="M786" s="6" t="n">
        <v>390000</v>
      </c>
      <c r="N786" s="5" t="n"/>
      <c r="O786" s="5">
        <f>IF(AND(ISNUMBER(N786),ISNUMBER(M786)),N786-M786,"")</f>
        <v/>
      </c>
      <c r="P786" s="7">
        <f>IF(AND(ISNUMBER(N786),ISNUMBER(M786),M786&gt;0),(N786-M786)/M786,"")</f>
        <v/>
      </c>
      <c r="Q786" s="3">
        <f>IF(P786="","",IF(P786&lt;-0.02,"🔴 Bán phá giá sàn",IF(P786&gt;0.05,"🔵 Bán cao hơn","🟢 Đúng giá sàn TMĐT")))</f>
        <v/>
      </c>
      <c r="R786" s="3" t="n"/>
      <c r="S786" s="4" t="n"/>
      <c r="T786" s="4" t="n"/>
    </row>
    <row r="787">
      <c r="A787" s="3" t="n">
        <v>786</v>
      </c>
      <c r="B787" s="3" t="inlineStr">
        <is>
          <t>DL005</t>
        </is>
      </c>
      <c r="C787" s="4" t="inlineStr">
        <is>
          <t>ThinkSafe HCM</t>
        </is>
      </c>
      <c r="D787" s="3" t="inlineStr">
        <is>
          <t>HCM</t>
        </is>
      </c>
      <c r="E787" s="3" t="inlineStr">
        <is>
          <t>XUÂN TRANG</t>
        </is>
      </c>
      <c r="F787" s="3" t="inlineStr">
        <is>
          <t>Shopee, Tiktok</t>
        </is>
      </c>
      <c r="G787" s="4" t="inlineStr">
        <is>
          <t>SHOPEE: https://shopee.vn/baohothinksafe?uls_trackid=56slrjbp02l6&amp;utm_content=3kGSyWceAz2CP3beojAsTsVsisVR TIKTOK: https://www.tiktok.com/@thinksafevn LAZADA: WEBSITE BÁN HÀNG:</t>
        </is>
      </c>
      <c r="H787" s="3" t="inlineStr">
        <is>
          <t>KLG12</t>
        </is>
      </c>
      <c r="I787" s="4" t="inlineStr">
        <is>
          <t>Bộ tuýp cần tự động 12 chi tiết KLG12</t>
        </is>
      </c>
      <c r="J787" s="3" t="inlineStr">
        <is>
          <t>Bộ</t>
        </is>
      </c>
      <c r="K787" s="5" t="n">
        <v>424000</v>
      </c>
      <c r="L787" s="5" t="n">
        <v>500000</v>
      </c>
      <c r="M787" s="6" t="n">
        <v>615000</v>
      </c>
      <c r="N787" s="5" t="n"/>
      <c r="O787" s="5">
        <f>IF(AND(ISNUMBER(N787),ISNUMBER(M787)),N787-M787,"")</f>
        <v/>
      </c>
      <c r="P787" s="7">
        <f>IF(AND(ISNUMBER(N787),ISNUMBER(M787),M787&gt;0),(N787-M787)/M787,"")</f>
        <v/>
      </c>
      <c r="Q787" s="3">
        <f>IF(P787="","",IF(P787&lt;-0.02,"🔴 Bán phá giá sàn",IF(P787&gt;0.05,"🔵 Bán cao hơn","🟢 Đúng giá sàn TMĐT")))</f>
        <v/>
      </c>
      <c r="R787" s="3" t="n"/>
      <c r="S787" s="4" t="n"/>
      <c r="T787" s="4" t="n"/>
    </row>
    <row r="788">
      <c r="A788" s="3" t="n">
        <v>787</v>
      </c>
      <c r="B788" s="3" t="inlineStr">
        <is>
          <t>DL005</t>
        </is>
      </c>
      <c r="C788" s="4" t="inlineStr">
        <is>
          <t>ThinkSafe HCM</t>
        </is>
      </c>
      <c r="D788" s="3" t="inlineStr">
        <is>
          <t>HCM</t>
        </is>
      </c>
      <c r="E788" s="3" t="inlineStr">
        <is>
          <t>XUÂN TRANG</t>
        </is>
      </c>
      <c r="F788" s="3" t="inlineStr">
        <is>
          <t>Shopee, Tiktok</t>
        </is>
      </c>
      <c r="G788" s="4" t="inlineStr">
        <is>
          <t>SHOPEE: https://shopee.vn/baohothinksafe?uls_trackid=56slrjbp02l6&amp;utm_content=3kGSyWceAz2CP3beojAsTsVsisVR TIKTOK: https://www.tiktok.com/@thinksafevn LAZADA: WEBSITE BÁN HÀNG:</t>
        </is>
      </c>
      <c r="H788" s="3" t="inlineStr">
        <is>
          <t>KLG-12S</t>
        </is>
      </c>
      <c r="I788" s="4" t="inlineStr">
        <is>
          <t>Bộ tuýp cần tự động 12 chi tiết KLG-12S</t>
        </is>
      </c>
      <c r="J788" s="3" t="inlineStr">
        <is>
          <t>Cái</t>
        </is>
      </c>
      <c r="K788" s="5" t="n">
        <v>269000</v>
      </c>
      <c r="L788" s="5" t="n">
        <v>317000</v>
      </c>
      <c r="M788" s="6" t="n">
        <v>390000</v>
      </c>
      <c r="N788" s="5" t="n"/>
      <c r="O788" s="5">
        <f>IF(AND(ISNUMBER(N788),ISNUMBER(M788)),N788-M788,"")</f>
        <v/>
      </c>
      <c r="P788" s="7">
        <f>IF(AND(ISNUMBER(N788),ISNUMBER(M788),M788&gt;0),(N788-M788)/M788,"")</f>
        <v/>
      </c>
      <c r="Q788" s="3">
        <f>IF(P788="","",IF(P788&lt;-0.02,"🔴 Bán phá giá sàn",IF(P788&gt;0.05,"🔵 Bán cao hơn","🟢 Đúng giá sàn TMĐT")))</f>
        <v/>
      </c>
      <c r="R788" s="3" t="n"/>
      <c r="S788" s="4" t="n"/>
      <c r="T788" s="4" t="n"/>
    </row>
    <row r="789">
      <c r="A789" s="3" t="n">
        <v>788</v>
      </c>
      <c r="B789" s="3" t="inlineStr">
        <is>
          <t>DL005</t>
        </is>
      </c>
      <c r="C789" s="4" t="inlineStr">
        <is>
          <t>ThinkSafe HCM</t>
        </is>
      </c>
      <c r="D789" s="3" t="inlineStr">
        <is>
          <t>HCM</t>
        </is>
      </c>
      <c r="E789" s="3" t="inlineStr">
        <is>
          <t>XUÂN TRANG</t>
        </is>
      </c>
      <c r="F789" s="3" t="inlineStr">
        <is>
          <t>Shopee, Tiktok</t>
        </is>
      </c>
      <c r="G789" s="4" t="inlineStr">
        <is>
          <t>SHOPEE: https://shopee.vn/baohothinksafe?uls_trackid=56slrjbp02l6&amp;utm_content=3kGSyWceAz2CP3beojAsTsVsisVR TIKTOK: https://www.tiktok.com/@thinksafevn LAZADA: WEBSITE BÁN HÀNG:</t>
        </is>
      </c>
      <c r="H789" s="3" t="inlineStr">
        <is>
          <t>KIC140</t>
        </is>
      </c>
      <c r="I789" s="4" t="inlineStr">
        <is>
          <t>Bút thử điện KIC140</t>
        </is>
      </c>
      <c r="J789" s="3" t="inlineStr">
        <is>
          <t>Cái</t>
        </is>
      </c>
      <c r="K789" s="5" t="n">
        <v>14000</v>
      </c>
      <c r="L789" s="5" t="n">
        <v>16000</v>
      </c>
      <c r="M789" s="6" t="n">
        <v>20000</v>
      </c>
      <c r="N789" s="5" t="n"/>
      <c r="O789" s="5">
        <f>IF(AND(ISNUMBER(N789),ISNUMBER(M789)),N789-M789,"")</f>
        <v/>
      </c>
      <c r="P789" s="7">
        <f>IF(AND(ISNUMBER(N789),ISNUMBER(M789),M789&gt;0),(N789-M789)/M789,"")</f>
        <v/>
      </c>
      <c r="Q789" s="3">
        <f>IF(P789="","",IF(P789&lt;-0.02,"🔴 Bán phá giá sàn",IF(P789&gt;0.05,"🔵 Bán cao hơn","🟢 Đúng giá sàn TMĐT")))</f>
        <v/>
      </c>
      <c r="R789" s="3" t="n"/>
      <c r="S789" s="4" t="n"/>
      <c r="T789" s="4" t="n"/>
    </row>
    <row r="790">
      <c r="A790" s="3" t="n">
        <v>789</v>
      </c>
      <c r="B790" s="3" t="inlineStr">
        <is>
          <t>DL005</t>
        </is>
      </c>
      <c r="C790" s="4" t="inlineStr">
        <is>
          <t>ThinkSafe HCM</t>
        </is>
      </c>
      <c r="D790" s="3" t="inlineStr">
        <is>
          <t>HCM</t>
        </is>
      </c>
      <c r="E790" s="3" t="inlineStr">
        <is>
          <t>XUÂN TRANG</t>
        </is>
      </c>
      <c r="F790" s="3" t="inlineStr">
        <is>
          <t>Shopee, Tiktok</t>
        </is>
      </c>
      <c r="G790" s="4" t="inlineStr">
        <is>
          <t>SHOPEE: https://shopee.vn/baohothinksafe?uls_trackid=56slrjbp02l6&amp;utm_content=3kGSyWceAz2CP3beojAsTsVsisVR TIKTOK: https://www.tiktok.com/@thinksafevn LAZADA: WEBSITE BÁN HÀNG:</t>
        </is>
      </c>
      <c r="H790" s="3" t="inlineStr">
        <is>
          <t>KID160</t>
        </is>
      </c>
      <c r="I790" s="4" t="inlineStr">
        <is>
          <t>Bút thử điện KID160</t>
        </is>
      </c>
      <c r="J790" s="3" t="inlineStr">
        <is>
          <t>Cái</t>
        </is>
      </c>
      <c r="K790" s="5" t="n">
        <v>43000</v>
      </c>
      <c r="L790" s="5" t="n">
        <v>51000</v>
      </c>
      <c r="M790" s="6" t="n">
        <v>62000</v>
      </c>
      <c r="N790" s="5" t="n"/>
      <c r="O790" s="5">
        <f>IF(AND(ISNUMBER(N790),ISNUMBER(M790)),N790-M790,"")</f>
        <v/>
      </c>
      <c r="P790" s="7">
        <f>IF(AND(ISNUMBER(N790),ISNUMBER(M790),M790&gt;0),(N790-M790)/M790,"")</f>
        <v/>
      </c>
      <c r="Q790" s="3">
        <f>IF(P790="","",IF(P790&lt;-0.02,"🔴 Bán phá giá sàn",IF(P790&gt;0.05,"🔵 Bán cao hơn","🟢 Đúng giá sàn TMĐT")))</f>
        <v/>
      </c>
      <c r="R790" s="3" t="n"/>
      <c r="S790" s="4" t="n"/>
      <c r="T790" s="4" t="n"/>
    </row>
    <row r="791">
      <c r="A791" s="3" t="n">
        <v>790</v>
      </c>
      <c r="B791" s="3" t="inlineStr">
        <is>
          <t>DL005</t>
        </is>
      </c>
      <c r="C791" s="4" t="inlineStr">
        <is>
          <t>ThinkSafe HCM</t>
        </is>
      </c>
      <c r="D791" s="3" t="inlineStr">
        <is>
          <t>HCM</t>
        </is>
      </c>
      <c r="E791" s="3" t="inlineStr">
        <is>
          <t>XUÂN TRANG</t>
        </is>
      </c>
      <c r="F791" s="3" t="inlineStr">
        <is>
          <t>Shopee, Tiktok</t>
        </is>
      </c>
      <c r="G791" s="4" t="inlineStr">
        <is>
          <t>SHOPEE: https://shopee.vn/baohothinksafe?uls_trackid=56slrjbp02l6&amp;utm_content=3kGSyWceAz2CP3beojAsTsVsisVR TIKTOK: https://www.tiktok.com/@thinksafevn LAZADA: WEBSITE BÁN HÀNG:</t>
        </is>
      </c>
      <c r="H791" s="3" t="inlineStr">
        <is>
          <t>KIF160</t>
        </is>
      </c>
      <c r="I791" s="4" t="inlineStr">
        <is>
          <t>Bút thử điện KIF160</t>
        </is>
      </c>
      <c r="J791" s="3" t="inlineStr">
        <is>
          <t>Cái</t>
        </is>
      </c>
      <c r="K791" s="5" t="n">
        <v>121000</v>
      </c>
      <c r="L791" s="5" t="n">
        <v>143000</v>
      </c>
      <c r="M791" s="6" t="n">
        <v>176000</v>
      </c>
      <c r="N791" s="5" t="n"/>
      <c r="O791" s="5">
        <f>IF(AND(ISNUMBER(N791),ISNUMBER(M791)),N791-M791,"")</f>
        <v/>
      </c>
      <c r="P791" s="7">
        <f>IF(AND(ISNUMBER(N791),ISNUMBER(M791),M791&gt;0),(N791-M791)/M791,"")</f>
        <v/>
      </c>
      <c r="Q791" s="3">
        <f>IF(P791="","",IF(P791&lt;-0.02,"🔴 Bán phá giá sàn",IF(P791&gt;0.05,"🔵 Bán cao hơn","🟢 Đúng giá sàn TMĐT")))</f>
        <v/>
      </c>
      <c r="R791" s="3" t="n"/>
      <c r="S791" s="4" t="n"/>
      <c r="T791" s="4" t="n"/>
    </row>
    <row r="792">
      <c r="A792" s="3" t="n">
        <v>791</v>
      </c>
      <c r="B792" s="3" t="inlineStr">
        <is>
          <t>DL005</t>
        </is>
      </c>
      <c r="C792" s="4" t="inlineStr">
        <is>
          <t>ThinkSafe HCM</t>
        </is>
      </c>
      <c r="D792" s="3" t="inlineStr">
        <is>
          <t>HCM</t>
        </is>
      </c>
      <c r="E792" s="3" t="inlineStr">
        <is>
          <t>XUÂN TRANG</t>
        </is>
      </c>
      <c r="F792" s="3" t="inlineStr">
        <is>
          <t>Shopee, Tiktok</t>
        </is>
      </c>
      <c r="G792" s="4" t="inlineStr">
        <is>
          <t>SHOPEE: https://shopee.vn/baohothinksafe?uls_trackid=56slrjbp02l6&amp;utm_content=3kGSyWceAz2CP3beojAsTsVsisVR TIKTOK: https://www.tiktok.com/@thinksafevn LAZADA: WEBSITE BÁN HÀNG:</t>
        </is>
      </c>
      <c r="H792" s="3" t="inlineStr">
        <is>
          <t>KLG-01</t>
        </is>
      </c>
      <c r="I792" s="4" t="inlineStr">
        <is>
          <t>Cần siết tự động 1/2 (72 răng) KLG-01</t>
        </is>
      </c>
      <c r="J792" s="3" t="inlineStr">
        <is>
          <t>Cái</t>
        </is>
      </c>
      <c r="K792" s="5" t="n">
        <v>160000</v>
      </c>
      <c r="L792" s="5" t="n">
        <v>189000</v>
      </c>
      <c r="M792" s="6" t="n">
        <v>232000</v>
      </c>
      <c r="N792" s="5" t="n"/>
      <c r="O792" s="5">
        <f>IF(AND(ISNUMBER(N792),ISNUMBER(M792)),N792-M792,"")</f>
        <v/>
      </c>
      <c r="P792" s="7">
        <f>IF(AND(ISNUMBER(N792),ISNUMBER(M792),M792&gt;0),(N792-M792)/M792,"")</f>
        <v/>
      </c>
      <c r="Q792" s="3">
        <f>IF(P792="","",IF(P792&lt;-0.02,"🔴 Bán phá giá sàn",IF(P792&gt;0.05,"🔵 Bán cao hơn","🟢 Đúng giá sàn TMĐT")))</f>
        <v/>
      </c>
      <c r="R792" s="3" t="n"/>
      <c r="S792" s="4" t="n"/>
      <c r="T792" s="4" t="n"/>
    </row>
    <row r="793">
      <c r="A793" s="3" t="n">
        <v>792</v>
      </c>
      <c r="B793" s="3" t="inlineStr">
        <is>
          <t>DL005</t>
        </is>
      </c>
      <c r="C793" s="4" t="inlineStr">
        <is>
          <t>ThinkSafe HCM</t>
        </is>
      </c>
      <c r="D793" s="3" t="inlineStr">
        <is>
          <t>HCM</t>
        </is>
      </c>
      <c r="E793" s="3" t="inlineStr">
        <is>
          <t>XUÂN TRANG</t>
        </is>
      </c>
      <c r="F793" s="3" t="inlineStr">
        <is>
          <t>Shopee, Tiktok</t>
        </is>
      </c>
      <c r="G793" s="4" t="inlineStr">
        <is>
          <t>SHOPEE: https://shopee.vn/baohothinksafe?uls_trackid=56slrjbp02l6&amp;utm_content=3kGSyWceAz2CP3beojAsTsVsisVR TIKTOK: https://www.tiktok.com/@thinksafevn LAZADA: WEBSITE BÁN HÀNG:</t>
        </is>
      </c>
      <c r="H793" s="3" t="inlineStr">
        <is>
          <t>KGX-08</t>
        </is>
      </c>
      <c r="I793" s="4" t="inlineStr">
        <is>
          <t>Cần siết tự động đa năng 8 in 1 KGX-08</t>
        </is>
      </c>
      <c r="J793" s="3" t="inlineStr">
        <is>
          <t>Cái</t>
        </is>
      </c>
      <c r="K793" s="5" t="n">
        <v>319000</v>
      </c>
      <c r="L793" s="5" t="n">
        <v>377000</v>
      </c>
      <c r="M793" s="6" t="n">
        <v>463000</v>
      </c>
      <c r="N793" s="5" t="n"/>
      <c r="O793" s="5">
        <f>IF(AND(ISNUMBER(N793),ISNUMBER(M793)),N793-M793,"")</f>
        <v/>
      </c>
      <c r="P793" s="7">
        <f>IF(AND(ISNUMBER(N793),ISNUMBER(M793),M793&gt;0),(N793-M793)/M793,"")</f>
        <v/>
      </c>
      <c r="Q793" s="3">
        <f>IF(P793="","",IF(P793&lt;-0.02,"🔴 Bán phá giá sàn",IF(P793&gt;0.05,"🔵 Bán cao hơn","🟢 Đúng giá sàn TMĐT")))</f>
        <v/>
      </c>
      <c r="R793" s="3" t="n"/>
      <c r="S793" s="4" t="n"/>
      <c r="T793" s="4" t="n"/>
    </row>
    <row r="794">
      <c r="A794" s="3" t="n">
        <v>793</v>
      </c>
      <c r="B794" s="3" t="inlineStr">
        <is>
          <t>DL005</t>
        </is>
      </c>
      <c r="C794" s="4" t="inlineStr">
        <is>
          <t>ThinkSafe HCM</t>
        </is>
      </c>
      <c r="D794" s="3" t="inlineStr">
        <is>
          <t>HCM</t>
        </is>
      </c>
      <c r="E794" s="3" t="inlineStr">
        <is>
          <t>XUÂN TRANG</t>
        </is>
      </c>
      <c r="F794" s="3" t="inlineStr">
        <is>
          <t>Shopee, Tiktok</t>
        </is>
      </c>
      <c r="G794" s="4" t="inlineStr">
        <is>
          <t>SHOPEE: https://shopee.vn/baohothinksafe?uls_trackid=56slrjbp02l6&amp;utm_content=3kGSyWceAz2CP3beojAsTsVsisVR TIKTOK: https://www.tiktok.com/@thinksafevn LAZADA: WEBSITE BÁN HÀNG:</t>
        </is>
      </c>
      <c r="H794" s="3" t="inlineStr">
        <is>
          <t>KB-ST18</t>
        </is>
      </c>
      <c r="I794" s="4" t="inlineStr">
        <is>
          <t>Công cụ đóng đinh bán tự động KB-ST18</t>
        </is>
      </c>
      <c r="J794" s="3" t="inlineStr">
        <is>
          <t>Cái</t>
        </is>
      </c>
      <c r="K794" s="5" t="n">
        <v>242000</v>
      </c>
      <c r="L794" s="5" t="n">
        <v>286000</v>
      </c>
      <c r="M794" s="6" t="n">
        <v>351000</v>
      </c>
      <c r="N794" s="5" t="n"/>
      <c r="O794" s="5">
        <f>IF(AND(ISNUMBER(N794),ISNUMBER(M794)),N794-M794,"")</f>
        <v/>
      </c>
      <c r="P794" s="7">
        <f>IF(AND(ISNUMBER(N794),ISNUMBER(M794),M794&gt;0),(N794-M794)/M794,"")</f>
        <v/>
      </c>
      <c r="Q794" s="3">
        <f>IF(P794="","",IF(P794&lt;-0.02,"🔴 Bán phá giá sàn",IF(P794&gt;0.05,"🔵 Bán cao hơn","🟢 Đúng giá sàn TMĐT")))</f>
        <v/>
      </c>
      <c r="R794" s="3" t="n"/>
      <c r="S794" s="4" t="n"/>
      <c r="T794" s="4" t="n"/>
    </row>
    <row r="795">
      <c r="A795" s="3" t="n">
        <v>794</v>
      </c>
      <c r="B795" s="3" t="inlineStr">
        <is>
          <t>DL005</t>
        </is>
      </c>
      <c r="C795" s="4" t="inlineStr">
        <is>
          <t>ThinkSafe HCM</t>
        </is>
      </c>
      <c r="D795" s="3" t="inlineStr">
        <is>
          <t>HCM</t>
        </is>
      </c>
      <c r="E795" s="3" t="inlineStr">
        <is>
          <t>XUÂN TRANG</t>
        </is>
      </c>
      <c r="F795" s="3" t="inlineStr">
        <is>
          <t>Shopee, Tiktok</t>
        </is>
      </c>
      <c r="G795" s="4" t="inlineStr">
        <is>
          <t>SHOPEE: https://shopee.vn/baohothinksafe?uls_trackid=56slrjbp02l6&amp;utm_content=3kGSyWceAz2CP3beojAsTsVsisVR TIKTOK: https://www.tiktok.com/@thinksafevn LAZADA: WEBSITE BÁN HÀNG:</t>
        </is>
      </c>
      <c r="H795" s="3" t="inlineStr"/>
      <c r="I795" s="4" t="inlineStr">
        <is>
          <t>Cờ lê lực 24mm</t>
        </is>
      </c>
      <c r="J795" s="3" t="inlineStr">
        <is>
          <t>Cái</t>
        </is>
      </c>
      <c r="K795" s="5" t="n">
        <v>269000</v>
      </c>
      <c r="L795" s="5" t="n">
        <v>317000</v>
      </c>
      <c r="M795" s="6" t="n">
        <v>390000</v>
      </c>
      <c r="N795" s="5" t="n"/>
      <c r="O795" s="5">
        <f>IF(AND(ISNUMBER(N795),ISNUMBER(M795)),N795-M795,"")</f>
        <v/>
      </c>
      <c r="P795" s="7">
        <f>IF(AND(ISNUMBER(N795),ISNUMBER(M795),M795&gt;0),(N795-M795)/M795,"")</f>
        <v/>
      </c>
      <c r="Q795" s="3">
        <f>IF(P795="","",IF(P795&lt;-0.02,"🔴 Bán phá giá sàn",IF(P795&gt;0.05,"🔵 Bán cao hơn","🟢 Đúng giá sàn TMĐT")))</f>
        <v/>
      </c>
      <c r="R795" s="3" t="n"/>
      <c r="S795" s="4" t="n"/>
      <c r="T795" s="4" t="n"/>
    </row>
    <row r="796">
      <c r="A796" s="3" t="n">
        <v>795</v>
      </c>
      <c r="B796" s="3" t="inlineStr">
        <is>
          <t>DL005</t>
        </is>
      </c>
      <c r="C796" s="4" t="inlineStr">
        <is>
          <t>ThinkSafe HCM</t>
        </is>
      </c>
      <c r="D796" s="3" t="inlineStr">
        <is>
          <t>HCM</t>
        </is>
      </c>
      <c r="E796" s="3" t="inlineStr">
        <is>
          <t>XUÂN TRANG</t>
        </is>
      </c>
      <c r="F796" s="3" t="inlineStr">
        <is>
          <t>Shopee, Tiktok</t>
        </is>
      </c>
      <c r="G796" s="4" t="inlineStr">
        <is>
          <t>SHOPEE: https://shopee.vn/baohothinksafe?uls_trackid=56slrjbp02l6&amp;utm_content=3kGSyWceAz2CP3beojAsTsVsisVR TIKTOK: https://www.tiktok.com/@thinksafevn LAZADA: WEBSITE BÁN HÀNG:</t>
        </is>
      </c>
      <c r="H796" s="3" t="inlineStr">
        <is>
          <t>ES180i</t>
        </is>
      </c>
      <c r="I796" s="4" t="inlineStr">
        <is>
          <t>Cưa gấp KingBlue ES180i</t>
        </is>
      </c>
      <c r="J796" s="3" t="inlineStr">
        <is>
          <t>Cái</t>
        </is>
      </c>
      <c r="K796" s="5" t="n">
        <v>139000</v>
      </c>
      <c r="L796" s="5" t="n">
        <v>164000</v>
      </c>
      <c r="M796" s="6" t="n">
        <v>202000</v>
      </c>
      <c r="N796" s="5" t="n"/>
      <c r="O796" s="5">
        <f>IF(AND(ISNUMBER(N796),ISNUMBER(M796)),N796-M796,"")</f>
        <v/>
      </c>
      <c r="P796" s="7">
        <f>IF(AND(ISNUMBER(N796),ISNUMBER(M796),M796&gt;0),(N796-M796)/M796,"")</f>
        <v/>
      </c>
      <c r="Q796" s="3">
        <f>IF(P796="","",IF(P796&lt;-0.02,"🔴 Bán phá giá sàn",IF(P796&gt;0.05,"🔵 Bán cao hơn","🟢 Đúng giá sàn TMĐT")))</f>
        <v/>
      </c>
      <c r="R796" s="3" t="n"/>
      <c r="S796" s="4" t="n"/>
      <c r="T796" s="4" t="n"/>
    </row>
    <row r="797">
      <c r="A797" s="3" t="n">
        <v>796</v>
      </c>
      <c r="B797" s="3" t="inlineStr">
        <is>
          <t>DL005</t>
        </is>
      </c>
      <c r="C797" s="4" t="inlineStr">
        <is>
          <t>ThinkSafe HCM</t>
        </is>
      </c>
      <c r="D797" s="3" t="inlineStr">
        <is>
          <t>HCM</t>
        </is>
      </c>
      <c r="E797" s="3" t="inlineStr">
        <is>
          <t>XUÂN TRANG</t>
        </is>
      </c>
      <c r="F797" s="3" t="inlineStr">
        <is>
          <t>Shopee, Tiktok</t>
        </is>
      </c>
      <c r="G797" s="4" t="inlineStr">
        <is>
          <t>SHOPEE: https://shopee.vn/baohothinksafe?uls_trackid=56slrjbp02l6&amp;utm_content=3kGSyWceAz2CP3beojAsTsVsisVR TIKTOK: https://www.tiktok.com/@thinksafevn LAZADA: WEBSITE BÁN HÀNG:</t>
        </is>
      </c>
      <c r="H797" s="3" t="inlineStr">
        <is>
          <t>ES250</t>
        </is>
      </c>
      <c r="I797" s="4" t="inlineStr">
        <is>
          <t>Cưa gấp KingBlue ES250</t>
        </is>
      </c>
      <c r="J797" s="3" t="inlineStr">
        <is>
          <t>Cái</t>
        </is>
      </c>
      <c r="K797" s="5" t="n">
        <v>185000</v>
      </c>
      <c r="L797" s="5" t="n">
        <v>218000</v>
      </c>
      <c r="M797" s="6" t="n">
        <v>268000</v>
      </c>
      <c r="N797" s="5" t="n"/>
      <c r="O797" s="5">
        <f>IF(AND(ISNUMBER(N797),ISNUMBER(M797)),N797-M797,"")</f>
        <v/>
      </c>
      <c r="P797" s="7">
        <f>IF(AND(ISNUMBER(N797),ISNUMBER(M797),M797&gt;0),(N797-M797)/M797,"")</f>
        <v/>
      </c>
      <c r="Q797" s="3">
        <f>IF(P797="","",IF(P797&lt;-0.02,"🔴 Bán phá giá sàn",IF(P797&gt;0.05,"🔵 Bán cao hơn","🟢 Đúng giá sàn TMĐT")))</f>
        <v/>
      </c>
      <c r="R797" s="3" t="n"/>
      <c r="S797" s="4" t="n"/>
      <c r="T797" s="4" t="n"/>
    </row>
    <row r="798">
      <c r="A798" s="3" t="n">
        <v>797</v>
      </c>
      <c r="B798" s="3" t="inlineStr">
        <is>
          <t>DL005</t>
        </is>
      </c>
      <c r="C798" s="4" t="inlineStr">
        <is>
          <t>ThinkSafe HCM</t>
        </is>
      </c>
      <c r="D798" s="3" t="inlineStr">
        <is>
          <t>HCM</t>
        </is>
      </c>
      <c r="E798" s="3" t="inlineStr">
        <is>
          <t>XUÂN TRANG</t>
        </is>
      </c>
      <c r="F798" s="3" t="inlineStr">
        <is>
          <t>Shopee, Tiktok</t>
        </is>
      </c>
      <c r="G798" s="4" t="inlineStr">
        <is>
          <t>SHOPEE: https://shopee.vn/baohothinksafe?uls_trackid=56slrjbp02l6&amp;utm_content=3kGSyWceAz2CP3beojAsTsVsisVR TIKTOK: https://www.tiktok.com/@thinksafevn LAZADA: WEBSITE BÁN HÀNG:</t>
        </is>
      </c>
      <c r="H798" s="3" t="inlineStr">
        <is>
          <t>KB-E350</t>
        </is>
      </c>
      <c r="I798" s="4" t="inlineStr">
        <is>
          <t>Cưa KingBlue KB-E350</t>
        </is>
      </c>
      <c r="J798" s="3" t="inlineStr">
        <is>
          <t>Cái</t>
        </is>
      </c>
      <c r="K798" s="5" t="n">
        <v>242000</v>
      </c>
      <c r="L798" s="5" t="n">
        <v>286000</v>
      </c>
      <c r="M798" s="6" t="n">
        <v>351000</v>
      </c>
      <c r="N798" s="5" t="n"/>
      <c r="O798" s="5">
        <f>IF(AND(ISNUMBER(N798),ISNUMBER(M798)),N798-M798,"")</f>
        <v/>
      </c>
      <c r="P798" s="7">
        <f>IF(AND(ISNUMBER(N798),ISNUMBER(M798),M798&gt;0),(N798-M798)/M798,"")</f>
        <v/>
      </c>
      <c r="Q798" s="3">
        <f>IF(P798="","",IF(P798&lt;-0.02,"🔴 Bán phá giá sàn",IF(P798&gt;0.05,"🔵 Bán cao hơn","🟢 Đúng giá sàn TMĐT")))</f>
        <v/>
      </c>
      <c r="R798" s="3" t="n"/>
      <c r="S798" s="4" t="n"/>
      <c r="T798" s="4" t="n"/>
    </row>
    <row r="799">
      <c r="A799" s="3" t="n">
        <v>798</v>
      </c>
      <c r="B799" s="3" t="inlineStr">
        <is>
          <t>DL005</t>
        </is>
      </c>
      <c r="C799" s="4" t="inlineStr">
        <is>
          <t>ThinkSafe HCM</t>
        </is>
      </c>
      <c r="D799" s="3" t="inlineStr">
        <is>
          <t>HCM</t>
        </is>
      </c>
      <c r="E799" s="3" t="inlineStr">
        <is>
          <t>XUÂN TRANG</t>
        </is>
      </c>
      <c r="F799" s="3" t="inlineStr">
        <is>
          <t>Shopee, Tiktok</t>
        </is>
      </c>
      <c r="G799" s="4" t="inlineStr">
        <is>
          <t>SHOPEE: https://shopee.vn/baohothinksafe?uls_trackid=56slrjbp02l6&amp;utm_content=3kGSyWceAz2CP3beojAsTsVsisVR TIKTOK: https://www.tiktok.com/@thinksafevn LAZADA: WEBSITE BÁN HÀNG:</t>
        </is>
      </c>
      <c r="H799" s="3" t="inlineStr">
        <is>
          <t>KJC300</t>
        </is>
      </c>
      <c r="I799" s="4" t="inlineStr">
        <is>
          <t>Cưa tay KJC300</t>
        </is>
      </c>
      <c r="J799" s="3" t="inlineStr">
        <is>
          <t>Cái</t>
        </is>
      </c>
      <c r="K799" s="5" t="n">
        <v>269000</v>
      </c>
      <c r="L799" s="5" t="n">
        <v>317000</v>
      </c>
      <c r="M799" s="6" t="n">
        <v>390000</v>
      </c>
      <c r="N799" s="5" t="n"/>
      <c r="O799" s="5">
        <f>IF(AND(ISNUMBER(N799),ISNUMBER(M799)),N799-M799,"")</f>
        <v/>
      </c>
      <c r="P799" s="7">
        <f>IF(AND(ISNUMBER(N799),ISNUMBER(M799),M799&gt;0),(N799-M799)/M799,"")</f>
        <v/>
      </c>
      <c r="Q799" s="3">
        <f>IF(P799="","",IF(P799&lt;-0.02,"🔴 Bán phá giá sàn",IF(P799&gt;0.05,"🔵 Bán cao hơn","🟢 Đúng giá sàn TMĐT")))</f>
        <v/>
      </c>
      <c r="R799" s="3" t="n"/>
      <c r="S799" s="4" t="n"/>
      <c r="T799" s="4" t="n"/>
    </row>
    <row r="800">
      <c r="A800" s="3" t="n">
        <v>799</v>
      </c>
      <c r="B800" s="3" t="inlineStr">
        <is>
          <t>DL005</t>
        </is>
      </c>
      <c r="C800" s="4" t="inlineStr">
        <is>
          <t>ThinkSafe HCM</t>
        </is>
      </c>
      <c r="D800" s="3" t="inlineStr">
        <is>
          <t>HCM</t>
        </is>
      </c>
      <c r="E800" s="3" t="inlineStr">
        <is>
          <t>XUÂN TRANG</t>
        </is>
      </c>
      <c r="F800" s="3" t="inlineStr">
        <is>
          <t>Shopee, Tiktok</t>
        </is>
      </c>
      <c r="G800" s="4" t="inlineStr">
        <is>
          <t>SHOPEE: https://shopee.vn/baohothinksafe?uls_trackid=56slrjbp02l6&amp;utm_content=3kGSyWceAz2CP3beojAsTsVsisVR TIKTOK: https://www.tiktok.com/@thinksafevn LAZADA: WEBSITE BÁN HÀNG:</t>
        </is>
      </c>
      <c r="H800" s="3" t="inlineStr">
        <is>
          <t>KB-05X</t>
        </is>
      </c>
      <c r="I800" s="4" t="inlineStr">
        <is>
          <t>Chân máy laser KB-05X</t>
        </is>
      </c>
      <c r="J800" s="3" t="inlineStr">
        <is>
          <t>Cái</t>
        </is>
      </c>
      <c r="K800" s="5" t="n">
        <v>1350000</v>
      </c>
      <c r="L800" s="5" t="n">
        <v>1510000</v>
      </c>
      <c r="M800" s="6" t="n">
        <v>1760000</v>
      </c>
      <c r="N800" s="5" t="n"/>
      <c r="O800" s="5">
        <f>IF(AND(ISNUMBER(N800),ISNUMBER(M800)),N800-M800,"")</f>
        <v/>
      </c>
      <c r="P800" s="7">
        <f>IF(AND(ISNUMBER(N800),ISNUMBER(M800),M800&gt;0),(N800-M800)/M800,"")</f>
        <v/>
      </c>
      <c r="Q800" s="3">
        <f>IF(P800="","",IF(P800&lt;-0.02,"🔴 Bán phá giá sàn",IF(P800&gt;0.05,"🔵 Bán cao hơn","🟢 Đúng giá sàn TMĐT")))</f>
        <v/>
      </c>
      <c r="R800" s="3" t="n"/>
      <c r="S800" s="4" t="n"/>
      <c r="T800" s="4" t="n"/>
    </row>
    <row r="801">
      <c r="A801" s="3" t="n">
        <v>800</v>
      </c>
      <c r="B801" s="3" t="inlineStr">
        <is>
          <t>DL005</t>
        </is>
      </c>
      <c r="C801" s="4" t="inlineStr">
        <is>
          <t>ThinkSafe HCM</t>
        </is>
      </c>
      <c r="D801" s="3" t="inlineStr">
        <is>
          <t>HCM</t>
        </is>
      </c>
      <c r="E801" s="3" t="inlineStr">
        <is>
          <t>XUÂN TRANG</t>
        </is>
      </c>
      <c r="F801" s="3" t="inlineStr">
        <is>
          <t>Shopee, Tiktok</t>
        </is>
      </c>
      <c r="G801" s="4" t="inlineStr">
        <is>
          <t>SHOPEE: https://shopee.vn/baohothinksafe?uls_trackid=56slrjbp02l6&amp;utm_content=3kGSyWceAz2CP3beojAsTsVsisVR TIKTOK: https://www.tiktok.com/@thinksafevn LAZADA: WEBSITE BÁN HÀNG:</t>
        </is>
      </c>
      <c r="H801" s="3" t="inlineStr">
        <is>
          <t>M1-110x5R</t>
        </is>
      </c>
      <c r="I801" s="4" t="inlineStr">
        <is>
          <t>Chén mài Kingblue M1-110x5R (vàng)</t>
        </is>
      </c>
      <c r="J801" s="3" t="inlineStr">
        <is>
          <t>Cái</t>
        </is>
      </c>
      <c r="K801" s="5" t="n">
        <v>77000</v>
      </c>
      <c r="L801" s="5" t="n">
        <v>91000</v>
      </c>
      <c r="M801" s="6" t="n">
        <v>112000</v>
      </c>
      <c r="N801" s="5" t="n"/>
      <c r="O801" s="5">
        <f>IF(AND(ISNUMBER(N801),ISNUMBER(M801)),N801-M801,"")</f>
        <v/>
      </c>
      <c r="P801" s="7">
        <f>IF(AND(ISNUMBER(N801),ISNUMBER(M801),M801&gt;0),(N801-M801)/M801,"")</f>
        <v/>
      </c>
      <c r="Q801" s="3">
        <f>IF(P801="","",IF(P801&lt;-0.02,"🔴 Bán phá giá sàn",IF(P801&gt;0.05,"🔵 Bán cao hơn","🟢 Đúng giá sàn TMĐT")))</f>
        <v/>
      </c>
      <c r="R801" s="3" t="n"/>
      <c r="S801" s="4" t="n"/>
      <c r="T801" s="4" t="n"/>
    </row>
    <row r="802">
      <c r="A802" s="3" t="n">
        <v>801</v>
      </c>
      <c r="B802" s="3" t="inlineStr">
        <is>
          <t>DL005</t>
        </is>
      </c>
      <c r="C802" s="4" t="inlineStr">
        <is>
          <t>ThinkSafe HCM</t>
        </is>
      </c>
      <c r="D802" s="3" t="inlineStr">
        <is>
          <t>HCM</t>
        </is>
      </c>
      <c r="E802" s="3" t="inlineStr">
        <is>
          <t>XUÂN TRANG</t>
        </is>
      </c>
      <c r="F802" s="3" t="inlineStr">
        <is>
          <t>Shopee, Tiktok</t>
        </is>
      </c>
      <c r="G802" s="4" t="inlineStr">
        <is>
          <t>SHOPEE: https://shopee.vn/baohothinksafe?uls_trackid=56slrjbp02l6&amp;utm_content=3kGSyWceAz2CP3beojAsTsVsisVR TIKTOK: https://www.tiktok.com/@thinksafevn LAZADA: WEBSITE BÁN HÀNG:</t>
        </is>
      </c>
      <c r="H802" s="3" t="inlineStr">
        <is>
          <t>M1-125x5R</t>
        </is>
      </c>
      <c r="I802" s="4" t="inlineStr">
        <is>
          <t>Chén mài Kingblue M1-125x5R (Vàng)</t>
        </is>
      </c>
      <c r="J802" s="3" t="inlineStr">
        <is>
          <t>Cái</t>
        </is>
      </c>
      <c r="K802" s="5" t="n">
        <v>110000</v>
      </c>
      <c r="L802" s="5" t="n">
        <v>130000</v>
      </c>
      <c r="M802" s="6" t="n">
        <v>160000</v>
      </c>
      <c r="N802" s="5" t="n"/>
      <c r="O802" s="5">
        <f>IF(AND(ISNUMBER(N802),ISNUMBER(M802)),N802-M802,"")</f>
        <v/>
      </c>
      <c r="P802" s="7">
        <f>IF(AND(ISNUMBER(N802),ISNUMBER(M802),M802&gt;0),(N802-M802)/M802,"")</f>
        <v/>
      </c>
      <c r="Q802" s="3">
        <f>IF(P802="","",IF(P802&lt;-0.02,"🔴 Bán phá giá sàn",IF(P802&gt;0.05,"🔵 Bán cao hơn","🟢 Đúng giá sàn TMĐT")))</f>
        <v/>
      </c>
      <c r="R802" s="3" t="n"/>
      <c r="S802" s="4" t="n"/>
      <c r="T802" s="4" t="n"/>
    </row>
    <row r="803">
      <c r="A803" s="3" t="n">
        <v>802</v>
      </c>
      <c r="B803" s="3" t="inlineStr">
        <is>
          <t>DL005</t>
        </is>
      </c>
      <c r="C803" s="4" t="inlineStr">
        <is>
          <t>ThinkSafe HCM</t>
        </is>
      </c>
      <c r="D803" s="3" t="inlineStr">
        <is>
          <t>HCM</t>
        </is>
      </c>
      <c r="E803" s="3" t="inlineStr">
        <is>
          <t>XUÂN TRANG</t>
        </is>
      </c>
      <c r="F803" s="3" t="inlineStr">
        <is>
          <t>Shopee, Tiktok</t>
        </is>
      </c>
      <c r="G803" s="4" t="inlineStr">
        <is>
          <t>SHOPEE: https://shopee.vn/baohothinksafe?uls_trackid=56slrjbp02l6&amp;utm_content=3kGSyWceAz2CP3beojAsTsVsisVR TIKTOK: https://www.tiktok.com/@thinksafevn LAZADA: WEBSITE BÁN HÀNG:</t>
        </is>
      </c>
      <c r="H803" s="3" t="inlineStr">
        <is>
          <t>M2-110x5R</t>
        </is>
      </c>
      <c r="I803" s="4" t="inlineStr">
        <is>
          <t>Chén mài Kingblue M2-110x5R (xanh)</t>
        </is>
      </c>
      <c r="J803" s="3" t="inlineStr">
        <is>
          <t>Cái</t>
        </is>
      </c>
      <c r="K803" s="5" t="n">
        <v>92000</v>
      </c>
      <c r="L803" s="5" t="n">
        <v>108000</v>
      </c>
      <c r="M803" s="6" t="n">
        <v>133000</v>
      </c>
      <c r="N803" s="5" t="n"/>
      <c r="O803" s="5">
        <f>IF(AND(ISNUMBER(N803),ISNUMBER(M803)),N803-M803,"")</f>
        <v/>
      </c>
      <c r="P803" s="7">
        <f>IF(AND(ISNUMBER(N803),ISNUMBER(M803),M803&gt;0),(N803-M803)/M803,"")</f>
        <v/>
      </c>
      <c r="Q803" s="3">
        <f>IF(P803="","",IF(P803&lt;-0.02,"🔴 Bán phá giá sàn",IF(P803&gt;0.05,"🔵 Bán cao hơn","🟢 Đúng giá sàn TMĐT")))</f>
        <v/>
      </c>
      <c r="R803" s="3" t="n"/>
      <c r="S803" s="4" t="n"/>
      <c r="T803" s="4" t="n"/>
    </row>
    <row r="804">
      <c r="A804" s="3" t="n">
        <v>803</v>
      </c>
      <c r="B804" s="3" t="inlineStr">
        <is>
          <t>DL005</t>
        </is>
      </c>
      <c r="C804" s="4" t="inlineStr">
        <is>
          <t>ThinkSafe HCM</t>
        </is>
      </c>
      <c r="D804" s="3" t="inlineStr">
        <is>
          <t>HCM</t>
        </is>
      </c>
      <c r="E804" s="3" t="inlineStr">
        <is>
          <t>XUÂN TRANG</t>
        </is>
      </c>
      <c r="F804" s="3" t="inlineStr">
        <is>
          <t>Shopee, Tiktok</t>
        </is>
      </c>
      <c r="G804" s="4" t="inlineStr">
        <is>
          <t>SHOPEE: https://shopee.vn/baohothinksafe?uls_trackid=56slrjbp02l6&amp;utm_content=3kGSyWceAz2CP3beojAsTsVsisVR TIKTOK: https://www.tiktok.com/@thinksafevn LAZADA: WEBSITE BÁN HÀNG:</t>
        </is>
      </c>
      <c r="H804" s="3" t="inlineStr">
        <is>
          <t>M2-150x5R</t>
        </is>
      </c>
      <c r="I804" s="4" t="inlineStr">
        <is>
          <t>Chén mài KingBlue M2-150x5R (Xanh)</t>
        </is>
      </c>
      <c r="J804" s="3" t="inlineStr">
        <is>
          <t>Cái</t>
        </is>
      </c>
      <c r="K804" s="5" t="n">
        <v>380000</v>
      </c>
      <c r="L804" s="5" t="n">
        <v>448000</v>
      </c>
      <c r="M804" s="6" t="n">
        <v>551000</v>
      </c>
      <c r="N804" s="5" t="n"/>
      <c r="O804" s="5">
        <f>IF(AND(ISNUMBER(N804),ISNUMBER(M804)),N804-M804,"")</f>
        <v/>
      </c>
      <c r="P804" s="7">
        <f>IF(AND(ISNUMBER(N804),ISNUMBER(M804),M804&gt;0),(N804-M804)/M804,"")</f>
        <v/>
      </c>
      <c r="Q804" s="3">
        <f>IF(P804="","",IF(P804&lt;-0.02,"🔴 Bán phá giá sàn",IF(P804&gt;0.05,"🔵 Bán cao hơn","🟢 Đúng giá sàn TMĐT")))</f>
        <v/>
      </c>
      <c r="R804" s="3" t="n"/>
      <c r="S804" s="4" t="n"/>
      <c r="T804" s="4" t="n"/>
    </row>
    <row r="805">
      <c r="A805" s="3" t="n">
        <v>804</v>
      </c>
      <c r="B805" s="3" t="inlineStr">
        <is>
          <t>DL005</t>
        </is>
      </c>
      <c r="C805" s="4" t="inlineStr">
        <is>
          <t>ThinkSafe HCM</t>
        </is>
      </c>
      <c r="D805" s="3" t="inlineStr">
        <is>
          <t>HCM</t>
        </is>
      </c>
      <c r="E805" s="3" t="inlineStr">
        <is>
          <t>XUÂN TRANG</t>
        </is>
      </c>
      <c r="F805" s="3" t="inlineStr">
        <is>
          <t>Shopee, Tiktok</t>
        </is>
      </c>
      <c r="G805" s="4" t="inlineStr">
        <is>
          <t>SHOPEE: https://shopee.vn/baohothinksafe?uls_trackid=56slrjbp02l6&amp;utm_content=3kGSyWceAz2CP3beojAsTsVsisVR TIKTOK: https://www.tiktok.com/@thinksafevn LAZADA: WEBSITE BÁN HÀNG:</t>
        </is>
      </c>
      <c r="H805" s="3" t="inlineStr">
        <is>
          <t>MS-110x4R</t>
        </is>
      </c>
      <c r="I805" s="4" t="inlineStr">
        <is>
          <t>Chén mài Kingblue MS-110x4R (đỏ)</t>
        </is>
      </c>
      <c r="J805" s="3" t="inlineStr">
        <is>
          <t>Cái</t>
        </is>
      </c>
      <c r="K805" s="5" t="n">
        <v>60000</v>
      </c>
      <c r="L805" s="5" t="n">
        <v>71000</v>
      </c>
      <c r="M805" s="6" t="n">
        <v>87000</v>
      </c>
      <c r="N805" s="5" t="n"/>
      <c r="O805" s="5">
        <f>IF(AND(ISNUMBER(N805),ISNUMBER(M805)),N805-M805,"")</f>
        <v/>
      </c>
      <c r="P805" s="7">
        <f>IF(AND(ISNUMBER(N805),ISNUMBER(M805),M805&gt;0),(N805-M805)/M805,"")</f>
        <v/>
      </c>
      <c r="Q805" s="3">
        <f>IF(P805="","",IF(P805&lt;-0.02,"🔴 Bán phá giá sàn",IF(P805&gt;0.05,"🔵 Bán cao hơn","🟢 Đúng giá sàn TMĐT")))</f>
        <v/>
      </c>
      <c r="R805" s="3" t="n"/>
      <c r="S805" s="4" t="n"/>
      <c r="T805" s="4" t="n"/>
    </row>
    <row r="806">
      <c r="A806" s="3" t="n">
        <v>805</v>
      </c>
      <c r="B806" s="3" t="inlineStr">
        <is>
          <t>DL005</t>
        </is>
      </c>
      <c r="C806" s="4" t="inlineStr">
        <is>
          <t>ThinkSafe HCM</t>
        </is>
      </c>
      <c r="D806" s="3" t="inlineStr">
        <is>
          <t>HCM</t>
        </is>
      </c>
      <c r="E806" s="3" t="inlineStr">
        <is>
          <t>XUÂN TRANG</t>
        </is>
      </c>
      <c r="F806" s="3" t="inlineStr">
        <is>
          <t>Shopee, Tiktok</t>
        </is>
      </c>
      <c r="G806" s="4" t="inlineStr">
        <is>
          <t>SHOPEE: https://shopee.vn/baohothinksafe?uls_trackid=56slrjbp02l6&amp;utm_content=3kGSyWceAz2CP3beojAsTsVsisVR TIKTOK: https://www.tiktok.com/@thinksafevn LAZADA: WEBSITE BÁN HÀNG:</t>
        </is>
      </c>
      <c r="H806" s="3" t="inlineStr">
        <is>
          <t>MS-125x4R</t>
        </is>
      </c>
      <c r="I806" s="4" t="inlineStr">
        <is>
          <t>Chén mài Kingblue MS-125x4R (Đỏ)</t>
        </is>
      </c>
      <c r="J806" s="3" t="inlineStr">
        <is>
          <t>Cái</t>
        </is>
      </c>
      <c r="K806" s="5" t="n">
        <v>93000</v>
      </c>
      <c r="L806" s="5" t="n">
        <v>110000</v>
      </c>
      <c r="M806" s="6" t="n">
        <v>135000</v>
      </c>
      <c r="N806" s="5" t="n"/>
      <c r="O806" s="5">
        <f>IF(AND(ISNUMBER(N806),ISNUMBER(M806)),N806-M806,"")</f>
        <v/>
      </c>
      <c r="P806" s="7">
        <f>IF(AND(ISNUMBER(N806),ISNUMBER(M806),M806&gt;0),(N806-M806)/M806,"")</f>
        <v/>
      </c>
      <c r="Q806" s="3">
        <f>IF(P806="","",IF(P806&lt;-0.02,"🔴 Bán phá giá sàn",IF(P806&gt;0.05,"🔵 Bán cao hơn","🟢 Đúng giá sàn TMĐT")))</f>
        <v/>
      </c>
      <c r="R806" s="3" t="n"/>
      <c r="S806" s="4" t="n"/>
      <c r="T806" s="4" t="n"/>
    </row>
    <row r="807">
      <c r="A807" s="3" t="n">
        <v>806</v>
      </c>
      <c r="B807" s="3" t="inlineStr">
        <is>
          <t>DL005</t>
        </is>
      </c>
      <c r="C807" s="4" t="inlineStr">
        <is>
          <t>ThinkSafe HCM</t>
        </is>
      </c>
      <c r="D807" s="3" t="inlineStr">
        <is>
          <t>HCM</t>
        </is>
      </c>
      <c r="E807" s="3" t="inlineStr">
        <is>
          <t>XUÂN TRANG</t>
        </is>
      </c>
      <c r="F807" s="3" t="inlineStr">
        <is>
          <t>Shopee, Tiktok</t>
        </is>
      </c>
      <c r="G807" s="4" t="inlineStr">
        <is>
          <t>SHOPEE: https://shopee.vn/baohothinksafe?uls_trackid=56slrjbp02l6&amp;utm_content=3kGSyWceAz2CP3beojAsTsVsisVR TIKTOK: https://www.tiktok.com/@thinksafevn LAZADA: WEBSITE BÁN HÀNG:</t>
        </is>
      </c>
      <c r="H807" s="3" t="inlineStr">
        <is>
          <t>DLG-M22</t>
        </is>
      </c>
      <c r="I807" s="4" t="inlineStr">
        <is>
          <t>Chuôi khoan rút lõi lục giác DLG-M22</t>
        </is>
      </c>
      <c r="J807" s="3" t="inlineStr">
        <is>
          <t>Cái</t>
        </is>
      </c>
      <c r="K807" s="5" t="n">
        <v>24000</v>
      </c>
      <c r="L807" s="5" t="n">
        <v>30000</v>
      </c>
      <c r="M807" s="6" t="n">
        <v>38000</v>
      </c>
      <c r="N807" s="5" t="n"/>
      <c r="O807" s="5">
        <f>IF(AND(ISNUMBER(N807),ISNUMBER(M807)),N807-M807,"")</f>
        <v/>
      </c>
      <c r="P807" s="7">
        <f>IF(AND(ISNUMBER(N807),ISNUMBER(M807),M807&gt;0),(N807-M807)/M807,"")</f>
        <v/>
      </c>
      <c r="Q807" s="3">
        <f>IF(P807="","",IF(P807&lt;-0.02,"🔴 Bán phá giá sàn",IF(P807&gt;0.05,"🔵 Bán cao hơn","🟢 Đúng giá sàn TMĐT")))</f>
        <v/>
      </c>
      <c r="R807" s="3" t="n"/>
      <c r="S807" s="4" t="n"/>
      <c r="T807" s="4" t="n"/>
    </row>
    <row r="808">
      <c r="A808" s="3" t="n">
        <v>807</v>
      </c>
      <c r="B808" s="3" t="inlineStr">
        <is>
          <t>DL005</t>
        </is>
      </c>
      <c r="C808" s="4" t="inlineStr">
        <is>
          <t>ThinkSafe HCM</t>
        </is>
      </c>
      <c r="D808" s="3" t="inlineStr">
        <is>
          <t>HCM</t>
        </is>
      </c>
      <c r="E808" s="3" t="inlineStr">
        <is>
          <t>XUÂN TRANG</t>
        </is>
      </c>
      <c r="F808" s="3" t="inlineStr">
        <is>
          <t>Shopee, Tiktok</t>
        </is>
      </c>
      <c r="G808" s="4" t="inlineStr">
        <is>
          <t>SHOPEE: https://shopee.vn/baohothinksafe?uls_trackid=56slrjbp02l6&amp;utm_content=3kGSyWceAz2CP3beojAsTsVsisVR TIKTOK: https://www.tiktok.com/@thinksafevn LAZADA: WEBSITE BÁN HÀNG:</t>
        </is>
      </c>
      <c r="H808" s="3" t="inlineStr">
        <is>
          <t>KPG-022</t>
        </is>
      </c>
      <c r="I808" s="4" t="inlineStr">
        <is>
          <t>Dao cắt ống đồng KPG-022</t>
        </is>
      </c>
      <c r="J808" s="3" t="inlineStr">
        <is>
          <t>Cái</t>
        </is>
      </c>
      <c r="K808" s="5" t="n">
        <v>269000</v>
      </c>
      <c r="L808" s="5" t="n">
        <v>317000</v>
      </c>
      <c r="M808" s="6" t="n">
        <v>390000</v>
      </c>
      <c r="N808" s="5" t="n"/>
      <c r="O808" s="5">
        <f>IF(AND(ISNUMBER(N808),ISNUMBER(M808)),N808-M808,"")</f>
        <v/>
      </c>
      <c r="P808" s="7">
        <f>IF(AND(ISNUMBER(N808),ISNUMBER(M808),M808&gt;0),(N808-M808)/M808,"")</f>
        <v/>
      </c>
      <c r="Q808" s="3">
        <f>IF(P808="","",IF(P808&lt;-0.02,"🔴 Bán phá giá sàn",IF(P808&gt;0.05,"🔵 Bán cao hơn","🟢 Đúng giá sàn TMĐT")))</f>
        <v/>
      </c>
      <c r="R808" s="3" t="n"/>
      <c r="S808" s="4" t="n"/>
      <c r="T808" s="4" t="n"/>
    </row>
    <row r="809">
      <c r="A809" s="3" t="n">
        <v>808</v>
      </c>
      <c r="B809" s="3" t="inlineStr">
        <is>
          <t>DL005</t>
        </is>
      </c>
      <c r="C809" s="4" t="inlineStr">
        <is>
          <t>ThinkSafe HCM</t>
        </is>
      </c>
      <c r="D809" s="3" t="inlineStr">
        <is>
          <t>HCM</t>
        </is>
      </c>
      <c r="E809" s="3" t="inlineStr">
        <is>
          <t>XUÂN TRANG</t>
        </is>
      </c>
      <c r="F809" s="3" t="inlineStr">
        <is>
          <t>Shopee, Tiktok</t>
        </is>
      </c>
      <c r="G809" s="4" t="inlineStr">
        <is>
          <t>SHOPEE: https://shopee.vn/baohothinksafe?uls_trackid=56slrjbp02l6&amp;utm_content=3kGSyWceAz2CP3beojAsTsVsisVR TIKTOK: https://www.tiktok.com/@thinksafevn LAZADA: WEBSITE BÁN HÀNG:</t>
        </is>
      </c>
      <c r="H809" s="3" t="inlineStr">
        <is>
          <t>KPG-042</t>
        </is>
      </c>
      <c r="I809" s="4" t="inlineStr">
        <is>
          <t>Dao cắt ống đồng KPG-042</t>
        </is>
      </c>
      <c r="J809" s="3" t="inlineStr">
        <is>
          <t>Cái</t>
        </is>
      </c>
      <c r="K809" s="5" t="n">
        <v>216000</v>
      </c>
      <c r="L809" s="5" t="n">
        <v>255000</v>
      </c>
      <c r="M809" s="6" t="n">
        <v>313000</v>
      </c>
      <c r="N809" s="5" t="n"/>
      <c r="O809" s="5">
        <f>IF(AND(ISNUMBER(N809),ISNUMBER(M809)),N809-M809,"")</f>
        <v/>
      </c>
      <c r="P809" s="7">
        <f>IF(AND(ISNUMBER(N809),ISNUMBER(M809),M809&gt;0),(N809-M809)/M809,"")</f>
        <v/>
      </c>
      <c r="Q809" s="3">
        <f>IF(P809="","",IF(P809&lt;-0.02,"🔴 Bán phá giá sàn",IF(P809&gt;0.05,"🔵 Bán cao hơn","🟢 Đúng giá sàn TMĐT")))</f>
        <v/>
      </c>
      <c r="R809" s="3" t="n"/>
      <c r="S809" s="4" t="n"/>
      <c r="T809" s="4" t="n"/>
    </row>
    <row r="810">
      <c r="A810" s="3" t="n">
        <v>809</v>
      </c>
      <c r="B810" s="3" t="inlineStr">
        <is>
          <t>DL005</t>
        </is>
      </c>
      <c r="C810" s="4" t="inlineStr">
        <is>
          <t>ThinkSafe HCM</t>
        </is>
      </c>
      <c r="D810" s="3" t="inlineStr">
        <is>
          <t>HCM</t>
        </is>
      </c>
      <c r="E810" s="3" t="inlineStr">
        <is>
          <t>XUÂN TRANG</t>
        </is>
      </c>
      <c r="F810" s="3" t="inlineStr">
        <is>
          <t>Shopee, Tiktok</t>
        </is>
      </c>
      <c r="G810" s="4" t="inlineStr">
        <is>
          <t>SHOPEE: https://shopee.vn/baohothinksafe?uls_trackid=56slrjbp02l6&amp;utm_content=3kGSyWceAz2CP3beojAsTsVsisVR TIKTOK: https://www.tiktok.com/@thinksafevn LAZADA: WEBSITE BÁN HÀNG:</t>
        </is>
      </c>
      <c r="H810" s="3" t="inlineStr">
        <is>
          <t>KPG-032</t>
        </is>
      </c>
      <c r="I810" s="4" t="inlineStr">
        <is>
          <t>Dao cắt ống kim loại KPG-032</t>
        </is>
      </c>
      <c r="J810" s="3" t="inlineStr">
        <is>
          <t>Cái</t>
        </is>
      </c>
      <c r="K810" s="5" t="n">
        <v>259000</v>
      </c>
      <c r="L810" s="5" t="n">
        <v>306000</v>
      </c>
      <c r="M810" s="6" t="n">
        <v>376000</v>
      </c>
      <c r="N810" s="5" t="n"/>
      <c r="O810" s="5">
        <f>IF(AND(ISNUMBER(N810),ISNUMBER(M810)),N810-M810,"")</f>
        <v/>
      </c>
      <c r="P810" s="7">
        <f>IF(AND(ISNUMBER(N810),ISNUMBER(M810),M810&gt;0),(N810-M810)/M810,"")</f>
        <v/>
      </c>
      <c r="Q810" s="3">
        <f>IF(P810="","",IF(P810&lt;-0.02,"🔴 Bán phá giá sàn",IF(P810&gt;0.05,"🔵 Bán cao hơn","🟢 Đúng giá sàn TMĐT")))</f>
        <v/>
      </c>
      <c r="R810" s="3" t="n"/>
      <c r="S810" s="4" t="n"/>
      <c r="T810" s="4" t="n"/>
    </row>
    <row r="811">
      <c r="A811" s="3" t="n">
        <v>810</v>
      </c>
      <c r="B811" s="3" t="inlineStr">
        <is>
          <t>DL005</t>
        </is>
      </c>
      <c r="C811" s="4" t="inlineStr">
        <is>
          <t>ThinkSafe HCM</t>
        </is>
      </c>
      <c r="D811" s="3" t="inlineStr">
        <is>
          <t>HCM</t>
        </is>
      </c>
      <c r="E811" s="3" t="inlineStr">
        <is>
          <t>XUÂN TRANG</t>
        </is>
      </c>
      <c r="F811" s="3" t="inlineStr">
        <is>
          <t>Shopee, Tiktok</t>
        </is>
      </c>
      <c r="G811" s="4" t="inlineStr">
        <is>
          <t>SHOPEE: https://shopee.vn/baohothinksafe?uls_trackid=56slrjbp02l6&amp;utm_content=3kGSyWceAz2CP3beojAsTsVsisVR TIKTOK: https://www.tiktok.com/@thinksafevn LAZADA: WEBSITE BÁN HÀNG:</t>
        </is>
      </c>
      <c r="H811" s="3" t="inlineStr">
        <is>
          <t>KJH-04</t>
        </is>
      </c>
      <c r="I811" s="4" t="inlineStr">
        <is>
          <t>Dao rọc cáp đa năng KJH-04</t>
        </is>
      </c>
      <c r="J811" s="3" t="inlineStr">
        <is>
          <t>Cái</t>
        </is>
      </c>
      <c r="K811" s="5" t="n">
        <v>121000</v>
      </c>
      <c r="L811" s="5" t="n">
        <v>143000</v>
      </c>
      <c r="M811" s="6" t="n">
        <v>176000</v>
      </c>
      <c r="N811" s="5" t="n"/>
      <c r="O811" s="5">
        <f>IF(AND(ISNUMBER(N811),ISNUMBER(M811)),N811-M811,"")</f>
        <v/>
      </c>
      <c r="P811" s="7">
        <f>IF(AND(ISNUMBER(N811),ISNUMBER(M811),M811&gt;0),(N811-M811)/M811,"")</f>
        <v/>
      </c>
      <c r="Q811" s="3">
        <f>IF(P811="","",IF(P811&lt;-0.02,"🔴 Bán phá giá sàn",IF(P811&gt;0.05,"🔵 Bán cao hơn","🟢 Đúng giá sàn TMĐT")))</f>
        <v/>
      </c>
      <c r="R811" s="3" t="n"/>
      <c r="S811" s="4" t="n"/>
      <c r="T811" s="4" t="n"/>
    </row>
    <row r="812">
      <c r="A812" s="3" t="n">
        <v>811</v>
      </c>
      <c r="B812" s="3" t="inlineStr">
        <is>
          <t>DL005</t>
        </is>
      </c>
      <c r="C812" s="4" t="inlineStr">
        <is>
          <t>ThinkSafe HCM</t>
        </is>
      </c>
      <c r="D812" s="3" t="inlineStr">
        <is>
          <t>HCM</t>
        </is>
      </c>
      <c r="E812" s="3" t="inlineStr">
        <is>
          <t>XUÂN TRANG</t>
        </is>
      </c>
      <c r="F812" s="3" t="inlineStr">
        <is>
          <t>Shopee, Tiktok</t>
        </is>
      </c>
      <c r="G812" s="4" t="inlineStr">
        <is>
          <t>SHOPEE: https://shopee.vn/baohothinksafe?uls_trackid=56slrjbp02l6&amp;utm_content=3kGSyWceAz2CP3beojAsTsVsisVR TIKTOK: https://www.tiktok.com/@thinksafevn LAZADA: WEBSITE BÁN HÀNG:</t>
        </is>
      </c>
      <c r="H812" s="3" t="inlineStr">
        <is>
          <t>KJH-05</t>
        </is>
      </c>
      <c r="I812" s="4" t="inlineStr">
        <is>
          <t>Dao rọc cáp đa năng KJH-05</t>
        </is>
      </c>
      <c r="J812" s="3" t="inlineStr">
        <is>
          <t>Cái</t>
        </is>
      </c>
      <c r="K812" s="5" t="n">
        <v>119000</v>
      </c>
      <c r="L812" s="5" t="n">
        <v>141000</v>
      </c>
      <c r="M812" s="6" t="n">
        <v>173000</v>
      </c>
      <c r="N812" s="5" t="n"/>
      <c r="O812" s="5">
        <f>IF(AND(ISNUMBER(N812),ISNUMBER(M812)),N812-M812,"")</f>
        <v/>
      </c>
      <c r="P812" s="7">
        <f>IF(AND(ISNUMBER(N812),ISNUMBER(M812),M812&gt;0),(N812-M812)/M812,"")</f>
        <v/>
      </c>
      <c r="Q812" s="3">
        <f>IF(P812="","",IF(P812&lt;-0.02,"🔴 Bán phá giá sàn",IF(P812&gt;0.05,"🔵 Bán cao hơn","🟢 Đúng giá sàn TMĐT")))</f>
        <v/>
      </c>
      <c r="R812" s="3" t="n"/>
      <c r="S812" s="4" t="n"/>
      <c r="T812" s="4" t="n"/>
    </row>
    <row r="813">
      <c r="A813" s="3" t="n">
        <v>812</v>
      </c>
      <c r="B813" s="3" t="inlineStr">
        <is>
          <t>DL005</t>
        </is>
      </c>
      <c r="C813" s="4" t="inlineStr">
        <is>
          <t>ThinkSafe HCM</t>
        </is>
      </c>
      <c r="D813" s="3" t="inlineStr">
        <is>
          <t>HCM</t>
        </is>
      </c>
      <c r="E813" s="3" t="inlineStr">
        <is>
          <t>XUÂN TRANG</t>
        </is>
      </c>
      <c r="F813" s="3" t="inlineStr">
        <is>
          <t>Shopee, Tiktok</t>
        </is>
      </c>
      <c r="G813" s="4" t="inlineStr">
        <is>
          <t>SHOPEE: https://shopee.vn/baohothinksafe?uls_trackid=56slrjbp02l6&amp;utm_content=3kGSyWceAz2CP3beojAsTsVsisVR TIKTOK: https://www.tiktok.com/@thinksafevn LAZADA: WEBSITE BÁN HÀNG:</t>
        </is>
      </c>
      <c r="H813" s="3" t="inlineStr">
        <is>
          <t>KJH-06</t>
        </is>
      </c>
      <c r="I813" s="4" t="inlineStr">
        <is>
          <t>Dao rọc cáp đa năng KJH-06</t>
        </is>
      </c>
      <c r="J813" s="3" t="inlineStr">
        <is>
          <t>Cái</t>
        </is>
      </c>
      <c r="K813" s="5" t="n">
        <v>171000</v>
      </c>
      <c r="L813" s="5" t="n">
        <v>202000</v>
      </c>
      <c r="M813" s="6" t="n">
        <v>248000</v>
      </c>
      <c r="N813" s="5" t="n"/>
      <c r="O813" s="5">
        <f>IF(AND(ISNUMBER(N813),ISNUMBER(M813)),N813-M813,"")</f>
        <v/>
      </c>
      <c r="P813" s="7">
        <f>IF(AND(ISNUMBER(N813),ISNUMBER(M813),M813&gt;0),(N813-M813)/M813,"")</f>
        <v/>
      </c>
      <c r="Q813" s="3">
        <f>IF(P813="","",IF(P813&lt;-0.02,"🔴 Bán phá giá sàn",IF(P813&gt;0.05,"🔵 Bán cao hơn","🟢 Đúng giá sàn TMĐT")))</f>
        <v/>
      </c>
      <c r="R813" s="3" t="n"/>
      <c r="S813" s="4" t="n"/>
      <c r="T813" s="4" t="n"/>
    </row>
    <row r="814">
      <c r="A814" s="3" t="n">
        <v>813</v>
      </c>
      <c r="B814" s="3" t="inlineStr">
        <is>
          <t>DL005</t>
        </is>
      </c>
      <c r="C814" s="4" t="inlineStr">
        <is>
          <t>ThinkSafe HCM</t>
        </is>
      </c>
      <c r="D814" s="3" t="inlineStr">
        <is>
          <t>HCM</t>
        </is>
      </c>
      <c r="E814" s="3" t="inlineStr">
        <is>
          <t>XUÂN TRANG</t>
        </is>
      </c>
      <c r="F814" s="3" t="inlineStr">
        <is>
          <t>Shopee, Tiktok</t>
        </is>
      </c>
      <c r="G814" s="4" t="inlineStr">
        <is>
          <t>SHOPEE: https://shopee.vn/baohothinksafe?uls_trackid=56slrjbp02l6&amp;utm_content=3kGSyWceAz2CP3beojAsTsVsisVR TIKTOK: https://www.tiktok.com/@thinksafevn LAZADA: WEBSITE BÁN HÀNG:</t>
        </is>
      </c>
      <c r="H814" s="3" t="inlineStr">
        <is>
          <t>KJH-01</t>
        </is>
      </c>
      <c r="I814" s="4" t="inlineStr">
        <is>
          <t>Dao rọc giấy KJH-01</t>
        </is>
      </c>
      <c r="J814" s="3" t="inlineStr">
        <is>
          <t>Cái</t>
        </is>
      </c>
      <c r="K814" s="5" t="n">
        <v>21000</v>
      </c>
      <c r="L814" s="5" t="n">
        <v>25000</v>
      </c>
      <c r="M814" s="6" t="n">
        <v>31000</v>
      </c>
      <c r="N814" s="5" t="n"/>
      <c r="O814" s="5">
        <f>IF(AND(ISNUMBER(N814),ISNUMBER(M814)),N814-M814,"")</f>
        <v/>
      </c>
      <c r="P814" s="7">
        <f>IF(AND(ISNUMBER(N814),ISNUMBER(M814),M814&gt;0),(N814-M814)/M814,"")</f>
        <v/>
      </c>
      <c r="Q814" s="3">
        <f>IF(P814="","",IF(P814&lt;-0.02,"🔴 Bán phá giá sàn",IF(P814&gt;0.05,"🔵 Bán cao hơn","🟢 Đúng giá sàn TMĐT")))</f>
        <v/>
      </c>
      <c r="R814" s="3" t="n"/>
      <c r="S814" s="4" t="n"/>
      <c r="T814" s="4" t="n"/>
    </row>
    <row r="815">
      <c r="A815" s="3" t="n">
        <v>814</v>
      </c>
      <c r="B815" s="3" t="inlineStr">
        <is>
          <t>DL005</t>
        </is>
      </c>
      <c r="C815" s="4" t="inlineStr">
        <is>
          <t>ThinkSafe HCM</t>
        </is>
      </c>
      <c r="D815" s="3" t="inlineStr">
        <is>
          <t>HCM</t>
        </is>
      </c>
      <c r="E815" s="3" t="inlineStr">
        <is>
          <t>XUÂN TRANG</t>
        </is>
      </c>
      <c r="F815" s="3" t="inlineStr">
        <is>
          <t>Shopee, Tiktok</t>
        </is>
      </c>
      <c r="G815" s="4" t="inlineStr">
        <is>
          <t>SHOPEE: https://shopee.vn/baohothinksafe?uls_trackid=56slrjbp02l6&amp;utm_content=3kGSyWceAz2CP3beojAsTsVsisVR TIKTOK: https://www.tiktok.com/@thinksafevn LAZADA: WEBSITE BÁN HÀNG:</t>
        </is>
      </c>
      <c r="H815" s="3" t="inlineStr">
        <is>
          <t>K54M</t>
        </is>
      </c>
      <c r="I815" s="4" t="inlineStr">
        <is>
          <t>Dụng cụ khò gas mini K54M</t>
        </is>
      </c>
      <c r="J815" s="3" t="inlineStr">
        <is>
          <t>Cái</t>
        </is>
      </c>
      <c r="K815" s="5" t="n">
        <v>209000</v>
      </c>
      <c r="L815" s="5" t="n">
        <v>247000</v>
      </c>
      <c r="M815" s="6" t="n">
        <v>303000</v>
      </c>
      <c r="N815" s="5" t="n"/>
      <c r="O815" s="5">
        <f>IF(AND(ISNUMBER(N815),ISNUMBER(M815)),N815-M815,"")</f>
        <v/>
      </c>
      <c r="P815" s="7">
        <f>IF(AND(ISNUMBER(N815),ISNUMBER(M815),M815&gt;0),(N815-M815)/M815,"")</f>
        <v/>
      </c>
      <c r="Q815" s="3">
        <f>IF(P815="","",IF(P815&lt;-0.02,"🔴 Bán phá giá sàn",IF(P815&gt;0.05,"🔵 Bán cao hơn","🟢 Đúng giá sàn TMĐT")))</f>
        <v/>
      </c>
      <c r="R815" s="3" t="n"/>
      <c r="S815" s="4" t="n"/>
      <c r="T815" s="4" t="n"/>
    </row>
    <row r="816">
      <c r="A816" s="3" t="n">
        <v>815</v>
      </c>
      <c r="B816" s="3" t="inlineStr">
        <is>
          <t>DL005</t>
        </is>
      </c>
      <c r="C816" s="4" t="inlineStr">
        <is>
          <t>ThinkSafe HCM</t>
        </is>
      </c>
      <c r="D816" s="3" t="inlineStr">
        <is>
          <t>HCM</t>
        </is>
      </c>
      <c r="E816" s="3" t="inlineStr">
        <is>
          <t>XUÂN TRANG</t>
        </is>
      </c>
      <c r="F816" s="3" t="inlineStr">
        <is>
          <t>Shopee, Tiktok</t>
        </is>
      </c>
      <c r="G816" s="4" t="inlineStr">
        <is>
          <t>SHOPEE: https://shopee.vn/baohothinksafe?uls_trackid=56slrjbp02l6&amp;utm_content=3kGSyWceAz2CP3beojAsTsVsisVR TIKTOK: https://www.tiktok.com/@thinksafevn LAZADA: WEBSITE BÁN HÀNG:</t>
        </is>
      </c>
      <c r="H816" s="3" t="inlineStr">
        <is>
          <t>KB-1301</t>
        </is>
      </c>
      <c r="I816" s="4" t="inlineStr">
        <is>
          <t>Dụng cụ vát mép (ba via) ống đồng KingBlue, KB-1301</t>
        </is>
      </c>
      <c r="J816" s="3" t="inlineStr">
        <is>
          <t>Cái</t>
        </is>
      </c>
      <c r="K816" s="5" t="n">
        <v>135000</v>
      </c>
      <c r="L816" s="5" t="n">
        <v>159000</v>
      </c>
      <c r="M816" s="6" t="n">
        <v>196000</v>
      </c>
      <c r="N816" s="5" t="n"/>
      <c r="O816" s="5">
        <f>IF(AND(ISNUMBER(N816),ISNUMBER(M816)),N816-M816,"")</f>
        <v/>
      </c>
      <c r="P816" s="7">
        <f>IF(AND(ISNUMBER(N816),ISNUMBER(M816),M816&gt;0),(N816-M816)/M816,"")</f>
        <v/>
      </c>
      <c r="Q816" s="3">
        <f>IF(P816="","",IF(P816&lt;-0.02,"🔴 Bán phá giá sàn",IF(P816&gt;0.05,"🔵 Bán cao hơn","🟢 Đúng giá sàn TMĐT")))</f>
        <v/>
      </c>
      <c r="R816" s="3" t="n"/>
      <c r="S816" s="4" t="n"/>
      <c r="T816" s="4" t="n"/>
    </row>
    <row r="817">
      <c r="A817" s="3" t="n">
        <v>816</v>
      </c>
      <c r="B817" s="3" t="inlineStr">
        <is>
          <t>DL005</t>
        </is>
      </c>
      <c r="C817" s="4" t="inlineStr">
        <is>
          <t>ThinkSafe HCM</t>
        </is>
      </c>
      <c r="D817" s="3" t="inlineStr">
        <is>
          <t>HCM</t>
        </is>
      </c>
      <c r="E817" s="3" t="inlineStr">
        <is>
          <t>XUÂN TRANG</t>
        </is>
      </c>
      <c r="F817" s="3" t="inlineStr">
        <is>
          <t>Shopee, Tiktok</t>
        </is>
      </c>
      <c r="G817" s="4" t="inlineStr">
        <is>
          <t>SHOPEE: https://shopee.vn/baohothinksafe?uls_trackid=56slrjbp02l6&amp;utm_content=3kGSyWceAz2CP3beojAsTsVsisVR TIKTOK: https://www.tiktok.com/@thinksafevn LAZADA: WEBSITE BÁN HÀNG:</t>
        </is>
      </c>
      <c r="H817" s="3" t="inlineStr">
        <is>
          <t>D1-107x1.2</t>
        </is>
      </c>
      <c r="I817" s="4" t="inlineStr">
        <is>
          <t>Đá cắt sắt, inox KingBlue D1-107x1.2 xanh (Hộp sắt)</t>
        </is>
      </c>
      <c r="J817" s="3" t="inlineStr">
        <is>
          <t>Cái</t>
        </is>
      </c>
      <c r="K817" s="5" t="n">
        <v>4000</v>
      </c>
      <c r="L817" s="5" t="n">
        <v>5000</v>
      </c>
      <c r="M817" s="6" t="n">
        <v>6500</v>
      </c>
      <c r="N817" s="5" t="n"/>
      <c r="O817" s="5">
        <f>IF(AND(ISNUMBER(N817),ISNUMBER(M817)),N817-M817,"")</f>
        <v/>
      </c>
      <c r="P817" s="7">
        <f>IF(AND(ISNUMBER(N817),ISNUMBER(M817),M817&gt;0),(N817-M817)/M817,"")</f>
        <v/>
      </c>
      <c r="Q817" s="3">
        <f>IF(P817="","",IF(P817&lt;-0.02,"🔴 Bán phá giá sàn",IF(P817&gt;0.05,"🔵 Bán cao hơn","🟢 Đúng giá sàn TMĐT")))</f>
        <v/>
      </c>
      <c r="R817" s="3" t="n"/>
      <c r="S817" s="4" t="n"/>
      <c r="T817" s="4" t="n"/>
    </row>
    <row r="818">
      <c r="A818" s="3" t="n">
        <v>817</v>
      </c>
      <c r="B818" s="3" t="inlineStr">
        <is>
          <t>DL005</t>
        </is>
      </c>
      <c r="C818" s="4" t="inlineStr">
        <is>
          <t>ThinkSafe HCM</t>
        </is>
      </c>
      <c r="D818" s="3" t="inlineStr">
        <is>
          <t>HCM</t>
        </is>
      </c>
      <c r="E818" s="3" t="inlineStr">
        <is>
          <t>XUÂN TRANG</t>
        </is>
      </c>
      <c r="F818" s="3" t="inlineStr">
        <is>
          <t>Shopee, Tiktok</t>
        </is>
      </c>
      <c r="G818" s="4" t="inlineStr">
        <is>
          <t>SHOPEE: https://shopee.vn/baohothinksafe?uls_trackid=56slrjbp02l6&amp;utm_content=3kGSyWceAz2CP3beojAsTsVsisVR TIKTOK: https://www.tiktok.com/@thinksafevn LAZADA: WEBSITE BÁN HÀNG:</t>
        </is>
      </c>
      <c r="H818" s="3" t="inlineStr">
        <is>
          <t>D1-125x1.6</t>
        </is>
      </c>
      <c r="I818" s="4" t="inlineStr">
        <is>
          <t>Đá cắt sắt, inox Kingblue D1-125x1.6 xanh</t>
        </is>
      </c>
      <c r="J818" s="3" t="inlineStr">
        <is>
          <t>Cái</t>
        </is>
      </c>
      <c r="K818" s="5" t="n">
        <v>8300</v>
      </c>
      <c r="L818" s="5" t="n">
        <v>10400</v>
      </c>
      <c r="M818" s="6" t="n">
        <v>13500</v>
      </c>
      <c r="N818" s="5" t="n"/>
      <c r="O818" s="5">
        <f>IF(AND(ISNUMBER(N818),ISNUMBER(M818)),N818-M818,"")</f>
        <v/>
      </c>
      <c r="P818" s="7">
        <f>IF(AND(ISNUMBER(N818),ISNUMBER(M818),M818&gt;0),(N818-M818)/M818,"")</f>
        <v/>
      </c>
      <c r="Q818" s="3">
        <f>IF(P818="","",IF(P818&lt;-0.02,"🔴 Bán phá giá sàn",IF(P818&gt;0.05,"🔵 Bán cao hơn","🟢 Đúng giá sàn TMĐT")))</f>
        <v/>
      </c>
      <c r="R818" s="3" t="n"/>
      <c r="S818" s="4" t="n"/>
      <c r="T818" s="4" t="n"/>
    </row>
    <row r="819">
      <c r="A819" s="3" t="n">
        <v>818</v>
      </c>
      <c r="B819" s="3" t="inlineStr">
        <is>
          <t>DL005</t>
        </is>
      </c>
      <c r="C819" s="4" t="inlineStr">
        <is>
          <t>ThinkSafe HCM</t>
        </is>
      </c>
      <c r="D819" s="3" t="inlineStr">
        <is>
          <t>HCM</t>
        </is>
      </c>
      <c r="E819" s="3" t="inlineStr">
        <is>
          <t>XUÂN TRANG</t>
        </is>
      </c>
      <c r="F819" s="3" t="inlineStr">
        <is>
          <t>Shopee, Tiktok</t>
        </is>
      </c>
      <c r="G819" s="4" t="inlineStr">
        <is>
          <t>SHOPEE: https://shopee.vn/baohothinksafe?uls_trackid=56slrjbp02l6&amp;utm_content=3kGSyWceAz2CP3beojAsTsVsisVR TIKTOK: https://www.tiktok.com/@thinksafevn LAZADA: WEBSITE BÁN HÀNG:</t>
        </is>
      </c>
      <c r="H819" s="3" t="inlineStr">
        <is>
          <t>D3-107x1.2</t>
        </is>
      </c>
      <c r="I819" s="4" t="inlineStr">
        <is>
          <t>Đá cắt sắt, inox KingBlue D3-107x1.2 xanh ( hộp sắt)</t>
        </is>
      </c>
      <c r="J819" s="3" t="inlineStr">
        <is>
          <t>Viên</t>
        </is>
      </c>
      <c r="K819" s="5" t="n">
        <v>4600</v>
      </c>
      <c r="L819" s="5" t="n">
        <v>5800</v>
      </c>
      <c r="M819" s="6" t="n">
        <v>7500</v>
      </c>
      <c r="N819" s="5" t="n"/>
      <c r="O819" s="5">
        <f>IF(AND(ISNUMBER(N819),ISNUMBER(M819)),N819-M819,"")</f>
        <v/>
      </c>
      <c r="P819" s="7">
        <f>IF(AND(ISNUMBER(N819),ISNUMBER(M819),M819&gt;0),(N819-M819)/M819,"")</f>
        <v/>
      </c>
      <c r="Q819" s="3">
        <f>IF(P819="","",IF(P819&lt;-0.02,"🔴 Bán phá giá sàn",IF(P819&gt;0.05,"🔵 Bán cao hơn","🟢 Đúng giá sàn TMĐT")))</f>
        <v/>
      </c>
      <c r="R819" s="3" t="n"/>
      <c r="S819" s="4" t="n"/>
      <c r="T819" s="4" t="n"/>
    </row>
    <row r="820">
      <c r="A820" s="3" t="n">
        <v>819</v>
      </c>
      <c r="B820" s="3" t="inlineStr">
        <is>
          <t>DL005</t>
        </is>
      </c>
      <c r="C820" s="4" t="inlineStr">
        <is>
          <t>ThinkSafe HCM</t>
        </is>
      </c>
      <c r="D820" s="3" t="inlineStr">
        <is>
          <t>HCM</t>
        </is>
      </c>
      <c r="E820" s="3" t="inlineStr">
        <is>
          <t>XUÂN TRANG</t>
        </is>
      </c>
      <c r="F820" s="3" t="inlineStr">
        <is>
          <t>Shopee, Tiktok</t>
        </is>
      </c>
      <c r="G820" s="4" t="inlineStr">
        <is>
          <t>SHOPEE: https://shopee.vn/baohothinksafe?uls_trackid=56slrjbp02l6&amp;utm_content=3kGSyWceAz2CP3beojAsTsVsisVR TIKTOK: https://www.tiktok.com/@thinksafevn LAZADA: WEBSITE BÁN HÀNG:</t>
        </is>
      </c>
      <c r="H820" s="3" t="inlineStr">
        <is>
          <t>D3-125x1.8</t>
        </is>
      </c>
      <c r="I820" s="4" t="inlineStr">
        <is>
          <t>Đá cắt sắt, inox Kingblue D3-125x1.8 xanh</t>
        </is>
      </c>
      <c r="J820" s="3" t="inlineStr">
        <is>
          <t>Viên</t>
        </is>
      </c>
      <c r="K820" s="5" t="n">
        <v>9700</v>
      </c>
      <c r="L820" s="5" t="n">
        <v>12000</v>
      </c>
      <c r="M820" s="6" t="n">
        <v>15500</v>
      </c>
      <c r="N820" s="5" t="n"/>
      <c r="O820" s="5">
        <f>IF(AND(ISNUMBER(N820),ISNUMBER(M820)),N820-M820,"")</f>
        <v/>
      </c>
      <c r="P820" s="7">
        <f>IF(AND(ISNUMBER(N820),ISNUMBER(M820),M820&gt;0),(N820-M820)/M820,"")</f>
        <v/>
      </c>
      <c r="Q820" s="3">
        <f>IF(P820="","",IF(P820&lt;-0.02,"🔴 Bán phá giá sàn",IF(P820&gt;0.05,"🔵 Bán cao hơn","🟢 Đúng giá sàn TMĐT")))</f>
        <v/>
      </c>
      <c r="R820" s="3" t="n"/>
      <c r="S820" s="4" t="n"/>
      <c r="T820" s="4" t="n"/>
    </row>
    <row r="821">
      <c r="A821" s="3" t="n">
        <v>820</v>
      </c>
      <c r="B821" s="3" t="inlineStr">
        <is>
          <t>DL005</t>
        </is>
      </c>
      <c r="C821" s="4" t="inlineStr">
        <is>
          <t>ThinkSafe HCM</t>
        </is>
      </c>
      <c r="D821" s="3" t="inlineStr">
        <is>
          <t>HCM</t>
        </is>
      </c>
      <c r="E821" s="3" t="inlineStr">
        <is>
          <t>XUÂN TRANG</t>
        </is>
      </c>
      <c r="F821" s="3" t="inlineStr">
        <is>
          <t>Shopee, Tiktok</t>
        </is>
      </c>
      <c r="G821" s="4" t="inlineStr">
        <is>
          <t>SHOPEE: https://shopee.vn/baohothinksafe?uls_trackid=56slrjbp02l6&amp;utm_content=3kGSyWceAz2CP3beojAsTsVsisVR TIKTOK: https://www.tiktok.com/@thinksafevn LAZADA: WEBSITE BÁN HÀNG:</t>
        </is>
      </c>
      <c r="H821" s="3" t="inlineStr">
        <is>
          <t>D4-107x1.2</t>
        </is>
      </c>
      <c r="I821" s="4" t="inlineStr">
        <is>
          <t>Đá cắt sắt, inox Kingblue D4-107x1.2 đỏ</t>
        </is>
      </c>
      <c r="J821" s="3" t="inlineStr">
        <is>
          <t>Viên</t>
        </is>
      </c>
      <c r="K821" s="5" t="n">
        <v>4200</v>
      </c>
      <c r="L821" s="5" t="n">
        <v>5300</v>
      </c>
      <c r="M821" s="6" t="n">
        <v>6900</v>
      </c>
      <c r="N821" s="5" t="n"/>
      <c r="O821" s="5">
        <f>IF(AND(ISNUMBER(N821),ISNUMBER(M821)),N821-M821,"")</f>
        <v/>
      </c>
      <c r="P821" s="7">
        <f>IF(AND(ISNUMBER(N821),ISNUMBER(M821),M821&gt;0),(N821-M821)/M821,"")</f>
        <v/>
      </c>
      <c r="Q821" s="3">
        <f>IF(P821="","",IF(P821&lt;-0.02,"🔴 Bán phá giá sàn",IF(P821&gt;0.05,"🔵 Bán cao hơn","🟢 Đúng giá sàn TMĐT")))</f>
        <v/>
      </c>
      <c r="R821" s="3" t="n"/>
      <c r="S821" s="4" t="n"/>
      <c r="T821" s="4" t="n"/>
    </row>
    <row r="822">
      <c r="A822" s="3" t="n">
        <v>821</v>
      </c>
      <c r="B822" s="3" t="inlineStr">
        <is>
          <t>DL005</t>
        </is>
      </c>
      <c r="C822" s="4" t="inlineStr">
        <is>
          <t>ThinkSafe HCM</t>
        </is>
      </c>
      <c r="D822" s="3" t="inlineStr">
        <is>
          <t>HCM</t>
        </is>
      </c>
      <c r="E822" s="3" t="inlineStr">
        <is>
          <t>XUÂN TRANG</t>
        </is>
      </c>
      <c r="F822" s="3" t="inlineStr">
        <is>
          <t>Shopee, Tiktok</t>
        </is>
      </c>
      <c r="G822" s="4" t="inlineStr">
        <is>
          <t>SHOPEE: https://shopee.vn/baohothinksafe?uls_trackid=56slrjbp02l6&amp;utm_content=3kGSyWceAz2CP3beojAsTsVsisVR TIKTOK: https://www.tiktok.com/@thinksafevn LAZADA: WEBSITE BÁN HÀNG:</t>
        </is>
      </c>
      <c r="H822" s="3" t="inlineStr">
        <is>
          <t>D3-125x6.0</t>
        </is>
      </c>
      <c r="I822" s="4" t="inlineStr">
        <is>
          <t>Đá mài sắt, inox Kingblue D3-125x6.0</t>
        </is>
      </c>
      <c r="J822" s="3" t="inlineStr">
        <is>
          <t>Cái</t>
        </is>
      </c>
      <c r="K822" s="5" t="n">
        <v>20000</v>
      </c>
      <c r="L822" s="5" t="n">
        <v>25000</v>
      </c>
      <c r="M822" s="6" t="n">
        <v>32000</v>
      </c>
      <c r="N822" s="5" t="n"/>
      <c r="O822" s="5">
        <f>IF(AND(ISNUMBER(N822),ISNUMBER(M822)),N822-M822,"")</f>
        <v/>
      </c>
      <c r="P822" s="7">
        <f>IF(AND(ISNUMBER(N822),ISNUMBER(M822),M822&gt;0),(N822-M822)/M822,"")</f>
        <v/>
      </c>
      <c r="Q822" s="3">
        <f>IF(P822="","",IF(P822&lt;-0.02,"🔴 Bán phá giá sàn",IF(P822&gt;0.05,"🔵 Bán cao hơn","🟢 Đúng giá sàn TMĐT")))</f>
        <v/>
      </c>
      <c r="R822" s="3" t="n"/>
      <c r="S822" s="4" t="n"/>
      <c r="T822" s="4" t="n"/>
    </row>
    <row r="823">
      <c r="A823" s="3" t="n">
        <v>822</v>
      </c>
      <c r="B823" s="3" t="inlineStr">
        <is>
          <t>DL005</t>
        </is>
      </c>
      <c r="C823" s="4" t="inlineStr">
        <is>
          <t>ThinkSafe HCM</t>
        </is>
      </c>
      <c r="D823" s="3" t="inlineStr">
        <is>
          <t>HCM</t>
        </is>
      </c>
      <c r="E823" s="3" t="inlineStr">
        <is>
          <t>XUÂN TRANG</t>
        </is>
      </c>
      <c r="F823" s="3" t="inlineStr">
        <is>
          <t>Shopee, Tiktok</t>
        </is>
      </c>
      <c r="G823" s="4" t="inlineStr">
        <is>
          <t>SHOPEE: https://shopee.vn/baohothinksafe?uls_trackid=56slrjbp02l6&amp;utm_content=3kGSyWceAz2CP3beojAsTsVsisVR TIKTOK: https://www.tiktok.com/@thinksafevn LAZADA: WEBSITE BÁN HÀNG:</t>
        </is>
      </c>
      <c r="H823" s="3" t="inlineStr">
        <is>
          <t>CM17</t>
        </is>
      </c>
      <c r="I823" s="4" t="inlineStr">
        <is>
          <t>Đầu chụp bulon KingBlue CM17</t>
        </is>
      </c>
      <c r="J823" s="3" t="inlineStr">
        <is>
          <t>Hộp</t>
        </is>
      </c>
      <c r="K823" s="5" t="n">
        <v>110000</v>
      </c>
      <c r="L823" s="5" t="n">
        <v>139000</v>
      </c>
      <c r="M823" s="6" t="n">
        <v>182000</v>
      </c>
      <c r="N823" s="5" t="n"/>
      <c r="O823" s="5">
        <f>IF(AND(ISNUMBER(N823),ISNUMBER(M823)),N823-M823,"")</f>
        <v/>
      </c>
      <c r="P823" s="7">
        <f>IF(AND(ISNUMBER(N823),ISNUMBER(M823),M823&gt;0),(N823-M823)/M823,"")</f>
        <v/>
      </c>
      <c r="Q823" s="3">
        <f>IF(P823="","",IF(P823&lt;-0.02,"🔴 Bán phá giá sàn",IF(P823&gt;0.05,"🔵 Bán cao hơn","🟢 Đúng giá sàn TMĐT")))</f>
        <v/>
      </c>
      <c r="R823" s="3" t="n"/>
      <c r="S823" s="4" t="n"/>
      <c r="T823" s="4" t="n"/>
    </row>
    <row r="824">
      <c r="A824" s="3" t="n">
        <v>823</v>
      </c>
      <c r="B824" s="3" t="inlineStr">
        <is>
          <t>DL005</t>
        </is>
      </c>
      <c r="C824" s="4" t="inlineStr">
        <is>
          <t>ThinkSafe HCM</t>
        </is>
      </c>
      <c r="D824" s="3" t="inlineStr">
        <is>
          <t>HCM</t>
        </is>
      </c>
      <c r="E824" s="3" t="inlineStr">
        <is>
          <t>XUÂN TRANG</t>
        </is>
      </c>
      <c r="F824" s="3" t="inlineStr">
        <is>
          <t>Shopee, Tiktok</t>
        </is>
      </c>
      <c r="G824" s="4" t="inlineStr">
        <is>
          <t>SHOPEE: https://shopee.vn/baohothinksafe?uls_trackid=56slrjbp02l6&amp;utm_content=3kGSyWceAz2CP3beojAsTsVsisVR TIKTOK: https://www.tiktok.com/@thinksafevn LAZADA: WEBSITE BÁN HÀNG:</t>
        </is>
      </c>
      <c r="H824" s="3" t="inlineStr">
        <is>
          <t>K45M</t>
        </is>
      </c>
      <c r="I824" s="4" t="inlineStr">
        <is>
          <t>Đầu khò gas K45M</t>
        </is>
      </c>
      <c r="J824" s="3" t="inlineStr">
        <is>
          <t>Cái</t>
        </is>
      </c>
      <c r="K824" s="5" t="n">
        <v>269000</v>
      </c>
      <c r="L824" s="5" t="n">
        <v>317000</v>
      </c>
      <c r="M824" s="6" t="n">
        <v>390000</v>
      </c>
      <c r="N824" s="5" t="n"/>
      <c r="O824" s="5">
        <f>IF(AND(ISNUMBER(N824),ISNUMBER(M824)),N824-M824,"")</f>
        <v/>
      </c>
      <c r="P824" s="7">
        <f>IF(AND(ISNUMBER(N824),ISNUMBER(M824),M824&gt;0),(N824-M824)/M824,"")</f>
        <v/>
      </c>
      <c r="Q824" s="3">
        <f>IF(P824="","",IF(P824&lt;-0.02,"🔴 Bán phá giá sàn",IF(P824&gt;0.05,"🔵 Bán cao hơn","🟢 Đúng giá sàn TMĐT")))</f>
        <v/>
      </c>
      <c r="R824" s="3" t="n"/>
      <c r="S824" s="4" t="n"/>
      <c r="T824" s="4" t="n"/>
    </row>
    <row r="825">
      <c r="A825" s="3" t="n">
        <v>824</v>
      </c>
      <c r="B825" s="3" t="inlineStr">
        <is>
          <t>DL005</t>
        </is>
      </c>
      <c r="C825" s="4" t="inlineStr">
        <is>
          <t>ThinkSafe HCM</t>
        </is>
      </c>
      <c r="D825" s="3" t="inlineStr">
        <is>
          <t>HCM</t>
        </is>
      </c>
      <c r="E825" s="3" t="inlineStr">
        <is>
          <t>XUÂN TRANG</t>
        </is>
      </c>
      <c r="F825" s="3" t="inlineStr">
        <is>
          <t>Shopee, Tiktok</t>
        </is>
      </c>
      <c r="G825" s="4" t="inlineStr">
        <is>
          <t>SHOPEE: https://shopee.vn/baohothinksafe?uls_trackid=56slrjbp02l6&amp;utm_content=3kGSyWceAz2CP3beojAsTsVsisVR TIKTOK: https://www.tiktok.com/@thinksafevn LAZADA: WEBSITE BÁN HÀNG:</t>
        </is>
      </c>
      <c r="H825" s="3" t="inlineStr">
        <is>
          <t>K49M</t>
        </is>
      </c>
      <c r="I825" s="4" t="inlineStr">
        <is>
          <t>Đầu khò gas K49M</t>
        </is>
      </c>
      <c r="J825" s="3" t="inlineStr">
        <is>
          <t>Cái</t>
        </is>
      </c>
      <c r="K825" s="5" t="n">
        <v>269000</v>
      </c>
      <c r="L825" s="5" t="n">
        <v>317000</v>
      </c>
      <c r="M825" s="6" t="n">
        <v>390000</v>
      </c>
      <c r="N825" s="5" t="n"/>
      <c r="O825" s="5">
        <f>IF(AND(ISNUMBER(N825),ISNUMBER(M825)),N825-M825,"")</f>
        <v/>
      </c>
      <c r="P825" s="7">
        <f>IF(AND(ISNUMBER(N825),ISNUMBER(M825),M825&gt;0),(N825-M825)/M825,"")</f>
        <v/>
      </c>
      <c r="Q825" s="3">
        <f>IF(P825="","",IF(P825&lt;-0.02,"🔴 Bán phá giá sàn",IF(P825&gt;0.05,"🔵 Bán cao hơn","🟢 Đúng giá sàn TMĐT")))</f>
        <v/>
      </c>
      <c r="R825" s="3" t="n"/>
      <c r="S825" s="4" t="n"/>
      <c r="T825" s="4" t="n"/>
    </row>
    <row r="826">
      <c r="A826" s="3" t="n">
        <v>825</v>
      </c>
      <c r="B826" s="3" t="inlineStr">
        <is>
          <t>DL005</t>
        </is>
      </c>
      <c r="C826" s="4" t="inlineStr">
        <is>
          <t>ThinkSafe HCM</t>
        </is>
      </c>
      <c r="D826" s="3" t="inlineStr">
        <is>
          <t>HCM</t>
        </is>
      </c>
      <c r="E826" s="3" t="inlineStr">
        <is>
          <t>XUÂN TRANG</t>
        </is>
      </c>
      <c r="F826" s="3" t="inlineStr">
        <is>
          <t>Shopee, Tiktok</t>
        </is>
      </c>
      <c r="G826" s="4" t="inlineStr">
        <is>
          <t>SHOPEE: https://shopee.vn/baohothinksafe?uls_trackid=56slrjbp02l6&amp;utm_content=3kGSyWceAz2CP3beojAsTsVsisVR TIKTOK: https://www.tiktok.com/@thinksafevn LAZADA: WEBSITE BÁN HÀNG:</t>
        </is>
      </c>
      <c r="H826" s="3" t="inlineStr"/>
      <c r="I826" s="4" t="inlineStr">
        <is>
          <t>Đầu nạp gas</t>
        </is>
      </c>
      <c r="J826" s="3" t="inlineStr">
        <is>
          <t>Cái</t>
        </is>
      </c>
      <c r="K826" s="5" t="n">
        <v>269000</v>
      </c>
      <c r="L826" s="5" t="n">
        <v>317000</v>
      </c>
      <c r="M826" s="6" t="n">
        <v>390000</v>
      </c>
      <c r="N826" s="5" t="n"/>
      <c r="O826" s="5">
        <f>IF(AND(ISNUMBER(N826),ISNUMBER(M826)),N826-M826,"")</f>
        <v/>
      </c>
      <c r="P826" s="7">
        <f>IF(AND(ISNUMBER(N826),ISNUMBER(M826),M826&gt;0),(N826-M826)/M826,"")</f>
        <v/>
      </c>
      <c r="Q826" s="3">
        <f>IF(P826="","",IF(P826&lt;-0.02,"🔴 Bán phá giá sàn",IF(P826&gt;0.05,"🔵 Bán cao hơn","🟢 Đúng giá sàn TMĐT")))</f>
        <v/>
      </c>
      <c r="R826" s="3" t="n"/>
      <c r="S826" s="4" t="n"/>
      <c r="T826" s="4" t="n"/>
    </row>
    <row r="827">
      <c r="A827" s="3" t="n">
        <v>826</v>
      </c>
      <c r="B827" s="3" t="inlineStr">
        <is>
          <t>DL005</t>
        </is>
      </c>
      <c r="C827" s="4" t="inlineStr">
        <is>
          <t>ThinkSafe HCM</t>
        </is>
      </c>
      <c r="D827" s="3" t="inlineStr">
        <is>
          <t>HCM</t>
        </is>
      </c>
      <c r="E827" s="3" t="inlineStr">
        <is>
          <t>XUÂN TRANG</t>
        </is>
      </c>
      <c r="F827" s="3" t="inlineStr">
        <is>
          <t>Shopee, Tiktok</t>
        </is>
      </c>
      <c r="G827" s="4" t="inlineStr">
        <is>
          <t>SHOPEE: https://shopee.vn/baohothinksafe?uls_trackid=56slrjbp02l6&amp;utm_content=3kGSyWceAz2CP3beojAsTsVsisVR TIKTOK: https://www.tiktok.com/@thinksafevn LAZADA: WEBSITE BÁN HÀNG:</t>
        </is>
      </c>
      <c r="H827" s="3" t="inlineStr">
        <is>
          <t>T265E-T10</t>
        </is>
      </c>
      <c r="I827" s="4" t="inlineStr">
        <is>
          <t>Đầu vít hoa thị KingBlue T265E-T10</t>
        </is>
      </c>
      <c r="J827" s="3" t="inlineStr">
        <is>
          <t>Vỉ</t>
        </is>
      </c>
      <c r="K827" s="5" t="n">
        <v>17000</v>
      </c>
      <c r="L827" s="5" t="n">
        <v>22000</v>
      </c>
      <c r="M827" s="6" t="n">
        <v>29000</v>
      </c>
      <c r="N827" s="5" t="n"/>
      <c r="O827" s="5">
        <f>IF(AND(ISNUMBER(N827),ISNUMBER(M827)),N827-M827,"")</f>
        <v/>
      </c>
      <c r="P827" s="7">
        <f>IF(AND(ISNUMBER(N827),ISNUMBER(M827),M827&gt;0),(N827-M827)/M827,"")</f>
        <v/>
      </c>
      <c r="Q827" s="3">
        <f>IF(P827="","",IF(P827&lt;-0.02,"🔴 Bán phá giá sàn",IF(P827&gt;0.05,"🔵 Bán cao hơn","🟢 Đúng giá sàn TMĐT")))</f>
        <v/>
      </c>
      <c r="R827" s="3" t="n"/>
      <c r="S827" s="4" t="n"/>
      <c r="T827" s="4" t="n"/>
    </row>
    <row r="828">
      <c r="A828" s="3" t="n">
        <v>827</v>
      </c>
      <c r="B828" s="3" t="inlineStr">
        <is>
          <t>DL005</t>
        </is>
      </c>
      <c r="C828" s="4" t="inlineStr">
        <is>
          <t>ThinkSafe HCM</t>
        </is>
      </c>
      <c r="D828" s="3" t="inlineStr">
        <is>
          <t>HCM</t>
        </is>
      </c>
      <c r="E828" s="3" t="inlineStr">
        <is>
          <t>XUÂN TRANG</t>
        </is>
      </c>
      <c r="F828" s="3" t="inlineStr">
        <is>
          <t>Shopee, Tiktok</t>
        </is>
      </c>
      <c r="G828" s="4" t="inlineStr">
        <is>
          <t>SHOPEE: https://shopee.vn/baohothinksafe?uls_trackid=56slrjbp02l6&amp;utm_content=3kGSyWceAz2CP3beojAsTsVsisVR TIKTOK: https://www.tiktok.com/@thinksafevn LAZADA: WEBSITE BÁN HÀNG:</t>
        </is>
      </c>
      <c r="H828" s="3" t="inlineStr">
        <is>
          <t>T265E-T20</t>
        </is>
      </c>
      <c r="I828" s="4" t="inlineStr">
        <is>
          <t>Đầu vít hoa thị KingBlue T265E-T20</t>
        </is>
      </c>
      <c r="J828" s="3" t="inlineStr">
        <is>
          <t>Vỉ</t>
        </is>
      </c>
      <c r="K828" s="5" t="n">
        <v>17000</v>
      </c>
      <c r="L828" s="5" t="n">
        <v>22000</v>
      </c>
      <c r="M828" s="6" t="n">
        <v>29000</v>
      </c>
      <c r="N828" s="5" t="n"/>
      <c r="O828" s="5">
        <f>IF(AND(ISNUMBER(N828),ISNUMBER(M828)),N828-M828,"")</f>
        <v/>
      </c>
      <c r="P828" s="7">
        <f>IF(AND(ISNUMBER(N828),ISNUMBER(M828),M828&gt;0),(N828-M828)/M828,"")</f>
        <v/>
      </c>
      <c r="Q828" s="3">
        <f>IF(P828="","",IF(P828&lt;-0.02,"🔴 Bán phá giá sàn",IF(P828&gt;0.05,"🔵 Bán cao hơn","🟢 Đúng giá sàn TMĐT")))</f>
        <v/>
      </c>
      <c r="R828" s="3" t="n"/>
      <c r="S828" s="4" t="n"/>
      <c r="T828" s="4" t="n"/>
    </row>
    <row r="829">
      <c r="A829" s="3" t="n">
        <v>828</v>
      </c>
      <c r="B829" s="3" t="inlineStr">
        <is>
          <t>DL005</t>
        </is>
      </c>
      <c r="C829" s="4" t="inlineStr">
        <is>
          <t>ThinkSafe HCM</t>
        </is>
      </c>
      <c r="D829" s="3" t="inlineStr">
        <is>
          <t>HCM</t>
        </is>
      </c>
      <c r="E829" s="3" t="inlineStr">
        <is>
          <t>XUÂN TRANG</t>
        </is>
      </c>
      <c r="F829" s="3" t="inlineStr">
        <is>
          <t>Shopee, Tiktok</t>
        </is>
      </c>
      <c r="G829" s="4" t="inlineStr">
        <is>
          <t>SHOPEE: https://shopee.vn/baohothinksafe?uls_trackid=56slrjbp02l6&amp;utm_content=3kGSyWceAz2CP3beojAsTsVsisVR TIKTOK: https://www.tiktok.com/@thinksafevn LAZADA: WEBSITE BÁN HÀNG:</t>
        </is>
      </c>
      <c r="H829" s="3" t="inlineStr">
        <is>
          <t>T265E-T25</t>
        </is>
      </c>
      <c r="I829" s="4" t="inlineStr">
        <is>
          <t>Đầu vít hoa thị KingBlue T265E-T25</t>
        </is>
      </c>
      <c r="J829" s="3" t="inlineStr">
        <is>
          <t>Vỉ</t>
        </is>
      </c>
      <c r="K829" s="5" t="n">
        <v>17000</v>
      </c>
      <c r="L829" s="5" t="n">
        <v>22000</v>
      </c>
      <c r="M829" s="6" t="n">
        <v>29000</v>
      </c>
      <c r="N829" s="5" t="n"/>
      <c r="O829" s="5">
        <f>IF(AND(ISNUMBER(N829),ISNUMBER(M829)),N829-M829,"")</f>
        <v/>
      </c>
      <c r="P829" s="7">
        <f>IF(AND(ISNUMBER(N829),ISNUMBER(M829),M829&gt;0),(N829-M829)/M829,"")</f>
        <v/>
      </c>
      <c r="Q829" s="3">
        <f>IF(P829="","",IF(P829&lt;-0.02,"🔴 Bán phá giá sàn",IF(P829&gt;0.05,"🔵 Bán cao hơn","🟢 Đúng giá sàn TMĐT")))</f>
        <v/>
      </c>
      <c r="R829" s="3" t="n"/>
      <c r="S829" s="4" t="n"/>
      <c r="T829" s="4" t="n"/>
    </row>
    <row r="830">
      <c r="A830" s="3" t="n">
        <v>829</v>
      </c>
      <c r="B830" s="3" t="inlineStr">
        <is>
          <t>DL005</t>
        </is>
      </c>
      <c r="C830" s="4" t="inlineStr">
        <is>
          <t>ThinkSafe HCM</t>
        </is>
      </c>
      <c r="D830" s="3" t="inlineStr">
        <is>
          <t>HCM</t>
        </is>
      </c>
      <c r="E830" s="3" t="inlineStr">
        <is>
          <t>XUÂN TRANG</t>
        </is>
      </c>
      <c r="F830" s="3" t="inlineStr">
        <is>
          <t>Shopee, Tiktok</t>
        </is>
      </c>
      <c r="G830" s="4" t="inlineStr">
        <is>
          <t>SHOPEE: https://shopee.vn/baohothinksafe?uls_trackid=56slrjbp02l6&amp;utm_content=3kGSyWceAz2CP3beojAsTsVsisVR TIKTOK: https://www.tiktok.com/@thinksafevn LAZADA: WEBSITE BÁN HÀNG:</t>
        </is>
      </c>
      <c r="H830" s="3" t="inlineStr">
        <is>
          <t>T265E-T30</t>
        </is>
      </c>
      <c r="I830" s="4" t="inlineStr">
        <is>
          <t>Đầu vít hoa thị KingBlue T265E-T30</t>
        </is>
      </c>
      <c r="J830" s="3" t="inlineStr">
        <is>
          <t>Vỉ</t>
        </is>
      </c>
      <c r="K830" s="5" t="n">
        <v>17000</v>
      </c>
      <c r="L830" s="5" t="n">
        <v>22000</v>
      </c>
      <c r="M830" s="6" t="n">
        <v>29000</v>
      </c>
      <c r="N830" s="5" t="n"/>
      <c r="O830" s="5">
        <f>IF(AND(ISNUMBER(N830),ISNUMBER(M830)),N830-M830,"")</f>
        <v/>
      </c>
      <c r="P830" s="7">
        <f>IF(AND(ISNUMBER(N830),ISNUMBER(M830),M830&gt;0),(N830-M830)/M830,"")</f>
        <v/>
      </c>
      <c r="Q830" s="3">
        <f>IF(P830="","",IF(P830&lt;-0.02,"🔴 Bán phá giá sàn",IF(P830&gt;0.05,"🔵 Bán cao hơn","🟢 Đúng giá sàn TMĐT")))</f>
        <v/>
      </c>
      <c r="R830" s="3" t="n"/>
      <c r="S830" s="4" t="n"/>
      <c r="T830" s="4" t="n"/>
    </row>
    <row r="831">
      <c r="A831" s="3" t="n">
        <v>830</v>
      </c>
      <c r="B831" s="3" t="inlineStr">
        <is>
          <t>DL005</t>
        </is>
      </c>
      <c r="C831" s="4" t="inlineStr">
        <is>
          <t>ThinkSafe HCM</t>
        </is>
      </c>
      <c r="D831" s="3" t="inlineStr">
        <is>
          <t>HCM</t>
        </is>
      </c>
      <c r="E831" s="3" t="inlineStr">
        <is>
          <t>XUÂN TRANG</t>
        </is>
      </c>
      <c r="F831" s="3" t="inlineStr">
        <is>
          <t>Shopee, Tiktok</t>
        </is>
      </c>
      <c r="G831" s="4" t="inlineStr">
        <is>
          <t>SHOPEE: https://shopee.vn/baohothinksafe?uls_trackid=56slrjbp02l6&amp;utm_content=3kGSyWceAz2CP3beojAsTsVsisVR TIKTOK: https://www.tiktok.com/@thinksafevn LAZADA: WEBSITE BÁN HÀNG:</t>
        </is>
      </c>
      <c r="H831" s="3" t="inlineStr">
        <is>
          <t>V100E</t>
        </is>
      </c>
      <c r="I831" s="4" t="inlineStr">
        <is>
          <t>Đầu vít lục giác  KingBlue V100E</t>
        </is>
      </c>
      <c r="J831" s="3" t="inlineStr">
        <is>
          <t>Cái</t>
        </is>
      </c>
      <c r="K831" s="5" t="n">
        <v>11000</v>
      </c>
      <c r="L831" s="5" t="n">
        <v>14000</v>
      </c>
      <c r="M831" s="6" t="n">
        <v>18000</v>
      </c>
      <c r="N831" s="5" t="n"/>
      <c r="O831" s="5">
        <f>IF(AND(ISNUMBER(N831),ISNUMBER(M831)),N831-M831,"")</f>
        <v/>
      </c>
      <c r="P831" s="7">
        <f>IF(AND(ISNUMBER(N831),ISNUMBER(M831),M831&gt;0),(N831-M831)/M831,"")</f>
        <v/>
      </c>
      <c r="Q831" s="3">
        <f>IF(P831="","",IF(P831&lt;-0.02,"🔴 Bán phá giá sàn",IF(P831&gt;0.05,"🔵 Bán cao hơn","🟢 Đúng giá sàn TMĐT")))</f>
        <v/>
      </c>
      <c r="R831" s="3" t="n"/>
      <c r="S831" s="4" t="n"/>
      <c r="T831" s="4" t="n"/>
    </row>
    <row r="832">
      <c r="A832" s="3" t="n">
        <v>831</v>
      </c>
      <c r="B832" s="3" t="inlineStr">
        <is>
          <t>DL005</t>
        </is>
      </c>
      <c r="C832" s="4" t="inlineStr">
        <is>
          <t>ThinkSafe HCM</t>
        </is>
      </c>
      <c r="D832" s="3" t="inlineStr">
        <is>
          <t>HCM</t>
        </is>
      </c>
      <c r="E832" s="3" t="inlineStr">
        <is>
          <t>XUÂN TRANG</t>
        </is>
      </c>
      <c r="F832" s="3" t="inlineStr">
        <is>
          <t>Shopee, Tiktok</t>
        </is>
      </c>
      <c r="G832" s="4" t="inlineStr">
        <is>
          <t>SHOPEE: https://shopee.vn/baohothinksafe?uls_trackid=56slrjbp02l6&amp;utm_content=3kGSyWceAz2CP3beojAsTsVsisVR TIKTOK: https://www.tiktok.com/@thinksafevn LAZADA: WEBSITE BÁN HÀNG:</t>
        </is>
      </c>
      <c r="H832" s="3" t="inlineStr">
        <is>
          <t>L265E-H4</t>
        </is>
      </c>
      <c r="I832" s="4" t="inlineStr">
        <is>
          <t>Đầu vít lục giác KingBlue L265E-H4</t>
        </is>
      </c>
      <c r="J832" s="3" t="inlineStr">
        <is>
          <t>Vỉ</t>
        </is>
      </c>
      <c r="K832" s="5" t="n">
        <v>17000</v>
      </c>
      <c r="L832" s="5" t="n">
        <v>22000</v>
      </c>
      <c r="M832" s="6" t="n">
        <v>29000</v>
      </c>
      <c r="N832" s="5" t="n"/>
      <c r="O832" s="5">
        <f>IF(AND(ISNUMBER(N832),ISNUMBER(M832)),N832-M832,"")</f>
        <v/>
      </c>
      <c r="P832" s="7">
        <f>IF(AND(ISNUMBER(N832),ISNUMBER(M832),M832&gt;0),(N832-M832)/M832,"")</f>
        <v/>
      </c>
      <c r="Q832" s="3">
        <f>IF(P832="","",IF(P832&lt;-0.02,"🔴 Bán phá giá sàn",IF(P832&gt;0.05,"🔵 Bán cao hơn","🟢 Đúng giá sàn TMĐT")))</f>
        <v/>
      </c>
      <c r="R832" s="3" t="n"/>
      <c r="S832" s="4" t="n"/>
      <c r="T832" s="4" t="n"/>
    </row>
    <row r="833">
      <c r="A833" s="3" t="n">
        <v>832</v>
      </c>
      <c r="B833" s="3" t="inlineStr">
        <is>
          <t>DL005</t>
        </is>
      </c>
      <c r="C833" s="4" t="inlineStr">
        <is>
          <t>ThinkSafe HCM</t>
        </is>
      </c>
      <c r="D833" s="3" t="inlineStr">
        <is>
          <t>HCM</t>
        </is>
      </c>
      <c r="E833" s="3" t="inlineStr">
        <is>
          <t>XUÂN TRANG</t>
        </is>
      </c>
      <c r="F833" s="3" t="inlineStr">
        <is>
          <t>Shopee, Tiktok</t>
        </is>
      </c>
      <c r="G833" s="4" t="inlineStr">
        <is>
          <t>SHOPEE: https://shopee.vn/baohothinksafe?uls_trackid=56slrjbp02l6&amp;utm_content=3kGSyWceAz2CP3beojAsTsVsisVR TIKTOK: https://www.tiktok.com/@thinksafevn LAZADA: WEBSITE BÁN HÀNG:</t>
        </is>
      </c>
      <c r="H833" s="3" t="inlineStr">
        <is>
          <t>L265E-H5</t>
        </is>
      </c>
      <c r="I833" s="4" t="inlineStr">
        <is>
          <t>Đầu vít lục giác KingBlue L265E-H5</t>
        </is>
      </c>
      <c r="J833" s="3" t="inlineStr">
        <is>
          <t>Vỉ</t>
        </is>
      </c>
      <c r="K833" s="5" t="n">
        <v>17000</v>
      </c>
      <c r="L833" s="5" t="n">
        <v>22000</v>
      </c>
      <c r="M833" s="6" t="n">
        <v>29000</v>
      </c>
      <c r="N833" s="5" t="n"/>
      <c r="O833" s="5">
        <f>IF(AND(ISNUMBER(N833),ISNUMBER(M833)),N833-M833,"")</f>
        <v/>
      </c>
      <c r="P833" s="7">
        <f>IF(AND(ISNUMBER(N833),ISNUMBER(M833),M833&gt;0),(N833-M833)/M833,"")</f>
        <v/>
      </c>
      <c r="Q833" s="3">
        <f>IF(P833="","",IF(P833&lt;-0.02,"🔴 Bán phá giá sàn",IF(P833&gt;0.05,"🔵 Bán cao hơn","🟢 Đúng giá sàn TMĐT")))</f>
        <v/>
      </c>
      <c r="R833" s="3" t="n"/>
      <c r="S833" s="4" t="n"/>
      <c r="T833" s="4" t="n"/>
    </row>
    <row r="834">
      <c r="A834" s="3" t="n">
        <v>833</v>
      </c>
      <c r="B834" s="3" t="inlineStr">
        <is>
          <t>DL005</t>
        </is>
      </c>
      <c r="C834" s="4" t="inlineStr">
        <is>
          <t>ThinkSafe HCM</t>
        </is>
      </c>
      <c r="D834" s="3" t="inlineStr">
        <is>
          <t>HCM</t>
        </is>
      </c>
      <c r="E834" s="3" t="inlineStr">
        <is>
          <t>XUÂN TRANG</t>
        </is>
      </c>
      <c r="F834" s="3" t="inlineStr">
        <is>
          <t>Shopee, Tiktok</t>
        </is>
      </c>
      <c r="G834" s="4" t="inlineStr">
        <is>
          <t>SHOPEE: https://shopee.vn/baohothinksafe?uls_trackid=56slrjbp02l6&amp;utm_content=3kGSyWceAz2CP3beojAsTsVsisVR TIKTOK: https://www.tiktok.com/@thinksafevn LAZADA: WEBSITE BÁN HÀNG:</t>
        </is>
      </c>
      <c r="H834" s="3" t="inlineStr">
        <is>
          <t>L265E-H6</t>
        </is>
      </c>
      <c r="I834" s="4" t="inlineStr">
        <is>
          <t>Đầu vít lục giác KingBlue L265E-H6</t>
        </is>
      </c>
      <c r="J834" s="3" t="inlineStr">
        <is>
          <t>Vỉ</t>
        </is>
      </c>
      <c r="K834" s="5" t="n">
        <v>17000</v>
      </c>
      <c r="L834" s="5" t="n">
        <v>22000</v>
      </c>
      <c r="M834" s="6" t="n">
        <v>29000</v>
      </c>
      <c r="N834" s="5" t="n"/>
      <c r="O834" s="5">
        <f>IF(AND(ISNUMBER(N834),ISNUMBER(M834)),N834-M834,"")</f>
        <v/>
      </c>
      <c r="P834" s="7">
        <f>IF(AND(ISNUMBER(N834),ISNUMBER(M834),M834&gt;0),(N834-M834)/M834,"")</f>
        <v/>
      </c>
      <c r="Q834" s="3">
        <f>IF(P834="","",IF(P834&lt;-0.02,"🔴 Bán phá giá sàn",IF(P834&gt;0.05,"🔵 Bán cao hơn","🟢 Đúng giá sàn TMĐT")))</f>
        <v/>
      </c>
      <c r="R834" s="3" t="n"/>
      <c r="S834" s="4" t="n"/>
      <c r="T834" s="4" t="n"/>
    </row>
    <row r="835">
      <c r="A835" s="3" t="n">
        <v>834</v>
      </c>
      <c r="B835" s="3" t="inlineStr">
        <is>
          <t>DL005</t>
        </is>
      </c>
      <c r="C835" s="4" t="inlineStr">
        <is>
          <t>ThinkSafe HCM</t>
        </is>
      </c>
      <c r="D835" s="3" t="inlineStr">
        <is>
          <t>HCM</t>
        </is>
      </c>
      <c r="E835" s="3" t="inlineStr">
        <is>
          <t>XUÂN TRANG</t>
        </is>
      </c>
      <c r="F835" s="3" t="inlineStr">
        <is>
          <t>Shopee, Tiktok</t>
        </is>
      </c>
      <c r="G835" s="4" t="inlineStr">
        <is>
          <t>SHOPEE: https://shopee.vn/baohothinksafe?uls_trackid=56slrjbp02l6&amp;utm_content=3kGSyWceAz2CP3beojAsTsVsisVR TIKTOK: https://www.tiktok.com/@thinksafevn LAZADA: WEBSITE BÁN HÀNG:</t>
        </is>
      </c>
      <c r="H835" s="3" t="inlineStr">
        <is>
          <t>L265E-H8</t>
        </is>
      </c>
      <c r="I835" s="4" t="inlineStr">
        <is>
          <t>Đầu vít lục giác KingBlue L265E-H8</t>
        </is>
      </c>
      <c r="J835" s="3" t="inlineStr">
        <is>
          <t>Vỉ</t>
        </is>
      </c>
      <c r="K835" s="5" t="n">
        <v>41000</v>
      </c>
      <c r="L835" s="5" t="n">
        <v>53000</v>
      </c>
      <c r="M835" s="6" t="n">
        <v>70000</v>
      </c>
      <c r="N835" s="5" t="n"/>
      <c r="O835" s="5">
        <f>IF(AND(ISNUMBER(N835),ISNUMBER(M835)),N835-M835,"")</f>
        <v/>
      </c>
      <c r="P835" s="7">
        <f>IF(AND(ISNUMBER(N835),ISNUMBER(M835),M835&gt;0),(N835-M835)/M835,"")</f>
        <v/>
      </c>
      <c r="Q835" s="3">
        <f>IF(P835="","",IF(P835&lt;-0.02,"🔴 Bán phá giá sàn",IF(P835&gt;0.05,"🔵 Bán cao hơn","🟢 Đúng giá sàn TMĐT")))</f>
        <v/>
      </c>
      <c r="R835" s="3" t="n"/>
      <c r="S835" s="4" t="n"/>
      <c r="T835" s="4" t="n"/>
    </row>
    <row r="836">
      <c r="A836" s="3" t="n">
        <v>835</v>
      </c>
      <c r="B836" s="3" t="inlineStr">
        <is>
          <t>DL005</t>
        </is>
      </c>
      <c r="C836" s="4" t="inlineStr">
        <is>
          <t>ThinkSafe HCM</t>
        </is>
      </c>
      <c r="D836" s="3" t="inlineStr">
        <is>
          <t>HCM</t>
        </is>
      </c>
      <c r="E836" s="3" t="inlineStr">
        <is>
          <t>XUÂN TRANG</t>
        </is>
      </c>
      <c r="F836" s="3" t="inlineStr">
        <is>
          <t>Shopee, Tiktok</t>
        </is>
      </c>
      <c r="G836" s="4" t="inlineStr">
        <is>
          <t>SHOPEE: https://shopee.vn/baohothinksafe?uls_trackid=56slrjbp02l6&amp;utm_content=3kGSyWceAz2CP3beojAsTsVsisVR TIKTOK: https://www.tiktok.com/@thinksafevn LAZADA: WEBSITE BÁN HÀNG:</t>
        </is>
      </c>
      <c r="H836" s="3" t="inlineStr">
        <is>
          <t>V65E</t>
        </is>
      </c>
      <c r="I836" s="4" t="inlineStr">
        <is>
          <t>Đầu vít lục giác KingBlue V65E</t>
        </is>
      </c>
      <c r="J836" s="3" t="inlineStr">
        <is>
          <t>Cái</t>
        </is>
      </c>
      <c r="K836" s="5" t="n">
        <v>8000</v>
      </c>
      <c r="L836" s="5" t="n">
        <v>10000</v>
      </c>
      <c r="M836" s="6" t="n">
        <v>14000</v>
      </c>
      <c r="N836" s="5" t="n"/>
      <c r="O836" s="5">
        <f>IF(AND(ISNUMBER(N836),ISNUMBER(M836)),N836-M836,"")</f>
        <v/>
      </c>
      <c r="P836" s="7">
        <f>IF(AND(ISNUMBER(N836),ISNUMBER(M836),M836&gt;0),(N836-M836)/M836,"")</f>
        <v/>
      </c>
      <c r="Q836" s="3">
        <f>IF(P836="","",IF(P836&lt;-0.02,"🔴 Bán phá giá sàn",IF(P836&gt;0.05,"🔵 Bán cao hơn","🟢 Đúng giá sàn TMĐT")))</f>
        <v/>
      </c>
      <c r="R836" s="3" t="n"/>
      <c r="S836" s="4" t="n"/>
      <c r="T836" s="4" t="n"/>
    </row>
    <row r="837">
      <c r="A837" s="3" t="n">
        <v>836</v>
      </c>
      <c r="B837" s="3" t="inlineStr">
        <is>
          <t>DL005</t>
        </is>
      </c>
      <c r="C837" s="4" t="inlineStr">
        <is>
          <t>ThinkSafe HCM</t>
        </is>
      </c>
      <c r="D837" s="3" t="inlineStr">
        <is>
          <t>HCM</t>
        </is>
      </c>
      <c r="E837" s="3" t="inlineStr">
        <is>
          <t>XUÂN TRANG</t>
        </is>
      </c>
      <c r="F837" s="3" t="inlineStr">
        <is>
          <t>Shopee, Tiktok</t>
        </is>
      </c>
      <c r="G837" s="4" t="inlineStr">
        <is>
          <t>SHOPEE: https://shopee.vn/baohothinksafe?uls_trackid=56slrjbp02l6&amp;utm_content=3kGSyWceAz2CP3beojAsTsVsisVR TIKTOK: https://www.tiktok.com/@thinksafevn LAZADA: WEBSITE BÁN HÀNG:</t>
        </is>
      </c>
      <c r="H837" s="3" t="inlineStr">
        <is>
          <t>LED750</t>
        </is>
      </c>
      <c r="I837" s="4" t="inlineStr">
        <is>
          <t>Đèn Led cài áo LED750</t>
        </is>
      </c>
      <c r="J837" s="3" t="inlineStr">
        <is>
          <t>Cái</t>
        </is>
      </c>
      <c r="K837" s="5" t="n">
        <v>269000</v>
      </c>
      <c r="L837" s="5" t="n">
        <v>317000</v>
      </c>
      <c r="M837" s="6" t="n">
        <v>390000</v>
      </c>
      <c r="N837" s="5" t="n"/>
      <c r="O837" s="5">
        <f>IF(AND(ISNUMBER(N837),ISNUMBER(M837)),N837-M837,"")</f>
        <v/>
      </c>
      <c r="P837" s="7">
        <f>IF(AND(ISNUMBER(N837),ISNUMBER(M837),M837&gt;0),(N837-M837)/M837,"")</f>
        <v/>
      </c>
      <c r="Q837" s="3">
        <f>IF(P837="","",IF(P837&lt;-0.02,"🔴 Bán phá giá sàn",IF(P837&gt;0.05,"🔵 Bán cao hơn","🟢 Đúng giá sàn TMĐT")))</f>
        <v/>
      </c>
      <c r="R837" s="3" t="n"/>
      <c r="S837" s="4" t="n"/>
      <c r="T837" s="4" t="n"/>
    </row>
    <row r="838">
      <c r="A838" s="3" t="n">
        <v>837</v>
      </c>
      <c r="B838" s="3" t="inlineStr">
        <is>
          <t>DL005</t>
        </is>
      </c>
      <c r="C838" s="4" t="inlineStr">
        <is>
          <t>ThinkSafe HCM</t>
        </is>
      </c>
      <c r="D838" s="3" t="inlineStr">
        <is>
          <t>HCM</t>
        </is>
      </c>
      <c r="E838" s="3" t="inlineStr">
        <is>
          <t>XUÂN TRANG</t>
        </is>
      </c>
      <c r="F838" s="3" t="inlineStr">
        <is>
          <t>Shopee, Tiktok</t>
        </is>
      </c>
      <c r="G838" s="4" t="inlineStr">
        <is>
          <t>SHOPEE: https://shopee.vn/baohothinksafe?uls_trackid=56slrjbp02l6&amp;utm_content=3kGSyWceAz2CP3beojAsTsVsisVR TIKTOK: https://www.tiktok.com/@thinksafevn LAZADA: WEBSITE BÁN HÀNG:</t>
        </is>
      </c>
      <c r="H838" s="3" t="inlineStr">
        <is>
          <t>LED2000</t>
        </is>
      </c>
      <c r="I838" s="4" t="inlineStr">
        <is>
          <t>Đèn Led cắm trại  LED2000</t>
        </is>
      </c>
      <c r="J838" s="3" t="inlineStr">
        <is>
          <t>Cái</t>
        </is>
      </c>
      <c r="K838" s="5" t="n">
        <v>920000</v>
      </c>
      <c r="L838" s="5" t="n">
        <v>1049000</v>
      </c>
      <c r="M838" s="6" t="n">
        <v>1242000</v>
      </c>
      <c r="N838" s="5" t="n"/>
      <c r="O838" s="5">
        <f>IF(AND(ISNUMBER(N838),ISNUMBER(M838)),N838-M838,"")</f>
        <v/>
      </c>
      <c r="P838" s="7">
        <f>IF(AND(ISNUMBER(N838),ISNUMBER(M838),M838&gt;0),(N838-M838)/M838,"")</f>
        <v/>
      </c>
      <c r="Q838" s="3">
        <f>IF(P838="","",IF(P838&lt;-0.02,"🔴 Bán phá giá sàn",IF(P838&gt;0.05,"🔵 Bán cao hơn","🟢 Đúng giá sàn TMĐT")))</f>
        <v/>
      </c>
      <c r="R838" s="3" t="n"/>
      <c r="S838" s="4" t="n"/>
      <c r="T838" s="4" t="n"/>
    </row>
    <row r="839">
      <c r="A839" s="3" t="n">
        <v>838</v>
      </c>
      <c r="B839" s="3" t="inlineStr">
        <is>
          <t>DL005</t>
        </is>
      </c>
      <c r="C839" s="4" t="inlineStr">
        <is>
          <t>ThinkSafe HCM</t>
        </is>
      </c>
      <c r="D839" s="3" t="inlineStr">
        <is>
          <t>HCM</t>
        </is>
      </c>
      <c r="E839" s="3" t="inlineStr">
        <is>
          <t>XUÂN TRANG</t>
        </is>
      </c>
      <c r="F839" s="3" t="inlineStr">
        <is>
          <t>Shopee, Tiktok</t>
        </is>
      </c>
      <c r="G839" s="4" t="inlineStr">
        <is>
          <t>SHOPEE: https://shopee.vn/baohothinksafe?uls_trackid=56slrjbp02l6&amp;utm_content=3kGSyWceAz2CP3beojAsTsVsisVR TIKTOK: https://www.tiktok.com/@thinksafevn LAZADA: WEBSITE BÁN HÀNG:</t>
        </is>
      </c>
      <c r="H839" s="3" t="inlineStr">
        <is>
          <t>LED800</t>
        </is>
      </c>
      <c r="I839" s="4" t="inlineStr">
        <is>
          <t>Đèn Led đội đầu  LED800</t>
        </is>
      </c>
      <c r="J839" s="3" t="inlineStr">
        <is>
          <t>Cái</t>
        </is>
      </c>
      <c r="K839" s="5" t="n">
        <v>430000</v>
      </c>
      <c r="L839" s="5" t="n">
        <v>490000</v>
      </c>
      <c r="M839" s="6" t="n">
        <v>581000</v>
      </c>
      <c r="N839" s="5" t="n"/>
      <c r="O839" s="5">
        <f>IF(AND(ISNUMBER(N839),ISNUMBER(M839)),N839-M839,"")</f>
        <v/>
      </c>
      <c r="P839" s="7">
        <f>IF(AND(ISNUMBER(N839),ISNUMBER(M839),M839&gt;0),(N839-M839)/M839,"")</f>
        <v/>
      </c>
      <c r="Q839" s="3">
        <f>IF(P839="","",IF(P839&lt;-0.02,"🔴 Bán phá giá sàn",IF(P839&gt;0.05,"🔵 Bán cao hơn","🟢 Đúng giá sàn TMĐT")))</f>
        <v/>
      </c>
      <c r="R839" s="3" t="n"/>
      <c r="S839" s="4" t="n"/>
      <c r="T839" s="4" t="n"/>
    </row>
    <row r="840">
      <c r="A840" s="3" t="n">
        <v>839</v>
      </c>
      <c r="B840" s="3" t="inlineStr">
        <is>
          <t>DL005</t>
        </is>
      </c>
      <c r="C840" s="4" t="inlineStr">
        <is>
          <t>ThinkSafe HCM</t>
        </is>
      </c>
      <c r="D840" s="3" t="inlineStr">
        <is>
          <t>HCM</t>
        </is>
      </c>
      <c r="E840" s="3" t="inlineStr">
        <is>
          <t>XUÂN TRANG</t>
        </is>
      </c>
      <c r="F840" s="3" t="inlineStr">
        <is>
          <t>Shopee, Tiktok</t>
        </is>
      </c>
      <c r="G840" s="4" t="inlineStr">
        <is>
          <t>SHOPEE: https://shopee.vn/baohothinksafe?uls_trackid=56slrjbp02l6&amp;utm_content=3kGSyWceAz2CP3beojAsTsVsisVR TIKTOK: https://www.tiktok.com/@thinksafevn LAZADA: WEBSITE BÁN HÀNG:</t>
        </is>
      </c>
      <c r="H840" s="3" t="inlineStr">
        <is>
          <t>LED1000H</t>
        </is>
      </c>
      <c r="I840" s="4" t="inlineStr">
        <is>
          <t>Đèn Led đội đầu LED1000H</t>
        </is>
      </c>
      <c r="J840" s="3" t="inlineStr">
        <is>
          <t>Cái</t>
        </is>
      </c>
      <c r="K840" s="5" t="n">
        <v>269000</v>
      </c>
      <c r="L840" s="5" t="n">
        <v>317000</v>
      </c>
      <c r="M840" s="6" t="n">
        <v>390000</v>
      </c>
      <c r="N840" s="5" t="n"/>
      <c r="O840" s="5">
        <f>IF(AND(ISNUMBER(N840),ISNUMBER(M840)),N840-M840,"")</f>
        <v/>
      </c>
      <c r="P840" s="7">
        <f>IF(AND(ISNUMBER(N840),ISNUMBER(M840),M840&gt;0),(N840-M840)/M840,"")</f>
        <v/>
      </c>
      <c r="Q840" s="3">
        <f>IF(P840="","",IF(P840&lt;-0.02,"🔴 Bán phá giá sàn",IF(P840&gt;0.05,"🔵 Bán cao hơn","🟢 Đúng giá sàn TMĐT")))</f>
        <v/>
      </c>
      <c r="R840" s="3" t="n"/>
      <c r="S840" s="4" t="n"/>
      <c r="T840" s="4" t="n"/>
    </row>
    <row r="841">
      <c r="A841" s="3" t="n">
        <v>840</v>
      </c>
      <c r="B841" s="3" t="inlineStr">
        <is>
          <t>DL005</t>
        </is>
      </c>
      <c r="C841" s="4" t="inlineStr">
        <is>
          <t>ThinkSafe HCM</t>
        </is>
      </c>
      <c r="D841" s="3" t="inlineStr">
        <is>
          <t>HCM</t>
        </is>
      </c>
      <c r="E841" s="3" t="inlineStr">
        <is>
          <t>XUÂN TRANG</t>
        </is>
      </c>
      <c r="F841" s="3" t="inlineStr">
        <is>
          <t>Shopee, Tiktok</t>
        </is>
      </c>
      <c r="G841" s="4" t="inlineStr">
        <is>
          <t>SHOPEE: https://shopee.vn/baohothinksafe?uls_trackid=56slrjbp02l6&amp;utm_content=3kGSyWceAz2CP3beojAsTsVsisVR TIKTOK: https://www.tiktok.com/@thinksafevn LAZADA: WEBSITE BÁN HÀNG:</t>
        </is>
      </c>
      <c r="H841" s="3" t="inlineStr">
        <is>
          <t>LED500</t>
        </is>
      </c>
      <c r="I841" s="4" t="inlineStr">
        <is>
          <t>Đèn Led đội đầu LED500</t>
        </is>
      </c>
      <c r="J841" s="3" t="inlineStr">
        <is>
          <t>Cái</t>
        </is>
      </c>
      <c r="K841" s="5" t="n">
        <v>440000</v>
      </c>
      <c r="L841" s="5" t="n">
        <v>502000</v>
      </c>
      <c r="M841" s="6" t="n">
        <v>594000</v>
      </c>
      <c r="N841" s="5" t="n"/>
      <c r="O841" s="5">
        <f>IF(AND(ISNUMBER(N841),ISNUMBER(M841)),N841-M841,"")</f>
        <v/>
      </c>
      <c r="P841" s="7">
        <f>IF(AND(ISNUMBER(N841),ISNUMBER(M841),M841&gt;0),(N841-M841)/M841,"")</f>
        <v/>
      </c>
      <c r="Q841" s="3">
        <f>IF(P841="","",IF(P841&lt;-0.02,"🔴 Bán phá giá sàn",IF(P841&gt;0.05,"🔵 Bán cao hơn","🟢 Đúng giá sàn TMĐT")))</f>
        <v/>
      </c>
      <c r="R841" s="3" t="n"/>
      <c r="S841" s="4" t="n"/>
      <c r="T841" s="4" t="n"/>
    </row>
    <row r="842">
      <c r="A842" s="3" t="n">
        <v>841</v>
      </c>
      <c r="B842" s="3" t="inlineStr">
        <is>
          <t>DL005</t>
        </is>
      </c>
      <c r="C842" s="4" t="inlineStr">
        <is>
          <t>ThinkSafe HCM</t>
        </is>
      </c>
      <c r="D842" s="3" t="inlineStr">
        <is>
          <t>HCM</t>
        </is>
      </c>
      <c r="E842" s="3" t="inlineStr">
        <is>
          <t>XUÂN TRANG</t>
        </is>
      </c>
      <c r="F842" s="3" t="inlineStr">
        <is>
          <t>Shopee, Tiktok</t>
        </is>
      </c>
      <c r="G842" s="4" t="inlineStr">
        <is>
          <t>SHOPEE: https://shopee.vn/baohothinksafe?uls_trackid=56slrjbp02l6&amp;utm_content=3kGSyWceAz2CP3beojAsTsVsisVR TIKTOK: https://www.tiktok.com/@thinksafevn LAZADA: WEBSITE BÁN HÀNG:</t>
        </is>
      </c>
      <c r="H842" s="3" t="inlineStr">
        <is>
          <t>LED600</t>
        </is>
      </c>
      <c r="I842" s="4" t="inlineStr">
        <is>
          <t>Đèn Led soi sửa chữa máy móc LED600</t>
        </is>
      </c>
      <c r="J842" s="3" t="inlineStr">
        <is>
          <t>Cái</t>
        </is>
      </c>
      <c r="K842" s="5" t="n">
        <v>650000</v>
      </c>
      <c r="L842" s="5" t="n">
        <v>741000</v>
      </c>
      <c r="M842" s="6" t="n">
        <v>878000</v>
      </c>
      <c r="N842" s="5" t="n"/>
      <c r="O842" s="5">
        <f>IF(AND(ISNUMBER(N842),ISNUMBER(M842)),N842-M842,"")</f>
        <v/>
      </c>
      <c r="P842" s="7">
        <f>IF(AND(ISNUMBER(N842),ISNUMBER(M842),M842&gt;0),(N842-M842)/M842,"")</f>
        <v/>
      </c>
      <c r="Q842" s="3">
        <f>IF(P842="","",IF(P842&lt;-0.02,"🔴 Bán phá giá sàn",IF(P842&gt;0.05,"🔵 Bán cao hơn","🟢 Đúng giá sàn TMĐT")))</f>
        <v/>
      </c>
      <c r="R842" s="3" t="n"/>
      <c r="S842" s="4" t="n"/>
      <c r="T842" s="4" t="n"/>
    </row>
    <row r="843">
      <c r="A843" s="3" t="n">
        <v>842</v>
      </c>
      <c r="B843" s="3" t="inlineStr">
        <is>
          <t>DL005</t>
        </is>
      </c>
      <c r="C843" s="4" t="inlineStr">
        <is>
          <t>ThinkSafe HCM</t>
        </is>
      </c>
      <c r="D843" s="3" t="inlineStr">
        <is>
          <t>HCM</t>
        </is>
      </c>
      <c r="E843" s="3" t="inlineStr">
        <is>
          <t>XUÂN TRANG</t>
        </is>
      </c>
      <c r="F843" s="3" t="inlineStr">
        <is>
          <t>Shopee, Tiktok</t>
        </is>
      </c>
      <c r="G843" s="4" t="inlineStr">
        <is>
          <t>SHOPEE: https://shopee.vn/baohothinksafe?uls_trackid=56slrjbp02l6&amp;utm_content=3kGSyWceAz2CP3beojAsTsVsisVR TIKTOK: https://www.tiktok.com/@thinksafevn LAZADA: WEBSITE BÁN HÀNG:</t>
        </is>
      </c>
      <c r="H843" s="3" t="inlineStr">
        <is>
          <t>MINI20GKD</t>
        </is>
      </c>
      <c r="I843" s="4" t="inlineStr">
        <is>
          <t>Đinh MINI20GKD</t>
        </is>
      </c>
      <c r="J843" s="3" t="inlineStr">
        <is>
          <t>Cái</t>
        </is>
      </c>
      <c r="K843" s="5" t="n">
        <v>269000</v>
      </c>
      <c r="L843" s="5" t="n">
        <v>317000</v>
      </c>
      <c r="M843" s="6" t="n">
        <v>390000</v>
      </c>
      <c r="N843" s="5" t="n"/>
      <c r="O843" s="5">
        <f>IF(AND(ISNUMBER(N843),ISNUMBER(M843)),N843-M843,"")</f>
        <v/>
      </c>
      <c r="P843" s="7">
        <f>IF(AND(ISNUMBER(N843),ISNUMBER(M843),M843&gt;0),(N843-M843)/M843,"")</f>
        <v/>
      </c>
      <c r="Q843" s="3">
        <f>IF(P843="","",IF(P843&lt;-0.02,"🔴 Bán phá giá sàn",IF(P843&gt;0.05,"🔵 Bán cao hơn","🟢 Đúng giá sàn TMĐT")))</f>
        <v/>
      </c>
      <c r="R843" s="3" t="n"/>
      <c r="S843" s="4" t="n"/>
      <c r="T843" s="4" t="n"/>
    </row>
    <row r="844">
      <c r="A844" s="3" t="n">
        <v>843</v>
      </c>
      <c r="B844" s="3" t="inlineStr">
        <is>
          <t>DL005</t>
        </is>
      </c>
      <c r="C844" s="4" t="inlineStr">
        <is>
          <t>ThinkSafe HCM</t>
        </is>
      </c>
      <c r="D844" s="3" t="inlineStr">
        <is>
          <t>HCM</t>
        </is>
      </c>
      <c r="E844" s="3" t="inlineStr">
        <is>
          <t>XUÂN TRANG</t>
        </is>
      </c>
      <c r="F844" s="3" t="inlineStr">
        <is>
          <t>Shopee, Tiktok</t>
        </is>
      </c>
      <c r="G844" s="4" t="inlineStr">
        <is>
          <t>SHOPEE: https://shopee.vn/baohothinksafe?uls_trackid=56slrjbp02l6&amp;utm_content=3kGSyWceAz2CP3beojAsTsVsisVR TIKTOK: https://www.tiktok.com/@thinksafevn LAZADA: WEBSITE BÁN HÀNG:</t>
        </is>
      </c>
      <c r="H844" s="3" t="inlineStr"/>
      <c r="I844" s="4" t="inlineStr">
        <is>
          <t>Đinh MINIGJD</t>
        </is>
      </c>
      <c r="J844" s="3" t="inlineStr">
        <is>
          <t>Cái</t>
        </is>
      </c>
      <c r="K844" s="5" t="n">
        <v>269000</v>
      </c>
      <c r="L844" s="5" t="n">
        <v>317000</v>
      </c>
      <c r="M844" s="6" t="n">
        <v>390000</v>
      </c>
      <c r="N844" s="5" t="n"/>
      <c r="O844" s="5">
        <f>IF(AND(ISNUMBER(N844),ISNUMBER(M844)),N844-M844,"")</f>
        <v/>
      </c>
      <c r="P844" s="7">
        <f>IF(AND(ISNUMBER(N844),ISNUMBER(M844),M844&gt;0),(N844-M844)/M844,"")</f>
        <v/>
      </c>
      <c r="Q844" s="3">
        <f>IF(P844="","",IF(P844&lt;-0.02,"🔴 Bán phá giá sàn",IF(P844&gt;0.05,"🔵 Bán cao hơn","🟢 Đúng giá sàn TMĐT")))</f>
        <v/>
      </c>
      <c r="R844" s="3" t="n"/>
      <c r="S844" s="4" t="n"/>
      <c r="T844" s="4" t="n"/>
    </row>
    <row r="845">
      <c r="A845" s="3" t="n">
        <v>844</v>
      </c>
      <c r="B845" s="3" t="inlineStr">
        <is>
          <t>DL005</t>
        </is>
      </c>
      <c r="C845" s="4" t="inlineStr">
        <is>
          <t>ThinkSafe HCM</t>
        </is>
      </c>
      <c r="D845" s="3" t="inlineStr">
        <is>
          <t>HCM</t>
        </is>
      </c>
      <c r="E845" s="3" t="inlineStr">
        <is>
          <t>XUÂN TRANG</t>
        </is>
      </c>
      <c r="F845" s="3" t="inlineStr">
        <is>
          <t>Shopee, Tiktok</t>
        </is>
      </c>
      <c r="G845" s="4" t="inlineStr">
        <is>
          <t>SHOPEE: https://shopee.vn/baohothinksafe?uls_trackid=56slrjbp02l6&amp;utm_content=3kGSyWceAz2CP3beojAsTsVsisVR TIKTOK: https://www.tiktok.com/@thinksafevn LAZADA: WEBSITE BÁN HÀNG:</t>
        </is>
      </c>
      <c r="H845" s="3" t="inlineStr"/>
      <c r="I845" s="4" t="inlineStr">
        <is>
          <t>Đinh MINISFD</t>
        </is>
      </c>
      <c r="J845" s="3" t="inlineStr">
        <is>
          <t>Cái</t>
        </is>
      </c>
      <c r="K845" s="5" t="n">
        <v>269000</v>
      </c>
      <c r="L845" s="5" t="n">
        <v>317000</v>
      </c>
      <c r="M845" s="6" t="n">
        <v>390000</v>
      </c>
      <c r="N845" s="5" t="n"/>
      <c r="O845" s="5">
        <f>IF(AND(ISNUMBER(N845),ISNUMBER(M845)),N845-M845,"")</f>
        <v/>
      </c>
      <c r="P845" s="7">
        <f>IF(AND(ISNUMBER(N845),ISNUMBER(M845),M845&gt;0),(N845-M845)/M845,"")</f>
        <v/>
      </c>
      <c r="Q845" s="3">
        <f>IF(P845="","",IF(P845&lt;-0.02,"🔴 Bán phá giá sàn",IF(P845&gt;0.05,"🔵 Bán cao hơn","🟢 Đúng giá sàn TMĐT")))</f>
        <v/>
      </c>
      <c r="R845" s="3" t="n"/>
      <c r="S845" s="4" t="n"/>
      <c r="T845" s="4" t="n"/>
    </row>
    <row r="846">
      <c r="A846" s="3" t="n">
        <v>845</v>
      </c>
      <c r="B846" s="3" t="inlineStr">
        <is>
          <t>DL005</t>
        </is>
      </c>
      <c r="C846" s="4" t="inlineStr">
        <is>
          <t>ThinkSafe HCM</t>
        </is>
      </c>
      <c r="D846" s="3" t="inlineStr">
        <is>
          <t>HCM</t>
        </is>
      </c>
      <c r="E846" s="3" t="inlineStr">
        <is>
          <t>XUÂN TRANG</t>
        </is>
      </c>
      <c r="F846" s="3" t="inlineStr">
        <is>
          <t>Shopee, Tiktok</t>
        </is>
      </c>
      <c r="G846" s="4" t="inlineStr">
        <is>
          <t>SHOPEE: https://shopee.vn/baohothinksafe?uls_trackid=56slrjbp02l6&amp;utm_content=3kGSyWceAz2CP3beojAsTsVsisVR TIKTOK: https://www.tiktok.com/@thinksafevn LAZADA: WEBSITE BÁN HÀNG:</t>
        </is>
      </c>
      <c r="H846" s="3" t="inlineStr">
        <is>
          <t>KFG-13/6</t>
        </is>
      </c>
      <c r="I846" s="4" t="inlineStr">
        <is>
          <t>Ghim KFG-13/6</t>
        </is>
      </c>
      <c r="J846" s="3" t="inlineStr">
        <is>
          <t>Hộp</t>
        </is>
      </c>
      <c r="K846" s="5" t="n">
        <v>26000</v>
      </c>
      <c r="L846" s="5" t="n">
        <v>31000</v>
      </c>
      <c r="M846" s="6" t="n">
        <v>38000</v>
      </c>
      <c r="N846" s="5" t="n"/>
      <c r="O846" s="5">
        <f>IF(AND(ISNUMBER(N846),ISNUMBER(M846)),N846-M846,"")</f>
        <v/>
      </c>
      <c r="P846" s="7">
        <f>IF(AND(ISNUMBER(N846),ISNUMBER(M846),M846&gt;0),(N846-M846)/M846,"")</f>
        <v/>
      </c>
      <c r="Q846" s="3">
        <f>IF(P846="","",IF(P846&lt;-0.02,"🔴 Bán phá giá sàn",IF(P846&gt;0.05,"🔵 Bán cao hơn","🟢 Đúng giá sàn TMĐT")))</f>
        <v/>
      </c>
      <c r="R846" s="3" t="n"/>
      <c r="S846" s="4" t="n"/>
      <c r="T846" s="4" t="n"/>
    </row>
    <row r="847">
      <c r="A847" s="3" t="n">
        <v>846</v>
      </c>
      <c r="B847" s="3" t="inlineStr">
        <is>
          <t>DL005</t>
        </is>
      </c>
      <c r="C847" s="4" t="inlineStr">
        <is>
          <t>ThinkSafe HCM</t>
        </is>
      </c>
      <c r="D847" s="3" t="inlineStr">
        <is>
          <t>HCM</t>
        </is>
      </c>
      <c r="E847" s="3" t="inlineStr">
        <is>
          <t>XUÂN TRANG</t>
        </is>
      </c>
      <c r="F847" s="3" t="inlineStr">
        <is>
          <t>Shopee, Tiktok</t>
        </is>
      </c>
      <c r="G847" s="4" t="inlineStr">
        <is>
          <t>SHOPEE: https://shopee.vn/baohothinksafe?uls_trackid=56slrjbp02l6&amp;utm_content=3kGSyWceAz2CP3beojAsTsVsisVR TIKTOK: https://www.tiktok.com/@thinksafevn LAZADA: WEBSITE BÁN HÀNG:</t>
        </is>
      </c>
      <c r="H847" s="3" t="inlineStr">
        <is>
          <t>KFG-16/6</t>
        </is>
      </c>
      <c r="I847" s="4" t="inlineStr">
        <is>
          <t>Ghim KFG-16/6</t>
        </is>
      </c>
      <c r="J847" s="3" t="inlineStr">
        <is>
          <t>Hộp</t>
        </is>
      </c>
      <c r="K847" s="5" t="n">
        <v>27000</v>
      </c>
      <c r="L847" s="5" t="n">
        <v>32000</v>
      </c>
      <c r="M847" s="6" t="n">
        <v>39000</v>
      </c>
      <c r="N847" s="5" t="n"/>
      <c r="O847" s="5">
        <f>IF(AND(ISNUMBER(N847),ISNUMBER(M847)),N847-M847,"")</f>
        <v/>
      </c>
      <c r="P847" s="7">
        <f>IF(AND(ISNUMBER(N847),ISNUMBER(M847),M847&gt;0),(N847-M847)/M847,"")</f>
        <v/>
      </c>
      <c r="Q847" s="3">
        <f>IF(P847="","",IF(P847&lt;-0.02,"🔴 Bán phá giá sàn",IF(P847&gt;0.05,"🔵 Bán cao hơn","🟢 Đúng giá sàn TMĐT")))</f>
        <v/>
      </c>
      <c r="R847" s="3" t="n"/>
      <c r="S847" s="4" t="n"/>
      <c r="T847" s="4" t="n"/>
    </row>
    <row r="848">
      <c r="A848" s="3" t="n">
        <v>847</v>
      </c>
      <c r="B848" s="3" t="inlineStr">
        <is>
          <t>DL005</t>
        </is>
      </c>
      <c r="C848" s="4" t="inlineStr">
        <is>
          <t>ThinkSafe HCM</t>
        </is>
      </c>
      <c r="D848" s="3" t="inlineStr">
        <is>
          <t>HCM</t>
        </is>
      </c>
      <c r="E848" s="3" t="inlineStr">
        <is>
          <t>XUÂN TRANG</t>
        </is>
      </c>
      <c r="F848" s="3" t="inlineStr">
        <is>
          <t>Shopee, Tiktok</t>
        </is>
      </c>
      <c r="G848" s="4" t="inlineStr">
        <is>
          <t>SHOPEE: https://shopee.vn/baohothinksafe?uls_trackid=56slrjbp02l6&amp;utm_content=3kGSyWceAz2CP3beojAsTsVsisVR TIKTOK: https://www.tiktok.com/@thinksafevn LAZADA: WEBSITE BÁN HÀNG:</t>
        </is>
      </c>
      <c r="H848" s="3" t="inlineStr">
        <is>
          <t>HKE-924</t>
        </is>
      </c>
      <c r="I848" s="4" t="inlineStr">
        <is>
          <t>Hít gạch điện tử HKE-924</t>
        </is>
      </c>
      <c r="J848" s="3" t="inlineStr">
        <is>
          <t>Cái</t>
        </is>
      </c>
      <c r="K848" s="5" t="n">
        <v>680000</v>
      </c>
      <c r="L848" s="5" t="n">
        <v>789000</v>
      </c>
      <c r="M848" s="6" t="n">
        <v>952000</v>
      </c>
      <c r="N848" s="5" t="n"/>
      <c r="O848" s="5">
        <f>IF(AND(ISNUMBER(N848),ISNUMBER(M848)),N848-M848,"")</f>
        <v/>
      </c>
      <c r="P848" s="7">
        <f>IF(AND(ISNUMBER(N848),ISNUMBER(M848),M848&gt;0),(N848-M848)/M848,"")</f>
        <v/>
      </c>
      <c r="Q848" s="3">
        <f>IF(P848="","",IF(P848&lt;-0.02,"🔴 Bán phá giá sàn",IF(P848&gt;0.05,"🔵 Bán cao hơn","🟢 Đúng giá sàn TMĐT")))</f>
        <v/>
      </c>
      <c r="R848" s="3" t="n"/>
      <c r="S848" s="4" t="n"/>
      <c r="T848" s="4" t="n"/>
    </row>
    <row r="849">
      <c r="A849" s="3" t="n">
        <v>848</v>
      </c>
      <c r="B849" s="3" t="inlineStr">
        <is>
          <t>DL005</t>
        </is>
      </c>
      <c r="C849" s="4" t="inlineStr">
        <is>
          <t>ThinkSafe HCM</t>
        </is>
      </c>
      <c r="D849" s="3" t="inlineStr">
        <is>
          <t>HCM</t>
        </is>
      </c>
      <c r="E849" s="3" t="inlineStr">
        <is>
          <t>XUÂN TRANG</t>
        </is>
      </c>
      <c r="F849" s="3" t="inlineStr">
        <is>
          <t>Shopee, Tiktok</t>
        </is>
      </c>
      <c r="G849" s="4" t="inlineStr">
        <is>
          <t>SHOPEE: https://shopee.vn/baohothinksafe?uls_trackid=56slrjbp02l6&amp;utm_content=3kGSyWceAz2CP3beojAsTsVsisVR TIKTOK: https://www.tiktok.com/@thinksafevn LAZADA: WEBSITE BÁN HÀNG:</t>
        </is>
      </c>
      <c r="H849" s="3" t="inlineStr">
        <is>
          <t>HKE-200</t>
        </is>
      </c>
      <c r="I849" s="4" t="inlineStr">
        <is>
          <t>Hít kính điện tử HKE-200</t>
        </is>
      </c>
      <c r="J849" s="3" t="inlineStr">
        <is>
          <t>Cái</t>
        </is>
      </c>
      <c r="K849" s="5" t="n">
        <v>583000</v>
      </c>
      <c r="L849" s="5" t="n">
        <v>676000</v>
      </c>
      <c r="M849" s="6" t="n">
        <v>816000</v>
      </c>
      <c r="N849" s="5" t="n"/>
      <c r="O849" s="5">
        <f>IF(AND(ISNUMBER(N849),ISNUMBER(M849)),N849-M849,"")</f>
        <v/>
      </c>
      <c r="P849" s="7">
        <f>IF(AND(ISNUMBER(N849),ISNUMBER(M849),M849&gt;0),(N849-M849)/M849,"")</f>
        <v/>
      </c>
      <c r="Q849" s="3">
        <f>IF(P849="","",IF(P849&lt;-0.02,"🔴 Bán phá giá sàn",IF(P849&gt;0.05,"🔵 Bán cao hơn","🟢 Đúng giá sàn TMĐT")))</f>
        <v/>
      </c>
      <c r="R849" s="3" t="n"/>
      <c r="S849" s="4" t="n"/>
      <c r="T849" s="4" t="n"/>
    </row>
    <row r="850">
      <c r="A850" s="3" t="n">
        <v>849</v>
      </c>
      <c r="B850" s="3" t="inlineStr">
        <is>
          <t>DL005</t>
        </is>
      </c>
      <c r="C850" s="4" t="inlineStr">
        <is>
          <t>ThinkSafe HCM</t>
        </is>
      </c>
      <c r="D850" s="3" t="inlineStr">
        <is>
          <t>HCM</t>
        </is>
      </c>
      <c r="E850" s="3" t="inlineStr">
        <is>
          <t>XUÂN TRANG</t>
        </is>
      </c>
      <c r="F850" s="3" t="inlineStr">
        <is>
          <t>Shopee, Tiktok</t>
        </is>
      </c>
      <c r="G850" s="4" t="inlineStr">
        <is>
          <t>SHOPEE: https://shopee.vn/baohothinksafe?uls_trackid=56slrjbp02l6&amp;utm_content=3kGSyWceAz2CP3beojAsTsVsisVR TIKTOK: https://www.tiktok.com/@thinksafevn LAZADA: WEBSITE BÁN HÀNG:</t>
        </is>
      </c>
      <c r="H850" s="3" t="inlineStr">
        <is>
          <t>HK1-50</t>
        </is>
      </c>
      <c r="I850" s="4" t="inlineStr">
        <is>
          <t>Hít kính HK1-50</t>
        </is>
      </c>
      <c r="J850" s="3" t="inlineStr">
        <is>
          <t>Cái</t>
        </is>
      </c>
      <c r="K850" s="5" t="n">
        <v>182000</v>
      </c>
      <c r="L850" s="5" t="n">
        <v>215000</v>
      </c>
      <c r="M850" s="6" t="n">
        <v>264000</v>
      </c>
      <c r="N850" s="5" t="n"/>
      <c r="O850" s="5">
        <f>IF(AND(ISNUMBER(N850),ISNUMBER(M850)),N850-M850,"")</f>
        <v/>
      </c>
      <c r="P850" s="7">
        <f>IF(AND(ISNUMBER(N850),ISNUMBER(M850),M850&gt;0),(N850-M850)/M850,"")</f>
        <v/>
      </c>
      <c r="Q850" s="3">
        <f>IF(P850="","",IF(P850&lt;-0.02,"🔴 Bán phá giá sàn",IF(P850&gt;0.05,"🔵 Bán cao hơn","🟢 Đúng giá sàn TMĐT")))</f>
        <v/>
      </c>
      <c r="R850" s="3" t="n"/>
      <c r="S850" s="4" t="n"/>
      <c r="T850" s="4" t="n"/>
    </row>
    <row r="851">
      <c r="A851" s="3" t="n">
        <v>850</v>
      </c>
      <c r="B851" s="3" t="inlineStr">
        <is>
          <t>DL005</t>
        </is>
      </c>
      <c r="C851" s="4" t="inlineStr">
        <is>
          <t>ThinkSafe HCM</t>
        </is>
      </c>
      <c r="D851" s="3" t="inlineStr">
        <is>
          <t>HCM</t>
        </is>
      </c>
      <c r="E851" s="3" t="inlineStr">
        <is>
          <t>XUÂN TRANG</t>
        </is>
      </c>
      <c r="F851" s="3" t="inlineStr">
        <is>
          <t>Shopee, Tiktok</t>
        </is>
      </c>
      <c r="G851" s="4" t="inlineStr">
        <is>
          <t>SHOPEE: https://shopee.vn/baohothinksafe?uls_trackid=56slrjbp02l6&amp;utm_content=3kGSyWceAz2CP3beojAsTsVsisVR TIKTOK: https://www.tiktok.com/@thinksafevn LAZADA: WEBSITE BÁN HÀNG:</t>
        </is>
      </c>
      <c r="H851" s="3" t="inlineStr">
        <is>
          <t>HK2-130</t>
        </is>
      </c>
      <c r="I851" s="4" t="inlineStr">
        <is>
          <t>Hít kính HK2-130</t>
        </is>
      </c>
      <c r="J851" s="3" t="inlineStr">
        <is>
          <t>Cái</t>
        </is>
      </c>
      <c r="K851" s="5" t="n">
        <v>308000</v>
      </c>
      <c r="L851" s="5" t="n">
        <v>364000</v>
      </c>
      <c r="M851" s="6" t="n">
        <v>447000</v>
      </c>
      <c r="N851" s="5" t="n"/>
      <c r="O851" s="5">
        <f>IF(AND(ISNUMBER(N851),ISNUMBER(M851)),N851-M851,"")</f>
        <v/>
      </c>
      <c r="P851" s="7">
        <f>IF(AND(ISNUMBER(N851),ISNUMBER(M851),M851&gt;0),(N851-M851)/M851,"")</f>
        <v/>
      </c>
      <c r="Q851" s="3">
        <f>IF(P851="","",IF(P851&lt;-0.02,"🔴 Bán phá giá sàn",IF(P851&gt;0.05,"🔵 Bán cao hơn","🟢 Đúng giá sàn TMĐT")))</f>
        <v/>
      </c>
      <c r="R851" s="3" t="n"/>
      <c r="S851" s="4" t="n"/>
      <c r="T851" s="4" t="n"/>
    </row>
    <row r="852">
      <c r="A852" s="3" t="n">
        <v>851</v>
      </c>
      <c r="B852" s="3" t="inlineStr">
        <is>
          <t>DL005</t>
        </is>
      </c>
      <c r="C852" s="4" t="inlineStr">
        <is>
          <t>ThinkSafe HCM</t>
        </is>
      </c>
      <c r="D852" s="3" t="inlineStr">
        <is>
          <t>HCM</t>
        </is>
      </c>
      <c r="E852" s="3" t="inlineStr">
        <is>
          <t>XUÂN TRANG</t>
        </is>
      </c>
      <c r="F852" s="3" t="inlineStr">
        <is>
          <t>Shopee, Tiktok</t>
        </is>
      </c>
      <c r="G852" s="4" t="inlineStr">
        <is>
          <t>SHOPEE: https://shopee.vn/baohothinksafe?uls_trackid=56slrjbp02l6&amp;utm_content=3kGSyWceAz2CP3beojAsTsVsisVR TIKTOK: https://www.tiktok.com/@thinksafevn LAZADA: WEBSITE BÁN HÀNG:</t>
        </is>
      </c>
      <c r="H852" s="3" t="inlineStr">
        <is>
          <t>HK2-118</t>
        </is>
      </c>
      <c r="I852" s="4" t="inlineStr">
        <is>
          <t>Hít kính-căn chỉnh mạch gạch HK2-118</t>
        </is>
      </c>
      <c r="J852" s="3" t="inlineStr">
        <is>
          <t>Cái</t>
        </is>
      </c>
      <c r="K852" s="5" t="n">
        <v>438000</v>
      </c>
      <c r="L852" s="5" t="n">
        <v>517000</v>
      </c>
      <c r="M852" s="6" t="n">
        <v>635000</v>
      </c>
      <c r="N852" s="5" t="n"/>
      <c r="O852" s="5">
        <f>IF(AND(ISNUMBER(N852),ISNUMBER(M852)),N852-M852,"")</f>
        <v/>
      </c>
      <c r="P852" s="7">
        <f>IF(AND(ISNUMBER(N852),ISNUMBER(M852),M852&gt;0),(N852-M852)/M852,"")</f>
        <v/>
      </c>
      <c r="Q852" s="3">
        <f>IF(P852="","",IF(P852&lt;-0.02,"🔴 Bán phá giá sàn",IF(P852&gt;0.05,"🔵 Bán cao hơn","🟢 Đúng giá sàn TMĐT")))</f>
        <v/>
      </c>
      <c r="R852" s="3" t="n"/>
      <c r="S852" s="4" t="n"/>
      <c r="T852" s="4" t="n"/>
    </row>
    <row r="853">
      <c r="A853" s="3" t="n">
        <v>852</v>
      </c>
      <c r="B853" s="3" t="inlineStr">
        <is>
          <t>DL005</t>
        </is>
      </c>
      <c r="C853" s="4" t="inlineStr">
        <is>
          <t>ThinkSafe HCM</t>
        </is>
      </c>
      <c r="D853" s="3" t="inlineStr">
        <is>
          <t>HCM</t>
        </is>
      </c>
      <c r="E853" s="3" t="inlineStr">
        <is>
          <t>XUÂN TRANG</t>
        </is>
      </c>
      <c r="F853" s="3" t="inlineStr">
        <is>
          <t>Shopee, Tiktok</t>
        </is>
      </c>
      <c r="G853" s="4" t="inlineStr">
        <is>
          <t>SHOPEE: https://shopee.vn/baohothinksafe?uls_trackid=56slrjbp02l6&amp;utm_content=3kGSyWceAz2CP3beojAsTsVsisVR TIKTOK: https://www.tiktok.com/@thinksafevn LAZADA: WEBSITE BÁN HÀNG:</t>
        </is>
      </c>
      <c r="H853" s="3" t="inlineStr">
        <is>
          <t>KBE-BL2816</t>
        </is>
      </c>
      <c r="I853" s="4" t="inlineStr">
        <is>
          <t>Kéo cắt cành pin KBE-BL2816</t>
        </is>
      </c>
      <c r="J853" s="3" t="inlineStr">
        <is>
          <t>Cái</t>
        </is>
      </c>
      <c r="K853" s="5" t="n">
        <v>1600000</v>
      </c>
      <c r="L853" s="5" t="n">
        <v>1760000</v>
      </c>
      <c r="M853" s="6" t="n">
        <v>2000000</v>
      </c>
      <c r="N853" s="5" t="n"/>
      <c r="O853" s="5">
        <f>IF(AND(ISNUMBER(N853),ISNUMBER(M853)),N853-M853,"")</f>
        <v/>
      </c>
      <c r="P853" s="7">
        <f>IF(AND(ISNUMBER(N853),ISNUMBER(M853),M853&gt;0),(N853-M853)/M853,"")</f>
        <v/>
      </c>
      <c r="Q853" s="3">
        <f>IF(P853="","",IF(P853&lt;-0.02,"🔴 Bán phá giá sàn",IF(P853&gt;0.05,"🔵 Bán cao hơn","🟢 Đúng giá sàn TMĐT")))</f>
        <v/>
      </c>
      <c r="R853" s="3" t="n"/>
      <c r="S853" s="4" t="n"/>
      <c r="T853" s="4" t="n"/>
    </row>
    <row r="854">
      <c r="A854" s="3" t="n">
        <v>853</v>
      </c>
      <c r="B854" s="3" t="inlineStr">
        <is>
          <t>DL005</t>
        </is>
      </c>
      <c r="C854" s="4" t="inlineStr">
        <is>
          <t>ThinkSafe HCM</t>
        </is>
      </c>
      <c r="D854" s="3" t="inlineStr">
        <is>
          <t>HCM</t>
        </is>
      </c>
      <c r="E854" s="3" t="inlineStr">
        <is>
          <t>XUÂN TRANG</t>
        </is>
      </c>
      <c r="F854" s="3" t="inlineStr">
        <is>
          <t>Shopee, Tiktok</t>
        </is>
      </c>
      <c r="G854" s="4" t="inlineStr">
        <is>
          <t>SHOPEE: https://shopee.vn/baohothinksafe?uls_trackid=56slrjbp02l6&amp;utm_content=3kGSyWceAz2CP3beojAsTsVsisVR TIKTOK: https://www.tiktok.com/@thinksafevn LAZADA: WEBSITE BÁN HÀNG:</t>
        </is>
      </c>
      <c r="H854" s="3" t="inlineStr">
        <is>
          <t>QC3</t>
        </is>
      </c>
      <c r="I854" s="4" t="inlineStr">
        <is>
          <t>Kéo cắt đa năng QC3</t>
        </is>
      </c>
      <c r="J854" s="3" t="inlineStr">
        <is>
          <t>Cái</t>
        </is>
      </c>
      <c r="K854" s="5" t="n">
        <v>80000</v>
      </c>
      <c r="L854" s="5" t="n">
        <v>94000</v>
      </c>
      <c r="M854" s="6" t="n">
        <v>116000</v>
      </c>
      <c r="N854" s="5" t="n"/>
      <c r="O854" s="5">
        <f>IF(AND(ISNUMBER(N854),ISNUMBER(M854)),N854-M854,"")</f>
        <v/>
      </c>
      <c r="P854" s="7">
        <f>IF(AND(ISNUMBER(N854),ISNUMBER(M854),M854&gt;0),(N854-M854)/M854,"")</f>
        <v/>
      </c>
      <c r="Q854" s="3">
        <f>IF(P854="","",IF(P854&lt;-0.02,"🔴 Bán phá giá sàn",IF(P854&gt;0.05,"🔵 Bán cao hơn","🟢 Đúng giá sàn TMĐT")))</f>
        <v/>
      </c>
      <c r="R854" s="3" t="n"/>
      <c r="S854" s="4" t="n"/>
      <c r="T854" s="4" t="n"/>
    </row>
    <row r="855">
      <c r="A855" s="3" t="n">
        <v>854</v>
      </c>
      <c r="B855" s="3" t="inlineStr">
        <is>
          <t>DL005</t>
        </is>
      </c>
      <c r="C855" s="4" t="inlineStr">
        <is>
          <t>ThinkSafe HCM</t>
        </is>
      </c>
      <c r="D855" s="3" t="inlineStr">
        <is>
          <t>HCM</t>
        </is>
      </c>
      <c r="E855" s="3" t="inlineStr">
        <is>
          <t>XUÂN TRANG</t>
        </is>
      </c>
      <c r="F855" s="3" t="inlineStr">
        <is>
          <t>Shopee, Tiktok</t>
        </is>
      </c>
      <c r="G855" s="4" t="inlineStr">
        <is>
          <t>SHOPEE: https://shopee.vn/baohothinksafe?uls_trackid=56slrjbp02l6&amp;utm_content=3kGSyWceAz2CP3beojAsTsVsisVR TIKTOK: https://www.tiktok.com/@thinksafevn LAZADA: WEBSITE BÁN HÀNG:</t>
        </is>
      </c>
      <c r="H855" s="3" t="inlineStr">
        <is>
          <t>QC4</t>
        </is>
      </c>
      <c r="I855" s="4" t="inlineStr">
        <is>
          <t>Kéo cắt đa năng QC4</t>
        </is>
      </c>
      <c r="J855" s="3" t="inlineStr">
        <is>
          <t>Cái</t>
        </is>
      </c>
      <c r="K855" s="5" t="n">
        <v>103000</v>
      </c>
      <c r="L855" s="5" t="n">
        <v>121000</v>
      </c>
      <c r="M855" s="6" t="n">
        <v>149000</v>
      </c>
      <c r="N855" s="5" t="n"/>
      <c r="O855" s="5">
        <f>IF(AND(ISNUMBER(N855),ISNUMBER(M855)),N855-M855,"")</f>
        <v/>
      </c>
      <c r="P855" s="7">
        <f>IF(AND(ISNUMBER(N855),ISNUMBER(M855),M855&gt;0),(N855-M855)/M855,"")</f>
        <v/>
      </c>
      <c r="Q855" s="3">
        <f>IF(P855="","",IF(P855&lt;-0.02,"🔴 Bán phá giá sàn",IF(P855&gt;0.05,"🔵 Bán cao hơn","🟢 Đúng giá sàn TMĐT")))</f>
        <v/>
      </c>
      <c r="R855" s="3" t="n"/>
      <c r="S855" s="4" t="n"/>
      <c r="T855" s="4" t="n"/>
    </row>
    <row r="856">
      <c r="A856" s="3" t="n">
        <v>855</v>
      </c>
      <c r="B856" s="3" t="inlineStr">
        <is>
          <t>DL005</t>
        </is>
      </c>
      <c r="C856" s="4" t="inlineStr">
        <is>
          <t>ThinkSafe HCM</t>
        </is>
      </c>
      <c r="D856" s="3" t="inlineStr">
        <is>
          <t>HCM</t>
        </is>
      </c>
      <c r="E856" s="3" t="inlineStr">
        <is>
          <t>XUÂN TRANG</t>
        </is>
      </c>
      <c r="F856" s="3" t="inlineStr">
        <is>
          <t>Shopee, Tiktok</t>
        </is>
      </c>
      <c r="G856" s="4" t="inlineStr">
        <is>
          <t>SHOPEE: https://shopee.vn/baohothinksafe?uls_trackid=56slrjbp02l6&amp;utm_content=3kGSyWceAz2CP3beojAsTsVsisVR TIKTOK: https://www.tiktok.com/@thinksafevn LAZADA: WEBSITE BÁN HÀNG:</t>
        </is>
      </c>
      <c r="H856" s="3" t="inlineStr">
        <is>
          <t>KPQ-32</t>
        </is>
      </c>
      <c r="I856" s="4" t="inlineStr">
        <is>
          <t>Kéo cắt góc nẹp điện KPQ-32</t>
        </is>
      </c>
      <c r="J856" s="3" t="inlineStr">
        <is>
          <t>Cái</t>
        </is>
      </c>
      <c r="K856" s="5" t="n">
        <v>163000</v>
      </c>
      <c r="L856" s="5" t="n">
        <v>192000</v>
      </c>
      <c r="M856" s="6" t="n">
        <v>236000</v>
      </c>
      <c r="N856" s="5" t="n"/>
      <c r="O856" s="5">
        <f>IF(AND(ISNUMBER(N856),ISNUMBER(M856)),N856-M856,"")</f>
        <v/>
      </c>
      <c r="P856" s="7">
        <f>IF(AND(ISNUMBER(N856),ISNUMBER(M856),M856&gt;0),(N856-M856)/M856,"")</f>
        <v/>
      </c>
      <c r="Q856" s="3">
        <f>IF(P856="","",IF(P856&lt;-0.02,"🔴 Bán phá giá sàn",IF(P856&gt;0.05,"🔵 Bán cao hơn","🟢 Đúng giá sàn TMĐT")))</f>
        <v/>
      </c>
      <c r="R856" s="3" t="n"/>
      <c r="S856" s="4" t="n"/>
      <c r="T856" s="4" t="n"/>
    </row>
    <row r="857">
      <c r="A857" s="3" t="n">
        <v>856</v>
      </c>
      <c r="B857" s="3" t="inlineStr">
        <is>
          <t>DL005</t>
        </is>
      </c>
      <c r="C857" s="4" t="inlineStr">
        <is>
          <t>ThinkSafe HCM</t>
        </is>
      </c>
      <c r="D857" s="3" t="inlineStr">
        <is>
          <t>HCM</t>
        </is>
      </c>
      <c r="E857" s="3" t="inlineStr">
        <is>
          <t>XUÂN TRANG</t>
        </is>
      </c>
      <c r="F857" s="3" t="inlineStr">
        <is>
          <t>Shopee, Tiktok</t>
        </is>
      </c>
      <c r="G857" s="4" t="inlineStr">
        <is>
          <t>SHOPEE: https://shopee.vn/baohothinksafe?uls_trackid=56slrjbp02l6&amp;utm_content=3kGSyWceAz2CP3beojAsTsVsisVR TIKTOK: https://www.tiktok.com/@thinksafevn LAZADA: WEBSITE BÁN HÀNG:</t>
        </is>
      </c>
      <c r="H857" s="3" t="inlineStr">
        <is>
          <t>KPC-042</t>
        </is>
      </c>
      <c r="I857" s="4" t="inlineStr">
        <is>
          <t>Kéo cắt ống KPC-042 (NEW)</t>
        </is>
      </c>
      <c r="J857" s="3" t="inlineStr">
        <is>
          <t>Cái</t>
        </is>
      </c>
      <c r="K857" s="5" t="n">
        <v>102000</v>
      </c>
      <c r="L857" s="5" t="n">
        <v>120000</v>
      </c>
      <c r="M857" s="6" t="n">
        <v>148000</v>
      </c>
      <c r="N857" s="5" t="n"/>
      <c r="O857" s="5">
        <f>IF(AND(ISNUMBER(N857),ISNUMBER(M857)),N857-M857,"")</f>
        <v/>
      </c>
      <c r="P857" s="7">
        <f>IF(AND(ISNUMBER(N857),ISNUMBER(M857),M857&gt;0),(N857-M857)/M857,"")</f>
        <v/>
      </c>
      <c r="Q857" s="3">
        <f>IF(P857="","",IF(P857&lt;-0.02,"🔴 Bán phá giá sàn",IF(P857&gt;0.05,"🔵 Bán cao hơn","🟢 Đúng giá sàn TMĐT")))</f>
        <v/>
      </c>
      <c r="R857" s="3" t="n"/>
      <c r="S857" s="4" t="n"/>
      <c r="T857" s="4" t="n"/>
    </row>
    <row r="858">
      <c r="A858" s="3" t="n">
        <v>857</v>
      </c>
      <c r="B858" s="3" t="inlineStr">
        <is>
          <t>DL005</t>
        </is>
      </c>
      <c r="C858" s="4" t="inlineStr">
        <is>
          <t>ThinkSafe HCM</t>
        </is>
      </c>
      <c r="D858" s="3" t="inlineStr">
        <is>
          <t>HCM</t>
        </is>
      </c>
      <c r="E858" s="3" t="inlineStr">
        <is>
          <t>XUÂN TRANG</t>
        </is>
      </c>
      <c r="F858" s="3" t="inlineStr">
        <is>
          <t>Shopee, Tiktok</t>
        </is>
      </c>
      <c r="G858" s="4" t="inlineStr">
        <is>
          <t>SHOPEE: https://shopee.vn/baohothinksafe?uls_trackid=56slrjbp02l6&amp;utm_content=3kGSyWceAz2CP3beojAsTsVsisVR TIKTOK: https://www.tiktok.com/@thinksafevn LAZADA: WEBSITE BÁN HÀNG:</t>
        </is>
      </c>
      <c r="H858" s="3" t="inlineStr">
        <is>
          <t>KPC-132</t>
        </is>
      </c>
      <c r="I858" s="4" t="inlineStr">
        <is>
          <t>Kéo cắt ống KPC-132</t>
        </is>
      </c>
      <c r="J858" s="3" t="inlineStr">
        <is>
          <t>Cái</t>
        </is>
      </c>
      <c r="K858" s="5" t="n">
        <v>101000</v>
      </c>
      <c r="L858" s="5" t="n">
        <v>119000</v>
      </c>
      <c r="M858" s="6" t="n">
        <v>147000</v>
      </c>
      <c r="N858" s="5" t="n"/>
      <c r="O858" s="5">
        <f>IF(AND(ISNUMBER(N858),ISNUMBER(M858)),N858-M858,"")</f>
        <v/>
      </c>
      <c r="P858" s="7">
        <f>IF(AND(ISNUMBER(N858),ISNUMBER(M858),M858&gt;0),(N858-M858)/M858,"")</f>
        <v/>
      </c>
      <c r="Q858" s="3">
        <f>IF(P858="","",IF(P858&lt;-0.02,"🔴 Bán phá giá sàn",IF(P858&gt;0.05,"🔵 Bán cao hơn","🟢 Đúng giá sàn TMĐT")))</f>
        <v/>
      </c>
      <c r="R858" s="3" t="n"/>
      <c r="S858" s="4" t="n"/>
      <c r="T858" s="4" t="n"/>
    </row>
    <row r="859">
      <c r="A859" s="3" t="n">
        <v>858</v>
      </c>
      <c r="B859" s="3" t="inlineStr">
        <is>
          <t>DL005</t>
        </is>
      </c>
      <c r="C859" s="4" t="inlineStr">
        <is>
          <t>ThinkSafe HCM</t>
        </is>
      </c>
      <c r="D859" s="3" t="inlineStr">
        <is>
          <t>HCM</t>
        </is>
      </c>
      <c r="E859" s="3" t="inlineStr">
        <is>
          <t>XUÂN TRANG</t>
        </is>
      </c>
      <c r="F859" s="3" t="inlineStr">
        <is>
          <t>Shopee, Tiktok</t>
        </is>
      </c>
      <c r="G859" s="4" t="inlineStr">
        <is>
          <t>SHOPEE: https://shopee.vn/baohothinksafe?uls_trackid=56slrjbp02l6&amp;utm_content=3kGSyWceAz2CP3beojAsTsVsisVR TIKTOK: https://www.tiktok.com/@thinksafevn LAZADA: WEBSITE BÁN HÀNG:</t>
        </is>
      </c>
      <c r="H859" s="3" t="inlineStr">
        <is>
          <t>KPC-242</t>
        </is>
      </c>
      <c r="I859" s="4" t="inlineStr">
        <is>
          <t>Kéo cắt ống KPC-242</t>
        </is>
      </c>
      <c r="J859" s="3" t="inlineStr">
        <is>
          <t>Cái</t>
        </is>
      </c>
      <c r="K859" s="5" t="n">
        <v>172000</v>
      </c>
      <c r="L859" s="5" t="n">
        <v>203000</v>
      </c>
      <c r="M859" s="6" t="n">
        <v>249000</v>
      </c>
      <c r="N859" s="5" t="n"/>
      <c r="O859" s="5">
        <f>IF(AND(ISNUMBER(N859),ISNUMBER(M859)),N859-M859,"")</f>
        <v/>
      </c>
      <c r="P859" s="7">
        <f>IF(AND(ISNUMBER(N859),ISNUMBER(M859),M859&gt;0),(N859-M859)/M859,"")</f>
        <v/>
      </c>
      <c r="Q859" s="3">
        <f>IF(P859="","",IF(P859&lt;-0.02,"🔴 Bán phá giá sàn",IF(P859&gt;0.05,"🔵 Bán cao hơn","🟢 Đúng giá sàn TMĐT")))</f>
        <v/>
      </c>
      <c r="R859" s="3" t="n"/>
      <c r="S859" s="4" t="n"/>
      <c r="T859" s="4" t="n"/>
    </row>
    <row r="860">
      <c r="A860" s="3" t="n">
        <v>859</v>
      </c>
      <c r="B860" s="3" t="inlineStr">
        <is>
          <t>DL005</t>
        </is>
      </c>
      <c r="C860" s="4" t="inlineStr">
        <is>
          <t>ThinkSafe HCM</t>
        </is>
      </c>
      <c r="D860" s="3" t="inlineStr">
        <is>
          <t>HCM</t>
        </is>
      </c>
      <c r="E860" s="3" t="inlineStr">
        <is>
          <t>XUÂN TRANG</t>
        </is>
      </c>
      <c r="F860" s="3" t="inlineStr">
        <is>
          <t>Shopee, Tiktok</t>
        </is>
      </c>
      <c r="G860" s="4" t="inlineStr">
        <is>
          <t>SHOPEE: https://shopee.vn/baohothinksafe?uls_trackid=56slrjbp02l6&amp;utm_content=3kGSyWceAz2CP3beojAsTsVsisVR TIKTOK: https://www.tiktok.com/@thinksafevn LAZADA: WEBSITE BÁN HÀNG:</t>
        </is>
      </c>
      <c r="H860" s="3" t="inlineStr">
        <is>
          <t>KCT-250</t>
        </is>
      </c>
      <c r="I860" s="4" t="inlineStr">
        <is>
          <t>Kéo cắt thạch cao (tole) KCT-250</t>
        </is>
      </c>
      <c r="J860" s="3" t="inlineStr">
        <is>
          <t>Cái</t>
        </is>
      </c>
      <c r="K860" s="5" t="n">
        <v>105000</v>
      </c>
      <c r="L860" s="5" t="n">
        <v>124000</v>
      </c>
      <c r="M860" s="6" t="n">
        <v>152000</v>
      </c>
      <c r="N860" s="5" t="n"/>
      <c r="O860" s="5">
        <f>IF(AND(ISNUMBER(N860),ISNUMBER(M860)),N860-M860,"")</f>
        <v/>
      </c>
      <c r="P860" s="7">
        <f>IF(AND(ISNUMBER(N860),ISNUMBER(M860),M860&gt;0),(N860-M860)/M860,"")</f>
        <v/>
      </c>
      <c r="Q860" s="3">
        <f>IF(P860="","",IF(P860&lt;-0.02,"🔴 Bán phá giá sàn",IF(P860&gt;0.05,"🔵 Bán cao hơn","🟢 Đúng giá sàn TMĐT")))</f>
        <v/>
      </c>
      <c r="R860" s="3" t="n"/>
      <c r="S860" s="4" t="n"/>
      <c r="T860" s="4" t="n"/>
    </row>
    <row r="861">
      <c r="A861" s="3" t="n">
        <v>860</v>
      </c>
      <c r="B861" s="3" t="inlineStr">
        <is>
          <t>DL005</t>
        </is>
      </c>
      <c r="C861" s="4" t="inlineStr">
        <is>
          <t>ThinkSafe HCM</t>
        </is>
      </c>
      <c r="D861" s="3" t="inlineStr">
        <is>
          <t>HCM</t>
        </is>
      </c>
      <c r="E861" s="3" t="inlineStr">
        <is>
          <t>XUÂN TRANG</t>
        </is>
      </c>
      <c r="F861" s="3" t="inlineStr">
        <is>
          <t>Shopee, Tiktok</t>
        </is>
      </c>
      <c r="G861" s="4" t="inlineStr">
        <is>
          <t>SHOPEE: https://shopee.vn/baohothinksafe?uls_trackid=56slrjbp02l6&amp;utm_content=3kGSyWceAz2CP3beojAsTsVsisVR TIKTOK: https://www.tiktok.com/@thinksafevn LAZADA: WEBSITE BÁN HÀNG:</t>
        </is>
      </c>
      <c r="H861" s="3" t="inlineStr">
        <is>
          <t>QC1</t>
        </is>
      </c>
      <c r="I861" s="4" t="inlineStr">
        <is>
          <t>Kéo cắt trái cây QC1</t>
        </is>
      </c>
      <c r="J861" s="3" t="inlineStr">
        <is>
          <t>Cái</t>
        </is>
      </c>
      <c r="K861" s="5" t="n">
        <v>38000</v>
      </c>
      <c r="L861" s="5" t="n">
        <v>45000</v>
      </c>
      <c r="M861" s="6" t="n">
        <v>55000</v>
      </c>
      <c r="N861" s="5" t="n"/>
      <c r="O861" s="5">
        <f>IF(AND(ISNUMBER(N861),ISNUMBER(M861)),N861-M861,"")</f>
        <v/>
      </c>
      <c r="P861" s="7">
        <f>IF(AND(ISNUMBER(N861),ISNUMBER(M861),M861&gt;0),(N861-M861)/M861,"")</f>
        <v/>
      </c>
      <c r="Q861" s="3">
        <f>IF(P861="","",IF(P861&lt;-0.02,"🔴 Bán phá giá sàn",IF(P861&gt;0.05,"🔵 Bán cao hơn","🟢 Đúng giá sàn TMĐT")))</f>
        <v/>
      </c>
      <c r="R861" s="3" t="n"/>
      <c r="S861" s="4" t="n"/>
      <c r="T861" s="4" t="n"/>
    </row>
    <row r="862">
      <c r="A862" s="3" t="n">
        <v>861</v>
      </c>
      <c r="B862" s="3" t="inlineStr">
        <is>
          <t>DL005</t>
        </is>
      </c>
      <c r="C862" s="4" t="inlineStr">
        <is>
          <t>ThinkSafe HCM</t>
        </is>
      </c>
      <c r="D862" s="3" t="inlineStr">
        <is>
          <t>HCM</t>
        </is>
      </c>
      <c r="E862" s="3" t="inlineStr">
        <is>
          <t>XUÂN TRANG</t>
        </is>
      </c>
      <c r="F862" s="3" t="inlineStr">
        <is>
          <t>Shopee, Tiktok</t>
        </is>
      </c>
      <c r="G862" s="4" t="inlineStr">
        <is>
          <t>SHOPEE: https://shopee.vn/baohothinksafe?uls_trackid=56slrjbp02l6&amp;utm_content=3kGSyWceAz2CP3beojAsTsVsisVR TIKTOK: https://www.tiktok.com/@thinksafevn LAZADA: WEBSITE BÁN HÀNG:</t>
        </is>
      </c>
      <c r="H862" s="3" t="inlineStr">
        <is>
          <t>QC2</t>
        </is>
      </c>
      <c r="I862" s="4" t="inlineStr">
        <is>
          <t>Kéo cắt trái cây QC2</t>
        </is>
      </c>
      <c r="J862" s="3" t="inlineStr">
        <is>
          <t>Cái</t>
        </is>
      </c>
      <c r="K862" s="5" t="n">
        <v>65000</v>
      </c>
      <c r="L862" s="5" t="n">
        <v>77000</v>
      </c>
      <c r="M862" s="6" t="n">
        <v>94000</v>
      </c>
      <c r="N862" s="5" t="n"/>
      <c r="O862" s="5">
        <f>IF(AND(ISNUMBER(N862),ISNUMBER(M862)),N862-M862,"")</f>
        <v/>
      </c>
      <c r="P862" s="7">
        <f>IF(AND(ISNUMBER(N862),ISNUMBER(M862),M862&gt;0),(N862-M862)/M862,"")</f>
        <v/>
      </c>
      <c r="Q862" s="3">
        <f>IF(P862="","",IF(P862&lt;-0.02,"🔴 Bán phá giá sàn",IF(P862&gt;0.05,"🔵 Bán cao hơn","🟢 Đúng giá sàn TMĐT")))</f>
        <v/>
      </c>
      <c r="R862" s="3" t="n"/>
      <c r="S862" s="4" t="n"/>
      <c r="T862" s="4" t="n"/>
    </row>
    <row r="863">
      <c r="A863" s="3" t="n">
        <v>862</v>
      </c>
      <c r="B863" s="3" t="inlineStr">
        <is>
          <t>DL005</t>
        </is>
      </c>
      <c r="C863" s="4" t="inlineStr">
        <is>
          <t>ThinkSafe HCM</t>
        </is>
      </c>
      <c r="D863" s="3" t="inlineStr">
        <is>
          <t>HCM</t>
        </is>
      </c>
      <c r="E863" s="3" t="inlineStr">
        <is>
          <t>XUÂN TRANG</t>
        </is>
      </c>
      <c r="F863" s="3" t="inlineStr">
        <is>
          <t>Shopee, Tiktok</t>
        </is>
      </c>
      <c r="G863" s="4" t="inlineStr">
        <is>
          <t>SHOPEE: https://shopee.vn/baohothinksafe?uls_trackid=56slrjbp02l6&amp;utm_content=3kGSyWceAz2CP3beojAsTsVsisVR TIKTOK: https://www.tiktok.com/@thinksafevn LAZADA: WEBSITE BÁN HÀNG:</t>
        </is>
      </c>
      <c r="H863" s="3" t="inlineStr">
        <is>
          <t>KB001-Q1</t>
        </is>
      </c>
      <c r="I863" s="4" t="inlineStr">
        <is>
          <t>Kéo KB001-Q1</t>
        </is>
      </c>
      <c r="J863" s="3" t="inlineStr">
        <is>
          <t>Cái</t>
        </is>
      </c>
      <c r="K863" s="5" t="n">
        <v>79000</v>
      </c>
      <c r="L863" s="5" t="n">
        <v>93000</v>
      </c>
      <c r="M863" s="6" t="n">
        <v>115000</v>
      </c>
      <c r="N863" s="5" t="n"/>
      <c r="O863" s="5">
        <f>IF(AND(ISNUMBER(N863),ISNUMBER(M863)),N863-M863,"")</f>
        <v/>
      </c>
      <c r="P863" s="7">
        <f>IF(AND(ISNUMBER(N863),ISNUMBER(M863),M863&gt;0),(N863-M863)/M863,"")</f>
        <v/>
      </c>
      <c r="Q863" s="3">
        <f>IF(P863="","",IF(P863&lt;-0.02,"🔴 Bán phá giá sàn",IF(P863&gt;0.05,"🔵 Bán cao hơn","🟢 Đúng giá sàn TMĐT")))</f>
        <v/>
      </c>
      <c r="R863" s="3" t="n"/>
      <c r="S863" s="4" t="n"/>
      <c r="T863" s="4" t="n"/>
    </row>
    <row r="864">
      <c r="A864" s="3" t="n">
        <v>863</v>
      </c>
      <c r="B864" s="3" t="inlineStr">
        <is>
          <t>DL005</t>
        </is>
      </c>
      <c r="C864" s="4" t="inlineStr">
        <is>
          <t>ThinkSafe HCM</t>
        </is>
      </c>
      <c r="D864" s="3" t="inlineStr">
        <is>
          <t>HCM</t>
        </is>
      </c>
      <c r="E864" s="3" t="inlineStr">
        <is>
          <t>XUÂN TRANG</t>
        </is>
      </c>
      <c r="F864" s="3" t="inlineStr">
        <is>
          <t>Shopee, Tiktok</t>
        </is>
      </c>
      <c r="G864" s="4" t="inlineStr">
        <is>
          <t>SHOPEE: https://shopee.vn/baohothinksafe?uls_trackid=56slrjbp02l6&amp;utm_content=3kGSyWceAz2CP3beojAsTsVsisVR TIKTOK: https://www.tiktok.com/@thinksafevn LAZADA: WEBSITE BÁN HÀNG:</t>
        </is>
      </c>
      <c r="H864" s="3" t="inlineStr">
        <is>
          <t>KB003-Q2</t>
        </is>
      </c>
      <c r="I864" s="4" t="inlineStr">
        <is>
          <t>Kéo KB003-Q2</t>
        </is>
      </c>
      <c r="J864" s="3" t="inlineStr">
        <is>
          <t>Cái</t>
        </is>
      </c>
      <c r="K864" s="5" t="n">
        <v>98000</v>
      </c>
      <c r="L864" s="5" t="n">
        <v>116000</v>
      </c>
      <c r="M864" s="6" t="n">
        <v>142000</v>
      </c>
      <c r="N864" s="5" t="n"/>
      <c r="O864" s="5">
        <f>IF(AND(ISNUMBER(N864),ISNUMBER(M864)),N864-M864,"")</f>
        <v/>
      </c>
      <c r="P864" s="7">
        <f>IF(AND(ISNUMBER(N864),ISNUMBER(M864),M864&gt;0),(N864-M864)/M864,"")</f>
        <v/>
      </c>
      <c r="Q864" s="3">
        <f>IF(P864="","",IF(P864&lt;-0.02,"🔴 Bán phá giá sàn",IF(P864&gt;0.05,"🔵 Bán cao hơn","🟢 Đúng giá sàn TMĐT")))</f>
        <v/>
      </c>
      <c r="R864" s="3" t="n"/>
      <c r="S864" s="4" t="n"/>
      <c r="T864" s="4" t="n"/>
    </row>
    <row r="865">
      <c r="A865" s="3" t="n">
        <v>864</v>
      </c>
      <c r="B865" s="3" t="inlineStr">
        <is>
          <t>DL005</t>
        </is>
      </c>
      <c r="C865" s="4" t="inlineStr">
        <is>
          <t>ThinkSafe HCM</t>
        </is>
      </c>
      <c r="D865" s="3" t="inlineStr">
        <is>
          <t>HCM</t>
        </is>
      </c>
      <c r="E865" s="3" t="inlineStr">
        <is>
          <t>XUÂN TRANG</t>
        </is>
      </c>
      <c r="F865" s="3" t="inlineStr">
        <is>
          <t>Shopee, Tiktok</t>
        </is>
      </c>
      <c r="G865" s="4" t="inlineStr">
        <is>
          <t>SHOPEE: https://shopee.vn/baohothinksafe?uls_trackid=56slrjbp02l6&amp;utm_content=3kGSyWceAz2CP3beojAsTsVsisVR TIKTOK: https://www.tiktok.com/@thinksafevn LAZADA: WEBSITE BÁN HÀNG:</t>
        </is>
      </c>
      <c r="H865" s="3" t="inlineStr">
        <is>
          <t>KB004-Q3</t>
        </is>
      </c>
      <c r="I865" s="4" t="inlineStr">
        <is>
          <t>Kéo KB004-Q3</t>
        </is>
      </c>
      <c r="J865" s="3" t="inlineStr">
        <is>
          <t>Cái</t>
        </is>
      </c>
      <c r="K865" s="5" t="n">
        <v>103000</v>
      </c>
      <c r="L865" s="5" t="n">
        <v>121000</v>
      </c>
      <c r="M865" s="6" t="n">
        <v>149000</v>
      </c>
      <c r="N865" s="5" t="n"/>
      <c r="O865" s="5">
        <f>IF(AND(ISNUMBER(N865),ISNUMBER(M865)),N865-M865,"")</f>
        <v/>
      </c>
      <c r="P865" s="7">
        <f>IF(AND(ISNUMBER(N865),ISNUMBER(M865),M865&gt;0),(N865-M865)/M865,"")</f>
        <v/>
      </c>
      <c r="Q865" s="3">
        <f>IF(P865="","",IF(P865&lt;-0.02,"🔴 Bán phá giá sàn",IF(P865&gt;0.05,"🔵 Bán cao hơn","🟢 Đúng giá sàn TMĐT")))</f>
        <v/>
      </c>
      <c r="R865" s="3" t="n"/>
      <c r="S865" s="4" t="n"/>
      <c r="T865" s="4" t="n"/>
    </row>
    <row r="866">
      <c r="A866" s="3" t="n">
        <v>865</v>
      </c>
      <c r="B866" s="3" t="inlineStr">
        <is>
          <t>DL005</t>
        </is>
      </c>
      <c r="C866" s="4" t="inlineStr">
        <is>
          <t>ThinkSafe HCM</t>
        </is>
      </c>
      <c r="D866" s="3" t="inlineStr">
        <is>
          <t>HCM</t>
        </is>
      </c>
      <c r="E866" s="3" t="inlineStr">
        <is>
          <t>XUÂN TRANG</t>
        </is>
      </c>
      <c r="F866" s="3" t="inlineStr">
        <is>
          <t>Shopee, Tiktok</t>
        </is>
      </c>
      <c r="G866" s="4" t="inlineStr">
        <is>
          <t>SHOPEE: https://shopee.vn/baohothinksafe?uls_trackid=56slrjbp02l6&amp;utm_content=3kGSyWceAz2CP3beojAsTsVsisVR TIKTOK: https://www.tiktok.com/@thinksafevn LAZADA: WEBSITE BÁN HÀNG:</t>
        </is>
      </c>
      <c r="H866" s="3" t="inlineStr">
        <is>
          <t>KB006-Q5</t>
        </is>
      </c>
      <c r="I866" s="4" t="inlineStr">
        <is>
          <t>Kéo KB006-Q5</t>
        </is>
      </c>
      <c r="J866" s="3" t="inlineStr">
        <is>
          <t>Cái</t>
        </is>
      </c>
      <c r="K866" s="5" t="n">
        <v>128000</v>
      </c>
      <c r="L866" s="5" t="n">
        <v>151000</v>
      </c>
      <c r="M866" s="6" t="n">
        <v>186000</v>
      </c>
      <c r="N866" s="5" t="n"/>
      <c r="O866" s="5">
        <f>IF(AND(ISNUMBER(N866),ISNUMBER(M866)),N866-M866,"")</f>
        <v/>
      </c>
      <c r="P866" s="7">
        <f>IF(AND(ISNUMBER(N866),ISNUMBER(M866),M866&gt;0),(N866-M866)/M866,"")</f>
        <v/>
      </c>
      <c r="Q866" s="3">
        <f>IF(P866="","",IF(P866&lt;-0.02,"🔴 Bán phá giá sàn",IF(P866&gt;0.05,"🔵 Bán cao hơn","🟢 Đúng giá sàn TMĐT")))</f>
        <v/>
      </c>
      <c r="R866" s="3" t="n"/>
      <c r="S866" s="4" t="n"/>
      <c r="T866" s="4" t="n"/>
    </row>
    <row r="867">
      <c r="A867" s="3" t="n">
        <v>866</v>
      </c>
      <c r="B867" s="3" t="inlineStr">
        <is>
          <t>DL005</t>
        </is>
      </c>
      <c r="C867" s="4" t="inlineStr">
        <is>
          <t>ThinkSafe HCM</t>
        </is>
      </c>
      <c r="D867" s="3" t="inlineStr">
        <is>
          <t>HCM</t>
        </is>
      </c>
      <c r="E867" s="3" t="inlineStr">
        <is>
          <t>XUÂN TRANG</t>
        </is>
      </c>
      <c r="F867" s="3" t="inlineStr">
        <is>
          <t>Shopee, Tiktok</t>
        </is>
      </c>
      <c r="G867" s="4" t="inlineStr">
        <is>
          <t>SHOPEE: https://shopee.vn/baohothinksafe?uls_trackid=56slrjbp02l6&amp;utm_content=3kGSyWceAz2CP3beojAsTsVsisVR TIKTOK: https://www.tiktok.com/@thinksafevn LAZADA: WEBSITE BÁN HÀNG:</t>
        </is>
      </c>
      <c r="H867" s="3" t="inlineStr">
        <is>
          <t>KB006-Q6</t>
        </is>
      </c>
      <c r="I867" s="4" t="inlineStr">
        <is>
          <t>Kéo KB006-Q6</t>
        </is>
      </c>
      <c r="J867" s="3" t="inlineStr">
        <is>
          <t>Cái</t>
        </is>
      </c>
      <c r="K867" s="5" t="n">
        <v>141000</v>
      </c>
      <c r="L867" s="5" t="n">
        <v>167000</v>
      </c>
      <c r="M867" s="6" t="n">
        <v>205000</v>
      </c>
      <c r="N867" s="5" t="n"/>
      <c r="O867" s="5">
        <f>IF(AND(ISNUMBER(N867),ISNUMBER(M867)),N867-M867,"")</f>
        <v/>
      </c>
      <c r="P867" s="7">
        <f>IF(AND(ISNUMBER(N867),ISNUMBER(M867),M867&gt;0),(N867-M867)/M867,"")</f>
        <v/>
      </c>
      <c r="Q867" s="3">
        <f>IF(P867="","",IF(P867&lt;-0.02,"🔴 Bán phá giá sàn",IF(P867&gt;0.05,"🔵 Bán cao hơn","🟢 Đúng giá sàn TMĐT")))</f>
        <v/>
      </c>
      <c r="R867" s="3" t="n"/>
      <c r="S867" s="4" t="n"/>
      <c r="T867" s="4" t="n"/>
    </row>
    <row r="868">
      <c r="A868" s="3" t="n">
        <v>867</v>
      </c>
      <c r="B868" s="3" t="inlineStr">
        <is>
          <t>DL005</t>
        </is>
      </c>
      <c r="C868" s="4" t="inlineStr">
        <is>
          <t>ThinkSafe HCM</t>
        </is>
      </c>
      <c r="D868" s="3" t="inlineStr">
        <is>
          <t>HCM</t>
        </is>
      </c>
      <c r="E868" s="3" t="inlineStr">
        <is>
          <t>XUÂN TRANG</t>
        </is>
      </c>
      <c r="F868" s="3" t="inlineStr">
        <is>
          <t>Shopee, Tiktok</t>
        </is>
      </c>
      <c r="G868" s="4" t="inlineStr">
        <is>
          <t>SHOPEE: https://shopee.vn/baohothinksafe?uls_trackid=56slrjbp02l6&amp;utm_content=3kGSyWceAz2CP3beojAsTsVsisVR TIKTOK: https://www.tiktok.com/@thinksafevn LAZADA: WEBSITE BÁN HÀNG:</t>
        </is>
      </c>
      <c r="H868" s="3" t="inlineStr">
        <is>
          <t>NG107</t>
        </is>
      </c>
      <c r="I868" s="4" t="inlineStr">
        <is>
          <t>Kích nâng gạch NG107</t>
        </is>
      </c>
      <c r="J868" s="3" t="inlineStr">
        <is>
          <t>Cái</t>
        </is>
      </c>
      <c r="K868" s="5" t="n">
        <v>105000</v>
      </c>
      <c r="L868" s="5" t="n">
        <v>124000</v>
      </c>
      <c r="M868" s="6" t="n">
        <v>152000</v>
      </c>
      <c r="N868" s="5" t="n"/>
      <c r="O868" s="5">
        <f>IF(AND(ISNUMBER(N868),ISNUMBER(M868)),N868-M868,"")</f>
        <v/>
      </c>
      <c r="P868" s="7">
        <f>IF(AND(ISNUMBER(N868),ISNUMBER(M868),M868&gt;0),(N868-M868)/M868,"")</f>
        <v/>
      </c>
      <c r="Q868" s="3">
        <f>IF(P868="","",IF(P868&lt;-0.02,"🔴 Bán phá giá sàn",IF(P868&gt;0.05,"🔵 Bán cao hơn","🟢 Đúng giá sàn TMĐT")))</f>
        <v/>
      </c>
      <c r="R868" s="3" t="n"/>
      <c r="S868" s="4" t="n"/>
      <c r="T868" s="4" t="n"/>
    </row>
    <row r="869">
      <c r="A869" s="3" t="n">
        <v>868</v>
      </c>
      <c r="B869" s="3" t="inlineStr">
        <is>
          <t>DL005</t>
        </is>
      </c>
      <c r="C869" s="4" t="inlineStr">
        <is>
          <t>ThinkSafe HCM</t>
        </is>
      </c>
      <c r="D869" s="3" t="inlineStr">
        <is>
          <t>HCM</t>
        </is>
      </c>
      <c r="E869" s="3" t="inlineStr">
        <is>
          <t>XUÂN TRANG</t>
        </is>
      </c>
      <c r="F869" s="3" t="inlineStr">
        <is>
          <t>Shopee, Tiktok</t>
        </is>
      </c>
      <c r="G869" s="4" t="inlineStr">
        <is>
          <t>SHOPEE: https://shopee.vn/baohothinksafe?uls_trackid=56slrjbp02l6&amp;utm_content=3kGSyWceAz2CP3beojAsTsVsisVR TIKTOK: https://www.tiktok.com/@thinksafevn LAZADA: WEBSITE BÁN HÀNG:</t>
        </is>
      </c>
      <c r="H869" s="3" t="inlineStr">
        <is>
          <t>KND185</t>
        </is>
      </c>
      <c r="I869" s="4" t="inlineStr">
        <is>
          <t>Kìm bấm Cos vuông KND185</t>
        </is>
      </c>
      <c r="J869" s="3" t="inlineStr">
        <is>
          <t>Cái</t>
        </is>
      </c>
      <c r="K869" s="5" t="n">
        <v>182000</v>
      </c>
      <c r="L869" s="5" t="n">
        <v>215000</v>
      </c>
      <c r="M869" s="6" t="n">
        <v>264000</v>
      </c>
      <c r="N869" s="5" t="n"/>
      <c r="O869" s="5">
        <f>IF(AND(ISNUMBER(N869),ISNUMBER(M869)),N869-M869,"")</f>
        <v/>
      </c>
      <c r="P869" s="7">
        <f>IF(AND(ISNUMBER(N869),ISNUMBER(M869),M869&gt;0),(N869-M869)/M869,"")</f>
        <v/>
      </c>
      <c r="Q869" s="3">
        <f>IF(P869="","",IF(P869&lt;-0.02,"🔴 Bán phá giá sàn",IF(P869&gt;0.05,"🔵 Bán cao hơn","🟢 Đúng giá sàn TMĐT")))</f>
        <v/>
      </c>
      <c r="R869" s="3" t="n"/>
      <c r="S869" s="4" t="n"/>
      <c r="T869" s="4" t="n"/>
    </row>
    <row r="870">
      <c r="A870" s="3" t="n">
        <v>869</v>
      </c>
      <c r="B870" s="3" t="inlineStr">
        <is>
          <t>DL005</t>
        </is>
      </c>
      <c r="C870" s="4" t="inlineStr">
        <is>
          <t>ThinkSafe HCM</t>
        </is>
      </c>
      <c r="D870" s="3" t="inlineStr">
        <is>
          <t>HCM</t>
        </is>
      </c>
      <c r="E870" s="3" t="inlineStr">
        <is>
          <t>XUÂN TRANG</t>
        </is>
      </c>
      <c r="F870" s="3" t="inlineStr">
        <is>
          <t>Shopee, Tiktok</t>
        </is>
      </c>
      <c r="G870" s="4" t="inlineStr">
        <is>
          <t>SHOPEE: https://shopee.vn/baohothinksafe?uls_trackid=56slrjbp02l6&amp;utm_content=3kGSyWceAz2CP3beojAsTsVsisVR TIKTOK: https://www.tiktok.com/@thinksafevn LAZADA: WEBSITE BÁN HÀNG:</t>
        </is>
      </c>
      <c r="H870" s="3" t="inlineStr">
        <is>
          <t>KND150</t>
        </is>
      </c>
      <c r="I870" s="4" t="inlineStr">
        <is>
          <t>Kìm cắt chân mạch đa năng KND150</t>
        </is>
      </c>
      <c r="J870" s="3" t="inlineStr">
        <is>
          <t>Cái</t>
        </is>
      </c>
      <c r="K870" s="5" t="n">
        <v>64000</v>
      </c>
      <c r="L870" s="5" t="n">
        <v>76000</v>
      </c>
      <c r="M870" s="6" t="n">
        <v>93000</v>
      </c>
      <c r="N870" s="5" t="n"/>
      <c r="O870" s="5">
        <f>IF(AND(ISNUMBER(N870),ISNUMBER(M870)),N870-M870,"")</f>
        <v/>
      </c>
      <c r="P870" s="7">
        <f>IF(AND(ISNUMBER(N870),ISNUMBER(M870),M870&gt;0),(N870-M870)/M870,"")</f>
        <v/>
      </c>
      <c r="Q870" s="3">
        <f>IF(P870="","",IF(P870&lt;-0.02,"🔴 Bán phá giá sàn",IF(P870&gt;0.05,"🔵 Bán cao hơn","🟢 Đúng giá sàn TMĐT")))</f>
        <v/>
      </c>
      <c r="R870" s="3" t="n"/>
      <c r="S870" s="4" t="n"/>
      <c r="T870" s="4" t="n"/>
    </row>
    <row r="871">
      <c r="A871" s="3" t="n">
        <v>870</v>
      </c>
      <c r="B871" s="3" t="inlineStr">
        <is>
          <t>DL005</t>
        </is>
      </c>
      <c r="C871" s="4" t="inlineStr">
        <is>
          <t>ThinkSafe HCM</t>
        </is>
      </c>
      <c r="D871" s="3" t="inlineStr">
        <is>
          <t>HCM</t>
        </is>
      </c>
      <c r="E871" s="3" t="inlineStr">
        <is>
          <t>XUÂN TRANG</t>
        </is>
      </c>
      <c r="F871" s="3" t="inlineStr">
        <is>
          <t>Shopee, Tiktok</t>
        </is>
      </c>
      <c r="G871" s="4" t="inlineStr">
        <is>
          <t>SHOPEE: https://shopee.vn/baohothinksafe?uls_trackid=56slrjbp02l6&amp;utm_content=3kGSyWceAz2CP3beojAsTsVsisVR TIKTOK: https://www.tiktok.com/@thinksafevn LAZADA: WEBSITE BÁN HÀNG:</t>
        </is>
      </c>
      <c r="H871" s="3" t="inlineStr">
        <is>
          <t>KC3-09</t>
        </is>
      </c>
      <c r="I871" s="4" t="inlineStr">
        <is>
          <t>Kìm cắt đa năng KC3-09</t>
        </is>
      </c>
      <c r="J871" s="3" t="inlineStr">
        <is>
          <t>Cái</t>
        </is>
      </c>
      <c r="K871" s="5" t="n">
        <v>269000</v>
      </c>
      <c r="L871" s="5" t="n">
        <v>317000</v>
      </c>
      <c r="M871" s="6" t="n">
        <v>390000</v>
      </c>
      <c r="N871" s="5" t="n"/>
      <c r="O871" s="5">
        <f>IF(AND(ISNUMBER(N871),ISNUMBER(M871)),N871-M871,"")</f>
        <v/>
      </c>
      <c r="P871" s="7">
        <f>IF(AND(ISNUMBER(N871),ISNUMBER(M871),M871&gt;0),(N871-M871)/M871,"")</f>
        <v/>
      </c>
      <c r="Q871" s="3">
        <f>IF(P871="","",IF(P871&lt;-0.02,"🔴 Bán phá giá sàn",IF(P871&gt;0.05,"🔵 Bán cao hơn","🟢 Đúng giá sàn TMĐT")))</f>
        <v/>
      </c>
      <c r="R871" s="3" t="n"/>
      <c r="S871" s="4" t="n"/>
      <c r="T871" s="4" t="n"/>
    </row>
    <row r="872">
      <c r="A872" s="3" t="n">
        <v>871</v>
      </c>
      <c r="B872" s="3" t="inlineStr">
        <is>
          <t>DL005</t>
        </is>
      </c>
      <c r="C872" s="4" t="inlineStr">
        <is>
          <t>ThinkSafe HCM</t>
        </is>
      </c>
      <c r="D872" s="3" t="inlineStr">
        <is>
          <t>HCM</t>
        </is>
      </c>
      <c r="E872" s="3" t="inlineStr">
        <is>
          <t>XUÂN TRANG</t>
        </is>
      </c>
      <c r="F872" s="3" t="inlineStr">
        <is>
          <t>Shopee, Tiktok</t>
        </is>
      </c>
      <c r="G872" s="4" t="inlineStr">
        <is>
          <t>SHOPEE: https://shopee.vn/baohothinksafe?uls_trackid=56slrjbp02l6&amp;utm_content=3kGSyWceAz2CP3beojAsTsVsisVR TIKTOK: https://www.tiktok.com/@thinksafevn LAZADA: WEBSITE BÁN HÀNG:</t>
        </is>
      </c>
      <c r="H872" s="3" t="inlineStr">
        <is>
          <t>KND200</t>
        </is>
      </c>
      <c r="I872" s="4" t="inlineStr">
        <is>
          <t>Kìm cắt tuốt đa năng 5 in1 KND200</t>
        </is>
      </c>
      <c r="J872" s="3" t="inlineStr">
        <is>
          <t>Cái</t>
        </is>
      </c>
      <c r="K872" s="5" t="n">
        <v>72000</v>
      </c>
      <c r="L872" s="5" t="n">
        <v>85000</v>
      </c>
      <c r="M872" s="6" t="n">
        <v>104000</v>
      </c>
      <c r="N872" s="5" t="n"/>
      <c r="O872" s="5">
        <f>IF(AND(ISNUMBER(N872),ISNUMBER(M872)),N872-M872,"")</f>
        <v/>
      </c>
      <c r="P872" s="7">
        <f>IF(AND(ISNUMBER(N872),ISNUMBER(M872),M872&gt;0),(N872-M872)/M872,"")</f>
        <v/>
      </c>
      <c r="Q872" s="3">
        <f>IF(P872="","",IF(P872&lt;-0.02,"🔴 Bán phá giá sàn",IF(P872&gt;0.05,"🔵 Bán cao hơn","🟢 Đúng giá sàn TMĐT")))</f>
        <v/>
      </c>
      <c r="R872" s="3" t="n"/>
      <c r="S872" s="4" t="n"/>
      <c r="T872" s="4" t="n"/>
    </row>
    <row r="873">
      <c r="A873" s="3" t="n">
        <v>872</v>
      </c>
      <c r="B873" s="3" t="inlineStr">
        <is>
          <t>DL005</t>
        </is>
      </c>
      <c r="C873" s="4" t="inlineStr">
        <is>
          <t>ThinkSafe HCM</t>
        </is>
      </c>
      <c r="D873" s="3" t="inlineStr">
        <is>
          <t>HCM</t>
        </is>
      </c>
      <c r="E873" s="3" t="inlineStr">
        <is>
          <t>XUÂN TRANG</t>
        </is>
      </c>
      <c r="F873" s="3" t="inlineStr">
        <is>
          <t>Shopee, Tiktok</t>
        </is>
      </c>
      <c r="G873" s="4" t="inlineStr">
        <is>
          <t>SHOPEE: https://shopee.vn/baohothinksafe?uls_trackid=56slrjbp02l6&amp;utm_content=3kGSyWceAz2CP3beojAsTsVsisVR TIKTOK: https://www.tiktok.com/@thinksafevn LAZADA: WEBSITE BÁN HÀNG:</t>
        </is>
      </c>
      <c r="H873" s="3" t="inlineStr">
        <is>
          <t>KCL-200</t>
        </is>
      </c>
      <c r="I873" s="4" t="inlineStr">
        <is>
          <t>Kìm cộng lực mini KCL-200</t>
        </is>
      </c>
      <c r="J873" s="3" t="inlineStr">
        <is>
          <t>Cái</t>
        </is>
      </c>
      <c r="K873" s="5" t="n">
        <v>269000</v>
      </c>
      <c r="L873" s="5" t="n">
        <v>317000</v>
      </c>
      <c r="M873" s="6" t="n">
        <v>390000</v>
      </c>
      <c r="N873" s="5" t="n"/>
      <c r="O873" s="5">
        <f>IF(AND(ISNUMBER(N873),ISNUMBER(M873)),N873-M873,"")</f>
        <v/>
      </c>
      <c r="P873" s="7">
        <f>IF(AND(ISNUMBER(N873),ISNUMBER(M873),M873&gt;0),(N873-M873)/M873,"")</f>
        <v/>
      </c>
      <c r="Q873" s="3">
        <f>IF(P873="","",IF(P873&lt;-0.02,"🔴 Bán phá giá sàn",IF(P873&gt;0.05,"🔵 Bán cao hơn","🟢 Đúng giá sàn TMĐT")))</f>
        <v/>
      </c>
      <c r="R873" s="3" t="n"/>
      <c r="S873" s="4" t="n"/>
      <c r="T873" s="4" t="n"/>
    </row>
    <row r="874">
      <c r="A874" s="3" t="n">
        <v>873</v>
      </c>
      <c r="B874" s="3" t="inlineStr">
        <is>
          <t>DL005</t>
        </is>
      </c>
      <c r="C874" s="4" t="inlineStr">
        <is>
          <t>ThinkSafe HCM</t>
        </is>
      </c>
      <c r="D874" s="3" t="inlineStr">
        <is>
          <t>HCM</t>
        </is>
      </c>
      <c r="E874" s="3" t="inlineStr">
        <is>
          <t>XUÂN TRANG</t>
        </is>
      </c>
      <c r="F874" s="3" t="inlineStr">
        <is>
          <t>Shopee, Tiktok</t>
        </is>
      </c>
      <c r="G874" s="4" t="inlineStr">
        <is>
          <t>SHOPEE: https://shopee.vn/baohothinksafe?uls_trackid=56slrjbp02l6&amp;utm_content=3kGSyWceAz2CP3beojAsTsVsisVR TIKTOK: https://www.tiktok.com/@thinksafevn LAZADA: WEBSITE BÁN HÀNG:</t>
        </is>
      </c>
      <c r="H874" s="3" t="inlineStr">
        <is>
          <t>KCL-200</t>
        </is>
      </c>
      <c r="I874" s="4" t="inlineStr">
        <is>
          <t>Kìm cộng lực mini KCL-200 pro</t>
        </is>
      </c>
      <c r="J874" s="3" t="inlineStr">
        <is>
          <t>Cái</t>
        </is>
      </c>
      <c r="K874" s="5" t="n">
        <v>269000</v>
      </c>
      <c r="L874" s="5" t="n">
        <v>317000</v>
      </c>
      <c r="M874" s="6" t="n">
        <v>390000</v>
      </c>
      <c r="N874" s="5" t="n"/>
      <c r="O874" s="5">
        <f>IF(AND(ISNUMBER(N874),ISNUMBER(M874)),N874-M874,"")</f>
        <v/>
      </c>
      <c r="P874" s="7">
        <f>IF(AND(ISNUMBER(N874),ISNUMBER(M874),M874&gt;0),(N874-M874)/M874,"")</f>
        <v/>
      </c>
      <c r="Q874" s="3">
        <f>IF(P874="","",IF(P874&lt;-0.02,"🔴 Bán phá giá sàn",IF(P874&gt;0.05,"🔵 Bán cao hơn","🟢 Đúng giá sàn TMĐT")))</f>
        <v/>
      </c>
      <c r="R874" s="3" t="n"/>
      <c r="S874" s="4" t="n"/>
      <c r="T874" s="4" t="n"/>
    </row>
    <row r="875">
      <c r="A875" s="3" t="n">
        <v>874</v>
      </c>
      <c r="B875" s="3" t="inlineStr">
        <is>
          <t>DL005</t>
        </is>
      </c>
      <c r="C875" s="4" t="inlineStr">
        <is>
          <t>ThinkSafe HCM</t>
        </is>
      </c>
      <c r="D875" s="3" t="inlineStr">
        <is>
          <t>HCM</t>
        </is>
      </c>
      <c r="E875" s="3" t="inlineStr">
        <is>
          <t>XUÂN TRANG</t>
        </is>
      </c>
      <c r="F875" s="3" t="inlineStr">
        <is>
          <t>Shopee, Tiktok</t>
        </is>
      </c>
      <c r="G875" s="4" t="inlineStr">
        <is>
          <t>SHOPEE: https://shopee.vn/baohothinksafe?uls_trackid=56slrjbp02l6&amp;utm_content=3kGSyWceAz2CP3beojAsTsVsisVR TIKTOK: https://www.tiktok.com/@thinksafevn LAZADA: WEBSITE BÁN HÀNG:</t>
        </is>
      </c>
      <c r="H875" s="3" t="inlineStr">
        <is>
          <t>KS1-250</t>
        </is>
      </c>
      <c r="I875" s="4" t="inlineStr">
        <is>
          <t>Kìm chết KS1-250</t>
        </is>
      </c>
      <c r="J875" s="3" t="inlineStr">
        <is>
          <t>Cái</t>
        </is>
      </c>
      <c r="K875" s="5" t="n">
        <v>132000</v>
      </c>
      <c r="L875" s="5" t="n">
        <v>156000</v>
      </c>
      <c r="M875" s="6" t="n">
        <v>191000</v>
      </c>
      <c r="N875" s="5" t="n"/>
      <c r="O875" s="5">
        <f>IF(AND(ISNUMBER(N875),ISNUMBER(M875)),N875-M875,"")</f>
        <v/>
      </c>
      <c r="P875" s="7">
        <f>IF(AND(ISNUMBER(N875),ISNUMBER(M875),M875&gt;0),(N875-M875)/M875,"")</f>
        <v/>
      </c>
      <c r="Q875" s="3">
        <f>IF(P875="","",IF(P875&lt;-0.02,"🔴 Bán phá giá sàn",IF(P875&gt;0.05,"🔵 Bán cao hơn","🟢 Đúng giá sàn TMĐT")))</f>
        <v/>
      </c>
      <c r="R875" s="3" t="n"/>
      <c r="S875" s="4" t="n"/>
      <c r="T875" s="4" t="n"/>
    </row>
    <row r="876">
      <c r="A876" s="3" t="n">
        <v>875</v>
      </c>
      <c r="B876" s="3" t="inlineStr">
        <is>
          <t>DL005</t>
        </is>
      </c>
      <c r="C876" s="4" t="inlineStr">
        <is>
          <t>ThinkSafe HCM</t>
        </is>
      </c>
      <c r="D876" s="3" t="inlineStr">
        <is>
          <t>HCM</t>
        </is>
      </c>
      <c r="E876" s="3" t="inlineStr">
        <is>
          <t>XUÂN TRANG</t>
        </is>
      </c>
      <c r="F876" s="3" t="inlineStr">
        <is>
          <t>Shopee, Tiktok</t>
        </is>
      </c>
      <c r="G876" s="4" t="inlineStr">
        <is>
          <t>SHOPEE: https://shopee.vn/baohothinksafe?uls_trackid=56slrjbp02l6&amp;utm_content=3kGSyWceAz2CP3beojAsTsVsisVR TIKTOK: https://www.tiktok.com/@thinksafevn LAZADA: WEBSITE BÁN HÀNG:</t>
        </is>
      </c>
      <c r="H876" s="3" t="inlineStr">
        <is>
          <t>KS2-250</t>
        </is>
      </c>
      <c r="I876" s="4" t="inlineStr">
        <is>
          <t>Kìm chết KS2-250</t>
        </is>
      </c>
      <c r="J876" s="3" t="inlineStr">
        <is>
          <t>Cái</t>
        </is>
      </c>
      <c r="K876" s="5" t="n">
        <v>149000</v>
      </c>
      <c r="L876" s="5" t="n">
        <v>176000</v>
      </c>
      <c r="M876" s="6" t="n">
        <v>216000</v>
      </c>
      <c r="N876" s="5" t="n"/>
      <c r="O876" s="5">
        <f>IF(AND(ISNUMBER(N876),ISNUMBER(M876)),N876-M876,"")</f>
        <v/>
      </c>
      <c r="P876" s="7">
        <f>IF(AND(ISNUMBER(N876),ISNUMBER(M876),M876&gt;0),(N876-M876)/M876,"")</f>
        <v/>
      </c>
      <c r="Q876" s="3">
        <f>IF(P876="","",IF(P876&lt;-0.02,"🔴 Bán phá giá sàn",IF(P876&gt;0.05,"🔵 Bán cao hơn","🟢 Đúng giá sàn TMĐT")))</f>
        <v/>
      </c>
      <c r="R876" s="3" t="n"/>
      <c r="S876" s="4" t="n"/>
      <c r="T876" s="4" t="n"/>
    </row>
    <row r="877">
      <c r="A877" s="3" t="n">
        <v>876</v>
      </c>
      <c r="B877" s="3" t="inlineStr">
        <is>
          <t>DL005</t>
        </is>
      </c>
      <c r="C877" s="4" t="inlineStr">
        <is>
          <t>ThinkSafe HCM</t>
        </is>
      </c>
      <c r="D877" s="3" t="inlineStr">
        <is>
          <t>HCM</t>
        </is>
      </c>
      <c r="E877" s="3" t="inlineStr">
        <is>
          <t>XUÂN TRANG</t>
        </is>
      </c>
      <c r="F877" s="3" t="inlineStr">
        <is>
          <t>Shopee, Tiktok</t>
        </is>
      </c>
      <c r="G877" s="4" t="inlineStr">
        <is>
          <t>SHOPEE: https://shopee.vn/baohothinksafe?uls_trackid=56slrjbp02l6&amp;utm_content=3kGSyWceAz2CP3beojAsTsVsisVR TIKTOK: https://www.tiktok.com/@thinksafevn LAZADA: WEBSITE BÁN HÀNG:</t>
        </is>
      </c>
      <c r="H877" s="3" t="inlineStr">
        <is>
          <t>KS4-260</t>
        </is>
      </c>
      <c r="I877" s="4" t="inlineStr">
        <is>
          <t>Kìm chết ngàm rộng 4 chế độ KS4-260</t>
        </is>
      </c>
      <c r="J877" s="3" t="inlineStr">
        <is>
          <t>Cái</t>
        </is>
      </c>
      <c r="K877" s="5" t="n">
        <v>270000</v>
      </c>
      <c r="L877" s="5" t="n">
        <v>319000</v>
      </c>
      <c r="M877" s="6" t="n">
        <v>392000</v>
      </c>
      <c r="N877" s="5" t="n"/>
      <c r="O877" s="5">
        <f>IF(AND(ISNUMBER(N877),ISNUMBER(M877)),N877-M877,"")</f>
        <v/>
      </c>
      <c r="P877" s="7">
        <f>IF(AND(ISNUMBER(N877),ISNUMBER(M877),M877&gt;0),(N877-M877)/M877,"")</f>
        <v/>
      </c>
      <c r="Q877" s="3">
        <f>IF(P877="","",IF(P877&lt;-0.02,"🔴 Bán phá giá sàn",IF(P877&gt;0.05,"🔵 Bán cao hơn","🟢 Đúng giá sàn TMĐT")))</f>
        <v/>
      </c>
      <c r="R877" s="3" t="n"/>
      <c r="S877" s="4" t="n"/>
      <c r="T877" s="4" t="n"/>
    </row>
    <row r="878">
      <c r="A878" s="3" t="n">
        <v>877</v>
      </c>
      <c r="B878" s="3" t="inlineStr">
        <is>
          <t>DL005</t>
        </is>
      </c>
      <c r="C878" s="4" t="inlineStr">
        <is>
          <t>ThinkSafe HCM</t>
        </is>
      </c>
      <c r="D878" s="3" t="inlineStr">
        <is>
          <t>HCM</t>
        </is>
      </c>
      <c r="E878" s="3" t="inlineStr">
        <is>
          <t>XUÂN TRANG</t>
        </is>
      </c>
      <c r="F878" s="3" t="inlineStr">
        <is>
          <t>Shopee, Tiktok</t>
        </is>
      </c>
      <c r="G878" s="4" t="inlineStr">
        <is>
          <t>SHOPEE: https://shopee.vn/baohothinksafe?uls_trackid=56slrjbp02l6&amp;utm_content=3kGSyWceAz2CP3beojAsTsVsisVR TIKTOK: https://www.tiktok.com/@thinksafevn LAZADA: WEBSITE BÁN HÀNG:</t>
        </is>
      </c>
      <c r="H878" s="3" t="inlineStr">
        <is>
          <t>KC1-09</t>
        </is>
      </c>
      <c r="I878" s="4" t="inlineStr">
        <is>
          <t>Kìm điện đa năng KC1-09</t>
        </is>
      </c>
      <c r="J878" s="3" t="inlineStr">
        <is>
          <t>Cái</t>
        </is>
      </c>
      <c r="K878" s="5" t="n">
        <v>127000</v>
      </c>
      <c r="L878" s="5" t="n">
        <v>150000</v>
      </c>
      <c r="M878" s="6" t="n">
        <v>184000</v>
      </c>
      <c r="N878" s="5" t="n"/>
      <c r="O878" s="5">
        <f>IF(AND(ISNUMBER(N878),ISNUMBER(M878)),N878-M878,"")</f>
        <v/>
      </c>
      <c r="P878" s="7">
        <f>IF(AND(ISNUMBER(N878),ISNUMBER(M878),M878&gt;0),(N878-M878)/M878,"")</f>
        <v/>
      </c>
      <c r="Q878" s="3">
        <f>IF(P878="","",IF(P878&lt;-0.02,"🔴 Bán phá giá sàn",IF(P878&gt;0.05,"🔵 Bán cao hơn","🟢 Đúng giá sàn TMĐT")))</f>
        <v/>
      </c>
      <c r="R878" s="3" t="n"/>
      <c r="S878" s="4" t="n"/>
      <c r="T878" s="4" t="n"/>
    </row>
    <row r="879">
      <c r="A879" s="3" t="n">
        <v>878</v>
      </c>
      <c r="B879" s="3" t="inlineStr">
        <is>
          <t>DL005</t>
        </is>
      </c>
      <c r="C879" s="4" t="inlineStr">
        <is>
          <t>ThinkSafe HCM</t>
        </is>
      </c>
      <c r="D879" s="3" t="inlineStr">
        <is>
          <t>HCM</t>
        </is>
      </c>
      <c r="E879" s="3" t="inlineStr">
        <is>
          <t>XUÂN TRANG</t>
        </is>
      </c>
      <c r="F879" s="3" t="inlineStr">
        <is>
          <t>Shopee, Tiktok</t>
        </is>
      </c>
      <c r="G879" s="4" t="inlineStr">
        <is>
          <t>SHOPEE: https://shopee.vn/baohothinksafe?uls_trackid=56slrjbp02l6&amp;utm_content=3kGSyWceAz2CP3beojAsTsVsisVR TIKTOK: https://www.tiktok.com/@thinksafevn LAZADA: WEBSITE BÁN HÀNG:</t>
        </is>
      </c>
      <c r="H879" s="3" t="inlineStr">
        <is>
          <t>KC1-06</t>
        </is>
      </c>
      <c r="I879" s="4" t="inlineStr">
        <is>
          <t>Kìm điện KC1-06</t>
        </is>
      </c>
      <c r="J879" s="3" t="inlineStr">
        <is>
          <t>Cái</t>
        </is>
      </c>
      <c r="K879" s="5" t="n">
        <v>269000</v>
      </c>
      <c r="L879" s="5" t="n">
        <v>317000</v>
      </c>
      <c r="M879" s="6" t="n">
        <v>390000</v>
      </c>
      <c r="N879" s="5" t="n"/>
      <c r="O879" s="5">
        <f>IF(AND(ISNUMBER(N879),ISNUMBER(M879)),N879-M879,"")</f>
        <v/>
      </c>
      <c r="P879" s="7">
        <f>IF(AND(ISNUMBER(N879),ISNUMBER(M879),M879&gt;0),(N879-M879)/M879,"")</f>
        <v/>
      </c>
      <c r="Q879" s="3">
        <f>IF(P879="","",IF(P879&lt;-0.02,"🔴 Bán phá giá sàn",IF(P879&gt;0.05,"🔵 Bán cao hơn","🟢 Đúng giá sàn TMĐT")))</f>
        <v/>
      </c>
      <c r="R879" s="3" t="n"/>
      <c r="S879" s="4" t="n"/>
      <c r="T879" s="4" t="n"/>
    </row>
    <row r="880">
      <c r="A880" s="3" t="n">
        <v>879</v>
      </c>
      <c r="B880" s="3" t="inlineStr">
        <is>
          <t>DL005</t>
        </is>
      </c>
      <c r="C880" s="4" t="inlineStr">
        <is>
          <t>ThinkSafe HCM</t>
        </is>
      </c>
      <c r="D880" s="3" t="inlineStr">
        <is>
          <t>HCM</t>
        </is>
      </c>
      <c r="E880" s="3" t="inlineStr">
        <is>
          <t>XUÂN TRANG</t>
        </is>
      </c>
      <c r="F880" s="3" t="inlineStr">
        <is>
          <t>Shopee, Tiktok</t>
        </is>
      </c>
      <c r="G880" s="4" t="inlineStr">
        <is>
          <t>SHOPEE: https://shopee.vn/baohothinksafe?uls_trackid=56slrjbp02l6&amp;utm_content=3kGSyWceAz2CP3beojAsTsVsisVR TIKTOK: https://www.tiktok.com/@thinksafevn LAZADA: WEBSITE BÁN HÀNG:</t>
        </is>
      </c>
      <c r="H880" s="3" t="inlineStr">
        <is>
          <t>800-1000A</t>
        </is>
      </c>
      <c r="I880" s="4" t="inlineStr">
        <is>
          <t>Kìm hàn  KCH-800  (800-1000A)</t>
        </is>
      </c>
      <c r="J880" s="3" t="inlineStr">
        <is>
          <t>Cái</t>
        </is>
      </c>
      <c r="K880" s="5" t="n">
        <v>269000</v>
      </c>
      <c r="L880" s="5" t="n">
        <v>317000</v>
      </c>
      <c r="M880" s="6" t="n">
        <v>390000</v>
      </c>
      <c r="N880" s="5" t="n"/>
      <c r="O880" s="5">
        <f>IF(AND(ISNUMBER(N880),ISNUMBER(M880)),N880-M880,"")</f>
        <v/>
      </c>
      <c r="P880" s="7">
        <f>IF(AND(ISNUMBER(N880),ISNUMBER(M880),M880&gt;0),(N880-M880)/M880,"")</f>
        <v/>
      </c>
      <c r="Q880" s="3">
        <f>IF(P880="","",IF(P880&lt;-0.02,"🔴 Bán phá giá sàn",IF(P880&gt;0.05,"🔵 Bán cao hơn","🟢 Đúng giá sàn TMĐT")))</f>
        <v/>
      </c>
      <c r="R880" s="3" t="n"/>
      <c r="S880" s="4" t="n"/>
      <c r="T880" s="4" t="n"/>
    </row>
    <row r="881">
      <c r="A881" s="3" t="n">
        <v>880</v>
      </c>
      <c r="B881" s="3" t="inlineStr">
        <is>
          <t>DL005</t>
        </is>
      </c>
      <c r="C881" s="4" t="inlineStr">
        <is>
          <t>ThinkSafe HCM</t>
        </is>
      </c>
      <c r="D881" s="3" t="inlineStr">
        <is>
          <t>HCM</t>
        </is>
      </c>
      <c r="E881" s="3" t="inlineStr">
        <is>
          <t>XUÂN TRANG</t>
        </is>
      </c>
      <c r="F881" s="3" t="inlineStr">
        <is>
          <t>Shopee, Tiktok</t>
        </is>
      </c>
      <c r="G881" s="4" t="inlineStr">
        <is>
          <t>SHOPEE: https://shopee.vn/baohothinksafe?uls_trackid=56slrjbp02l6&amp;utm_content=3kGSyWceAz2CP3beojAsTsVsisVR TIKTOK: https://www.tiktok.com/@thinksafevn LAZADA: WEBSITE BÁN HÀNG:</t>
        </is>
      </c>
      <c r="H881" s="3" t="inlineStr">
        <is>
          <t>KC2-09</t>
        </is>
      </c>
      <c r="I881" s="4" t="inlineStr">
        <is>
          <t>Kìm mỏ nhọn đa năng KC2-09</t>
        </is>
      </c>
      <c r="J881" s="3" t="inlineStr">
        <is>
          <t>Cái</t>
        </is>
      </c>
      <c r="K881" s="5" t="n">
        <v>127000</v>
      </c>
      <c r="L881" s="5" t="n">
        <v>150000</v>
      </c>
      <c r="M881" s="6" t="n">
        <v>184000</v>
      </c>
      <c r="N881" s="5" t="n"/>
      <c r="O881" s="5">
        <f>IF(AND(ISNUMBER(N881),ISNUMBER(M881)),N881-M881,"")</f>
        <v/>
      </c>
      <c r="P881" s="7">
        <f>IF(AND(ISNUMBER(N881),ISNUMBER(M881),M881&gt;0),(N881-M881)/M881,"")</f>
        <v/>
      </c>
      <c r="Q881" s="3">
        <f>IF(P881="","",IF(P881&lt;-0.02,"🔴 Bán phá giá sàn",IF(P881&gt;0.05,"🔵 Bán cao hơn","🟢 Đúng giá sàn TMĐT")))</f>
        <v/>
      </c>
      <c r="R881" s="3" t="n"/>
      <c r="S881" s="4" t="n"/>
      <c r="T881" s="4" t="n"/>
    </row>
    <row r="882">
      <c r="A882" s="3" t="n">
        <v>881</v>
      </c>
      <c r="B882" s="3" t="inlineStr">
        <is>
          <t>DL005</t>
        </is>
      </c>
      <c r="C882" s="4" t="inlineStr">
        <is>
          <t>ThinkSafe HCM</t>
        </is>
      </c>
      <c r="D882" s="3" t="inlineStr">
        <is>
          <t>HCM</t>
        </is>
      </c>
      <c r="E882" s="3" t="inlineStr">
        <is>
          <t>XUÂN TRANG</t>
        </is>
      </c>
      <c r="F882" s="3" t="inlineStr">
        <is>
          <t>Shopee, Tiktok</t>
        </is>
      </c>
      <c r="G882" s="4" t="inlineStr">
        <is>
          <t>SHOPEE: https://shopee.vn/baohothinksafe?uls_trackid=56slrjbp02l6&amp;utm_content=3kGSyWceAz2CP3beojAsTsVsisVR TIKTOK: https://www.tiktok.com/@thinksafevn LAZADA: WEBSITE BÁN HÀNG:</t>
        </is>
      </c>
      <c r="H882" s="3" t="inlineStr">
        <is>
          <t>KC4-250</t>
        </is>
      </c>
      <c r="I882" s="4" t="inlineStr">
        <is>
          <t>Kìm mỏ quạ KC4-250</t>
        </is>
      </c>
      <c r="J882" s="3" t="inlineStr">
        <is>
          <t>Cái</t>
        </is>
      </c>
      <c r="K882" s="5" t="n">
        <v>152000</v>
      </c>
      <c r="L882" s="5" t="n">
        <v>179000</v>
      </c>
      <c r="M882" s="6" t="n">
        <v>220000</v>
      </c>
      <c r="N882" s="5" t="n"/>
      <c r="O882" s="5">
        <f>IF(AND(ISNUMBER(N882),ISNUMBER(M882)),N882-M882,"")</f>
        <v/>
      </c>
      <c r="P882" s="7">
        <f>IF(AND(ISNUMBER(N882),ISNUMBER(M882),M882&gt;0),(N882-M882)/M882,"")</f>
        <v/>
      </c>
      <c r="Q882" s="3">
        <f>IF(P882="","",IF(P882&lt;-0.02,"🔴 Bán phá giá sàn",IF(P882&gt;0.05,"🔵 Bán cao hơn","🟢 Đúng giá sàn TMĐT")))</f>
        <v/>
      </c>
      <c r="R882" s="3" t="n"/>
      <c r="S882" s="4" t="n"/>
      <c r="T882" s="4" t="n"/>
    </row>
    <row r="883">
      <c r="A883" s="3" t="n">
        <v>882</v>
      </c>
      <c r="B883" s="3" t="inlineStr">
        <is>
          <t>DL005</t>
        </is>
      </c>
      <c r="C883" s="4" t="inlineStr">
        <is>
          <t>ThinkSafe HCM</t>
        </is>
      </c>
      <c r="D883" s="3" t="inlineStr">
        <is>
          <t>HCM</t>
        </is>
      </c>
      <c r="E883" s="3" t="inlineStr">
        <is>
          <t>XUÂN TRANG</t>
        </is>
      </c>
      <c r="F883" s="3" t="inlineStr">
        <is>
          <t>Shopee, Tiktok</t>
        </is>
      </c>
      <c r="G883" s="4" t="inlineStr">
        <is>
          <t>SHOPEE: https://shopee.vn/baohothinksafe?uls_trackid=56slrjbp02l6&amp;utm_content=3kGSyWceAz2CP3beojAsTsVsisVR TIKTOK: https://www.tiktok.com/@thinksafevn LAZADA: WEBSITE BÁN HÀNG:</t>
        </is>
      </c>
      <c r="H883" s="3" t="inlineStr">
        <is>
          <t>KC4-300</t>
        </is>
      </c>
      <c r="I883" s="4" t="inlineStr">
        <is>
          <t>Kìm mỏ quạ KC4-300</t>
        </is>
      </c>
      <c r="J883" s="3" t="inlineStr">
        <is>
          <t>Cái</t>
        </is>
      </c>
      <c r="K883" s="5" t="n">
        <v>193000</v>
      </c>
      <c r="L883" s="5" t="n">
        <v>228000</v>
      </c>
      <c r="M883" s="6" t="n">
        <v>280000</v>
      </c>
      <c r="N883" s="5" t="n"/>
      <c r="O883" s="5">
        <f>IF(AND(ISNUMBER(N883),ISNUMBER(M883)),N883-M883,"")</f>
        <v/>
      </c>
      <c r="P883" s="7">
        <f>IF(AND(ISNUMBER(N883),ISNUMBER(M883),M883&gt;0),(N883-M883)/M883,"")</f>
        <v/>
      </c>
      <c r="Q883" s="3">
        <f>IF(P883="","",IF(P883&lt;-0.02,"🔴 Bán phá giá sàn",IF(P883&gt;0.05,"🔵 Bán cao hơn","🟢 Đúng giá sàn TMĐT")))</f>
        <v/>
      </c>
      <c r="R883" s="3" t="n"/>
      <c r="S883" s="4" t="n"/>
      <c r="T883" s="4" t="n"/>
    </row>
    <row r="884">
      <c r="A884" s="3" t="n">
        <v>883</v>
      </c>
      <c r="B884" s="3" t="inlineStr">
        <is>
          <t>DL005</t>
        </is>
      </c>
      <c r="C884" s="4" t="inlineStr">
        <is>
          <t>ThinkSafe HCM</t>
        </is>
      </c>
      <c r="D884" s="3" t="inlineStr">
        <is>
          <t>HCM</t>
        </is>
      </c>
      <c r="E884" s="3" t="inlineStr">
        <is>
          <t>XUÂN TRANG</t>
        </is>
      </c>
      <c r="F884" s="3" t="inlineStr">
        <is>
          <t>Shopee, Tiktok</t>
        </is>
      </c>
      <c r="G884" s="4" t="inlineStr">
        <is>
          <t>SHOPEE: https://shopee.vn/baohothinksafe?uls_trackid=56slrjbp02l6&amp;utm_content=3kGSyWceAz2CP3beojAsTsVsisVR TIKTOK: https://www.tiktok.com/@thinksafevn LAZADA: WEBSITE BÁN HÀNG:</t>
        </is>
      </c>
      <c r="H884" s="3" t="inlineStr">
        <is>
          <t>KJ-230</t>
        </is>
      </c>
      <c r="I884" s="4" t="inlineStr">
        <is>
          <t>Kìm rút đinh công nghiệp KJ-230</t>
        </is>
      </c>
      <c r="J884" s="3" t="inlineStr">
        <is>
          <t>Cái</t>
        </is>
      </c>
      <c r="K884" s="5" t="n">
        <v>249000</v>
      </c>
      <c r="L884" s="5" t="n">
        <v>294000</v>
      </c>
      <c r="M884" s="6" t="n">
        <v>361000</v>
      </c>
      <c r="N884" s="5" t="n"/>
      <c r="O884" s="5">
        <f>IF(AND(ISNUMBER(N884),ISNUMBER(M884)),N884-M884,"")</f>
        <v/>
      </c>
      <c r="P884" s="7">
        <f>IF(AND(ISNUMBER(N884),ISNUMBER(M884),M884&gt;0),(N884-M884)/M884,"")</f>
        <v/>
      </c>
      <c r="Q884" s="3">
        <f>IF(P884="","",IF(P884&lt;-0.02,"🔴 Bán phá giá sàn",IF(P884&gt;0.05,"🔵 Bán cao hơn","🟢 Đúng giá sàn TMĐT")))</f>
        <v/>
      </c>
      <c r="R884" s="3" t="n"/>
      <c r="S884" s="4" t="n"/>
      <c r="T884" s="4" t="n"/>
    </row>
    <row r="885">
      <c r="A885" s="3" t="n">
        <v>884</v>
      </c>
      <c r="B885" s="3" t="inlineStr">
        <is>
          <t>DL005</t>
        </is>
      </c>
      <c r="C885" s="4" t="inlineStr">
        <is>
          <t>ThinkSafe HCM</t>
        </is>
      </c>
      <c r="D885" s="3" t="inlineStr">
        <is>
          <t>HCM</t>
        </is>
      </c>
      <c r="E885" s="3" t="inlineStr">
        <is>
          <t>XUÂN TRANG</t>
        </is>
      </c>
      <c r="F885" s="3" t="inlineStr">
        <is>
          <t>Shopee, Tiktok</t>
        </is>
      </c>
      <c r="G885" s="4" t="inlineStr">
        <is>
          <t>SHOPEE: https://shopee.vn/baohothinksafe?uls_trackid=56slrjbp02l6&amp;utm_content=3kGSyWceAz2CP3beojAsTsVsisVR TIKTOK: https://www.tiktok.com/@thinksafevn LAZADA: WEBSITE BÁN HÀNG:</t>
        </is>
      </c>
      <c r="H885" s="3" t="inlineStr">
        <is>
          <t>KJ-103</t>
        </is>
      </c>
      <c r="I885" s="4" t="inlineStr">
        <is>
          <t>Kìm rút đinh KJ-103</t>
        </is>
      </c>
      <c r="J885" s="3" t="inlineStr">
        <is>
          <t>Cái</t>
        </is>
      </c>
      <c r="K885" s="5" t="n">
        <v>94000</v>
      </c>
      <c r="L885" s="5" t="n">
        <v>111000</v>
      </c>
      <c r="M885" s="6" t="n">
        <v>136000</v>
      </c>
      <c r="N885" s="5" t="n"/>
      <c r="O885" s="5">
        <f>IF(AND(ISNUMBER(N885),ISNUMBER(M885)),N885-M885,"")</f>
        <v/>
      </c>
      <c r="P885" s="7">
        <f>IF(AND(ISNUMBER(N885),ISNUMBER(M885),M885&gt;0),(N885-M885)/M885,"")</f>
        <v/>
      </c>
      <c r="Q885" s="3">
        <f>IF(P885="","",IF(P885&lt;-0.02,"🔴 Bán phá giá sàn",IF(P885&gt;0.05,"🔵 Bán cao hơn","🟢 Đúng giá sàn TMĐT")))</f>
        <v/>
      </c>
      <c r="R885" s="3" t="n"/>
      <c r="S885" s="4" t="n"/>
      <c r="T885" s="4" t="n"/>
    </row>
    <row r="886">
      <c r="A886" s="3" t="n">
        <v>885</v>
      </c>
      <c r="B886" s="3" t="inlineStr">
        <is>
          <t>DL005</t>
        </is>
      </c>
      <c r="C886" s="4" t="inlineStr">
        <is>
          <t>ThinkSafe HCM</t>
        </is>
      </c>
      <c r="D886" s="3" t="inlineStr">
        <is>
          <t>HCM</t>
        </is>
      </c>
      <c r="E886" s="3" t="inlineStr">
        <is>
          <t>XUÂN TRANG</t>
        </is>
      </c>
      <c r="F886" s="3" t="inlineStr">
        <is>
          <t>Shopee, Tiktok</t>
        </is>
      </c>
      <c r="G886" s="4" t="inlineStr">
        <is>
          <t>SHOPEE: https://shopee.vn/baohothinksafe?uls_trackid=56slrjbp02l6&amp;utm_content=3kGSyWceAz2CP3beojAsTsVsisVR TIKTOK: https://www.tiktok.com/@thinksafevn LAZADA: WEBSITE BÁN HÀNG:</t>
        </is>
      </c>
      <c r="H886" s="3" t="inlineStr">
        <is>
          <t>KJ-105</t>
        </is>
      </c>
      <c r="I886" s="4" t="inlineStr">
        <is>
          <t>Kìm rút đinh rút KJ-105</t>
        </is>
      </c>
      <c r="J886" s="3" t="inlineStr">
        <is>
          <t>Cái</t>
        </is>
      </c>
      <c r="K886" s="5" t="n">
        <v>154000</v>
      </c>
      <c r="L886" s="5" t="n">
        <v>182000</v>
      </c>
      <c r="M886" s="6" t="n">
        <v>223000</v>
      </c>
      <c r="N886" s="5" t="n"/>
      <c r="O886" s="5">
        <f>IF(AND(ISNUMBER(N886),ISNUMBER(M886)),N886-M886,"")</f>
        <v/>
      </c>
      <c r="P886" s="7">
        <f>IF(AND(ISNUMBER(N886),ISNUMBER(M886),M886&gt;0),(N886-M886)/M886,"")</f>
        <v/>
      </c>
      <c r="Q886" s="3">
        <f>IF(P886="","",IF(P886&lt;-0.02,"🔴 Bán phá giá sàn",IF(P886&gt;0.05,"🔵 Bán cao hơn","🟢 Đúng giá sàn TMĐT")))</f>
        <v/>
      </c>
      <c r="R886" s="3" t="n"/>
      <c r="S886" s="4" t="n"/>
      <c r="T886" s="4" t="n"/>
    </row>
    <row r="887">
      <c r="A887" s="3" t="n">
        <v>886</v>
      </c>
      <c r="B887" s="3" t="inlineStr">
        <is>
          <t>DL005</t>
        </is>
      </c>
      <c r="C887" s="4" t="inlineStr">
        <is>
          <t>ThinkSafe HCM</t>
        </is>
      </c>
      <c r="D887" s="3" t="inlineStr">
        <is>
          <t>HCM</t>
        </is>
      </c>
      <c r="E887" s="3" t="inlineStr">
        <is>
          <t>XUÂN TRANG</t>
        </is>
      </c>
      <c r="F887" s="3" t="inlineStr">
        <is>
          <t>Shopee, Tiktok</t>
        </is>
      </c>
      <c r="G887" s="4" t="inlineStr">
        <is>
          <t>SHOPEE: https://shopee.vn/baohothinksafe?uls_trackid=56slrjbp02l6&amp;utm_content=3kGSyWceAz2CP3beojAsTsVsisVR TIKTOK: https://www.tiktok.com/@thinksafevn LAZADA: WEBSITE BÁN HÀNG:</t>
        </is>
      </c>
      <c r="H887" s="3" t="inlineStr">
        <is>
          <t>KND180</t>
        </is>
      </c>
      <c r="I887" s="4" t="inlineStr">
        <is>
          <t>Kìm tuốt dây điện đa năng KND180</t>
        </is>
      </c>
      <c r="J887" s="3" t="inlineStr">
        <is>
          <t>Cái</t>
        </is>
      </c>
      <c r="K887" s="5" t="n">
        <v>127000</v>
      </c>
      <c r="L887" s="5" t="n">
        <v>150000</v>
      </c>
      <c r="M887" s="6" t="n">
        <v>184000</v>
      </c>
      <c r="N887" s="5" t="n"/>
      <c r="O887" s="5">
        <f>IF(AND(ISNUMBER(N887),ISNUMBER(M887)),N887-M887,"")</f>
        <v/>
      </c>
      <c r="P887" s="7">
        <f>IF(AND(ISNUMBER(N887),ISNUMBER(M887),M887&gt;0),(N887-M887)/M887,"")</f>
        <v/>
      </c>
      <c r="Q887" s="3">
        <f>IF(P887="","",IF(P887&lt;-0.02,"🔴 Bán phá giá sàn",IF(P887&gt;0.05,"🔵 Bán cao hơn","🟢 Đúng giá sàn TMĐT")))</f>
        <v/>
      </c>
      <c r="R887" s="3" t="n"/>
      <c r="S887" s="4" t="n"/>
      <c r="T887" s="4" t="n"/>
    </row>
    <row r="888">
      <c r="A888" s="3" t="n">
        <v>887</v>
      </c>
      <c r="B888" s="3" t="inlineStr">
        <is>
          <t>DL005</t>
        </is>
      </c>
      <c r="C888" s="4" t="inlineStr">
        <is>
          <t>ThinkSafe HCM</t>
        </is>
      </c>
      <c r="D888" s="3" t="inlineStr">
        <is>
          <t>HCM</t>
        </is>
      </c>
      <c r="E888" s="3" t="inlineStr">
        <is>
          <t>XUÂN TRANG</t>
        </is>
      </c>
      <c r="F888" s="3" t="inlineStr">
        <is>
          <t>Shopee, Tiktok</t>
        </is>
      </c>
      <c r="G888" s="4" t="inlineStr">
        <is>
          <t>SHOPEE: https://shopee.vn/baohothinksafe?uls_trackid=56slrjbp02l6&amp;utm_content=3kGSyWceAz2CP3beojAsTsVsisVR TIKTOK: https://www.tiktok.com/@thinksafevn LAZADA: WEBSITE BÁN HÀNG:</t>
        </is>
      </c>
      <c r="H888" s="3" t="inlineStr">
        <is>
          <t>KND205</t>
        </is>
      </c>
      <c r="I888" s="4" t="inlineStr">
        <is>
          <t>Kìm tuốt dây điện đa năng KND205</t>
        </is>
      </c>
      <c r="J888" s="3" t="inlineStr">
        <is>
          <t>Cái</t>
        </is>
      </c>
      <c r="K888" s="5" t="n">
        <v>160000</v>
      </c>
      <c r="L888" s="5" t="n">
        <v>189000</v>
      </c>
      <c r="M888" s="6" t="n">
        <v>232000</v>
      </c>
      <c r="N888" s="5" t="n"/>
      <c r="O888" s="5">
        <f>IF(AND(ISNUMBER(N888),ISNUMBER(M888)),N888-M888,"")</f>
        <v/>
      </c>
      <c r="P888" s="7">
        <f>IF(AND(ISNUMBER(N888),ISNUMBER(M888),M888&gt;0),(N888-M888)/M888,"")</f>
        <v/>
      </c>
      <c r="Q888" s="3">
        <f>IF(P888="","",IF(P888&lt;-0.02,"🔴 Bán phá giá sàn",IF(P888&gt;0.05,"🔵 Bán cao hơn","🟢 Đúng giá sàn TMĐT")))</f>
        <v/>
      </c>
      <c r="R888" s="3" t="n"/>
      <c r="S888" s="4" t="n"/>
      <c r="T888" s="4" t="n"/>
    </row>
    <row r="889">
      <c r="A889" s="3" t="n">
        <v>888</v>
      </c>
      <c r="B889" s="3" t="inlineStr">
        <is>
          <t>DL005</t>
        </is>
      </c>
      <c r="C889" s="4" t="inlineStr">
        <is>
          <t>ThinkSafe HCM</t>
        </is>
      </c>
      <c r="D889" s="3" t="inlineStr">
        <is>
          <t>HCM</t>
        </is>
      </c>
      <c r="E889" s="3" t="inlineStr">
        <is>
          <t>XUÂN TRANG</t>
        </is>
      </c>
      <c r="F889" s="3" t="inlineStr">
        <is>
          <t>Shopee, Tiktok</t>
        </is>
      </c>
      <c r="G889" s="4" t="inlineStr">
        <is>
          <t>SHOPEE: https://shopee.vn/baohothinksafe?uls_trackid=56slrjbp02l6&amp;utm_content=3kGSyWceAz2CP3beojAsTsVsisVR TIKTOK: https://www.tiktok.com/@thinksafevn LAZADA: WEBSITE BÁN HÀNG:</t>
        </is>
      </c>
      <c r="H889" s="3" t="inlineStr"/>
      <c r="I889" s="4" t="inlineStr">
        <is>
          <t>Kìm thẳng phe trong KCA 180</t>
        </is>
      </c>
      <c r="J889" s="3" t="inlineStr">
        <is>
          <t>Cái</t>
        </is>
      </c>
      <c r="K889" s="5" t="n">
        <v>269000</v>
      </c>
      <c r="L889" s="5" t="n">
        <v>317000</v>
      </c>
      <c r="M889" s="6" t="n">
        <v>390000</v>
      </c>
      <c r="N889" s="5" t="n"/>
      <c r="O889" s="5">
        <f>IF(AND(ISNUMBER(N889),ISNUMBER(M889)),N889-M889,"")</f>
        <v/>
      </c>
      <c r="P889" s="7">
        <f>IF(AND(ISNUMBER(N889),ISNUMBER(M889),M889&gt;0),(N889-M889)/M889,"")</f>
        <v/>
      </c>
      <c r="Q889" s="3">
        <f>IF(P889="","",IF(P889&lt;-0.02,"🔴 Bán phá giá sàn",IF(P889&gt;0.05,"🔵 Bán cao hơn","🟢 Đúng giá sàn TMĐT")))</f>
        <v/>
      </c>
      <c r="R889" s="3" t="n"/>
      <c r="S889" s="4" t="n"/>
      <c r="T889" s="4" t="n"/>
    </row>
    <row r="890">
      <c r="A890" s="3" t="n">
        <v>889</v>
      </c>
      <c r="B890" s="3" t="inlineStr">
        <is>
          <t>DL005</t>
        </is>
      </c>
      <c r="C890" s="4" t="inlineStr">
        <is>
          <t>ThinkSafe HCM</t>
        </is>
      </c>
      <c r="D890" s="3" t="inlineStr">
        <is>
          <t>HCM</t>
        </is>
      </c>
      <c r="E890" s="3" t="inlineStr">
        <is>
          <t>XUÂN TRANG</t>
        </is>
      </c>
      <c r="F890" s="3" t="inlineStr">
        <is>
          <t>Shopee, Tiktok</t>
        </is>
      </c>
      <c r="G890" s="4" t="inlineStr">
        <is>
          <t>SHOPEE: https://shopee.vn/baohothinksafe?uls_trackid=56slrjbp02l6&amp;utm_content=3kGSyWceAz2CP3beojAsTsVsisVR TIKTOK: https://www.tiktok.com/@thinksafevn LAZADA: WEBSITE BÁN HÀNG:</t>
        </is>
      </c>
      <c r="H890" s="3" t="inlineStr">
        <is>
          <t>KBY3-030CO</t>
        </is>
      </c>
      <c r="I890" s="4" t="inlineStr">
        <is>
          <t>Khoan inox chuôi lục KBY3-030CO</t>
        </is>
      </c>
      <c r="J890" s="3" t="inlineStr">
        <is>
          <t>Vỉ</t>
        </is>
      </c>
      <c r="K890" s="5" t="n">
        <v>31000</v>
      </c>
      <c r="L890" s="5" t="n">
        <v>39000</v>
      </c>
      <c r="M890" s="6" t="n">
        <v>50000</v>
      </c>
      <c r="N890" s="5" t="n"/>
      <c r="O890" s="5">
        <f>IF(AND(ISNUMBER(N890),ISNUMBER(M890)),N890-M890,"")</f>
        <v/>
      </c>
      <c r="P890" s="7">
        <f>IF(AND(ISNUMBER(N890),ISNUMBER(M890),M890&gt;0),(N890-M890)/M890,"")</f>
        <v/>
      </c>
      <c r="Q890" s="3">
        <f>IF(P890="","",IF(P890&lt;-0.02,"🔴 Bán phá giá sàn",IF(P890&gt;0.05,"🔵 Bán cao hơn","🟢 Đúng giá sàn TMĐT")))</f>
        <v/>
      </c>
      <c r="R890" s="3" t="n"/>
      <c r="S890" s="4" t="n"/>
      <c r="T890" s="4" t="n"/>
    </row>
    <row r="891">
      <c r="A891" s="3" t="n">
        <v>890</v>
      </c>
      <c r="B891" s="3" t="inlineStr">
        <is>
          <t>DL005</t>
        </is>
      </c>
      <c r="C891" s="4" t="inlineStr">
        <is>
          <t>ThinkSafe HCM</t>
        </is>
      </c>
      <c r="D891" s="3" t="inlineStr">
        <is>
          <t>HCM</t>
        </is>
      </c>
      <c r="E891" s="3" t="inlineStr">
        <is>
          <t>XUÂN TRANG</t>
        </is>
      </c>
      <c r="F891" s="3" t="inlineStr">
        <is>
          <t>Shopee, Tiktok</t>
        </is>
      </c>
      <c r="G891" s="4" t="inlineStr">
        <is>
          <t>SHOPEE: https://shopee.vn/baohothinksafe?uls_trackid=56slrjbp02l6&amp;utm_content=3kGSyWceAz2CP3beojAsTsVsisVR TIKTOK: https://www.tiktok.com/@thinksafevn LAZADA: WEBSITE BÁN HÀNG:</t>
        </is>
      </c>
      <c r="H891" s="3" t="inlineStr">
        <is>
          <t>KBY3-042CO</t>
        </is>
      </c>
      <c r="I891" s="4" t="inlineStr">
        <is>
          <t>Khoan inox chuôi lục KBY3-042CO</t>
        </is>
      </c>
      <c r="J891" s="3" t="inlineStr">
        <is>
          <t>Vỉ</t>
        </is>
      </c>
      <c r="K891" s="5" t="n">
        <v>45000</v>
      </c>
      <c r="L891" s="5" t="n">
        <v>56000</v>
      </c>
      <c r="M891" s="6" t="n">
        <v>72000</v>
      </c>
      <c r="N891" s="5" t="n"/>
      <c r="O891" s="5">
        <f>IF(AND(ISNUMBER(N891),ISNUMBER(M891)),N891-M891,"")</f>
        <v/>
      </c>
      <c r="P891" s="7">
        <f>IF(AND(ISNUMBER(N891),ISNUMBER(M891),M891&gt;0),(N891-M891)/M891,"")</f>
        <v/>
      </c>
      <c r="Q891" s="3">
        <f>IF(P891="","",IF(P891&lt;-0.02,"🔴 Bán phá giá sàn",IF(P891&gt;0.05,"🔵 Bán cao hơn","🟢 Đúng giá sàn TMĐT")))</f>
        <v/>
      </c>
      <c r="R891" s="3" t="n"/>
      <c r="S891" s="4" t="n"/>
      <c r="T891" s="4" t="n"/>
    </row>
    <row r="892">
      <c r="A892" s="3" t="n">
        <v>891</v>
      </c>
      <c r="B892" s="3" t="inlineStr">
        <is>
          <t>DL005</t>
        </is>
      </c>
      <c r="C892" s="4" t="inlineStr">
        <is>
          <t>ThinkSafe HCM</t>
        </is>
      </c>
      <c r="D892" s="3" t="inlineStr">
        <is>
          <t>HCM</t>
        </is>
      </c>
      <c r="E892" s="3" t="inlineStr">
        <is>
          <t>XUÂN TRANG</t>
        </is>
      </c>
      <c r="F892" s="3" t="inlineStr">
        <is>
          <t>Shopee, Tiktok</t>
        </is>
      </c>
      <c r="G892" s="4" t="inlineStr">
        <is>
          <t>SHOPEE: https://shopee.vn/baohothinksafe?uls_trackid=56slrjbp02l6&amp;utm_content=3kGSyWceAz2CP3beojAsTsVsisVR TIKTOK: https://www.tiktok.com/@thinksafevn LAZADA: WEBSITE BÁN HÀNG:</t>
        </is>
      </c>
      <c r="H892" s="3" t="inlineStr">
        <is>
          <t>KBY3-055CO</t>
        </is>
      </c>
      <c r="I892" s="4" t="inlineStr">
        <is>
          <t>Khoan inox chuôi lục KBY3-055CO</t>
        </is>
      </c>
      <c r="J892" s="3" t="inlineStr">
        <is>
          <t>Vỉ</t>
        </is>
      </c>
      <c r="K892" s="5" t="n">
        <v>58000</v>
      </c>
      <c r="L892" s="5" t="n">
        <v>72000</v>
      </c>
      <c r="M892" s="6" t="n">
        <v>93000</v>
      </c>
      <c r="N892" s="5" t="n"/>
      <c r="O892" s="5">
        <f>IF(AND(ISNUMBER(N892),ISNUMBER(M892)),N892-M892,"")</f>
        <v/>
      </c>
      <c r="P892" s="7">
        <f>IF(AND(ISNUMBER(N892),ISNUMBER(M892),M892&gt;0),(N892-M892)/M892,"")</f>
        <v/>
      </c>
      <c r="Q892" s="3">
        <f>IF(P892="","",IF(P892&lt;-0.02,"🔴 Bán phá giá sàn",IF(P892&gt;0.05,"🔵 Bán cao hơn","🟢 Đúng giá sàn TMĐT")))</f>
        <v/>
      </c>
      <c r="R892" s="3" t="n"/>
      <c r="S892" s="4" t="n"/>
      <c r="T892" s="4" t="n"/>
    </row>
    <row r="893">
      <c r="A893" s="3" t="n">
        <v>892</v>
      </c>
      <c r="B893" s="3" t="inlineStr">
        <is>
          <t>DL005</t>
        </is>
      </c>
      <c r="C893" s="4" t="inlineStr">
        <is>
          <t>ThinkSafe HCM</t>
        </is>
      </c>
      <c r="D893" s="3" t="inlineStr">
        <is>
          <t>HCM</t>
        </is>
      </c>
      <c r="E893" s="3" t="inlineStr">
        <is>
          <t>XUÂN TRANG</t>
        </is>
      </c>
      <c r="F893" s="3" t="inlineStr">
        <is>
          <t>Shopee, Tiktok</t>
        </is>
      </c>
      <c r="G893" s="4" t="inlineStr">
        <is>
          <t>SHOPEE: https://shopee.vn/baohothinksafe?uls_trackid=56slrjbp02l6&amp;utm_content=3kGSyWceAz2CP3beojAsTsVsisVR TIKTOK: https://www.tiktok.com/@thinksafevn LAZADA: WEBSITE BÁN HÀNG:</t>
        </is>
      </c>
      <c r="H893" s="3" t="inlineStr">
        <is>
          <t>KBB-06MM</t>
        </is>
      </c>
      <c r="I893" s="4" t="inlineStr">
        <is>
          <t>Khoan Kính KingBlue KBB-06MM</t>
        </is>
      </c>
      <c r="J893" s="3" t="inlineStr">
        <is>
          <t>Cái</t>
        </is>
      </c>
      <c r="K893" s="5" t="n">
        <v>269000</v>
      </c>
      <c r="L893" s="5" t="n">
        <v>317000</v>
      </c>
      <c r="M893" s="6" t="n">
        <v>390000</v>
      </c>
      <c r="N893" s="5" t="n"/>
      <c r="O893" s="5">
        <f>IF(AND(ISNUMBER(N893),ISNUMBER(M893)),N893-M893,"")</f>
        <v/>
      </c>
      <c r="P893" s="7">
        <f>IF(AND(ISNUMBER(N893),ISNUMBER(M893),M893&gt;0),(N893-M893)/M893,"")</f>
        <v/>
      </c>
      <c r="Q893" s="3">
        <f>IF(P893="","",IF(P893&lt;-0.02,"🔴 Bán phá giá sàn",IF(P893&gt;0.05,"🔵 Bán cao hơn","🟢 Đúng giá sàn TMĐT")))</f>
        <v/>
      </c>
      <c r="R893" s="3" t="n"/>
      <c r="S893" s="4" t="n"/>
      <c r="T893" s="4" t="n"/>
    </row>
    <row r="894">
      <c r="A894" s="3" t="n">
        <v>893</v>
      </c>
      <c r="B894" s="3" t="inlineStr">
        <is>
          <t>DL005</t>
        </is>
      </c>
      <c r="C894" s="4" t="inlineStr">
        <is>
          <t>ThinkSafe HCM</t>
        </is>
      </c>
      <c r="D894" s="3" t="inlineStr">
        <is>
          <t>HCM</t>
        </is>
      </c>
      <c r="E894" s="3" t="inlineStr">
        <is>
          <t>XUÂN TRANG</t>
        </is>
      </c>
      <c r="F894" s="3" t="inlineStr">
        <is>
          <t>Shopee, Tiktok</t>
        </is>
      </c>
      <c r="G894" s="4" t="inlineStr">
        <is>
          <t>SHOPEE: https://shopee.vn/baohothinksafe?uls_trackid=56slrjbp02l6&amp;utm_content=3kGSyWceAz2CP3beojAsTsVsisVR TIKTOK: https://www.tiktok.com/@thinksafevn LAZADA: WEBSITE BÁN HÀNG:</t>
        </is>
      </c>
      <c r="H894" s="3" t="inlineStr">
        <is>
          <t>KKB-06MM</t>
        </is>
      </c>
      <c r="I894" s="4" t="inlineStr">
        <is>
          <t>Khoan Kính KingBlue KKB-06MM</t>
        </is>
      </c>
      <c r="J894" s="3" t="inlineStr">
        <is>
          <t>Cái</t>
        </is>
      </c>
      <c r="K894" s="5" t="n">
        <v>269000</v>
      </c>
      <c r="L894" s="5" t="n">
        <v>317000</v>
      </c>
      <c r="M894" s="6" t="n">
        <v>390000</v>
      </c>
      <c r="N894" s="5" t="n"/>
      <c r="O894" s="5">
        <f>IF(AND(ISNUMBER(N894),ISNUMBER(M894)),N894-M894,"")</f>
        <v/>
      </c>
      <c r="P894" s="7">
        <f>IF(AND(ISNUMBER(N894),ISNUMBER(M894),M894&gt;0),(N894-M894)/M894,"")</f>
        <v/>
      </c>
      <c r="Q894" s="3">
        <f>IF(P894="","",IF(P894&lt;-0.02,"🔴 Bán phá giá sàn",IF(P894&gt;0.05,"🔵 Bán cao hơn","🟢 Đúng giá sàn TMĐT")))</f>
        <v/>
      </c>
      <c r="R894" s="3" t="n"/>
      <c r="S894" s="4" t="n"/>
      <c r="T894" s="4" t="n"/>
    </row>
    <row r="895">
      <c r="A895" s="3" t="n">
        <v>894</v>
      </c>
      <c r="B895" s="3" t="inlineStr">
        <is>
          <t>DL005</t>
        </is>
      </c>
      <c r="C895" s="4" t="inlineStr">
        <is>
          <t>ThinkSafe HCM</t>
        </is>
      </c>
      <c r="D895" s="3" t="inlineStr">
        <is>
          <t>HCM</t>
        </is>
      </c>
      <c r="E895" s="3" t="inlineStr">
        <is>
          <t>XUÂN TRANG</t>
        </is>
      </c>
      <c r="F895" s="3" t="inlineStr">
        <is>
          <t>Shopee, Tiktok</t>
        </is>
      </c>
      <c r="G895" s="4" t="inlineStr">
        <is>
          <t>SHOPEE: https://shopee.vn/baohothinksafe?uls_trackid=56slrjbp02l6&amp;utm_content=3kGSyWceAz2CP3beojAsTsVsisVR TIKTOK: https://www.tiktok.com/@thinksafevn LAZADA: WEBSITE BÁN HÀNG:</t>
        </is>
      </c>
      <c r="H895" s="3" t="inlineStr">
        <is>
          <t>KKB-08MM</t>
        </is>
      </c>
      <c r="I895" s="4" t="inlineStr">
        <is>
          <t>Khoan Kính KingBlue KKB-08MM</t>
        </is>
      </c>
      <c r="J895" s="3" t="inlineStr">
        <is>
          <t>Cái</t>
        </is>
      </c>
      <c r="K895" s="5" t="n">
        <v>269000</v>
      </c>
      <c r="L895" s="5" t="n">
        <v>317000</v>
      </c>
      <c r="M895" s="6" t="n">
        <v>390000</v>
      </c>
      <c r="N895" s="5" t="n"/>
      <c r="O895" s="5">
        <f>IF(AND(ISNUMBER(N895),ISNUMBER(M895)),N895-M895,"")</f>
        <v/>
      </c>
      <c r="P895" s="7">
        <f>IF(AND(ISNUMBER(N895),ISNUMBER(M895),M895&gt;0),(N895-M895)/M895,"")</f>
        <v/>
      </c>
      <c r="Q895" s="3">
        <f>IF(P895="","",IF(P895&lt;-0.02,"🔴 Bán phá giá sàn",IF(P895&gt;0.05,"🔵 Bán cao hơn","🟢 Đúng giá sàn TMĐT")))</f>
        <v/>
      </c>
      <c r="R895" s="3" t="n"/>
      <c r="S895" s="4" t="n"/>
      <c r="T895" s="4" t="n"/>
    </row>
    <row r="896">
      <c r="A896" s="3" t="n">
        <v>895</v>
      </c>
      <c r="B896" s="3" t="inlineStr">
        <is>
          <t>DL005</t>
        </is>
      </c>
      <c r="C896" s="4" t="inlineStr">
        <is>
          <t>ThinkSafe HCM</t>
        </is>
      </c>
      <c r="D896" s="3" t="inlineStr">
        <is>
          <t>HCM</t>
        </is>
      </c>
      <c r="E896" s="3" t="inlineStr">
        <is>
          <t>XUÂN TRANG</t>
        </is>
      </c>
      <c r="F896" s="3" t="inlineStr">
        <is>
          <t>Shopee, Tiktok</t>
        </is>
      </c>
      <c r="G896" s="4" t="inlineStr">
        <is>
          <t>SHOPEE: https://shopee.vn/baohothinksafe?uls_trackid=56slrjbp02l6&amp;utm_content=3kGSyWceAz2CP3beojAsTsVsisVR TIKTOK: https://www.tiktok.com/@thinksafevn LAZADA: WEBSITE BÁN HÀNG:</t>
        </is>
      </c>
      <c r="H896" s="3" t="inlineStr">
        <is>
          <t>KKB-10MM</t>
        </is>
      </c>
      <c r="I896" s="4" t="inlineStr">
        <is>
          <t>Khoan Kính KingBlue KKB-10MM</t>
        </is>
      </c>
      <c r="J896" s="3" t="inlineStr">
        <is>
          <t>Cái</t>
        </is>
      </c>
      <c r="K896" s="5" t="n">
        <v>269000</v>
      </c>
      <c r="L896" s="5" t="n">
        <v>317000</v>
      </c>
      <c r="M896" s="6" t="n">
        <v>390000</v>
      </c>
      <c r="N896" s="5" t="n"/>
      <c r="O896" s="5">
        <f>IF(AND(ISNUMBER(N896),ISNUMBER(M896)),N896-M896,"")</f>
        <v/>
      </c>
      <c r="P896" s="7">
        <f>IF(AND(ISNUMBER(N896),ISNUMBER(M896),M896&gt;0),(N896-M896)/M896,"")</f>
        <v/>
      </c>
      <c r="Q896" s="3">
        <f>IF(P896="","",IF(P896&lt;-0.02,"🔴 Bán phá giá sàn",IF(P896&gt;0.05,"🔵 Bán cao hơn","🟢 Đúng giá sàn TMĐT")))</f>
        <v/>
      </c>
      <c r="R896" s="3" t="n"/>
      <c r="S896" s="4" t="n"/>
      <c r="T896" s="4" t="n"/>
    </row>
    <row r="897">
      <c r="A897" s="3" t="n">
        <v>896</v>
      </c>
      <c r="B897" s="3" t="inlineStr">
        <is>
          <t>DL005</t>
        </is>
      </c>
      <c r="C897" s="4" t="inlineStr">
        <is>
          <t>ThinkSafe HCM</t>
        </is>
      </c>
      <c r="D897" s="3" t="inlineStr">
        <is>
          <t>HCM</t>
        </is>
      </c>
      <c r="E897" s="3" t="inlineStr">
        <is>
          <t>XUÂN TRANG</t>
        </is>
      </c>
      <c r="F897" s="3" t="inlineStr">
        <is>
          <t>Shopee, Tiktok</t>
        </is>
      </c>
      <c r="G897" s="4" t="inlineStr">
        <is>
          <t>SHOPEE: https://shopee.vn/baohothinksafe?uls_trackid=56slrjbp02l6&amp;utm_content=3kGSyWceAz2CP3beojAsTsVsisVR TIKTOK: https://www.tiktok.com/@thinksafevn LAZADA: WEBSITE BÁN HÀNG:</t>
        </is>
      </c>
      <c r="H897" s="3" t="inlineStr">
        <is>
          <t>KRLK-27370</t>
        </is>
      </c>
      <c r="I897" s="4" t="inlineStr">
        <is>
          <t>Khoan rút lõi bê tông nước + khô KRLK-27*370</t>
        </is>
      </c>
      <c r="J897" s="3" t="inlineStr">
        <is>
          <t>Cái</t>
        </is>
      </c>
      <c r="K897" s="5" t="n">
        <v>145000</v>
      </c>
      <c r="L897" s="5" t="n">
        <v>174000</v>
      </c>
      <c r="M897" s="6" t="n">
        <v>218000</v>
      </c>
      <c r="N897" s="5" t="n"/>
      <c r="O897" s="5">
        <f>IF(AND(ISNUMBER(N897),ISNUMBER(M897)),N897-M897,"")</f>
        <v/>
      </c>
      <c r="P897" s="7">
        <f>IF(AND(ISNUMBER(N897),ISNUMBER(M897),M897&gt;0),(N897-M897)/M897,"")</f>
        <v/>
      </c>
      <c r="Q897" s="3">
        <f>IF(P897="","",IF(P897&lt;-0.02,"🔴 Bán phá giá sàn",IF(P897&gt;0.05,"🔵 Bán cao hơn","🟢 Đúng giá sàn TMĐT")))</f>
        <v/>
      </c>
      <c r="R897" s="3" t="n"/>
      <c r="S897" s="4" t="n"/>
      <c r="T897" s="4" t="n"/>
    </row>
    <row r="898">
      <c r="A898" s="3" t="n">
        <v>897</v>
      </c>
      <c r="B898" s="3" t="inlineStr">
        <is>
          <t>DL005</t>
        </is>
      </c>
      <c r="C898" s="4" t="inlineStr">
        <is>
          <t>ThinkSafe HCM</t>
        </is>
      </c>
      <c r="D898" s="3" t="inlineStr">
        <is>
          <t>HCM</t>
        </is>
      </c>
      <c r="E898" s="3" t="inlineStr">
        <is>
          <t>XUÂN TRANG</t>
        </is>
      </c>
      <c r="F898" s="3" t="inlineStr">
        <is>
          <t>Shopee, Tiktok</t>
        </is>
      </c>
      <c r="G898" s="4" t="inlineStr">
        <is>
          <t>SHOPEE: https://shopee.vn/baohothinksafe?uls_trackid=56slrjbp02l6&amp;utm_content=3kGSyWceAz2CP3beojAsTsVsisVR TIKTOK: https://www.tiktok.com/@thinksafevn LAZADA: WEBSITE BÁN HÀNG:</t>
        </is>
      </c>
      <c r="H898" s="3" t="inlineStr">
        <is>
          <t>KRLK-32370</t>
        </is>
      </c>
      <c r="I898" s="4" t="inlineStr">
        <is>
          <t>Khoan rút lõi bê tông nước + khô KRLK-32*370</t>
        </is>
      </c>
      <c r="J898" s="3" t="inlineStr">
        <is>
          <t>Cái</t>
        </is>
      </c>
      <c r="K898" s="5" t="n">
        <v>154000</v>
      </c>
      <c r="L898" s="5" t="n">
        <v>185000</v>
      </c>
      <c r="M898" s="6" t="n">
        <v>231000</v>
      </c>
      <c r="N898" s="5" t="n"/>
      <c r="O898" s="5">
        <f>IF(AND(ISNUMBER(N898),ISNUMBER(M898)),N898-M898,"")</f>
        <v/>
      </c>
      <c r="P898" s="7">
        <f>IF(AND(ISNUMBER(N898),ISNUMBER(M898),M898&gt;0),(N898-M898)/M898,"")</f>
        <v/>
      </c>
      <c r="Q898" s="3">
        <f>IF(P898="","",IF(P898&lt;-0.02,"🔴 Bán phá giá sàn",IF(P898&gt;0.05,"🔵 Bán cao hơn","🟢 Đúng giá sàn TMĐT")))</f>
        <v/>
      </c>
      <c r="R898" s="3" t="n"/>
      <c r="S898" s="4" t="n"/>
      <c r="T898" s="4" t="n"/>
    </row>
    <row r="899">
      <c r="A899" s="3" t="n">
        <v>898</v>
      </c>
      <c r="B899" s="3" t="inlineStr">
        <is>
          <t>DL005</t>
        </is>
      </c>
      <c r="C899" s="4" t="inlineStr">
        <is>
          <t>ThinkSafe HCM</t>
        </is>
      </c>
      <c r="D899" s="3" t="inlineStr">
        <is>
          <t>HCM</t>
        </is>
      </c>
      <c r="E899" s="3" t="inlineStr">
        <is>
          <t>XUÂN TRANG</t>
        </is>
      </c>
      <c r="F899" s="3" t="inlineStr">
        <is>
          <t>Shopee, Tiktok</t>
        </is>
      </c>
      <c r="G899" s="4" t="inlineStr">
        <is>
          <t>SHOPEE: https://shopee.vn/baohothinksafe?uls_trackid=56slrjbp02l6&amp;utm_content=3kGSyWceAz2CP3beojAsTsVsisVR TIKTOK: https://www.tiktok.com/@thinksafevn LAZADA: WEBSITE BÁN HÀNG:</t>
        </is>
      </c>
      <c r="H899" s="3" t="inlineStr">
        <is>
          <t>KRLK-36370</t>
        </is>
      </c>
      <c r="I899" s="4" t="inlineStr">
        <is>
          <t>Khoan rút lõi bê tông nước + khô KRLK-36*370</t>
        </is>
      </c>
      <c r="J899" s="3" t="inlineStr">
        <is>
          <t>Cái</t>
        </is>
      </c>
      <c r="K899" s="5" t="n">
        <v>173000</v>
      </c>
      <c r="L899" s="5" t="n">
        <v>208000</v>
      </c>
      <c r="M899" s="6" t="n">
        <v>260000</v>
      </c>
      <c r="N899" s="5" t="n"/>
      <c r="O899" s="5">
        <f>IF(AND(ISNUMBER(N899),ISNUMBER(M899)),N899-M899,"")</f>
        <v/>
      </c>
      <c r="P899" s="7">
        <f>IF(AND(ISNUMBER(N899),ISNUMBER(M899),M899&gt;0),(N899-M899)/M899,"")</f>
        <v/>
      </c>
      <c r="Q899" s="3">
        <f>IF(P899="","",IF(P899&lt;-0.02,"🔴 Bán phá giá sàn",IF(P899&gt;0.05,"🔵 Bán cao hơn","🟢 Đúng giá sàn TMĐT")))</f>
        <v/>
      </c>
      <c r="R899" s="3" t="n"/>
      <c r="S899" s="4" t="n"/>
      <c r="T899" s="4" t="n"/>
    </row>
    <row r="900">
      <c r="A900" s="3" t="n">
        <v>899</v>
      </c>
      <c r="B900" s="3" t="inlineStr">
        <is>
          <t>DL005</t>
        </is>
      </c>
      <c r="C900" s="4" t="inlineStr">
        <is>
          <t>ThinkSafe HCM</t>
        </is>
      </c>
      <c r="D900" s="3" t="inlineStr">
        <is>
          <t>HCM</t>
        </is>
      </c>
      <c r="E900" s="3" t="inlineStr">
        <is>
          <t>XUÂN TRANG</t>
        </is>
      </c>
      <c r="F900" s="3" t="inlineStr">
        <is>
          <t>Shopee, Tiktok</t>
        </is>
      </c>
      <c r="G900" s="4" t="inlineStr">
        <is>
          <t>SHOPEE: https://shopee.vn/baohothinksafe?uls_trackid=56slrjbp02l6&amp;utm_content=3kGSyWceAz2CP3beojAsTsVsisVR TIKTOK: https://www.tiktok.com/@thinksafevn LAZADA: WEBSITE BÁN HÀNG:</t>
        </is>
      </c>
      <c r="H900" s="3" t="inlineStr">
        <is>
          <t>KRLK-40370</t>
        </is>
      </c>
      <c r="I900" s="4" t="inlineStr">
        <is>
          <t>Khoan rút lõi bê tông nước + khô KRLK-40*370</t>
        </is>
      </c>
      <c r="J900" s="3" t="inlineStr">
        <is>
          <t>Cái</t>
        </is>
      </c>
      <c r="K900" s="5" t="n">
        <v>193000</v>
      </c>
      <c r="L900" s="5" t="n">
        <v>232000</v>
      </c>
      <c r="M900" s="6" t="n">
        <v>290000</v>
      </c>
      <c r="N900" s="5" t="n"/>
      <c r="O900" s="5">
        <f>IF(AND(ISNUMBER(N900),ISNUMBER(M900)),N900-M900,"")</f>
        <v/>
      </c>
      <c r="P900" s="7">
        <f>IF(AND(ISNUMBER(N900),ISNUMBER(M900),M900&gt;0),(N900-M900)/M900,"")</f>
        <v/>
      </c>
      <c r="Q900" s="3">
        <f>IF(P900="","",IF(P900&lt;-0.02,"🔴 Bán phá giá sàn",IF(P900&gt;0.05,"🔵 Bán cao hơn","🟢 Đúng giá sàn TMĐT")))</f>
        <v/>
      </c>
      <c r="R900" s="3" t="n"/>
      <c r="S900" s="4" t="n"/>
      <c r="T900" s="4" t="n"/>
    </row>
    <row r="901">
      <c r="A901" s="3" t="n">
        <v>900</v>
      </c>
      <c r="B901" s="3" t="inlineStr">
        <is>
          <t>DL005</t>
        </is>
      </c>
      <c r="C901" s="4" t="inlineStr">
        <is>
          <t>ThinkSafe HCM</t>
        </is>
      </c>
      <c r="D901" s="3" t="inlineStr">
        <is>
          <t>HCM</t>
        </is>
      </c>
      <c r="E901" s="3" t="inlineStr">
        <is>
          <t>XUÂN TRANG</t>
        </is>
      </c>
      <c r="F901" s="3" t="inlineStr">
        <is>
          <t>Shopee, Tiktok</t>
        </is>
      </c>
      <c r="G901" s="4" t="inlineStr">
        <is>
          <t>SHOPEE: https://shopee.vn/baohothinksafe?uls_trackid=56slrjbp02l6&amp;utm_content=3kGSyWceAz2CP3beojAsTsVsisVR TIKTOK: https://www.tiktok.com/@thinksafevn LAZADA: WEBSITE BÁN HÀNG:</t>
        </is>
      </c>
      <c r="H901" s="3" t="inlineStr">
        <is>
          <t>KRLK-44370</t>
        </is>
      </c>
      <c r="I901" s="4" t="inlineStr">
        <is>
          <t>Khoan rút lõi bê tông nước + khô KRLK-44*370</t>
        </is>
      </c>
      <c r="J901" s="3" t="inlineStr">
        <is>
          <t>Cái</t>
        </is>
      </c>
      <c r="K901" s="5" t="n">
        <v>212000</v>
      </c>
      <c r="L901" s="5" t="n">
        <v>254000</v>
      </c>
      <c r="M901" s="6" t="n">
        <v>318000</v>
      </c>
      <c r="N901" s="5" t="n"/>
      <c r="O901" s="5">
        <f>IF(AND(ISNUMBER(N901),ISNUMBER(M901)),N901-M901,"")</f>
        <v/>
      </c>
      <c r="P901" s="7">
        <f>IF(AND(ISNUMBER(N901),ISNUMBER(M901),M901&gt;0),(N901-M901)/M901,"")</f>
        <v/>
      </c>
      <c r="Q901" s="3">
        <f>IF(P901="","",IF(P901&lt;-0.02,"🔴 Bán phá giá sàn",IF(P901&gt;0.05,"🔵 Bán cao hơn","🟢 Đúng giá sàn TMĐT")))</f>
        <v/>
      </c>
      <c r="R901" s="3" t="n"/>
      <c r="S901" s="4" t="n"/>
      <c r="T901" s="4" t="n"/>
    </row>
    <row r="902">
      <c r="A902" s="3" t="n">
        <v>901</v>
      </c>
      <c r="B902" s="3" t="inlineStr">
        <is>
          <t>DL005</t>
        </is>
      </c>
      <c r="C902" s="4" t="inlineStr">
        <is>
          <t>ThinkSafe HCM</t>
        </is>
      </c>
      <c r="D902" s="3" t="inlineStr">
        <is>
          <t>HCM</t>
        </is>
      </c>
      <c r="E902" s="3" t="inlineStr">
        <is>
          <t>XUÂN TRANG</t>
        </is>
      </c>
      <c r="F902" s="3" t="inlineStr">
        <is>
          <t>Shopee, Tiktok</t>
        </is>
      </c>
      <c r="G902" s="4" t="inlineStr">
        <is>
          <t>SHOPEE: https://shopee.vn/baohothinksafe?uls_trackid=56slrjbp02l6&amp;utm_content=3kGSyWceAz2CP3beojAsTsVsisVR TIKTOK: https://www.tiktok.com/@thinksafevn LAZADA: WEBSITE BÁN HÀNG:</t>
        </is>
      </c>
      <c r="H902" s="3" t="inlineStr">
        <is>
          <t>KRLK-51370</t>
        </is>
      </c>
      <c r="I902" s="4" t="inlineStr">
        <is>
          <t>Khoan rút lõi bê tông nước + khô KRLK-51*370</t>
        </is>
      </c>
      <c r="J902" s="3" t="inlineStr">
        <is>
          <t>Cái</t>
        </is>
      </c>
      <c r="K902" s="5" t="n">
        <v>231000</v>
      </c>
      <c r="L902" s="5" t="n">
        <v>277000</v>
      </c>
      <c r="M902" s="6" t="n">
        <v>347000</v>
      </c>
      <c r="N902" s="5" t="n"/>
      <c r="O902" s="5">
        <f>IF(AND(ISNUMBER(N902),ISNUMBER(M902)),N902-M902,"")</f>
        <v/>
      </c>
      <c r="P902" s="7">
        <f>IF(AND(ISNUMBER(N902),ISNUMBER(M902),M902&gt;0),(N902-M902)/M902,"")</f>
        <v/>
      </c>
      <c r="Q902" s="3">
        <f>IF(P902="","",IF(P902&lt;-0.02,"🔴 Bán phá giá sàn",IF(P902&gt;0.05,"🔵 Bán cao hơn","🟢 Đúng giá sàn TMĐT")))</f>
        <v/>
      </c>
      <c r="R902" s="3" t="n"/>
      <c r="S902" s="4" t="n"/>
      <c r="T902" s="4" t="n"/>
    </row>
    <row r="903">
      <c r="A903" s="3" t="n">
        <v>902</v>
      </c>
      <c r="B903" s="3" t="inlineStr">
        <is>
          <t>DL005</t>
        </is>
      </c>
      <c r="C903" s="4" t="inlineStr">
        <is>
          <t>ThinkSafe HCM</t>
        </is>
      </c>
      <c r="D903" s="3" t="inlineStr">
        <is>
          <t>HCM</t>
        </is>
      </c>
      <c r="E903" s="3" t="inlineStr">
        <is>
          <t>XUÂN TRANG</t>
        </is>
      </c>
      <c r="F903" s="3" t="inlineStr">
        <is>
          <t>Shopee, Tiktok</t>
        </is>
      </c>
      <c r="G903" s="4" t="inlineStr">
        <is>
          <t>SHOPEE: https://shopee.vn/baohothinksafe?uls_trackid=56slrjbp02l6&amp;utm_content=3kGSyWceAz2CP3beojAsTsVsisVR TIKTOK: https://www.tiktok.com/@thinksafevn LAZADA: WEBSITE BÁN HÀNG:</t>
        </is>
      </c>
      <c r="H903" s="3" t="inlineStr">
        <is>
          <t>KRLK-56370</t>
        </is>
      </c>
      <c r="I903" s="4" t="inlineStr">
        <is>
          <t>Khoan rút lõi bê tông nước + khô KRLK-56*370</t>
        </is>
      </c>
      <c r="J903" s="3" t="inlineStr">
        <is>
          <t>Cái</t>
        </is>
      </c>
      <c r="K903" s="5" t="n">
        <v>244000</v>
      </c>
      <c r="L903" s="5" t="n">
        <v>293000</v>
      </c>
      <c r="M903" s="6" t="n">
        <v>366000</v>
      </c>
      <c r="N903" s="5" t="n"/>
      <c r="O903" s="5">
        <f>IF(AND(ISNUMBER(N903),ISNUMBER(M903)),N903-M903,"")</f>
        <v/>
      </c>
      <c r="P903" s="7">
        <f>IF(AND(ISNUMBER(N903),ISNUMBER(M903),M903&gt;0),(N903-M903)/M903,"")</f>
        <v/>
      </c>
      <c r="Q903" s="3">
        <f>IF(P903="","",IF(P903&lt;-0.02,"🔴 Bán phá giá sàn",IF(P903&gt;0.05,"🔵 Bán cao hơn","🟢 Đúng giá sàn TMĐT")))</f>
        <v/>
      </c>
      <c r="R903" s="3" t="n"/>
      <c r="S903" s="4" t="n"/>
      <c r="T903" s="4" t="n"/>
    </row>
    <row r="904">
      <c r="A904" s="3" t="n">
        <v>903</v>
      </c>
      <c r="B904" s="3" t="inlineStr">
        <is>
          <t>DL005</t>
        </is>
      </c>
      <c r="C904" s="4" t="inlineStr">
        <is>
          <t>ThinkSafe HCM</t>
        </is>
      </c>
      <c r="D904" s="3" t="inlineStr">
        <is>
          <t>HCM</t>
        </is>
      </c>
      <c r="E904" s="3" t="inlineStr">
        <is>
          <t>XUÂN TRANG</t>
        </is>
      </c>
      <c r="F904" s="3" t="inlineStr">
        <is>
          <t>Shopee, Tiktok</t>
        </is>
      </c>
      <c r="G904" s="4" t="inlineStr">
        <is>
          <t>SHOPEE: https://shopee.vn/baohothinksafe?uls_trackid=56slrjbp02l6&amp;utm_content=3kGSyWceAz2CP3beojAsTsVsisVR TIKTOK: https://www.tiktok.com/@thinksafevn LAZADA: WEBSITE BÁN HÀNG:</t>
        </is>
      </c>
      <c r="H904" s="3" t="inlineStr">
        <is>
          <t>KRLK-63370</t>
        </is>
      </c>
      <c r="I904" s="4" t="inlineStr">
        <is>
          <t>Khoan rút lõi bê tông nước + khô KRLK-63*370</t>
        </is>
      </c>
      <c r="J904" s="3" t="inlineStr">
        <is>
          <t>Cái</t>
        </is>
      </c>
      <c r="K904" s="5" t="n">
        <v>282000</v>
      </c>
      <c r="L904" s="5" t="n">
        <v>338000</v>
      </c>
      <c r="M904" s="6" t="n">
        <v>423000</v>
      </c>
      <c r="N904" s="5" t="n"/>
      <c r="O904" s="5">
        <f>IF(AND(ISNUMBER(N904),ISNUMBER(M904)),N904-M904,"")</f>
        <v/>
      </c>
      <c r="P904" s="7">
        <f>IF(AND(ISNUMBER(N904),ISNUMBER(M904),M904&gt;0),(N904-M904)/M904,"")</f>
        <v/>
      </c>
      <c r="Q904" s="3">
        <f>IF(P904="","",IF(P904&lt;-0.02,"🔴 Bán phá giá sàn",IF(P904&gt;0.05,"🔵 Bán cao hơn","🟢 Đúng giá sàn TMĐT")))</f>
        <v/>
      </c>
      <c r="R904" s="3" t="n"/>
      <c r="S904" s="4" t="n"/>
      <c r="T904" s="4" t="n"/>
    </row>
    <row r="905">
      <c r="A905" s="3" t="n">
        <v>904</v>
      </c>
      <c r="B905" s="3" t="inlineStr">
        <is>
          <t>DL005</t>
        </is>
      </c>
      <c r="C905" s="4" t="inlineStr">
        <is>
          <t>ThinkSafe HCM</t>
        </is>
      </c>
      <c r="D905" s="3" t="inlineStr">
        <is>
          <t>HCM</t>
        </is>
      </c>
      <c r="E905" s="3" t="inlineStr">
        <is>
          <t>XUÂN TRANG</t>
        </is>
      </c>
      <c r="F905" s="3" t="inlineStr">
        <is>
          <t>Shopee, Tiktok</t>
        </is>
      </c>
      <c r="G905" s="4" t="inlineStr">
        <is>
          <t>SHOPEE: https://shopee.vn/baohothinksafe?uls_trackid=56slrjbp02l6&amp;utm_content=3kGSyWceAz2CP3beojAsTsVsisVR TIKTOK: https://www.tiktok.com/@thinksafevn LAZADA: WEBSITE BÁN HÀNG:</t>
        </is>
      </c>
      <c r="H905" s="3" t="inlineStr">
        <is>
          <t>F1-180DN</t>
        </is>
      </c>
      <c r="I905" s="4" t="inlineStr">
        <is>
          <t>Lưỡi cắt BlueBird F1-180DN (vàng)</t>
        </is>
      </c>
      <c r="J905" s="3" t="inlineStr">
        <is>
          <t>Cái</t>
        </is>
      </c>
      <c r="K905" s="5" t="n">
        <v>169000</v>
      </c>
      <c r="L905" s="5" t="n">
        <v>199000</v>
      </c>
      <c r="M905" s="6" t="n">
        <v>245000</v>
      </c>
      <c r="N905" s="5" t="n"/>
      <c r="O905" s="5">
        <f>IF(AND(ISNUMBER(N905),ISNUMBER(M905)),N905-M905,"")</f>
        <v/>
      </c>
      <c r="P905" s="7">
        <f>IF(AND(ISNUMBER(N905),ISNUMBER(M905),M905&gt;0),(N905-M905)/M905,"")</f>
        <v/>
      </c>
      <c r="Q905" s="3">
        <f>IF(P905="","",IF(P905&lt;-0.02,"🔴 Bán phá giá sàn",IF(P905&gt;0.05,"🔵 Bán cao hơn","🟢 Đúng giá sàn TMĐT")))</f>
        <v/>
      </c>
      <c r="R905" s="3" t="n"/>
      <c r="S905" s="4" t="n"/>
      <c r="T905" s="4" t="n"/>
    </row>
    <row r="906">
      <c r="A906" s="3" t="n">
        <v>905</v>
      </c>
      <c r="B906" s="3" t="inlineStr">
        <is>
          <t>DL005</t>
        </is>
      </c>
      <c r="C906" s="4" t="inlineStr">
        <is>
          <t>ThinkSafe HCM</t>
        </is>
      </c>
      <c r="D906" s="3" t="inlineStr">
        <is>
          <t>HCM</t>
        </is>
      </c>
      <c r="E906" s="3" t="inlineStr">
        <is>
          <t>XUÂN TRANG</t>
        </is>
      </c>
      <c r="F906" s="3" t="inlineStr">
        <is>
          <t>Shopee, Tiktok</t>
        </is>
      </c>
      <c r="G906" s="4" t="inlineStr">
        <is>
          <t>SHOPEE: https://shopee.vn/baohothinksafe?uls_trackid=56slrjbp02l6&amp;utm_content=3kGSyWceAz2CP3beojAsTsVsisVR TIKTOK: https://www.tiktok.com/@thinksafevn LAZADA: WEBSITE BÁN HÀNG:</t>
        </is>
      </c>
      <c r="H906" s="3" t="inlineStr">
        <is>
          <t>S2-125</t>
        </is>
      </c>
      <c r="I906" s="4" t="inlineStr">
        <is>
          <t>Lưỡi cắt KingBlue ĐN S2-125 (New)</t>
        </is>
      </c>
      <c r="J906" s="3" t="inlineStr">
        <is>
          <t>Cái</t>
        </is>
      </c>
      <c r="K906" s="5" t="n">
        <v>269000</v>
      </c>
      <c r="L906" s="5" t="n">
        <v>317000</v>
      </c>
      <c r="M906" s="6" t="n">
        <v>390000</v>
      </c>
      <c r="N906" s="5" t="n"/>
      <c r="O906" s="5">
        <f>IF(AND(ISNUMBER(N906),ISNUMBER(M906)),N906-M906,"")</f>
        <v/>
      </c>
      <c r="P906" s="7">
        <f>IF(AND(ISNUMBER(N906),ISNUMBER(M906),M906&gt;0),(N906-M906)/M906,"")</f>
        <v/>
      </c>
      <c r="Q906" s="3">
        <f>IF(P906="","",IF(P906&lt;-0.02,"🔴 Bán phá giá sàn",IF(P906&gt;0.05,"🔵 Bán cao hơn","🟢 Đúng giá sàn TMĐT")))</f>
        <v/>
      </c>
      <c r="R906" s="3" t="n"/>
      <c r="S906" s="4" t="n"/>
      <c r="T906" s="4" t="n"/>
    </row>
    <row r="907">
      <c r="A907" s="3" t="n">
        <v>906</v>
      </c>
      <c r="B907" s="3" t="inlineStr">
        <is>
          <t>DL005</t>
        </is>
      </c>
      <c r="C907" s="4" t="inlineStr">
        <is>
          <t>ThinkSafe HCM</t>
        </is>
      </c>
      <c r="D907" s="3" t="inlineStr">
        <is>
          <t>HCM</t>
        </is>
      </c>
      <c r="E907" s="3" t="inlineStr">
        <is>
          <t>XUÂN TRANG</t>
        </is>
      </c>
      <c r="F907" s="3" t="inlineStr">
        <is>
          <t>Shopee, Tiktok</t>
        </is>
      </c>
      <c r="G907" s="4" t="inlineStr">
        <is>
          <t>SHOPEE: https://shopee.vn/baohothinksafe?uls_trackid=56slrjbp02l6&amp;utm_content=3kGSyWceAz2CP3beojAsTsVsisVR TIKTOK: https://www.tiktok.com/@thinksafevn LAZADA: WEBSITE BÁN HÀNG:</t>
        </is>
      </c>
      <c r="H907" s="3" t="inlineStr">
        <is>
          <t>E3-105DN</t>
        </is>
      </c>
      <c r="I907" s="4" t="inlineStr">
        <is>
          <t>Lưỡi cắt KingBlue E3-105DN</t>
        </is>
      </c>
      <c r="J907" s="3" t="inlineStr">
        <is>
          <t>Cái</t>
        </is>
      </c>
      <c r="K907" s="5" t="n">
        <v>70000</v>
      </c>
      <c r="L907" s="5" t="n">
        <v>83000</v>
      </c>
      <c r="M907" s="6" t="n">
        <v>102000</v>
      </c>
      <c r="N907" s="5" t="n"/>
      <c r="O907" s="5">
        <f>IF(AND(ISNUMBER(N907),ISNUMBER(M907)),N907-M907,"")</f>
        <v/>
      </c>
      <c r="P907" s="7">
        <f>IF(AND(ISNUMBER(N907),ISNUMBER(M907),M907&gt;0),(N907-M907)/M907,"")</f>
        <v/>
      </c>
      <c r="Q907" s="3">
        <f>IF(P907="","",IF(P907&lt;-0.02,"🔴 Bán phá giá sàn",IF(P907&gt;0.05,"🔵 Bán cao hơn","🟢 Đúng giá sàn TMĐT")))</f>
        <v/>
      </c>
      <c r="R907" s="3" t="n"/>
      <c r="S907" s="4" t="n"/>
      <c r="T907" s="4" t="n"/>
    </row>
    <row r="908">
      <c r="A908" s="3" t="n">
        <v>907</v>
      </c>
      <c r="B908" s="3" t="inlineStr">
        <is>
          <t>DL005</t>
        </is>
      </c>
      <c r="C908" s="4" t="inlineStr">
        <is>
          <t>ThinkSafe HCM</t>
        </is>
      </c>
      <c r="D908" s="3" t="inlineStr">
        <is>
          <t>HCM</t>
        </is>
      </c>
      <c r="E908" s="3" t="inlineStr">
        <is>
          <t>XUÂN TRANG</t>
        </is>
      </c>
      <c r="F908" s="3" t="inlineStr">
        <is>
          <t>Shopee, Tiktok</t>
        </is>
      </c>
      <c r="G908" s="4" t="inlineStr">
        <is>
          <t>SHOPEE: https://shopee.vn/baohothinksafe?uls_trackid=56slrjbp02l6&amp;utm_content=3kGSyWceAz2CP3beojAsTsVsisVR TIKTOK: https://www.tiktok.com/@thinksafevn LAZADA: WEBSITE BÁN HÀNG:</t>
        </is>
      </c>
      <c r="H908" s="3" t="inlineStr">
        <is>
          <t>E3-125DN</t>
        </is>
      </c>
      <c r="I908" s="4" t="inlineStr">
        <is>
          <t>Lưỡi cắt KingBlue E3-125DN</t>
        </is>
      </c>
      <c r="J908" s="3" t="inlineStr">
        <is>
          <t>Cái</t>
        </is>
      </c>
      <c r="K908" s="5" t="n">
        <v>88000</v>
      </c>
      <c r="L908" s="5" t="n">
        <v>104000</v>
      </c>
      <c r="M908" s="6" t="n">
        <v>128000</v>
      </c>
      <c r="N908" s="5" t="n"/>
      <c r="O908" s="5">
        <f>IF(AND(ISNUMBER(N908),ISNUMBER(M908)),N908-M908,"")</f>
        <v/>
      </c>
      <c r="P908" s="7">
        <f>IF(AND(ISNUMBER(N908),ISNUMBER(M908),M908&gt;0),(N908-M908)/M908,"")</f>
        <v/>
      </c>
      <c r="Q908" s="3">
        <f>IF(P908="","",IF(P908&lt;-0.02,"🔴 Bán phá giá sàn",IF(P908&gt;0.05,"🔵 Bán cao hơn","🟢 Đúng giá sàn TMĐT")))</f>
        <v/>
      </c>
      <c r="R908" s="3" t="n"/>
      <c r="S908" s="4" t="n"/>
      <c r="T908" s="4" t="n"/>
    </row>
    <row r="909">
      <c r="A909" s="3" t="n">
        <v>908</v>
      </c>
      <c r="B909" s="3" t="inlineStr">
        <is>
          <t>DL005</t>
        </is>
      </c>
      <c r="C909" s="4" t="inlineStr">
        <is>
          <t>ThinkSafe HCM</t>
        </is>
      </c>
      <c r="D909" s="3" t="inlineStr">
        <is>
          <t>HCM</t>
        </is>
      </c>
      <c r="E909" s="3" t="inlineStr">
        <is>
          <t>XUÂN TRANG</t>
        </is>
      </c>
      <c r="F909" s="3" t="inlineStr">
        <is>
          <t>Shopee, Tiktok</t>
        </is>
      </c>
      <c r="G909" s="4" t="inlineStr">
        <is>
          <t>SHOPEE: https://shopee.vn/baohothinksafe?uls_trackid=56slrjbp02l6&amp;utm_content=3kGSyWceAz2CP3beojAsTsVsisVR TIKTOK: https://www.tiktok.com/@thinksafevn LAZADA: WEBSITE BÁN HÀNG:</t>
        </is>
      </c>
      <c r="H909" s="3" t="inlineStr">
        <is>
          <t>F1</t>
        </is>
      </c>
      <c r="I909" s="4" t="inlineStr">
        <is>
          <t>Lưỡi cắt Kingblue F1 110DN (vàng)</t>
        </is>
      </c>
      <c r="J909" s="3" t="inlineStr">
        <is>
          <t>Cái</t>
        </is>
      </c>
      <c r="K909" s="5" t="n">
        <v>92000</v>
      </c>
      <c r="L909" s="5" t="n">
        <v>108000</v>
      </c>
      <c r="M909" s="6" t="n">
        <v>133000</v>
      </c>
      <c r="N909" s="5" t="n"/>
      <c r="O909" s="5">
        <f>IF(AND(ISNUMBER(N909),ISNUMBER(M909)),N909-M909,"")</f>
        <v/>
      </c>
      <c r="P909" s="7">
        <f>IF(AND(ISNUMBER(N909),ISNUMBER(M909),M909&gt;0),(N909-M909)/M909,"")</f>
        <v/>
      </c>
      <c r="Q909" s="3">
        <f>IF(P909="","",IF(P909&lt;-0.02,"🔴 Bán phá giá sàn",IF(P909&gt;0.05,"🔵 Bán cao hơn","🟢 Đúng giá sàn TMĐT")))</f>
        <v/>
      </c>
      <c r="R909" s="3" t="n"/>
      <c r="S909" s="4" t="n"/>
      <c r="T909" s="4" t="n"/>
    </row>
    <row r="910">
      <c r="A910" s="3" t="n">
        <v>909</v>
      </c>
      <c r="B910" s="3" t="inlineStr">
        <is>
          <t>DL005</t>
        </is>
      </c>
      <c r="C910" s="4" t="inlineStr">
        <is>
          <t>ThinkSafe HCM</t>
        </is>
      </c>
      <c r="D910" s="3" t="inlineStr">
        <is>
          <t>HCM</t>
        </is>
      </c>
      <c r="E910" s="3" t="inlineStr">
        <is>
          <t>XUÂN TRANG</t>
        </is>
      </c>
      <c r="F910" s="3" t="inlineStr">
        <is>
          <t>Shopee, Tiktok</t>
        </is>
      </c>
      <c r="G910" s="4" t="inlineStr">
        <is>
          <t>SHOPEE: https://shopee.vn/baohothinksafe?uls_trackid=56slrjbp02l6&amp;utm_content=3kGSyWceAz2CP3beojAsTsVsisVR TIKTOK: https://www.tiktok.com/@thinksafevn LAZADA: WEBSITE BÁN HÀNG:</t>
        </is>
      </c>
      <c r="H910" s="3" t="inlineStr">
        <is>
          <t>F1</t>
        </is>
      </c>
      <c r="I910" s="4" t="inlineStr">
        <is>
          <t>Lưỡi cắt Kingblue F1 150DN (vàng)</t>
        </is>
      </c>
      <c r="J910" s="3" t="inlineStr">
        <is>
          <t>Cái</t>
        </is>
      </c>
      <c r="K910" s="5" t="n">
        <v>92000</v>
      </c>
      <c r="L910" s="5" t="n">
        <v>108000</v>
      </c>
      <c r="M910" s="6" t="n">
        <v>133000</v>
      </c>
      <c r="N910" s="5" t="n"/>
      <c r="O910" s="5">
        <f>IF(AND(ISNUMBER(N910),ISNUMBER(M910)),N910-M910,"")</f>
        <v/>
      </c>
      <c r="P910" s="7">
        <f>IF(AND(ISNUMBER(N910),ISNUMBER(M910),M910&gt;0),(N910-M910)/M910,"")</f>
        <v/>
      </c>
      <c r="Q910" s="3">
        <f>IF(P910="","",IF(P910&lt;-0.02,"🔴 Bán phá giá sàn",IF(P910&gt;0.05,"🔵 Bán cao hơn","🟢 Đúng giá sàn TMĐT")))</f>
        <v/>
      </c>
      <c r="R910" s="3" t="n"/>
      <c r="S910" s="4" t="n"/>
      <c r="T910" s="4" t="n"/>
    </row>
    <row r="911">
      <c r="A911" s="3" t="n">
        <v>910</v>
      </c>
      <c r="B911" s="3" t="inlineStr">
        <is>
          <t>DL005</t>
        </is>
      </c>
      <c r="C911" s="4" t="inlineStr">
        <is>
          <t>ThinkSafe HCM</t>
        </is>
      </c>
      <c r="D911" s="3" t="inlineStr">
        <is>
          <t>HCM</t>
        </is>
      </c>
      <c r="E911" s="3" t="inlineStr">
        <is>
          <t>XUÂN TRANG</t>
        </is>
      </c>
      <c r="F911" s="3" t="inlineStr">
        <is>
          <t>Shopee, Tiktok</t>
        </is>
      </c>
      <c r="G911" s="4" t="inlineStr">
        <is>
          <t>SHOPEE: https://shopee.vn/baohothinksafe?uls_trackid=56slrjbp02l6&amp;utm_content=3kGSyWceAz2CP3beojAsTsVsisVR TIKTOK: https://www.tiktok.com/@thinksafevn LAZADA: WEBSITE BÁN HÀNG:</t>
        </is>
      </c>
      <c r="H911" s="3" t="inlineStr">
        <is>
          <t>F1-125DN</t>
        </is>
      </c>
      <c r="I911" s="4" t="inlineStr">
        <is>
          <t>Lưỡi cắt KingBlue F1-125DN (Vàng)</t>
        </is>
      </c>
      <c r="J911" s="3" t="inlineStr">
        <is>
          <t>Cái</t>
        </is>
      </c>
      <c r="K911" s="5" t="n">
        <v>107000</v>
      </c>
      <c r="L911" s="5" t="n">
        <v>126000</v>
      </c>
      <c r="M911" s="6" t="n">
        <v>155000</v>
      </c>
      <c r="N911" s="5" t="n"/>
      <c r="O911" s="5">
        <f>IF(AND(ISNUMBER(N911),ISNUMBER(M911)),N911-M911,"")</f>
        <v/>
      </c>
      <c r="P911" s="7">
        <f>IF(AND(ISNUMBER(N911),ISNUMBER(M911),M911&gt;0),(N911-M911)/M911,"")</f>
        <v/>
      </c>
      <c r="Q911" s="3">
        <f>IF(P911="","",IF(P911&lt;-0.02,"🔴 Bán phá giá sàn",IF(P911&gt;0.05,"🔵 Bán cao hơn","🟢 Đúng giá sàn TMĐT")))</f>
        <v/>
      </c>
      <c r="R911" s="3" t="n"/>
      <c r="S911" s="4" t="n"/>
      <c r="T911" s="4" t="n"/>
    </row>
    <row r="912">
      <c r="A912" s="3" t="n">
        <v>911</v>
      </c>
      <c r="B912" s="3" t="inlineStr">
        <is>
          <t>DL005</t>
        </is>
      </c>
      <c r="C912" s="4" t="inlineStr">
        <is>
          <t>ThinkSafe HCM</t>
        </is>
      </c>
      <c r="D912" s="3" t="inlineStr">
        <is>
          <t>HCM</t>
        </is>
      </c>
      <c r="E912" s="3" t="inlineStr">
        <is>
          <t>XUÂN TRANG</t>
        </is>
      </c>
      <c r="F912" s="3" t="inlineStr">
        <is>
          <t>Shopee, Tiktok</t>
        </is>
      </c>
      <c r="G912" s="4" t="inlineStr">
        <is>
          <t>SHOPEE: https://shopee.vn/baohothinksafe?uls_trackid=56slrjbp02l6&amp;utm_content=3kGSyWceAz2CP3beojAsTsVsisVR TIKTOK: https://www.tiktok.com/@thinksafevn LAZADA: WEBSITE BÁN HÀNG:</t>
        </is>
      </c>
      <c r="H912" s="3" t="inlineStr">
        <is>
          <t>S1-105DN</t>
        </is>
      </c>
      <c r="I912" s="4" t="inlineStr">
        <is>
          <t>Lưỡi cắt KingBlue S1-105DN</t>
        </is>
      </c>
      <c r="J912" s="3" t="inlineStr">
        <is>
          <t>Cái</t>
        </is>
      </c>
      <c r="K912" s="5" t="n">
        <v>60000</v>
      </c>
      <c r="L912" s="5" t="n">
        <v>71000</v>
      </c>
      <c r="M912" s="6" t="n">
        <v>87000</v>
      </c>
      <c r="N912" s="5" t="n"/>
      <c r="O912" s="5">
        <f>IF(AND(ISNUMBER(N912),ISNUMBER(M912)),N912-M912,"")</f>
        <v/>
      </c>
      <c r="P912" s="7">
        <f>IF(AND(ISNUMBER(N912),ISNUMBER(M912),M912&gt;0),(N912-M912)/M912,"")</f>
        <v/>
      </c>
      <c r="Q912" s="3">
        <f>IF(P912="","",IF(P912&lt;-0.02,"🔴 Bán phá giá sàn",IF(P912&gt;0.05,"🔵 Bán cao hơn","🟢 Đúng giá sàn TMĐT")))</f>
        <v/>
      </c>
      <c r="R912" s="3" t="n"/>
      <c r="S912" s="4" t="n"/>
      <c r="T912" s="4" t="n"/>
    </row>
    <row r="913">
      <c r="A913" s="3" t="n">
        <v>912</v>
      </c>
      <c r="B913" s="3" t="inlineStr">
        <is>
          <t>DL005</t>
        </is>
      </c>
      <c r="C913" s="4" t="inlineStr">
        <is>
          <t>ThinkSafe HCM</t>
        </is>
      </c>
      <c r="D913" s="3" t="inlineStr">
        <is>
          <t>HCM</t>
        </is>
      </c>
      <c r="E913" s="3" t="inlineStr">
        <is>
          <t>XUÂN TRANG</t>
        </is>
      </c>
      <c r="F913" s="3" t="inlineStr">
        <is>
          <t>Shopee, Tiktok</t>
        </is>
      </c>
      <c r="G913" s="4" t="inlineStr">
        <is>
          <t>SHOPEE: https://shopee.vn/baohothinksafe?uls_trackid=56slrjbp02l6&amp;utm_content=3kGSyWceAz2CP3beojAsTsVsisVR TIKTOK: https://www.tiktok.com/@thinksafevn LAZADA: WEBSITE BÁN HÀNG:</t>
        </is>
      </c>
      <c r="H913" s="3" t="inlineStr">
        <is>
          <t>S1-125DN</t>
        </is>
      </c>
      <c r="I913" s="4" t="inlineStr">
        <is>
          <t>Lưỡi cắt KingBlue S1-125DN</t>
        </is>
      </c>
      <c r="J913" s="3" t="inlineStr">
        <is>
          <t>Cái</t>
        </is>
      </c>
      <c r="K913" s="5" t="n">
        <v>80000</v>
      </c>
      <c r="L913" s="5" t="n">
        <v>94000</v>
      </c>
      <c r="M913" s="6" t="n">
        <v>116000</v>
      </c>
      <c r="N913" s="5" t="n"/>
      <c r="O913" s="5">
        <f>IF(AND(ISNUMBER(N913),ISNUMBER(M913)),N913-M913,"")</f>
        <v/>
      </c>
      <c r="P913" s="7">
        <f>IF(AND(ISNUMBER(N913),ISNUMBER(M913),M913&gt;0),(N913-M913)/M913,"")</f>
        <v/>
      </c>
      <c r="Q913" s="3">
        <f>IF(P913="","",IF(P913&lt;-0.02,"🔴 Bán phá giá sàn",IF(P913&gt;0.05,"🔵 Bán cao hơn","🟢 Đúng giá sàn TMĐT")))</f>
        <v/>
      </c>
      <c r="R913" s="3" t="n"/>
      <c r="S913" s="4" t="n"/>
      <c r="T913" s="4" t="n"/>
    </row>
    <row r="914">
      <c r="A914" s="3" t="n">
        <v>913</v>
      </c>
      <c r="B914" s="3" t="inlineStr">
        <is>
          <t>DL005</t>
        </is>
      </c>
      <c r="C914" s="4" t="inlineStr">
        <is>
          <t>ThinkSafe HCM</t>
        </is>
      </c>
      <c r="D914" s="3" t="inlineStr">
        <is>
          <t>HCM</t>
        </is>
      </c>
      <c r="E914" s="3" t="inlineStr">
        <is>
          <t>XUÂN TRANG</t>
        </is>
      </c>
      <c r="F914" s="3" t="inlineStr">
        <is>
          <t>Shopee, Tiktok</t>
        </is>
      </c>
      <c r="G914" s="4" t="inlineStr">
        <is>
          <t>SHOPEE: https://shopee.vn/baohothinksafe?uls_trackid=56slrjbp02l6&amp;utm_content=3kGSyWceAz2CP3beojAsTsVsisVR TIKTOK: https://www.tiktok.com/@thinksafevn LAZADA: WEBSITE BÁN HÀNG:</t>
        </is>
      </c>
      <c r="H914" s="3" t="inlineStr">
        <is>
          <t>S2</t>
        </is>
      </c>
      <c r="I914" s="4" t="inlineStr">
        <is>
          <t>Lưỡi cắt KingBlue S2 105DN</t>
        </is>
      </c>
      <c r="J914" s="3" t="inlineStr">
        <is>
          <t>Cái</t>
        </is>
      </c>
      <c r="K914" s="5" t="n">
        <v>51000</v>
      </c>
      <c r="L914" s="5" t="n">
        <v>60000</v>
      </c>
      <c r="M914" s="6" t="n">
        <v>74000</v>
      </c>
      <c r="N914" s="5" t="n"/>
      <c r="O914" s="5">
        <f>IF(AND(ISNUMBER(N914),ISNUMBER(M914)),N914-M914,"")</f>
        <v/>
      </c>
      <c r="P914" s="7">
        <f>IF(AND(ISNUMBER(N914),ISNUMBER(M914),M914&gt;0),(N914-M914)/M914,"")</f>
        <v/>
      </c>
      <c r="Q914" s="3">
        <f>IF(P914="","",IF(P914&lt;-0.02,"🔴 Bán phá giá sàn",IF(P914&gt;0.05,"🔵 Bán cao hơn","🟢 Đúng giá sàn TMĐT")))</f>
        <v/>
      </c>
      <c r="R914" s="3" t="n"/>
      <c r="S914" s="4" t="n"/>
      <c r="T914" s="4" t="n"/>
    </row>
    <row r="915">
      <c r="A915" s="3" t="n">
        <v>914</v>
      </c>
      <c r="B915" s="3" t="inlineStr">
        <is>
          <t>DL005</t>
        </is>
      </c>
      <c r="C915" s="4" t="inlineStr">
        <is>
          <t>ThinkSafe HCM</t>
        </is>
      </c>
      <c r="D915" s="3" t="inlineStr">
        <is>
          <t>HCM</t>
        </is>
      </c>
      <c r="E915" s="3" t="inlineStr">
        <is>
          <t>XUÂN TRANG</t>
        </is>
      </c>
      <c r="F915" s="3" t="inlineStr">
        <is>
          <t>Shopee, Tiktok</t>
        </is>
      </c>
      <c r="G915" s="4" t="inlineStr">
        <is>
          <t>SHOPEE: https://shopee.vn/baohothinksafe?uls_trackid=56slrjbp02l6&amp;utm_content=3kGSyWceAz2CP3beojAsTsVsisVR TIKTOK: https://www.tiktok.com/@thinksafevn LAZADA: WEBSITE BÁN HÀNG:</t>
        </is>
      </c>
      <c r="H915" s="3" t="inlineStr">
        <is>
          <t>S3</t>
        </is>
      </c>
      <c r="I915" s="4" t="inlineStr">
        <is>
          <t>Lưỡi cắt KingBlue S3 105DN (xanh dương) (NEW)</t>
        </is>
      </c>
      <c r="J915" s="3" t="inlineStr">
        <is>
          <t>Cái</t>
        </is>
      </c>
      <c r="K915" s="5" t="n">
        <v>263000</v>
      </c>
      <c r="L915" s="5" t="n">
        <v>310000</v>
      </c>
      <c r="M915" s="6" t="n">
        <v>381000</v>
      </c>
      <c r="N915" s="5" t="n"/>
      <c r="O915" s="5">
        <f>IF(AND(ISNUMBER(N915),ISNUMBER(M915)),N915-M915,"")</f>
        <v/>
      </c>
      <c r="P915" s="7">
        <f>IF(AND(ISNUMBER(N915),ISNUMBER(M915),M915&gt;0),(N915-M915)/M915,"")</f>
        <v/>
      </c>
      <c r="Q915" s="3">
        <f>IF(P915="","",IF(P915&lt;-0.02,"🔴 Bán phá giá sàn",IF(P915&gt;0.05,"🔵 Bán cao hơn","🟢 Đúng giá sàn TMĐT")))</f>
        <v/>
      </c>
      <c r="R915" s="3" t="n"/>
      <c r="S915" s="4" t="n"/>
      <c r="T915" s="4" t="n"/>
    </row>
    <row r="916">
      <c r="A916" s="3" t="n">
        <v>915</v>
      </c>
      <c r="B916" s="3" t="inlineStr">
        <is>
          <t>DL005</t>
        </is>
      </c>
      <c r="C916" s="4" t="inlineStr">
        <is>
          <t>ThinkSafe HCM</t>
        </is>
      </c>
      <c r="D916" s="3" t="inlineStr">
        <is>
          <t>HCM</t>
        </is>
      </c>
      <c r="E916" s="3" t="inlineStr">
        <is>
          <t>XUÂN TRANG</t>
        </is>
      </c>
      <c r="F916" s="3" t="inlineStr">
        <is>
          <t>Shopee, Tiktok</t>
        </is>
      </c>
      <c r="G916" s="4" t="inlineStr">
        <is>
          <t>SHOPEE: https://shopee.vn/baohothinksafe?uls_trackid=56slrjbp02l6&amp;utm_content=3kGSyWceAz2CP3beojAsTsVsisVR TIKTOK: https://www.tiktok.com/@thinksafevn LAZADA: WEBSITE BÁN HÀNG:</t>
        </is>
      </c>
      <c r="H916" s="3" t="inlineStr">
        <is>
          <t>S4-105DN</t>
        </is>
      </c>
      <c r="I916" s="4" t="inlineStr">
        <is>
          <t>Lưỡi cắt KingBlue S4-105DN</t>
        </is>
      </c>
      <c r="J916" s="3" t="inlineStr">
        <is>
          <t>Cái</t>
        </is>
      </c>
      <c r="K916" s="5" t="n">
        <v>125000</v>
      </c>
      <c r="L916" s="5" t="n">
        <v>147000</v>
      </c>
      <c r="M916" s="6" t="n">
        <v>181000</v>
      </c>
      <c r="N916" s="5" t="n"/>
      <c r="O916" s="5">
        <f>IF(AND(ISNUMBER(N916),ISNUMBER(M916)),N916-M916,"")</f>
        <v/>
      </c>
      <c r="P916" s="7">
        <f>IF(AND(ISNUMBER(N916),ISNUMBER(M916),M916&gt;0),(N916-M916)/M916,"")</f>
        <v/>
      </c>
      <c r="Q916" s="3">
        <f>IF(P916="","",IF(P916&lt;-0.02,"🔴 Bán phá giá sàn",IF(P916&gt;0.05,"🔵 Bán cao hơn","🟢 Đúng giá sàn TMĐT")))</f>
        <v/>
      </c>
      <c r="R916" s="3" t="n"/>
      <c r="S916" s="4" t="n"/>
      <c r="T916" s="4" t="n"/>
    </row>
    <row r="917">
      <c r="A917" s="3" t="n">
        <v>916</v>
      </c>
      <c r="B917" s="3" t="inlineStr">
        <is>
          <t>DL005</t>
        </is>
      </c>
      <c r="C917" s="4" t="inlineStr">
        <is>
          <t>ThinkSafe HCM</t>
        </is>
      </c>
      <c r="D917" s="3" t="inlineStr">
        <is>
          <t>HCM</t>
        </is>
      </c>
      <c r="E917" s="3" t="inlineStr">
        <is>
          <t>XUÂN TRANG</t>
        </is>
      </c>
      <c r="F917" s="3" t="inlineStr">
        <is>
          <t>Shopee, Tiktok</t>
        </is>
      </c>
      <c r="G917" s="4" t="inlineStr">
        <is>
          <t>SHOPEE: https://shopee.vn/baohothinksafe?uls_trackid=56slrjbp02l6&amp;utm_content=3kGSyWceAz2CP3beojAsTsVsisVR TIKTOK: https://www.tiktok.com/@thinksafevn LAZADA: WEBSITE BÁN HÀNG:</t>
        </is>
      </c>
      <c r="H917" s="3" t="inlineStr">
        <is>
          <t>S4-125DN</t>
        </is>
      </c>
      <c r="I917" s="4" t="inlineStr">
        <is>
          <t>Lưỡi cắt KingBlue S4-125DN</t>
        </is>
      </c>
      <c r="J917" s="3" t="inlineStr">
        <is>
          <t>Cái</t>
        </is>
      </c>
      <c r="K917" s="5" t="n">
        <v>150000</v>
      </c>
      <c r="L917" s="5" t="n">
        <v>177000</v>
      </c>
      <c r="M917" s="6" t="n">
        <v>218000</v>
      </c>
      <c r="N917" s="5" t="n"/>
      <c r="O917" s="5">
        <f>IF(AND(ISNUMBER(N917),ISNUMBER(M917)),N917-M917,"")</f>
        <v/>
      </c>
      <c r="P917" s="7">
        <f>IF(AND(ISNUMBER(N917),ISNUMBER(M917),M917&gt;0),(N917-M917)/M917,"")</f>
        <v/>
      </c>
      <c r="Q917" s="3">
        <f>IF(P917="","",IF(P917&lt;-0.02,"🔴 Bán phá giá sàn",IF(P917&gt;0.05,"🔵 Bán cao hơn","🟢 Đúng giá sàn TMĐT")))</f>
        <v/>
      </c>
      <c r="R917" s="3" t="n"/>
      <c r="S917" s="4" t="n"/>
      <c r="T917" s="4" t="n"/>
    </row>
    <row r="918">
      <c r="A918" s="3" t="n">
        <v>917</v>
      </c>
      <c r="B918" s="3" t="inlineStr">
        <is>
          <t>DL005</t>
        </is>
      </c>
      <c r="C918" s="4" t="inlineStr">
        <is>
          <t>ThinkSafe HCM</t>
        </is>
      </c>
      <c r="D918" s="3" t="inlineStr">
        <is>
          <t>HCM</t>
        </is>
      </c>
      <c r="E918" s="3" t="inlineStr">
        <is>
          <t>XUÂN TRANG</t>
        </is>
      </c>
      <c r="F918" s="3" t="inlineStr">
        <is>
          <t>Shopee, Tiktok</t>
        </is>
      </c>
      <c r="G918" s="4" t="inlineStr">
        <is>
          <t>SHOPEE: https://shopee.vn/baohothinksafe?uls_trackid=56slrjbp02l6&amp;utm_content=3kGSyWceAz2CP3beojAsTsVsisVR TIKTOK: https://www.tiktok.com/@thinksafevn LAZADA: WEBSITE BÁN HÀNG:</t>
        </is>
      </c>
      <c r="H918" s="3" t="inlineStr">
        <is>
          <t>T1-114L</t>
        </is>
      </c>
      <c r="I918" s="4" t="inlineStr">
        <is>
          <t>Lưỡi cắt Kingblue T1-114L</t>
        </is>
      </c>
      <c r="J918" s="3" t="inlineStr">
        <is>
          <t>Cái</t>
        </is>
      </c>
      <c r="K918" s="5" t="n">
        <v>61000</v>
      </c>
      <c r="L918" s="5" t="n">
        <v>72000</v>
      </c>
      <c r="M918" s="6" t="n">
        <v>89000</v>
      </c>
      <c r="N918" s="5" t="n"/>
      <c r="O918" s="5">
        <f>IF(AND(ISNUMBER(N918),ISNUMBER(M918)),N918-M918,"")</f>
        <v/>
      </c>
      <c r="P918" s="7">
        <f>IF(AND(ISNUMBER(N918),ISNUMBER(M918),M918&gt;0),(N918-M918)/M918,"")</f>
        <v/>
      </c>
      <c r="Q918" s="3">
        <f>IF(P918="","",IF(P918&lt;-0.02,"🔴 Bán phá giá sàn",IF(P918&gt;0.05,"🔵 Bán cao hơn","🟢 Đúng giá sàn TMĐT")))</f>
        <v/>
      </c>
      <c r="R918" s="3" t="n"/>
      <c r="S918" s="4" t="n"/>
      <c r="T918" s="4" t="n"/>
    </row>
    <row r="919">
      <c r="A919" s="3" t="n">
        <v>918</v>
      </c>
      <c r="B919" s="3" t="inlineStr">
        <is>
          <t>DL005</t>
        </is>
      </c>
      <c r="C919" s="4" t="inlineStr">
        <is>
          <t>ThinkSafe HCM</t>
        </is>
      </c>
      <c r="D919" s="3" t="inlineStr">
        <is>
          <t>HCM</t>
        </is>
      </c>
      <c r="E919" s="3" t="inlineStr">
        <is>
          <t>XUÂN TRANG</t>
        </is>
      </c>
      <c r="F919" s="3" t="inlineStr">
        <is>
          <t>Shopee, Tiktok</t>
        </is>
      </c>
      <c r="G919" s="4" t="inlineStr">
        <is>
          <t>SHOPEE: https://shopee.vn/baohothinksafe?uls_trackid=56slrjbp02l6&amp;utm_content=3kGSyWceAz2CP3beojAsTsVsisVR TIKTOK: https://www.tiktok.com/@thinksafevn LAZADA: WEBSITE BÁN HÀNG:</t>
        </is>
      </c>
      <c r="H919" s="3" t="inlineStr">
        <is>
          <t>T1-114R</t>
        </is>
      </c>
      <c r="I919" s="4" t="inlineStr">
        <is>
          <t>Lưỡi cắt Kingblue T1-114R</t>
        </is>
      </c>
      <c r="J919" s="3" t="inlineStr">
        <is>
          <t>Cái</t>
        </is>
      </c>
      <c r="K919" s="5" t="n">
        <v>61000</v>
      </c>
      <c r="L919" s="5" t="n">
        <v>72000</v>
      </c>
      <c r="M919" s="6" t="n">
        <v>89000</v>
      </c>
      <c r="N919" s="5" t="n"/>
      <c r="O919" s="5">
        <f>IF(AND(ISNUMBER(N919),ISNUMBER(M919)),N919-M919,"")</f>
        <v/>
      </c>
      <c r="P919" s="7">
        <f>IF(AND(ISNUMBER(N919),ISNUMBER(M919),M919&gt;0),(N919-M919)/M919,"")</f>
        <v/>
      </c>
      <c r="Q919" s="3">
        <f>IF(P919="","",IF(P919&lt;-0.02,"🔴 Bán phá giá sàn",IF(P919&gt;0.05,"🔵 Bán cao hơn","🟢 Đúng giá sàn TMĐT")))</f>
        <v/>
      </c>
      <c r="R919" s="3" t="n"/>
      <c r="S919" s="4" t="n"/>
      <c r="T919" s="4" t="n"/>
    </row>
    <row r="920">
      <c r="A920" s="3" t="n">
        <v>919</v>
      </c>
      <c r="B920" s="3" t="inlineStr">
        <is>
          <t>DL005</t>
        </is>
      </c>
      <c r="C920" s="4" t="inlineStr">
        <is>
          <t>ThinkSafe HCM</t>
        </is>
      </c>
      <c r="D920" s="3" t="inlineStr">
        <is>
          <t>HCM</t>
        </is>
      </c>
      <c r="E920" s="3" t="inlineStr">
        <is>
          <t>XUÂN TRANG</t>
        </is>
      </c>
      <c r="F920" s="3" t="inlineStr">
        <is>
          <t>Shopee, Tiktok</t>
        </is>
      </c>
      <c r="G920" s="4" t="inlineStr">
        <is>
          <t>SHOPEE: https://shopee.vn/baohothinksafe?uls_trackid=56slrjbp02l6&amp;utm_content=3kGSyWceAz2CP3beojAsTsVsisVR TIKTOK: https://www.tiktok.com/@thinksafevn LAZADA: WEBSITE BÁN HÀNG:</t>
        </is>
      </c>
      <c r="H920" s="3" t="inlineStr">
        <is>
          <t>V1</t>
        </is>
      </c>
      <c r="I920" s="4" t="inlineStr">
        <is>
          <t>Lưỡi cắt KingBlue V1 110ĐN</t>
        </is>
      </c>
      <c r="J920" s="3" t="inlineStr">
        <is>
          <t>Cái</t>
        </is>
      </c>
      <c r="K920" s="5" t="n">
        <v>59000</v>
      </c>
      <c r="L920" s="5" t="n">
        <v>70000</v>
      </c>
      <c r="M920" s="6" t="n">
        <v>86000</v>
      </c>
      <c r="N920" s="5" t="n"/>
      <c r="O920" s="5">
        <f>IF(AND(ISNUMBER(N920),ISNUMBER(M920)),N920-M920,"")</f>
        <v/>
      </c>
      <c r="P920" s="7">
        <f>IF(AND(ISNUMBER(N920),ISNUMBER(M920),M920&gt;0),(N920-M920)/M920,"")</f>
        <v/>
      </c>
      <c r="Q920" s="3">
        <f>IF(P920="","",IF(P920&lt;-0.02,"🔴 Bán phá giá sàn",IF(P920&gt;0.05,"🔵 Bán cao hơn","🟢 Đúng giá sàn TMĐT")))</f>
        <v/>
      </c>
      <c r="R920" s="3" t="n"/>
      <c r="S920" s="4" t="n"/>
      <c r="T920" s="4" t="n"/>
    </row>
    <row r="921">
      <c r="A921" s="3" t="n">
        <v>920</v>
      </c>
      <c r="B921" s="3" t="inlineStr">
        <is>
          <t>DL005</t>
        </is>
      </c>
      <c r="C921" s="4" t="inlineStr">
        <is>
          <t>ThinkSafe HCM</t>
        </is>
      </c>
      <c r="D921" s="3" t="inlineStr">
        <is>
          <t>HCM</t>
        </is>
      </c>
      <c r="E921" s="3" t="inlineStr">
        <is>
          <t>XUÂN TRANG</t>
        </is>
      </c>
      <c r="F921" s="3" t="inlineStr">
        <is>
          <t>Shopee, Tiktok</t>
        </is>
      </c>
      <c r="G921" s="4" t="inlineStr">
        <is>
          <t>SHOPEE: https://shopee.vn/baohothinksafe?uls_trackid=56slrjbp02l6&amp;utm_content=3kGSyWceAz2CP3beojAsTsVsisVR TIKTOK: https://www.tiktok.com/@thinksafevn LAZADA: WEBSITE BÁN HÀNG:</t>
        </is>
      </c>
      <c r="H921" s="3" t="inlineStr">
        <is>
          <t>V2-110DN</t>
        </is>
      </c>
      <c r="I921" s="4" t="inlineStr">
        <is>
          <t>Lưỡi cắt Kingblue V2-110DN (NEW)</t>
        </is>
      </c>
      <c r="J921" s="3" t="inlineStr">
        <is>
          <t>Cái</t>
        </is>
      </c>
      <c r="K921" s="5" t="n">
        <v>269000</v>
      </c>
      <c r="L921" s="5" t="n">
        <v>317000</v>
      </c>
      <c r="M921" s="6" t="n">
        <v>390000</v>
      </c>
      <c r="N921" s="5" t="n"/>
      <c r="O921" s="5">
        <f>IF(AND(ISNUMBER(N921),ISNUMBER(M921)),N921-M921,"")</f>
        <v/>
      </c>
      <c r="P921" s="7">
        <f>IF(AND(ISNUMBER(N921),ISNUMBER(M921),M921&gt;0),(N921-M921)/M921,"")</f>
        <v/>
      </c>
      <c r="Q921" s="3">
        <f>IF(P921="","",IF(P921&lt;-0.02,"🔴 Bán phá giá sàn",IF(P921&gt;0.05,"🔵 Bán cao hơn","🟢 Đúng giá sàn TMĐT")))</f>
        <v/>
      </c>
      <c r="R921" s="3" t="n"/>
      <c r="S921" s="4" t="n"/>
      <c r="T921" s="4" t="n"/>
    </row>
    <row r="922">
      <c r="A922" s="3" t="n">
        <v>921</v>
      </c>
      <c r="B922" s="3" t="inlineStr">
        <is>
          <t>DL005</t>
        </is>
      </c>
      <c r="C922" s="4" t="inlineStr">
        <is>
          <t>ThinkSafe HCM</t>
        </is>
      </c>
      <c r="D922" s="3" t="inlineStr">
        <is>
          <t>HCM</t>
        </is>
      </c>
      <c r="E922" s="3" t="inlineStr">
        <is>
          <t>XUÂN TRANG</t>
        </is>
      </c>
      <c r="F922" s="3" t="inlineStr">
        <is>
          <t>Shopee, Tiktok</t>
        </is>
      </c>
      <c r="G922" s="4" t="inlineStr">
        <is>
          <t>SHOPEE: https://shopee.vn/baohothinksafe?uls_trackid=56slrjbp02l6&amp;utm_content=3kGSyWceAz2CP3beojAsTsVsisVR TIKTOK: https://www.tiktok.com/@thinksafevn LAZADA: WEBSITE BÁN HÀNG:</t>
        </is>
      </c>
      <c r="H922" s="3" t="inlineStr">
        <is>
          <t>V3-110DN</t>
        </is>
      </c>
      <c r="I922" s="4" t="inlineStr">
        <is>
          <t>Lưỡi cắt KingBlue V3-110DN (NEW)</t>
        </is>
      </c>
      <c r="J922" s="3" t="inlineStr">
        <is>
          <t>Cái</t>
        </is>
      </c>
      <c r="K922" s="5" t="n">
        <v>269000</v>
      </c>
      <c r="L922" s="5" t="n">
        <v>317000</v>
      </c>
      <c r="M922" s="6" t="n">
        <v>390000</v>
      </c>
      <c r="N922" s="5" t="n"/>
      <c r="O922" s="5">
        <f>IF(AND(ISNUMBER(N922),ISNUMBER(M922)),N922-M922,"")</f>
        <v/>
      </c>
      <c r="P922" s="7">
        <f>IF(AND(ISNUMBER(N922),ISNUMBER(M922),M922&gt;0),(N922-M922)/M922,"")</f>
        <v/>
      </c>
      <c r="Q922" s="3">
        <f>IF(P922="","",IF(P922&lt;-0.02,"🔴 Bán phá giá sàn",IF(P922&gt;0.05,"🔵 Bán cao hơn","🟢 Đúng giá sàn TMĐT")))</f>
        <v/>
      </c>
      <c r="R922" s="3" t="n"/>
      <c r="S922" s="4" t="n"/>
      <c r="T922" s="4" t="n"/>
    </row>
    <row r="923">
      <c r="A923" s="3" t="n">
        <v>922</v>
      </c>
      <c r="B923" s="3" t="inlineStr">
        <is>
          <t>DL005</t>
        </is>
      </c>
      <c r="C923" s="4" t="inlineStr">
        <is>
          <t>ThinkSafe HCM</t>
        </is>
      </c>
      <c r="D923" s="3" t="inlineStr">
        <is>
          <t>HCM</t>
        </is>
      </c>
      <c r="E923" s="3" t="inlineStr">
        <is>
          <t>XUÂN TRANG</t>
        </is>
      </c>
      <c r="F923" s="3" t="inlineStr">
        <is>
          <t>Shopee, Tiktok</t>
        </is>
      </c>
      <c r="G923" s="4" t="inlineStr">
        <is>
          <t>SHOPEE: https://shopee.vn/baohothinksafe?uls_trackid=56slrjbp02l6&amp;utm_content=3kGSyWceAz2CP3beojAsTsVsisVR TIKTOK: https://www.tiktok.com/@thinksafevn LAZADA: WEBSITE BÁN HÀNG:</t>
        </is>
      </c>
      <c r="H923" s="3" t="inlineStr">
        <is>
          <t>V3-125ĐN</t>
        </is>
      </c>
      <c r="I923" s="4" t="inlineStr">
        <is>
          <t>Lưỡi cắt KingBlue V3-125ĐN</t>
        </is>
      </c>
      <c r="J923" s="3" t="inlineStr">
        <is>
          <t>Cái</t>
        </is>
      </c>
      <c r="K923" s="5" t="n">
        <v>269000</v>
      </c>
      <c r="L923" s="5" t="n">
        <v>317000</v>
      </c>
      <c r="M923" s="6" t="n">
        <v>390000</v>
      </c>
      <c r="N923" s="5" t="n"/>
      <c r="O923" s="5">
        <f>IF(AND(ISNUMBER(N923),ISNUMBER(M923)),N923-M923,"")</f>
        <v/>
      </c>
      <c r="P923" s="7">
        <f>IF(AND(ISNUMBER(N923),ISNUMBER(M923),M923&gt;0),(N923-M923)/M923,"")</f>
        <v/>
      </c>
      <c r="Q923" s="3">
        <f>IF(P923="","",IF(P923&lt;-0.02,"🔴 Bán phá giá sàn",IF(P923&gt;0.05,"🔵 Bán cao hơn","🟢 Đúng giá sàn TMĐT")))</f>
        <v/>
      </c>
      <c r="R923" s="3" t="n"/>
      <c r="S923" s="4" t="n"/>
      <c r="T923" s="4" t="n"/>
    </row>
    <row r="924">
      <c r="A924" s="3" t="n">
        <v>923</v>
      </c>
      <c r="B924" s="3" t="inlineStr">
        <is>
          <t>DL005</t>
        </is>
      </c>
      <c r="C924" s="4" t="inlineStr">
        <is>
          <t>ThinkSafe HCM</t>
        </is>
      </c>
      <c r="D924" s="3" t="inlineStr">
        <is>
          <t>HCM</t>
        </is>
      </c>
      <c r="E924" s="3" t="inlineStr">
        <is>
          <t>XUÂN TRANG</t>
        </is>
      </c>
      <c r="F924" s="3" t="inlineStr">
        <is>
          <t>Shopee, Tiktok</t>
        </is>
      </c>
      <c r="G924" s="4" t="inlineStr">
        <is>
          <t>SHOPEE: https://shopee.vn/baohothinksafe?uls_trackid=56slrjbp02l6&amp;utm_content=3kGSyWceAz2CP3beojAsTsVsisVR TIKTOK: https://www.tiktok.com/@thinksafevn LAZADA: WEBSITE BÁN HÀNG:</t>
        </is>
      </c>
      <c r="H924" s="3" t="inlineStr">
        <is>
          <t>V3-150ĐN</t>
        </is>
      </c>
      <c r="I924" s="4" t="inlineStr">
        <is>
          <t>Lưỡi cắt KingBlue V3-150ĐN</t>
        </is>
      </c>
      <c r="J924" s="3" t="inlineStr">
        <is>
          <t>Cái</t>
        </is>
      </c>
      <c r="K924" s="5" t="n">
        <v>269000</v>
      </c>
      <c r="L924" s="5" t="n">
        <v>317000</v>
      </c>
      <c r="M924" s="6" t="n">
        <v>390000</v>
      </c>
      <c r="N924" s="5" t="n"/>
      <c r="O924" s="5">
        <f>IF(AND(ISNUMBER(N924),ISNUMBER(M924)),N924-M924,"")</f>
        <v/>
      </c>
      <c r="P924" s="7">
        <f>IF(AND(ISNUMBER(N924),ISNUMBER(M924),M924&gt;0),(N924-M924)/M924,"")</f>
        <v/>
      </c>
      <c r="Q924" s="3">
        <f>IF(P924="","",IF(P924&lt;-0.02,"🔴 Bán phá giá sàn",IF(P924&gt;0.05,"🔵 Bán cao hơn","🟢 Đúng giá sàn TMĐT")))</f>
        <v/>
      </c>
      <c r="R924" s="3" t="n"/>
      <c r="S924" s="4" t="n"/>
      <c r="T924" s="4" t="n"/>
    </row>
    <row r="925">
      <c r="A925" s="3" t="n">
        <v>924</v>
      </c>
      <c r="B925" s="3" t="inlineStr">
        <is>
          <t>DL005</t>
        </is>
      </c>
      <c r="C925" s="4" t="inlineStr">
        <is>
          <t>ThinkSafe HCM</t>
        </is>
      </c>
      <c r="D925" s="3" t="inlineStr">
        <is>
          <t>HCM</t>
        </is>
      </c>
      <c r="E925" s="3" t="inlineStr">
        <is>
          <t>XUÂN TRANG</t>
        </is>
      </c>
      <c r="F925" s="3" t="inlineStr">
        <is>
          <t>Shopee, Tiktok</t>
        </is>
      </c>
      <c r="G925" s="4" t="inlineStr">
        <is>
          <t>SHOPEE: https://shopee.vn/baohothinksafe?uls_trackid=56slrjbp02l6&amp;utm_content=3kGSyWceAz2CP3beojAsTsVsisVR TIKTOK: https://www.tiktok.com/@thinksafevn LAZADA: WEBSITE BÁN HÀNG:</t>
        </is>
      </c>
      <c r="H925" s="3" t="inlineStr">
        <is>
          <t>V3-180ĐN</t>
        </is>
      </c>
      <c r="I925" s="4" t="inlineStr">
        <is>
          <t>Lưỡi cắt KingBlue V3-180ĐN</t>
        </is>
      </c>
      <c r="J925" s="3" t="inlineStr">
        <is>
          <t>Cái</t>
        </is>
      </c>
      <c r="K925" s="5" t="n">
        <v>269000</v>
      </c>
      <c r="L925" s="5" t="n">
        <v>317000</v>
      </c>
      <c r="M925" s="6" t="n">
        <v>390000</v>
      </c>
      <c r="N925" s="5" t="n"/>
      <c r="O925" s="5">
        <f>IF(AND(ISNUMBER(N925),ISNUMBER(M925)),N925-M925,"")</f>
        <v/>
      </c>
      <c r="P925" s="7">
        <f>IF(AND(ISNUMBER(N925),ISNUMBER(M925),M925&gt;0),(N925-M925)/M925,"")</f>
        <v/>
      </c>
      <c r="Q925" s="3">
        <f>IF(P925="","",IF(P925&lt;-0.02,"🔴 Bán phá giá sàn",IF(P925&gt;0.05,"🔵 Bán cao hơn","🟢 Đúng giá sàn TMĐT")))</f>
        <v/>
      </c>
      <c r="R925" s="3" t="n"/>
      <c r="S925" s="4" t="n"/>
      <c r="T925" s="4" t="n"/>
    </row>
    <row r="926">
      <c r="A926" s="3" t="n">
        <v>925</v>
      </c>
      <c r="B926" s="3" t="inlineStr">
        <is>
          <t>DL005</t>
        </is>
      </c>
      <c r="C926" s="4" t="inlineStr">
        <is>
          <t>ThinkSafe HCM</t>
        </is>
      </c>
      <c r="D926" s="3" t="inlineStr">
        <is>
          <t>HCM</t>
        </is>
      </c>
      <c r="E926" s="3" t="inlineStr">
        <is>
          <t>XUÂN TRANG</t>
        </is>
      </c>
      <c r="F926" s="3" t="inlineStr">
        <is>
          <t>Shopee, Tiktok</t>
        </is>
      </c>
      <c r="G926" s="4" t="inlineStr">
        <is>
          <t>SHOPEE: https://shopee.vn/baohothinksafe?uls_trackid=56slrjbp02l6&amp;utm_content=3kGSyWceAz2CP3beojAsTsVsisVR TIKTOK: https://www.tiktok.com/@thinksafevn LAZADA: WEBSITE BÁN HÀNG:</t>
        </is>
      </c>
      <c r="H926" s="3" t="inlineStr">
        <is>
          <t>V3-230ĐN</t>
        </is>
      </c>
      <c r="I926" s="4" t="inlineStr">
        <is>
          <t>Lưỡi cắt KingBlue V3-230ĐN</t>
        </is>
      </c>
      <c r="J926" s="3" t="inlineStr">
        <is>
          <t>Cái</t>
        </is>
      </c>
      <c r="K926" s="5" t="n">
        <v>269000</v>
      </c>
      <c r="L926" s="5" t="n">
        <v>317000</v>
      </c>
      <c r="M926" s="6" t="n">
        <v>390000</v>
      </c>
      <c r="N926" s="5" t="n"/>
      <c r="O926" s="5">
        <f>IF(AND(ISNUMBER(N926),ISNUMBER(M926)),N926-M926,"")</f>
        <v/>
      </c>
      <c r="P926" s="7">
        <f>IF(AND(ISNUMBER(N926),ISNUMBER(M926),M926&gt;0),(N926-M926)/M926,"")</f>
        <v/>
      </c>
      <c r="Q926" s="3">
        <f>IF(P926="","",IF(P926&lt;-0.02,"🔴 Bán phá giá sàn",IF(P926&gt;0.05,"🔵 Bán cao hơn","🟢 Đúng giá sàn TMĐT")))</f>
        <v/>
      </c>
      <c r="R926" s="3" t="n"/>
      <c r="S926" s="4" t="n"/>
      <c r="T926" s="4" t="n"/>
    </row>
    <row r="927">
      <c r="A927" s="3" t="n">
        <v>926</v>
      </c>
      <c r="B927" s="3" t="inlineStr">
        <is>
          <t>DL005</t>
        </is>
      </c>
      <c r="C927" s="4" t="inlineStr">
        <is>
          <t>ThinkSafe HCM</t>
        </is>
      </c>
      <c r="D927" s="3" t="inlineStr">
        <is>
          <t>HCM</t>
        </is>
      </c>
      <c r="E927" s="3" t="inlineStr">
        <is>
          <t>XUÂN TRANG</t>
        </is>
      </c>
      <c r="F927" s="3" t="inlineStr">
        <is>
          <t>Shopee, Tiktok</t>
        </is>
      </c>
      <c r="G927" s="4" t="inlineStr">
        <is>
          <t>SHOPEE: https://shopee.vn/baohothinksafe?uls_trackid=56slrjbp02l6&amp;utm_content=3kGSyWceAz2CP3beojAsTsVsisVR TIKTOK: https://www.tiktok.com/@thinksafevn LAZADA: WEBSITE BÁN HÀNG:</t>
        </is>
      </c>
      <c r="H927" s="3" t="inlineStr">
        <is>
          <t>K1-1502032T</t>
        </is>
      </c>
      <c r="I927" s="4" t="inlineStr">
        <is>
          <t>Lưỡi cưa hợp kim KingBlue K1-150*20*32T</t>
        </is>
      </c>
      <c r="J927" s="3" t="inlineStr">
        <is>
          <t>Cái</t>
        </is>
      </c>
      <c r="K927" s="5" t="n">
        <v>273000</v>
      </c>
      <c r="L927" s="5" t="n">
        <v>322000</v>
      </c>
      <c r="M927" s="6" t="n">
        <v>396000</v>
      </c>
      <c r="N927" s="5" t="n"/>
      <c r="O927" s="5">
        <f>IF(AND(ISNUMBER(N927),ISNUMBER(M927)),N927-M927,"")</f>
        <v/>
      </c>
      <c r="P927" s="7">
        <f>IF(AND(ISNUMBER(N927),ISNUMBER(M927),M927&gt;0),(N927-M927)/M927,"")</f>
        <v/>
      </c>
      <c r="Q927" s="3">
        <f>IF(P927="","",IF(P927&lt;-0.02,"🔴 Bán phá giá sàn",IF(P927&gt;0.05,"🔵 Bán cao hơn","🟢 Đúng giá sàn TMĐT")))</f>
        <v/>
      </c>
      <c r="R927" s="3" t="n"/>
      <c r="S927" s="4" t="n"/>
      <c r="T927" s="4" t="n"/>
    </row>
    <row r="928">
      <c r="A928" s="3" t="n">
        <v>927</v>
      </c>
      <c r="B928" s="3" t="inlineStr">
        <is>
          <t>DL005</t>
        </is>
      </c>
      <c r="C928" s="4" t="inlineStr">
        <is>
          <t>ThinkSafe HCM</t>
        </is>
      </c>
      <c r="D928" s="3" t="inlineStr">
        <is>
          <t>HCM</t>
        </is>
      </c>
      <c r="E928" s="3" t="inlineStr">
        <is>
          <t>XUÂN TRANG</t>
        </is>
      </c>
      <c r="F928" s="3" t="inlineStr">
        <is>
          <t>Shopee, Tiktok</t>
        </is>
      </c>
      <c r="G928" s="4" t="inlineStr">
        <is>
          <t>SHOPEE: https://shopee.vn/baohothinksafe?uls_trackid=56slrjbp02l6&amp;utm_content=3kGSyWceAz2CP3beojAsTsVsisVR TIKTOK: https://www.tiktok.com/@thinksafevn LAZADA: WEBSITE BÁN HÀNG:</t>
        </is>
      </c>
      <c r="H928" s="3" t="inlineStr">
        <is>
          <t>K1-185x32T</t>
        </is>
      </c>
      <c r="I928" s="4" t="inlineStr">
        <is>
          <t>Lưỡi cưa kim loại KingBlue K1-185x32T (Cưa sắt)</t>
        </is>
      </c>
      <c r="J928" s="3" t="inlineStr">
        <is>
          <t>Cái</t>
        </is>
      </c>
      <c r="K928" s="5" t="n">
        <v>273000</v>
      </c>
      <c r="L928" s="5" t="n">
        <v>322000</v>
      </c>
      <c r="M928" s="6" t="n">
        <v>396000</v>
      </c>
      <c r="N928" s="5" t="n"/>
      <c r="O928" s="5">
        <f>IF(AND(ISNUMBER(N928),ISNUMBER(M928)),N928-M928,"")</f>
        <v/>
      </c>
      <c r="P928" s="7">
        <f>IF(AND(ISNUMBER(N928),ISNUMBER(M928),M928&gt;0),(N928-M928)/M928,"")</f>
        <v/>
      </c>
      <c r="Q928" s="3">
        <f>IF(P928="","",IF(P928&lt;-0.02,"🔴 Bán phá giá sàn",IF(P928&gt;0.05,"🔵 Bán cao hơn","🟢 Đúng giá sàn TMĐT")))</f>
        <v/>
      </c>
      <c r="R928" s="3" t="n"/>
      <c r="S928" s="4" t="n"/>
      <c r="T928" s="4" t="n"/>
    </row>
    <row r="929">
      <c r="A929" s="3" t="n">
        <v>928</v>
      </c>
      <c r="B929" s="3" t="inlineStr">
        <is>
          <t>DL005</t>
        </is>
      </c>
      <c r="C929" s="4" t="inlineStr">
        <is>
          <t>ThinkSafe HCM</t>
        </is>
      </c>
      <c r="D929" s="3" t="inlineStr">
        <is>
          <t>HCM</t>
        </is>
      </c>
      <c r="E929" s="3" t="inlineStr">
        <is>
          <t>XUÂN TRANG</t>
        </is>
      </c>
      <c r="F929" s="3" t="inlineStr">
        <is>
          <t>Shopee, Tiktok</t>
        </is>
      </c>
      <c r="G929" s="4" t="inlineStr">
        <is>
          <t>SHOPEE: https://shopee.vn/baohothinksafe?uls_trackid=56slrjbp02l6&amp;utm_content=3kGSyWceAz2CP3beojAsTsVsisVR TIKTOK: https://www.tiktok.com/@thinksafevn LAZADA: WEBSITE BÁN HÀNG:</t>
        </is>
      </c>
      <c r="H929" s="3" t="inlineStr">
        <is>
          <t>KB-LE350</t>
        </is>
      </c>
      <c r="I929" s="4" t="inlineStr">
        <is>
          <t>Lưỡi Cưa KingBlue KB-LE350</t>
        </is>
      </c>
      <c r="J929" s="3" t="inlineStr">
        <is>
          <t>Cái</t>
        </is>
      </c>
      <c r="K929" s="5" t="n">
        <v>158000</v>
      </c>
      <c r="L929" s="5" t="n">
        <v>186000</v>
      </c>
      <c r="M929" s="6" t="n">
        <v>229000</v>
      </c>
      <c r="N929" s="5" t="n"/>
      <c r="O929" s="5">
        <f>IF(AND(ISNUMBER(N929),ISNUMBER(M929)),N929-M929,"")</f>
        <v/>
      </c>
      <c r="P929" s="7">
        <f>IF(AND(ISNUMBER(N929),ISNUMBER(M929),M929&gt;0),(N929-M929)/M929,"")</f>
        <v/>
      </c>
      <c r="Q929" s="3">
        <f>IF(P929="","",IF(P929&lt;-0.02,"🔴 Bán phá giá sàn",IF(P929&gt;0.05,"🔵 Bán cao hơn","🟢 Đúng giá sàn TMĐT")))</f>
        <v/>
      </c>
      <c r="R929" s="3" t="n"/>
      <c r="S929" s="4" t="n"/>
      <c r="T929" s="4" t="n"/>
    </row>
    <row r="930">
      <c r="A930" s="3" t="n">
        <v>929</v>
      </c>
      <c r="B930" s="3" t="inlineStr">
        <is>
          <t>DL005</t>
        </is>
      </c>
      <c r="C930" s="4" t="inlineStr">
        <is>
          <t>ThinkSafe HCM</t>
        </is>
      </c>
      <c r="D930" s="3" t="inlineStr">
        <is>
          <t>HCM</t>
        </is>
      </c>
      <c r="E930" s="3" t="inlineStr">
        <is>
          <t>XUÂN TRANG</t>
        </is>
      </c>
      <c r="F930" s="3" t="inlineStr">
        <is>
          <t>Shopee, Tiktok</t>
        </is>
      </c>
      <c r="G930" s="4" t="inlineStr">
        <is>
          <t>SHOPEE: https://shopee.vn/baohothinksafe?uls_trackid=56slrjbp02l6&amp;utm_content=3kGSyWceAz2CP3beojAsTsVsisVR TIKTOK: https://www.tiktok.com/@thinksafevn LAZADA: WEBSITE BÁN HÀNG:</t>
        </is>
      </c>
      <c r="H930" s="3" t="inlineStr">
        <is>
          <t>X1-110x40T</t>
        </is>
      </c>
      <c r="I930" s="4" t="inlineStr">
        <is>
          <t>Lưỡi cưa KingBlue X1-110x40T (Cưa gỗ)</t>
        </is>
      </c>
      <c r="J930" s="3" t="inlineStr">
        <is>
          <t>Cái</t>
        </is>
      </c>
      <c r="K930" s="5" t="n">
        <v>91000</v>
      </c>
      <c r="L930" s="5" t="n">
        <v>107000</v>
      </c>
      <c r="M930" s="6" t="n">
        <v>132000</v>
      </c>
      <c r="N930" s="5" t="n"/>
      <c r="O930" s="5">
        <f>IF(AND(ISNUMBER(N930),ISNUMBER(M930)),N930-M930,"")</f>
        <v/>
      </c>
      <c r="P930" s="7">
        <f>IF(AND(ISNUMBER(N930),ISNUMBER(M930),M930&gt;0),(N930-M930)/M930,"")</f>
        <v/>
      </c>
      <c r="Q930" s="3">
        <f>IF(P930="","",IF(P930&lt;-0.02,"🔴 Bán phá giá sàn",IF(P930&gt;0.05,"🔵 Bán cao hơn","🟢 Đúng giá sàn TMĐT")))</f>
        <v/>
      </c>
      <c r="R930" s="3" t="n"/>
      <c r="S930" s="4" t="n"/>
      <c r="T930" s="4" t="n"/>
    </row>
    <row r="931">
      <c r="A931" s="3" t="n">
        <v>930</v>
      </c>
      <c r="B931" s="3" t="inlineStr">
        <is>
          <t>DL005</t>
        </is>
      </c>
      <c r="C931" s="4" t="inlineStr">
        <is>
          <t>ThinkSafe HCM</t>
        </is>
      </c>
      <c r="D931" s="3" t="inlineStr">
        <is>
          <t>HCM</t>
        </is>
      </c>
      <c r="E931" s="3" t="inlineStr">
        <is>
          <t>XUÂN TRANG</t>
        </is>
      </c>
      <c r="F931" s="3" t="inlineStr">
        <is>
          <t>Shopee, Tiktok</t>
        </is>
      </c>
      <c r="G931" s="4" t="inlineStr">
        <is>
          <t>SHOPEE: https://shopee.vn/baohothinksafe?uls_trackid=56slrjbp02l6&amp;utm_content=3kGSyWceAz2CP3beojAsTsVsisVR TIKTOK: https://www.tiktok.com/@thinksafevn LAZADA: WEBSITE BÁN HÀNG:</t>
        </is>
      </c>
      <c r="H931" s="3" t="inlineStr">
        <is>
          <t>XS-110x30T</t>
        </is>
      </c>
      <c r="I931" s="4" t="inlineStr">
        <is>
          <t>Lưỡi cưa Kingblue XS-110x30T (Cưa gỗ)-NEW</t>
        </is>
      </c>
      <c r="J931" s="3" t="inlineStr">
        <is>
          <t>Cái</t>
        </is>
      </c>
      <c r="K931" s="5" t="n">
        <v>72000</v>
      </c>
      <c r="L931" s="5" t="n">
        <v>85000</v>
      </c>
      <c r="M931" s="6" t="n">
        <v>104000</v>
      </c>
      <c r="N931" s="5" t="n"/>
      <c r="O931" s="5">
        <f>IF(AND(ISNUMBER(N931),ISNUMBER(M931)),N931-M931,"")</f>
        <v/>
      </c>
      <c r="P931" s="7">
        <f>IF(AND(ISNUMBER(N931),ISNUMBER(M931),M931&gt;0),(N931-M931)/M931,"")</f>
        <v/>
      </c>
      <c r="Q931" s="3">
        <f>IF(P931="","",IF(P931&lt;-0.02,"🔴 Bán phá giá sàn",IF(P931&gt;0.05,"🔵 Bán cao hơn","🟢 Đúng giá sàn TMĐT")))</f>
        <v/>
      </c>
      <c r="R931" s="3" t="n"/>
      <c r="S931" s="4" t="n"/>
      <c r="T931" s="4" t="n"/>
    </row>
    <row r="932">
      <c r="A932" s="3" t="n">
        <v>931</v>
      </c>
      <c r="B932" s="3" t="inlineStr">
        <is>
          <t>DL005</t>
        </is>
      </c>
      <c r="C932" s="4" t="inlineStr">
        <is>
          <t>ThinkSafe HCM</t>
        </is>
      </c>
      <c r="D932" s="3" t="inlineStr">
        <is>
          <t>HCM</t>
        </is>
      </c>
      <c r="E932" s="3" t="inlineStr">
        <is>
          <t>XUÂN TRANG</t>
        </is>
      </c>
      <c r="F932" s="3" t="inlineStr">
        <is>
          <t>Shopee, Tiktok</t>
        </is>
      </c>
      <c r="G932" s="4" t="inlineStr">
        <is>
          <t>SHOPEE: https://shopee.vn/baohothinksafe?uls_trackid=56slrjbp02l6&amp;utm_content=3kGSyWceAz2CP3beojAsTsVsisVR TIKTOK: https://www.tiktok.com/@thinksafevn LAZADA: WEBSITE BÁN HÀNG:</t>
        </is>
      </c>
      <c r="H932" s="3" t="inlineStr">
        <is>
          <t>JH-06</t>
        </is>
      </c>
      <c r="I932" s="4" t="inlineStr">
        <is>
          <t>Lưỡi dao rọc cáp đa năng JH-06</t>
        </is>
      </c>
      <c r="J932" s="3" t="inlineStr">
        <is>
          <t>Vỉ</t>
        </is>
      </c>
      <c r="K932" s="5" t="n">
        <v>22000</v>
      </c>
      <c r="L932" s="5" t="n">
        <v>26000</v>
      </c>
      <c r="M932" s="6" t="n">
        <v>32000</v>
      </c>
      <c r="N932" s="5" t="n"/>
      <c r="O932" s="5">
        <f>IF(AND(ISNUMBER(N932),ISNUMBER(M932)),N932-M932,"")</f>
        <v/>
      </c>
      <c r="P932" s="7">
        <f>IF(AND(ISNUMBER(N932),ISNUMBER(M932),M932&gt;0),(N932-M932)/M932,"")</f>
        <v/>
      </c>
      <c r="Q932" s="3">
        <f>IF(P932="","",IF(P932&lt;-0.02,"🔴 Bán phá giá sàn",IF(P932&gt;0.05,"🔵 Bán cao hơn","🟢 Đúng giá sàn TMĐT")))</f>
        <v/>
      </c>
      <c r="R932" s="3" t="n"/>
      <c r="S932" s="4" t="n"/>
      <c r="T932" s="4" t="n"/>
    </row>
    <row r="933">
      <c r="A933" s="3" t="n">
        <v>932</v>
      </c>
      <c r="B933" s="3" t="inlineStr">
        <is>
          <t>DL005</t>
        </is>
      </c>
      <c r="C933" s="4" t="inlineStr">
        <is>
          <t>ThinkSafe HCM</t>
        </is>
      </c>
      <c r="D933" s="3" t="inlineStr">
        <is>
          <t>HCM</t>
        </is>
      </c>
      <c r="E933" s="3" t="inlineStr">
        <is>
          <t>XUÂN TRANG</t>
        </is>
      </c>
      <c r="F933" s="3" t="inlineStr">
        <is>
          <t>Shopee, Tiktok</t>
        </is>
      </c>
      <c r="G933" s="4" t="inlineStr">
        <is>
          <t>SHOPEE: https://shopee.vn/baohothinksafe?uls_trackid=56slrjbp02l6&amp;utm_content=3kGSyWceAz2CP3beojAsTsVsisVR TIKTOK: https://www.tiktok.com/@thinksafevn LAZADA: WEBSITE BÁN HÀNG:</t>
        </is>
      </c>
      <c r="H933" s="3" t="inlineStr">
        <is>
          <t>JH-59</t>
        </is>
      </c>
      <c r="I933" s="4" t="inlineStr">
        <is>
          <t>Lưỡi dao rọc giấy JH-59</t>
        </is>
      </c>
      <c r="J933" s="3" t="inlineStr">
        <is>
          <t>Vỉ</t>
        </is>
      </c>
      <c r="K933" s="5" t="n">
        <v>14600</v>
      </c>
      <c r="L933" s="5" t="n">
        <v>17000</v>
      </c>
      <c r="M933" s="6" t="n">
        <v>21000</v>
      </c>
      <c r="N933" s="5" t="n"/>
      <c r="O933" s="5">
        <f>IF(AND(ISNUMBER(N933),ISNUMBER(M933)),N933-M933,"")</f>
        <v/>
      </c>
      <c r="P933" s="7">
        <f>IF(AND(ISNUMBER(N933),ISNUMBER(M933),M933&gt;0),(N933-M933)/M933,"")</f>
        <v/>
      </c>
      <c r="Q933" s="3">
        <f>IF(P933="","",IF(P933&lt;-0.02,"🔴 Bán phá giá sàn",IF(P933&gt;0.05,"🔵 Bán cao hơn","🟢 Đúng giá sàn TMĐT")))</f>
        <v/>
      </c>
      <c r="R933" s="3" t="n"/>
      <c r="S933" s="4" t="n"/>
      <c r="T933" s="4" t="n"/>
    </row>
    <row r="934">
      <c r="A934" s="3" t="n">
        <v>933</v>
      </c>
      <c r="B934" s="3" t="inlineStr">
        <is>
          <t>DL005</t>
        </is>
      </c>
      <c r="C934" s="4" t="inlineStr">
        <is>
          <t>ThinkSafe HCM</t>
        </is>
      </c>
      <c r="D934" s="3" t="inlineStr">
        <is>
          <t>HCM</t>
        </is>
      </c>
      <c r="E934" s="3" t="inlineStr">
        <is>
          <t>XUÂN TRANG</t>
        </is>
      </c>
      <c r="F934" s="3" t="inlineStr">
        <is>
          <t>Shopee, Tiktok</t>
        </is>
      </c>
      <c r="G934" s="4" t="inlineStr">
        <is>
          <t>SHOPEE: https://shopee.vn/baohothinksafe?uls_trackid=56slrjbp02l6&amp;utm_content=3kGSyWceAz2CP3beojAsTsVsisVR TIKTOK: https://www.tiktok.com/@thinksafevn LAZADA: WEBSITE BÁN HÀNG:</t>
        </is>
      </c>
      <c r="H934" s="3" t="inlineStr">
        <is>
          <t>KB-02XS</t>
        </is>
      </c>
      <c r="I934" s="4" t="inlineStr">
        <is>
          <t>Máy cân bằng KB-02XS</t>
        </is>
      </c>
      <c r="J934" s="3" t="inlineStr">
        <is>
          <t>Cái</t>
        </is>
      </c>
      <c r="K934" s="5" t="n">
        <v>269000</v>
      </c>
      <c r="L934" s="5" t="n">
        <v>317000</v>
      </c>
      <c r="M934" s="6" t="n">
        <v>390000</v>
      </c>
      <c r="N934" s="5" t="n"/>
      <c r="O934" s="5">
        <f>IF(AND(ISNUMBER(N934),ISNUMBER(M934)),N934-M934,"")</f>
        <v/>
      </c>
      <c r="P934" s="7">
        <f>IF(AND(ISNUMBER(N934),ISNUMBER(M934),M934&gt;0),(N934-M934)/M934,"")</f>
        <v/>
      </c>
      <c r="Q934" s="3">
        <f>IF(P934="","",IF(P934&lt;-0.02,"🔴 Bán phá giá sàn",IF(P934&gt;0.05,"🔵 Bán cao hơn","🟢 Đúng giá sàn TMĐT")))</f>
        <v/>
      </c>
      <c r="R934" s="3" t="n"/>
      <c r="S934" s="4" t="n"/>
      <c r="T934" s="4" t="n"/>
    </row>
    <row r="935">
      <c r="A935" s="3" t="n">
        <v>934</v>
      </c>
      <c r="B935" s="3" t="inlineStr">
        <is>
          <t>DL005</t>
        </is>
      </c>
      <c r="C935" s="4" t="inlineStr">
        <is>
          <t>ThinkSafe HCM</t>
        </is>
      </c>
      <c r="D935" s="3" t="inlineStr">
        <is>
          <t>HCM</t>
        </is>
      </c>
      <c r="E935" s="3" t="inlineStr">
        <is>
          <t>XUÂN TRANG</t>
        </is>
      </c>
      <c r="F935" s="3" t="inlineStr">
        <is>
          <t>Shopee, Tiktok</t>
        </is>
      </c>
      <c r="G935" s="4" t="inlineStr">
        <is>
          <t>SHOPEE: https://shopee.vn/baohothinksafe?uls_trackid=56slrjbp02l6&amp;utm_content=3kGSyWceAz2CP3beojAsTsVsisVR TIKTOK: https://www.tiktok.com/@thinksafevn LAZADA: WEBSITE BÁN HÀNG:</t>
        </is>
      </c>
      <c r="H935" s="3" t="inlineStr">
        <is>
          <t>KB-05XS</t>
        </is>
      </c>
      <c r="I935" s="4" t="inlineStr">
        <is>
          <t>Máy cân bằng KB-05XS</t>
        </is>
      </c>
      <c r="J935" s="3" t="inlineStr">
        <is>
          <t>Cái</t>
        </is>
      </c>
      <c r="K935" s="5" t="n">
        <v>2090000</v>
      </c>
      <c r="L935" s="5" t="n">
        <v>2340000</v>
      </c>
      <c r="M935" s="6" t="n">
        <v>2720000</v>
      </c>
      <c r="N935" s="5" t="n"/>
      <c r="O935" s="5">
        <f>IF(AND(ISNUMBER(N935),ISNUMBER(M935)),N935-M935,"")</f>
        <v/>
      </c>
      <c r="P935" s="7">
        <f>IF(AND(ISNUMBER(N935),ISNUMBER(M935),M935&gt;0),(N935-M935)/M935,"")</f>
        <v/>
      </c>
      <c r="Q935" s="3">
        <f>IF(P935="","",IF(P935&lt;-0.02,"🔴 Bán phá giá sàn",IF(P935&gt;0.05,"🔵 Bán cao hơn","🟢 Đúng giá sàn TMĐT")))</f>
        <v/>
      </c>
      <c r="R935" s="3" t="n"/>
      <c r="S935" s="4" t="n"/>
      <c r="T935" s="4" t="n"/>
    </row>
    <row r="936">
      <c r="A936" s="3" t="n">
        <v>935</v>
      </c>
      <c r="B936" s="3" t="inlineStr">
        <is>
          <t>DL005</t>
        </is>
      </c>
      <c r="C936" s="4" t="inlineStr">
        <is>
          <t>ThinkSafe HCM</t>
        </is>
      </c>
      <c r="D936" s="3" t="inlineStr">
        <is>
          <t>HCM</t>
        </is>
      </c>
      <c r="E936" s="3" t="inlineStr">
        <is>
          <t>XUÂN TRANG</t>
        </is>
      </c>
      <c r="F936" s="3" t="inlineStr">
        <is>
          <t>Shopee, Tiktok</t>
        </is>
      </c>
      <c r="G936" s="4" t="inlineStr">
        <is>
          <t>SHOPEE: https://shopee.vn/baohothinksafe?uls_trackid=56slrjbp02l6&amp;utm_content=3kGSyWceAz2CP3beojAsTsVsisVR TIKTOK: https://www.tiktok.com/@thinksafevn LAZADA: WEBSITE BÁN HÀNG:</t>
        </is>
      </c>
      <c r="H936" s="3" t="inlineStr">
        <is>
          <t>KUC60</t>
        </is>
      </c>
      <c r="I936" s="4" t="inlineStr">
        <is>
          <t>Mỏ hàn thiếc KUC60</t>
        </is>
      </c>
      <c r="J936" s="3" t="inlineStr">
        <is>
          <t>Cái</t>
        </is>
      </c>
      <c r="K936" s="5" t="n">
        <v>132000</v>
      </c>
      <c r="L936" s="5" t="n">
        <v>156000</v>
      </c>
      <c r="M936" s="6" t="n">
        <v>191000</v>
      </c>
      <c r="N936" s="5" t="n"/>
      <c r="O936" s="5">
        <f>IF(AND(ISNUMBER(N936),ISNUMBER(M936)),N936-M936,"")</f>
        <v/>
      </c>
      <c r="P936" s="7">
        <f>IF(AND(ISNUMBER(N936),ISNUMBER(M936),M936&gt;0),(N936-M936)/M936,"")</f>
        <v/>
      </c>
      <c r="Q936" s="3">
        <f>IF(P936="","",IF(P936&lt;-0.02,"🔴 Bán phá giá sàn",IF(P936&gt;0.05,"🔵 Bán cao hơn","🟢 Đúng giá sàn TMĐT")))</f>
        <v/>
      </c>
      <c r="R936" s="3" t="n"/>
      <c r="S936" s="4" t="n"/>
      <c r="T936" s="4" t="n"/>
    </row>
    <row r="937">
      <c r="A937" s="3" t="n">
        <v>936</v>
      </c>
      <c r="B937" s="3" t="inlineStr">
        <is>
          <t>DL005</t>
        </is>
      </c>
      <c r="C937" s="4" t="inlineStr">
        <is>
          <t>ThinkSafe HCM</t>
        </is>
      </c>
      <c r="D937" s="3" t="inlineStr">
        <is>
          <t>HCM</t>
        </is>
      </c>
      <c r="E937" s="3" t="inlineStr">
        <is>
          <t>XUÂN TRANG</t>
        </is>
      </c>
      <c r="F937" s="3" t="inlineStr">
        <is>
          <t>Shopee, Tiktok</t>
        </is>
      </c>
      <c r="G937" s="4" t="inlineStr">
        <is>
          <t>SHOPEE: https://shopee.vn/baohothinksafe?uls_trackid=56slrjbp02l6&amp;utm_content=3kGSyWceAz2CP3beojAsTsVsisVR TIKTOK: https://www.tiktok.com/@thinksafevn LAZADA: WEBSITE BÁN HÀNG:</t>
        </is>
      </c>
      <c r="H937" s="3" t="inlineStr">
        <is>
          <t>KUC80</t>
        </is>
      </c>
      <c r="I937" s="4" t="inlineStr">
        <is>
          <t>Mỏ hàn thiếc KUC80</t>
        </is>
      </c>
      <c r="J937" s="3" t="inlineStr">
        <is>
          <t>Cái</t>
        </is>
      </c>
      <c r="K937" s="5" t="n">
        <v>154000</v>
      </c>
      <c r="L937" s="5" t="n">
        <v>182000</v>
      </c>
      <c r="M937" s="6" t="n">
        <v>223000</v>
      </c>
      <c r="N937" s="5" t="n"/>
      <c r="O937" s="5">
        <f>IF(AND(ISNUMBER(N937),ISNUMBER(M937)),N937-M937,"")</f>
        <v/>
      </c>
      <c r="P937" s="7">
        <f>IF(AND(ISNUMBER(N937),ISNUMBER(M937),M937&gt;0),(N937-M937)/M937,"")</f>
        <v/>
      </c>
      <c r="Q937" s="3">
        <f>IF(P937="","",IF(P937&lt;-0.02,"🔴 Bán phá giá sàn",IF(P937&gt;0.05,"🔵 Bán cao hơn","🟢 Đúng giá sàn TMĐT")))</f>
        <v/>
      </c>
      <c r="R937" s="3" t="n"/>
      <c r="S937" s="4" t="n"/>
      <c r="T937" s="4" t="n"/>
    </row>
    <row r="938">
      <c r="A938" s="3" t="n">
        <v>937</v>
      </c>
      <c r="B938" s="3" t="inlineStr">
        <is>
          <t>DL005</t>
        </is>
      </c>
      <c r="C938" s="4" t="inlineStr">
        <is>
          <t>ThinkSafe HCM</t>
        </is>
      </c>
      <c r="D938" s="3" t="inlineStr">
        <is>
          <t>HCM</t>
        </is>
      </c>
      <c r="E938" s="3" t="inlineStr">
        <is>
          <t>XUÂN TRANG</t>
        </is>
      </c>
      <c r="F938" s="3" t="inlineStr">
        <is>
          <t>Shopee, Tiktok</t>
        </is>
      </c>
      <c r="G938" s="4" t="inlineStr">
        <is>
          <t>SHOPEE: https://shopee.vn/baohothinksafe?uls_trackid=56slrjbp02l6&amp;utm_content=3kGSyWceAz2CP3beojAsTsVsisVR TIKTOK: https://www.tiktok.com/@thinksafevn LAZADA: WEBSITE BÁN HÀNG:</t>
        </is>
      </c>
      <c r="H938" s="3" t="inlineStr">
        <is>
          <t>KD1-200</t>
        </is>
      </c>
      <c r="I938" s="4" t="inlineStr">
        <is>
          <t>Mỏ lết KD1-200</t>
        </is>
      </c>
      <c r="J938" s="3" t="inlineStr">
        <is>
          <t>Cái</t>
        </is>
      </c>
      <c r="K938" s="5" t="n">
        <v>86000</v>
      </c>
      <c r="L938" s="5" t="n">
        <v>102000</v>
      </c>
      <c r="M938" s="6" t="n">
        <v>125000</v>
      </c>
      <c r="N938" s="5" t="n"/>
      <c r="O938" s="5">
        <f>IF(AND(ISNUMBER(N938),ISNUMBER(M938)),N938-M938,"")</f>
        <v/>
      </c>
      <c r="P938" s="7">
        <f>IF(AND(ISNUMBER(N938),ISNUMBER(M938),M938&gt;0),(N938-M938)/M938,"")</f>
        <v/>
      </c>
      <c r="Q938" s="3">
        <f>IF(P938="","",IF(P938&lt;-0.02,"🔴 Bán phá giá sàn",IF(P938&gt;0.05,"🔵 Bán cao hơn","🟢 Đúng giá sàn TMĐT")))</f>
        <v/>
      </c>
      <c r="R938" s="3" t="n"/>
      <c r="S938" s="4" t="n"/>
      <c r="T938" s="4" t="n"/>
    </row>
    <row r="939">
      <c r="A939" s="3" t="n">
        <v>938</v>
      </c>
      <c r="B939" s="3" t="inlineStr">
        <is>
          <t>DL005</t>
        </is>
      </c>
      <c r="C939" s="4" t="inlineStr">
        <is>
          <t>ThinkSafe HCM</t>
        </is>
      </c>
      <c r="D939" s="3" t="inlineStr">
        <is>
          <t>HCM</t>
        </is>
      </c>
      <c r="E939" s="3" t="inlineStr">
        <is>
          <t>XUÂN TRANG</t>
        </is>
      </c>
      <c r="F939" s="3" t="inlineStr">
        <is>
          <t>Shopee, Tiktok</t>
        </is>
      </c>
      <c r="G939" s="4" t="inlineStr">
        <is>
          <t>SHOPEE: https://shopee.vn/baohothinksafe?uls_trackid=56slrjbp02l6&amp;utm_content=3kGSyWceAz2CP3beojAsTsVsisVR TIKTOK: https://www.tiktok.com/@thinksafevn LAZADA: WEBSITE BÁN HÀNG:</t>
        </is>
      </c>
      <c r="H939" s="3" t="inlineStr">
        <is>
          <t>KD5-150</t>
        </is>
      </c>
      <c r="I939" s="4" t="inlineStr">
        <is>
          <t>Mỏ lết KD5-150</t>
        </is>
      </c>
      <c r="J939" s="3" t="inlineStr">
        <is>
          <t>Cái</t>
        </is>
      </c>
      <c r="K939" s="5" t="n">
        <v>149000</v>
      </c>
      <c r="L939" s="5" t="n">
        <v>176000</v>
      </c>
      <c r="M939" s="6" t="n">
        <v>216000</v>
      </c>
      <c r="N939" s="5" t="n"/>
      <c r="O939" s="5">
        <f>IF(AND(ISNUMBER(N939),ISNUMBER(M939)),N939-M939,"")</f>
        <v/>
      </c>
      <c r="P939" s="7">
        <f>IF(AND(ISNUMBER(N939),ISNUMBER(M939),M939&gt;0),(N939-M939)/M939,"")</f>
        <v/>
      </c>
      <c r="Q939" s="3">
        <f>IF(P939="","",IF(P939&lt;-0.02,"🔴 Bán phá giá sàn",IF(P939&gt;0.05,"🔵 Bán cao hơn","🟢 Đúng giá sàn TMĐT")))</f>
        <v/>
      </c>
      <c r="R939" s="3" t="n"/>
      <c r="S939" s="4" t="n"/>
      <c r="T939" s="4" t="n"/>
    </row>
    <row r="940">
      <c r="A940" s="3" t="n">
        <v>939</v>
      </c>
      <c r="B940" s="3" t="inlineStr">
        <is>
          <t>DL005</t>
        </is>
      </c>
      <c r="C940" s="4" t="inlineStr">
        <is>
          <t>ThinkSafe HCM</t>
        </is>
      </c>
      <c r="D940" s="3" t="inlineStr">
        <is>
          <t>HCM</t>
        </is>
      </c>
      <c r="E940" s="3" t="inlineStr">
        <is>
          <t>XUÂN TRANG</t>
        </is>
      </c>
      <c r="F940" s="3" t="inlineStr">
        <is>
          <t>Shopee, Tiktok</t>
        </is>
      </c>
      <c r="G940" s="4" t="inlineStr">
        <is>
          <t>SHOPEE: https://shopee.vn/baohothinksafe?uls_trackid=56slrjbp02l6&amp;utm_content=3kGSyWceAz2CP3beojAsTsVsisVR TIKTOK: https://www.tiktok.com/@thinksafevn LAZADA: WEBSITE BÁN HÀNG:</t>
        </is>
      </c>
      <c r="H940" s="3" t="inlineStr">
        <is>
          <t>KD5-200</t>
        </is>
      </c>
      <c r="I940" s="4" t="inlineStr">
        <is>
          <t>Mỏ lết KD5-200</t>
        </is>
      </c>
      <c r="J940" s="3" t="inlineStr">
        <is>
          <t>Cái</t>
        </is>
      </c>
      <c r="K940" s="5" t="n">
        <v>193000</v>
      </c>
      <c r="L940" s="5" t="n">
        <v>228000</v>
      </c>
      <c r="M940" s="6" t="n">
        <v>280000</v>
      </c>
      <c r="N940" s="5" t="n"/>
      <c r="O940" s="5">
        <f>IF(AND(ISNUMBER(N940),ISNUMBER(M940)),N940-M940,"")</f>
        <v/>
      </c>
      <c r="P940" s="7">
        <f>IF(AND(ISNUMBER(N940),ISNUMBER(M940),M940&gt;0),(N940-M940)/M940,"")</f>
        <v/>
      </c>
      <c r="Q940" s="3">
        <f>IF(P940="","",IF(P940&lt;-0.02,"🔴 Bán phá giá sàn",IF(P940&gt;0.05,"🔵 Bán cao hơn","🟢 Đúng giá sàn TMĐT")))</f>
        <v/>
      </c>
      <c r="R940" s="3" t="n"/>
      <c r="S940" s="4" t="n"/>
      <c r="T940" s="4" t="n"/>
    </row>
    <row r="941">
      <c r="A941" s="3" t="n">
        <v>940</v>
      </c>
      <c r="B941" s="3" t="inlineStr">
        <is>
          <t>DL005</t>
        </is>
      </c>
      <c r="C941" s="4" t="inlineStr">
        <is>
          <t>ThinkSafe HCM</t>
        </is>
      </c>
      <c r="D941" s="3" t="inlineStr">
        <is>
          <t>HCM</t>
        </is>
      </c>
      <c r="E941" s="3" t="inlineStr">
        <is>
          <t>XUÂN TRANG</t>
        </is>
      </c>
      <c r="F941" s="3" t="inlineStr">
        <is>
          <t>Shopee, Tiktok</t>
        </is>
      </c>
      <c r="G941" s="4" t="inlineStr">
        <is>
          <t>SHOPEE: https://shopee.vn/baohothinksafe?uls_trackid=56slrjbp02l6&amp;utm_content=3kGSyWceAz2CP3beojAsTsVsisVR TIKTOK: https://www.tiktok.com/@thinksafevn LAZADA: WEBSITE BÁN HÀNG:</t>
        </is>
      </c>
      <c r="H941" s="3" t="inlineStr">
        <is>
          <t>KD5-250</t>
        </is>
      </c>
      <c r="I941" s="4" t="inlineStr">
        <is>
          <t>Mỏ lết KD5-250</t>
        </is>
      </c>
      <c r="J941" s="3" t="inlineStr">
        <is>
          <t>Cái</t>
        </is>
      </c>
      <c r="K941" s="5" t="n">
        <v>292000</v>
      </c>
      <c r="L941" s="5" t="n">
        <v>344000</v>
      </c>
      <c r="M941" s="6" t="n">
        <v>423000</v>
      </c>
      <c r="N941" s="5" t="n"/>
      <c r="O941" s="5">
        <f>IF(AND(ISNUMBER(N941),ISNUMBER(M941)),N941-M941,"")</f>
        <v/>
      </c>
      <c r="P941" s="7">
        <f>IF(AND(ISNUMBER(N941),ISNUMBER(M941),M941&gt;0),(N941-M941)/M941,"")</f>
        <v/>
      </c>
      <c r="Q941" s="3">
        <f>IF(P941="","",IF(P941&lt;-0.02,"🔴 Bán phá giá sàn",IF(P941&gt;0.05,"🔵 Bán cao hơn","🟢 Đúng giá sàn TMĐT")))</f>
        <v/>
      </c>
      <c r="R941" s="3" t="n"/>
      <c r="S941" s="4" t="n"/>
      <c r="T941" s="4" t="n"/>
    </row>
    <row r="942">
      <c r="A942" s="3" t="n">
        <v>941</v>
      </c>
      <c r="B942" s="3" t="inlineStr">
        <is>
          <t>DL005</t>
        </is>
      </c>
      <c r="C942" s="4" t="inlineStr">
        <is>
          <t>ThinkSafe HCM</t>
        </is>
      </c>
      <c r="D942" s="3" t="inlineStr">
        <is>
          <t>HCM</t>
        </is>
      </c>
      <c r="E942" s="3" t="inlineStr">
        <is>
          <t>XUÂN TRANG</t>
        </is>
      </c>
      <c r="F942" s="3" t="inlineStr">
        <is>
          <t>Shopee, Tiktok</t>
        </is>
      </c>
      <c r="G942" s="4" t="inlineStr">
        <is>
          <t>SHOPEE: https://shopee.vn/baohothinksafe?uls_trackid=56slrjbp02l6&amp;utm_content=3kGSyWceAz2CP3beojAsTsVsisVR TIKTOK: https://www.tiktok.com/@thinksafevn LAZADA: WEBSITE BÁN HÀNG:</t>
        </is>
      </c>
      <c r="H942" s="3" t="inlineStr">
        <is>
          <t>KD5-300</t>
        </is>
      </c>
      <c r="I942" s="4" t="inlineStr">
        <is>
          <t>Mỏ lết KD5-300</t>
        </is>
      </c>
      <c r="J942" s="3" t="inlineStr">
        <is>
          <t>Cái</t>
        </is>
      </c>
      <c r="K942" s="5" t="n">
        <v>413000</v>
      </c>
      <c r="L942" s="5" t="n">
        <v>487000</v>
      </c>
      <c r="M942" s="6" t="n">
        <v>599000</v>
      </c>
      <c r="N942" s="5" t="n"/>
      <c r="O942" s="5">
        <f>IF(AND(ISNUMBER(N942),ISNUMBER(M942)),N942-M942,"")</f>
        <v/>
      </c>
      <c r="P942" s="7">
        <f>IF(AND(ISNUMBER(N942),ISNUMBER(M942),M942&gt;0),(N942-M942)/M942,"")</f>
        <v/>
      </c>
      <c r="Q942" s="3">
        <f>IF(P942="","",IF(P942&lt;-0.02,"🔴 Bán phá giá sàn",IF(P942&gt;0.05,"🔵 Bán cao hơn","🟢 Đúng giá sàn TMĐT")))</f>
        <v/>
      </c>
      <c r="R942" s="3" t="n"/>
      <c r="S942" s="4" t="n"/>
      <c r="T942" s="4" t="n"/>
    </row>
    <row r="943">
      <c r="A943" s="3" t="n">
        <v>942</v>
      </c>
      <c r="B943" s="3" t="inlineStr">
        <is>
          <t>DL005</t>
        </is>
      </c>
      <c r="C943" s="4" t="inlineStr">
        <is>
          <t>ThinkSafe HCM</t>
        </is>
      </c>
      <c r="D943" s="3" t="inlineStr">
        <is>
          <t>HCM</t>
        </is>
      </c>
      <c r="E943" s="3" t="inlineStr">
        <is>
          <t>XUÂN TRANG</t>
        </is>
      </c>
      <c r="F943" s="3" t="inlineStr">
        <is>
          <t>Shopee, Tiktok</t>
        </is>
      </c>
      <c r="G943" s="4" t="inlineStr">
        <is>
          <t>SHOPEE: https://shopee.vn/baohothinksafe?uls_trackid=56slrjbp02l6&amp;utm_content=3kGSyWceAz2CP3beojAsTsVsisVR TIKTOK: https://www.tiktok.com/@thinksafevn LAZADA: WEBSITE BÁN HÀNG:</t>
        </is>
      </c>
      <c r="H943" s="3" t="inlineStr">
        <is>
          <t>KW-300</t>
        </is>
      </c>
      <c r="I943" s="4" t="inlineStr">
        <is>
          <t>Mỏ lết răng KW-300</t>
        </is>
      </c>
      <c r="J943" s="3" t="inlineStr">
        <is>
          <t>Cái</t>
        </is>
      </c>
      <c r="K943" s="5" t="n">
        <v>141000</v>
      </c>
      <c r="L943" s="5" t="n">
        <v>167000</v>
      </c>
      <c r="M943" s="6" t="n">
        <v>205000</v>
      </c>
      <c r="N943" s="5" t="n"/>
      <c r="O943" s="5">
        <f>IF(AND(ISNUMBER(N943),ISNUMBER(M943)),N943-M943,"")</f>
        <v/>
      </c>
      <c r="P943" s="7">
        <f>IF(AND(ISNUMBER(N943),ISNUMBER(M943),M943&gt;0),(N943-M943)/M943,"")</f>
        <v/>
      </c>
      <c r="Q943" s="3">
        <f>IF(P943="","",IF(P943&lt;-0.02,"🔴 Bán phá giá sàn",IF(P943&gt;0.05,"🔵 Bán cao hơn","🟢 Đúng giá sàn TMĐT")))</f>
        <v/>
      </c>
      <c r="R943" s="3" t="n"/>
      <c r="S943" s="4" t="n"/>
      <c r="T943" s="4" t="n"/>
    </row>
    <row r="944">
      <c r="A944" s="3" t="n">
        <v>943</v>
      </c>
      <c r="B944" s="3" t="inlineStr">
        <is>
          <t>DL005</t>
        </is>
      </c>
      <c r="C944" s="4" t="inlineStr">
        <is>
          <t>ThinkSafe HCM</t>
        </is>
      </c>
      <c r="D944" s="3" t="inlineStr">
        <is>
          <t>HCM</t>
        </is>
      </c>
      <c r="E944" s="3" t="inlineStr">
        <is>
          <t>XUÂN TRANG</t>
        </is>
      </c>
      <c r="F944" s="3" t="inlineStr">
        <is>
          <t>Shopee, Tiktok</t>
        </is>
      </c>
      <c r="G944" s="4" t="inlineStr">
        <is>
          <t>SHOPEE: https://shopee.vn/baohothinksafe?uls_trackid=56slrjbp02l6&amp;utm_content=3kGSyWceAz2CP3beojAsTsVsisVR TIKTOK: https://www.tiktok.com/@thinksafevn LAZADA: WEBSITE BÁN HÀNG:</t>
        </is>
      </c>
      <c r="H944" s="3" t="inlineStr">
        <is>
          <t>KW-350</t>
        </is>
      </c>
      <c r="I944" s="4" t="inlineStr">
        <is>
          <t>Mỏ lết răng KW-350</t>
        </is>
      </c>
      <c r="J944" s="3" t="inlineStr">
        <is>
          <t>Cái</t>
        </is>
      </c>
      <c r="K944" s="5" t="n">
        <v>174000</v>
      </c>
      <c r="L944" s="5" t="n">
        <v>205000</v>
      </c>
      <c r="M944" s="6" t="n">
        <v>252000</v>
      </c>
      <c r="N944" s="5" t="n"/>
      <c r="O944" s="5">
        <f>IF(AND(ISNUMBER(N944),ISNUMBER(M944)),N944-M944,"")</f>
        <v/>
      </c>
      <c r="P944" s="7">
        <f>IF(AND(ISNUMBER(N944),ISNUMBER(M944),M944&gt;0),(N944-M944)/M944,"")</f>
        <v/>
      </c>
      <c r="Q944" s="3">
        <f>IF(P944="","",IF(P944&lt;-0.02,"🔴 Bán phá giá sàn",IF(P944&gt;0.05,"🔵 Bán cao hơn","🟢 Đúng giá sàn TMĐT")))</f>
        <v/>
      </c>
      <c r="R944" s="3" t="n"/>
      <c r="S944" s="4" t="n"/>
      <c r="T944" s="4" t="n"/>
    </row>
    <row r="945">
      <c r="A945" s="3" t="n">
        <v>944</v>
      </c>
      <c r="B945" s="3" t="inlineStr">
        <is>
          <t>DL005</t>
        </is>
      </c>
      <c r="C945" s="4" t="inlineStr">
        <is>
          <t>ThinkSafe HCM</t>
        </is>
      </c>
      <c r="D945" s="3" t="inlineStr">
        <is>
          <t>HCM</t>
        </is>
      </c>
      <c r="E945" s="3" t="inlineStr">
        <is>
          <t>XUÂN TRANG</t>
        </is>
      </c>
      <c r="F945" s="3" t="inlineStr">
        <is>
          <t>Shopee, Tiktok</t>
        </is>
      </c>
      <c r="G945" s="4" t="inlineStr">
        <is>
          <t>SHOPEE: https://shopee.vn/baohothinksafe?uls_trackid=56slrjbp02l6&amp;utm_content=3kGSyWceAz2CP3beojAsTsVsisVR TIKTOK: https://www.tiktok.com/@thinksafevn LAZADA: WEBSITE BÁN HÀNG:</t>
        </is>
      </c>
      <c r="H945" s="3" t="inlineStr">
        <is>
          <t>KW-450</t>
        </is>
      </c>
      <c r="I945" s="4" t="inlineStr">
        <is>
          <t>Mỏ lết răng KW-450</t>
        </is>
      </c>
      <c r="J945" s="3" t="inlineStr">
        <is>
          <t>Cái</t>
        </is>
      </c>
      <c r="K945" s="5" t="n">
        <v>248000</v>
      </c>
      <c r="L945" s="5" t="n">
        <v>293000</v>
      </c>
      <c r="M945" s="6" t="n">
        <v>360000</v>
      </c>
      <c r="N945" s="5" t="n"/>
      <c r="O945" s="5">
        <f>IF(AND(ISNUMBER(N945),ISNUMBER(M945)),N945-M945,"")</f>
        <v/>
      </c>
      <c r="P945" s="7">
        <f>IF(AND(ISNUMBER(N945),ISNUMBER(M945),M945&gt;0),(N945-M945)/M945,"")</f>
        <v/>
      </c>
      <c r="Q945" s="3">
        <f>IF(P945="","",IF(P945&lt;-0.02,"🔴 Bán phá giá sàn",IF(P945&gt;0.05,"🔵 Bán cao hơn","🟢 Đúng giá sàn TMĐT")))</f>
        <v/>
      </c>
      <c r="R945" s="3" t="n"/>
      <c r="S945" s="4" t="n"/>
      <c r="T945" s="4" t="n"/>
    </row>
    <row r="946">
      <c r="A946" s="3" t="n">
        <v>945</v>
      </c>
      <c r="B946" s="3" t="inlineStr">
        <is>
          <t>DL005</t>
        </is>
      </c>
      <c r="C946" s="4" t="inlineStr">
        <is>
          <t>ThinkSafe HCM</t>
        </is>
      </c>
      <c r="D946" s="3" t="inlineStr">
        <is>
          <t>HCM</t>
        </is>
      </c>
      <c r="E946" s="3" t="inlineStr">
        <is>
          <t>XUÂN TRANG</t>
        </is>
      </c>
      <c r="F946" s="3" t="inlineStr">
        <is>
          <t>Shopee, Tiktok</t>
        </is>
      </c>
      <c r="G946" s="4" t="inlineStr">
        <is>
          <t>SHOPEE: https://shopee.vn/baohothinksafe?uls_trackid=56slrjbp02l6&amp;utm_content=3kGSyWceAz2CP3beojAsTsVsisVR TIKTOK: https://www.tiktok.com/@thinksafevn LAZADA: WEBSITE BÁN HÀNG:</t>
        </is>
      </c>
      <c r="H946" s="3" t="inlineStr">
        <is>
          <t>KW-600</t>
        </is>
      </c>
      <c r="I946" s="4" t="inlineStr">
        <is>
          <t>Mỏ lết răng KW-600</t>
        </is>
      </c>
      <c r="J946" s="3" t="inlineStr">
        <is>
          <t>Cái</t>
        </is>
      </c>
      <c r="K946" s="5" t="n">
        <v>352000</v>
      </c>
      <c r="L946" s="5" t="n">
        <v>415000</v>
      </c>
      <c r="M946" s="6" t="n">
        <v>510000</v>
      </c>
      <c r="N946" s="5" t="n"/>
      <c r="O946" s="5">
        <f>IF(AND(ISNUMBER(N946),ISNUMBER(M946)),N946-M946,"")</f>
        <v/>
      </c>
      <c r="P946" s="7">
        <f>IF(AND(ISNUMBER(N946),ISNUMBER(M946),M946&gt;0),(N946-M946)/M946,"")</f>
        <v/>
      </c>
      <c r="Q946" s="3">
        <f>IF(P946="","",IF(P946&lt;-0.02,"🔴 Bán phá giá sàn",IF(P946&gt;0.05,"🔵 Bán cao hơn","🟢 Đúng giá sàn TMĐT")))</f>
        <v/>
      </c>
      <c r="R946" s="3" t="n"/>
      <c r="S946" s="4" t="n"/>
      <c r="T946" s="4" t="n"/>
    </row>
    <row r="947">
      <c r="A947" s="3" t="n">
        <v>946</v>
      </c>
      <c r="B947" s="3" t="inlineStr">
        <is>
          <t>DL005</t>
        </is>
      </c>
      <c r="C947" s="4" t="inlineStr">
        <is>
          <t>ThinkSafe HCM</t>
        </is>
      </c>
      <c r="D947" s="3" t="inlineStr">
        <is>
          <t>HCM</t>
        </is>
      </c>
      <c r="E947" s="3" t="inlineStr">
        <is>
          <t>XUÂN TRANG</t>
        </is>
      </c>
      <c r="F947" s="3" t="inlineStr">
        <is>
          <t>Shopee, Tiktok</t>
        </is>
      </c>
      <c r="G947" s="4" t="inlineStr">
        <is>
          <t>SHOPEE: https://shopee.vn/baohothinksafe?uls_trackid=56slrjbp02l6&amp;utm_content=3kGSyWceAz2CP3beojAsTsVsisVR TIKTOK: https://www.tiktok.com/@thinksafevn LAZADA: WEBSITE BÁN HÀNG:</t>
        </is>
      </c>
      <c r="H947" s="3" t="inlineStr">
        <is>
          <t>V100R</t>
        </is>
      </c>
      <c r="I947" s="4" t="inlineStr">
        <is>
          <t>Mũi bắn vít chống trượt KingBlue V100R</t>
        </is>
      </c>
      <c r="J947" s="3" t="inlineStr">
        <is>
          <t>Vỉ</t>
        </is>
      </c>
      <c r="K947" s="5" t="n">
        <v>29000</v>
      </c>
      <c r="L947" s="5" t="n">
        <v>37000</v>
      </c>
      <c r="M947" s="6" t="n">
        <v>48000</v>
      </c>
      <c r="N947" s="5" t="n"/>
      <c r="O947" s="5">
        <f>IF(AND(ISNUMBER(N947),ISNUMBER(M947)),N947-M947,"")</f>
        <v/>
      </c>
      <c r="P947" s="7">
        <f>IF(AND(ISNUMBER(N947),ISNUMBER(M947),M947&gt;0),(N947-M947)/M947,"")</f>
        <v/>
      </c>
      <c r="Q947" s="3">
        <f>IF(P947="","",IF(P947&lt;-0.02,"🔴 Bán phá giá sàn",IF(P947&gt;0.05,"🔵 Bán cao hơn","🟢 Đúng giá sàn TMĐT")))</f>
        <v/>
      </c>
      <c r="R947" s="3" t="n"/>
      <c r="S947" s="4" t="n"/>
      <c r="T947" s="4" t="n"/>
    </row>
    <row r="948">
      <c r="A948" s="3" t="n">
        <v>947</v>
      </c>
      <c r="B948" s="3" t="inlineStr">
        <is>
          <t>DL005</t>
        </is>
      </c>
      <c r="C948" s="4" t="inlineStr">
        <is>
          <t>ThinkSafe HCM</t>
        </is>
      </c>
      <c r="D948" s="3" t="inlineStr">
        <is>
          <t>HCM</t>
        </is>
      </c>
      <c r="E948" s="3" t="inlineStr">
        <is>
          <t>XUÂN TRANG</t>
        </is>
      </c>
      <c r="F948" s="3" t="inlineStr">
        <is>
          <t>Shopee, Tiktok</t>
        </is>
      </c>
      <c r="G948" s="4" t="inlineStr">
        <is>
          <t>SHOPEE: https://shopee.vn/baohothinksafe?uls_trackid=56slrjbp02l6&amp;utm_content=3kGSyWceAz2CP3beojAsTsVsisVR TIKTOK: https://www.tiktok.com/@thinksafevn LAZADA: WEBSITE BÁN HÀNG:</t>
        </is>
      </c>
      <c r="H948" s="3" t="inlineStr">
        <is>
          <t>V150R</t>
        </is>
      </c>
      <c r="I948" s="4" t="inlineStr">
        <is>
          <t>Mũi bắn vít chống trượt KingBlue V150R</t>
        </is>
      </c>
      <c r="J948" s="3" t="inlineStr">
        <is>
          <t>Vỉ</t>
        </is>
      </c>
      <c r="K948" s="5" t="n">
        <v>40000</v>
      </c>
      <c r="L948" s="5" t="n">
        <v>50000</v>
      </c>
      <c r="M948" s="6" t="n">
        <v>66000</v>
      </c>
      <c r="N948" s="5" t="n"/>
      <c r="O948" s="5">
        <f>IF(AND(ISNUMBER(N948),ISNUMBER(M948)),N948-M948,"")</f>
        <v/>
      </c>
      <c r="P948" s="7">
        <f>IF(AND(ISNUMBER(N948),ISNUMBER(M948),M948&gt;0),(N948-M948)/M948,"")</f>
        <v/>
      </c>
      <c r="Q948" s="3">
        <f>IF(P948="","",IF(P948&lt;-0.02,"🔴 Bán phá giá sàn",IF(P948&gt;0.05,"🔵 Bán cao hơn","🟢 Đúng giá sàn TMĐT")))</f>
        <v/>
      </c>
      <c r="R948" s="3" t="n"/>
      <c r="S948" s="4" t="n"/>
      <c r="T948" s="4" t="n"/>
    </row>
    <row r="949">
      <c r="A949" s="3" t="n">
        <v>948</v>
      </c>
      <c r="B949" s="3" t="inlineStr">
        <is>
          <t>DL005</t>
        </is>
      </c>
      <c r="C949" s="4" t="inlineStr">
        <is>
          <t>ThinkSafe HCM</t>
        </is>
      </c>
      <c r="D949" s="3" t="inlineStr">
        <is>
          <t>HCM</t>
        </is>
      </c>
      <c r="E949" s="3" t="inlineStr">
        <is>
          <t>XUÂN TRANG</t>
        </is>
      </c>
      <c r="F949" s="3" t="inlineStr">
        <is>
          <t>Shopee, Tiktok</t>
        </is>
      </c>
      <c r="G949" s="4" t="inlineStr">
        <is>
          <t>SHOPEE: https://shopee.vn/baohothinksafe?uls_trackid=56slrjbp02l6&amp;utm_content=3kGSyWceAz2CP3beojAsTsVsisVR TIKTOK: https://www.tiktok.com/@thinksafevn LAZADA: WEBSITE BÁN HÀNG:</t>
        </is>
      </c>
      <c r="H949" s="3" t="inlineStr">
        <is>
          <t>V65R</t>
        </is>
      </c>
      <c r="I949" s="4" t="inlineStr">
        <is>
          <t>Mũi bắn vít chống trượt KingBlue V65R</t>
        </is>
      </c>
      <c r="J949" s="3" t="inlineStr">
        <is>
          <t>Vỉ</t>
        </is>
      </c>
      <c r="K949" s="5" t="n">
        <v>20000</v>
      </c>
      <c r="L949" s="5" t="n">
        <v>25000</v>
      </c>
      <c r="M949" s="6" t="n">
        <v>33000</v>
      </c>
      <c r="N949" s="5" t="n"/>
      <c r="O949" s="5">
        <f>IF(AND(ISNUMBER(N949),ISNUMBER(M949)),N949-M949,"")</f>
        <v/>
      </c>
      <c r="P949" s="7">
        <f>IF(AND(ISNUMBER(N949),ISNUMBER(M949),M949&gt;0),(N949-M949)/M949,"")</f>
        <v/>
      </c>
      <c r="Q949" s="3">
        <f>IF(P949="","",IF(P949&lt;-0.02,"🔴 Bán phá giá sàn",IF(P949&gt;0.05,"🔵 Bán cao hơn","🟢 Đúng giá sàn TMĐT")))</f>
        <v/>
      </c>
      <c r="R949" s="3" t="n"/>
      <c r="S949" s="4" t="n"/>
      <c r="T949" s="4" t="n"/>
    </row>
    <row r="950">
      <c r="A950" s="3" t="n">
        <v>949</v>
      </c>
      <c r="B950" s="3" t="inlineStr">
        <is>
          <t>DL005</t>
        </is>
      </c>
      <c r="C950" s="4" t="inlineStr">
        <is>
          <t>ThinkSafe HCM</t>
        </is>
      </c>
      <c r="D950" s="3" t="inlineStr">
        <is>
          <t>HCM</t>
        </is>
      </c>
      <c r="E950" s="3" t="inlineStr">
        <is>
          <t>XUÂN TRANG</t>
        </is>
      </c>
      <c r="F950" s="3" t="inlineStr">
        <is>
          <t>Shopee, Tiktok</t>
        </is>
      </c>
      <c r="G950" s="4" t="inlineStr">
        <is>
          <t>SHOPEE: https://shopee.vn/baohothinksafe?uls_trackid=56slrjbp02l6&amp;utm_content=3kGSyWceAz2CP3beojAsTsVsisVR TIKTOK: https://www.tiktok.com/@thinksafevn LAZADA: WEBSITE BÁN HÀNG:</t>
        </is>
      </c>
      <c r="H950" s="3" t="inlineStr">
        <is>
          <t>V100S</t>
        </is>
      </c>
      <c r="I950" s="4" t="inlineStr">
        <is>
          <t>Mũi bắn vít PH2 V100S</t>
        </is>
      </c>
      <c r="J950" s="3" t="inlineStr">
        <is>
          <t>Vỉ</t>
        </is>
      </c>
      <c r="K950" s="5" t="n">
        <v>44000</v>
      </c>
      <c r="L950" s="5" t="n">
        <v>56000</v>
      </c>
      <c r="M950" s="6" t="n">
        <v>73000</v>
      </c>
      <c r="N950" s="5" t="n"/>
      <c r="O950" s="5">
        <f>IF(AND(ISNUMBER(N950),ISNUMBER(M950)),N950-M950,"")</f>
        <v/>
      </c>
      <c r="P950" s="7">
        <f>IF(AND(ISNUMBER(N950),ISNUMBER(M950),M950&gt;0),(N950-M950)/M950,"")</f>
        <v/>
      </c>
      <c r="Q950" s="3">
        <f>IF(P950="","",IF(P950&lt;-0.02,"🔴 Bán phá giá sàn",IF(P950&gt;0.05,"🔵 Bán cao hơn","🟢 Đúng giá sàn TMĐT")))</f>
        <v/>
      </c>
      <c r="R950" s="3" t="n"/>
      <c r="S950" s="4" t="n"/>
      <c r="T950" s="4" t="n"/>
    </row>
    <row r="951">
      <c r="A951" s="3" t="n">
        <v>950</v>
      </c>
      <c r="B951" s="3" t="inlineStr">
        <is>
          <t>DL005</t>
        </is>
      </c>
      <c r="C951" s="4" t="inlineStr">
        <is>
          <t>ThinkSafe HCM</t>
        </is>
      </c>
      <c r="D951" s="3" t="inlineStr">
        <is>
          <t>HCM</t>
        </is>
      </c>
      <c r="E951" s="3" t="inlineStr">
        <is>
          <t>XUÂN TRANG</t>
        </is>
      </c>
      <c r="F951" s="3" t="inlineStr">
        <is>
          <t>Shopee, Tiktok</t>
        </is>
      </c>
      <c r="G951" s="4" t="inlineStr">
        <is>
          <t>SHOPEE: https://shopee.vn/baohothinksafe?uls_trackid=56slrjbp02l6&amp;utm_content=3kGSyWceAz2CP3beojAsTsVsisVR TIKTOK: https://www.tiktok.com/@thinksafevn LAZADA: WEBSITE BÁN HÀNG:</t>
        </is>
      </c>
      <c r="H951" s="3" t="inlineStr">
        <is>
          <t>V50S</t>
        </is>
      </c>
      <c r="I951" s="4" t="inlineStr">
        <is>
          <t>Mũi bắn vít PH2 V50S</t>
        </is>
      </c>
      <c r="J951" s="3" t="inlineStr">
        <is>
          <t>Vỉ</t>
        </is>
      </c>
      <c r="K951" s="5" t="n">
        <v>28000</v>
      </c>
      <c r="L951" s="5" t="n">
        <v>36000</v>
      </c>
      <c r="M951" s="6" t="n">
        <v>48000</v>
      </c>
      <c r="N951" s="5" t="n"/>
      <c r="O951" s="5">
        <f>IF(AND(ISNUMBER(N951),ISNUMBER(M951)),N951-M951,"")</f>
        <v/>
      </c>
      <c r="P951" s="7">
        <f>IF(AND(ISNUMBER(N951),ISNUMBER(M951),M951&gt;0),(N951-M951)/M951,"")</f>
        <v/>
      </c>
      <c r="Q951" s="3">
        <f>IF(P951="","",IF(P951&lt;-0.02,"🔴 Bán phá giá sàn",IF(P951&gt;0.05,"🔵 Bán cao hơn","🟢 Đúng giá sàn TMĐT")))</f>
        <v/>
      </c>
      <c r="R951" s="3" t="n"/>
      <c r="S951" s="4" t="n"/>
      <c r="T951" s="4" t="n"/>
    </row>
    <row r="952">
      <c r="A952" s="3" t="n">
        <v>951</v>
      </c>
      <c r="B952" s="3" t="inlineStr">
        <is>
          <t>DL005</t>
        </is>
      </c>
      <c r="C952" s="4" t="inlineStr">
        <is>
          <t>ThinkSafe HCM</t>
        </is>
      </c>
      <c r="D952" s="3" t="inlineStr">
        <is>
          <t>HCM</t>
        </is>
      </c>
      <c r="E952" s="3" t="inlineStr">
        <is>
          <t>XUÂN TRANG</t>
        </is>
      </c>
      <c r="F952" s="3" t="inlineStr">
        <is>
          <t>Shopee, Tiktok</t>
        </is>
      </c>
      <c r="G952" s="4" t="inlineStr">
        <is>
          <t>SHOPEE: https://shopee.vn/baohothinksafe?uls_trackid=56slrjbp02l6&amp;utm_content=3kGSyWceAz2CP3beojAsTsVsisVR TIKTOK: https://www.tiktok.com/@thinksafevn LAZADA: WEBSITE BÁN HÀNG:</t>
        </is>
      </c>
      <c r="H952" s="3" t="inlineStr"/>
      <c r="I952" s="4" t="inlineStr">
        <is>
          <t>Mũi định tâm</t>
        </is>
      </c>
      <c r="J952" s="3" t="inlineStr">
        <is>
          <t>Cái</t>
        </is>
      </c>
      <c r="K952" s="5" t="n">
        <v>269000</v>
      </c>
      <c r="L952" s="5" t="n">
        <v>317000</v>
      </c>
      <c r="M952" s="6" t="n">
        <v>390000</v>
      </c>
      <c r="N952" s="5" t="n"/>
      <c r="O952" s="5">
        <f>IF(AND(ISNUMBER(N952),ISNUMBER(M952)),N952-M952,"")</f>
        <v/>
      </c>
      <c r="P952" s="7">
        <f>IF(AND(ISNUMBER(N952),ISNUMBER(M952),M952&gt;0),(N952-M952)/M952,"")</f>
        <v/>
      </c>
      <c r="Q952" s="3">
        <f>IF(P952="","",IF(P952&lt;-0.02,"🔴 Bán phá giá sàn",IF(P952&gt;0.05,"🔵 Bán cao hơn","🟢 Đúng giá sàn TMĐT")))</f>
        <v/>
      </c>
      <c r="R952" s="3" t="n"/>
      <c r="S952" s="4" t="n"/>
      <c r="T952" s="4" t="n"/>
    </row>
    <row r="953">
      <c r="A953" s="3" t="n">
        <v>952</v>
      </c>
      <c r="B953" s="3" t="inlineStr">
        <is>
          <t>DL005</t>
        </is>
      </c>
      <c r="C953" s="4" t="inlineStr">
        <is>
          <t>ThinkSafe HCM</t>
        </is>
      </c>
      <c r="D953" s="3" t="inlineStr">
        <is>
          <t>HCM</t>
        </is>
      </c>
      <c r="E953" s="3" t="inlineStr">
        <is>
          <t>XUÂN TRANG</t>
        </is>
      </c>
      <c r="F953" s="3" t="inlineStr">
        <is>
          <t>Shopee, Tiktok</t>
        </is>
      </c>
      <c r="G953" s="4" t="inlineStr">
        <is>
          <t>SHOPEE: https://shopee.vn/baohothinksafe?uls_trackid=56slrjbp02l6&amp;utm_content=3kGSyWceAz2CP3beojAsTsVsisVR TIKTOK: https://www.tiktok.com/@thinksafevn LAZADA: WEBSITE BÁN HÀNG:</t>
        </is>
      </c>
      <c r="H953" s="3" t="inlineStr"/>
      <c r="I953" s="4" t="inlineStr">
        <is>
          <t>Mũi định tâm chuôi dài</t>
        </is>
      </c>
      <c r="J953" s="3" t="inlineStr">
        <is>
          <t>Cái</t>
        </is>
      </c>
      <c r="K953" s="5" t="n">
        <v>269000</v>
      </c>
      <c r="L953" s="5" t="n">
        <v>317000</v>
      </c>
      <c r="M953" s="6" t="n">
        <v>390000</v>
      </c>
      <c r="N953" s="5" t="n"/>
      <c r="O953" s="5">
        <f>IF(AND(ISNUMBER(N953),ISNUMBER(M953)),N953-M953,"")</f>
        <v/>
      </c>
      <c r="P953" s="7">
        <f>IF(AND(ISNUMBER(N953),ISNUMBER(M953),M953&gt;0),(N953-M953)/M953,"")</f>
        <v/>
      </c>
      <c r="Q953" s="3">
        <f>IF(P953="","",IF(P953&lt;-0.02,"🔴 Bán phá giá sàn",IF(P953&gt;0.05,"🔵 Bán cao hơn","🟢 Đúng giá sàn TMĐT")))</f>
        <v/>
      </c>
      <c r="R953" s="3" t="n"/>
      <c r="S953" s="4" t="n"/>
      <c r="T953" s="4" t="n"/>
    </row>
    <row r="954">
      <c r="A954" s="3" t="n">
        <v>953</v>
      </c>
      <c r="B954" s="3" t="inlineStr">
        <is>
          <t>DL005</t>
        </is>
      </c>
      <c r="C954" s="4" t="inlineStr">
        <is>
          <t>ThinkSafe HCM</t>
        </is>
      </c>
      <c r="D954" s="3" t="inlineStr">
        <is>
          <t>HCM</t>
        </is>
      </c>
      <c r="E954" s="3" t="inlineStr">
        <is>
          <t>XUÂN TRANG</t>
        </is>
      </c>
      <c r="F954" s="3" t="inlineStr">
        <is>
          <t>Shopee, Tiktok</t>
        </is>
      </c>
      <c r="G954" s="4" t="inlineStr">
        <is>
          <t>SHOPEE: https://shopee.vn/baohothinksafe?uls_trackid=56slrjbp02l6&amp;utm_content=3kGSyWceAz2CP3beojAsTsVsisVR TIKTOK: https://www.tiktok.com/@thinksafevn LAZADA: WEBSITE BÁN HÀNG:</t>
        </is>
      </c>
      <c r="H954" s="3" t="inlineStr"/>
      <c r="I954" s="4" t="inlineStr">
        <is>
          <t>Mũi định tâm chuôi ngắn kẹp</t>
        </is>
      </c>
      <c r="J954" s="3" t="inlineStr">
        <is>
          <t>Cái</t>
        </is>
      </c>
      <c r="K954" s="5" t="n">
        <v>269000</v>
      </c>
      <c r="L954" s="5" t="n">
        <v>317000</v>
      </c>
      <c r="M954" s="6" t="n">
        <v>390000</v>
      </c>
      <c r="N954" s="5" t="n"/>
      <c r="O954" s="5">
        <f>IF(AND(ISNUMBER(N954),ISNUMBER(M954)),N954-M954,"")</f>
        <v/>
      </c>
      <c r="P954" s="7">
        <f>IF(AND(ISNUMBER(N954),ISNUMBER(M954),M954&gt;0),(N954-M954)/M954,"")</f>
        <v/>
      </c>
      <c r="Q954" s="3">
        <f>IF(P954="","",IF(P954&lt;-0.02,"🔴 Bán phá giá sàn",IF(P954&gt;0.05,"🔵 Bán cao hơn","🟢 Đúng giá sàn TMĐT")))</f>
        <v/>
      </c>
      <c r="R954" s="3" t="n"/>
      <c r="S954" s="4" t="n"/>
      <c r="T954" s="4" t="n"/>
    </row>
    <row r="955">
      <c r="A955" s="3" t="n">
        <v>954</v>
      </c>
      <c r="B955" s="3" t="inlineStr">
        <is>
          <t>DL005</t>
        </is>
      </c>
      <c r="C955" s="4" t="inlineStr">
        <is>
          <t>ThinkSafe HCM</t>
        </is>
      </c>
      <c r="D955" s="3" t="inlineStr">
        <is>
          <t>HCM</t>
        </is>
      </c>
      <c r="E955" s="3" t="inlineStr">
        <is>
          <t>XUÂN TRANG</t>
        </is>
      </c>
      <c r="F955" s="3" t="inlineStr">
        <is>
          <t>Shopee, Tiktok</t>
        </is>
      </c>
      <c r="G955" s="4" t="inlineStr">
        <is>
          <t>SHOPEE: https://shopee.vn/baohothinksafe?uls_trackid=56slrjbp02l6&amp;utm_content=3kGSyWceAz2CP3beojAsTsVsisVR TIKTOK: https://www.tiktok.com/@thinksafevn LAZADA: WEBSITE BÁN HÀNG:</t>
        </is>
      </c>
      <c r="H955" s="3" t="inlineStr"/>
      <c r="I955" s="4" t="inlineStr">
        <is>
          <t>Mũi đục bê tông KBVd-14*250*22</t>
        </is>
      </c>
      <c r="J955" s="3" t="inlineStr">
        <is>
          <t>Cái</t>
        </is>
      </c>
      <c r="K955" s="5" t="n">
        <v>269000</v>
      </c>
      <c r="L955" s="5" t="n">
        <v>317000</v>
      </c>
      <c r="M955" s="6" t="n">
        <v>390000</v>
      </c>
      <c r="N955" s="5" t="n"/>
      <c r="O955" s="5">
        <f>IF(AND(ISNUMBER(N955),ISNUMBER(M955)),N955-M955,"")</f>
        <v/>
      </c>
      <c r="P955" s="7">
        <f>IF(AND(ISNUMBER(N955),ISNUMBER(M955),M955&gt;0),(N955-M955)/M955,"")</f>
        <v/>
      </c>
      <c r="Q955" s="3">
        <f>IF(P955="","",IF(P955&lt;-0.02,"🔴 Bán phá giá sàn",IF(P955&gt;0.05,"🔵 Bán cao hơn","🟢 Đúng giá sàn TMĐT")))</f>
        <v/>
      </c>
      <c r="R955" s="3" t="n"/>
      <c r="S955" s="4" t="n"/>
      <c r="T955" s="4" t="n"/>
    </row>
    <row r="956">
      <c r="A956" s="3" t="n">
        <v>955</v>
      </c>
      <c r="B956" s="3" t="inlineStr">
        <is>
          <t>DL005</t>
        </is>
      </c>
      <c r="C956" s="4" t="inlineStr">
        <is>
          <t>ThinkSafe HCM</t>
        </is>
      </c>
      <c r="D956" s="3" t="inlineStr">
        <is>
          <t>HCM</t>
        </is>
      </c>
      <c r="E956" s="3" t="inlineStr">
        <is>
          <t>XUÂN TRANG</t>
        </is>
      </c>
      <c r="F956" s="3" t="inlineStr">
        <is>
          <t>Shopee, Tiktok</t>
        </is>
      </c>
      <c r="G956" s="4" t="inlineStr">
        <is>
          <t>SHOPEE: https://shopee.vn/baohothinksafe?uls_trackid=56slrjbp02l6&amp;utm_content=3kGSyWceAz2CP3beojAsTsVsisVR TIKTOK: https://www.tiktok.com/@thinksafevn LAZADA: WEBSITE BÁN HÀNG:</t>
        </is>
      </c>
      <c r="H956" s="3" t="inlineStr"/>
      <c r="I956" s="4" t="inlineStr">
        <is>
          <t>Mũi đục bê tông KBVd-17*280*25</t>
        </is>
      </c>
      <c r="J956" s="3" t="inlineStr">
        <is>
          <t>Cái</t>
        </is>
      </c>
      <c r="K956" s="5" t="n">
        <v>269000</v>
      </c>
      <c r="L956" s="5" t="n">
        <v>317000</v>
      </c>
      <c r="M956" s="6" t="n">
        <v>390000</v>
      </c>
      <c r="N956" s="5" t="n"/>
      <c r="O956" s="5">
        <f>IF(AND(ISNUMBER(N956),ISNUMBER(M956)),N956-M956,"")</f>
        <v/>
      </c>
      <c r="P956" s="7">
        <f>IF(AND(ISNUMBER(N956),ISNUMBER(M956),M956&gt;0),(N956-M956)/M956,"")</f>
        <v/>
      </c>
      <c r="Q956" s="3">
        <f>IF(P956="","",IF(P956&lt;-0.02,"🔴 Bán phá giá sàn",IF(P956&gt;0.05,"🔵 Bán cao hơn","🟢 Đúng giá sàn TMĐT")))</f>
        <v/>
      </c>
      <c r="R956" s="3" t="n"/>
      <c r="S956" s="4" t="n"/>
      <c r="T956" s="4" t="n"/>
    </row>
    <row r="957">
      <c r="A957" s="3" t="n">
        <v>956</v>
      </c>
      <c r="B957" s="3" t="inlineStr">
        <is>
          <t>DL005</t>
        </is>
      </c>
      <c r="C957" s="4" t="inlineStr">
        <is>
          <t>ThinkSafe HCM</t>
        </is>
      </c>
      <c r="D957" s="3" t="inlineStr">
        <is>
          <t>HCM</t>
        </is>
      </c>
      <c r="E957" s="3" t="inlineStr">
        <is>
          <t>XUÂN TRANG</t>
        </is>
      </c>
      <c r="F957" s="3" t="inlineStr">
        <is>
          <t>Shopee, Tiktok</t>
        </is>
      </c>
      <c r="G957" s="4" t="inlineStr">
        <is>
          <t>SHOPEE: https://shopee.vn/baohothinksafe?uls_trackid=56slrjbp02l6&amp;utm_content=3kGSyWceAz2CP3beojAsTsVsisVR TIKTOK: https://www.tiktok.com/@thinksafevn LAZADA: WEBSITE BÁN HÀNG:</t>
        </is>
      </c>
      <c r="H957" s="3" t="inlineStr"/>
      <c r="I957" s="4" t="inlineStr">
        <is>
          <t>Mũi đục bê tông KBVn-14*250</t>
        </is>
      </c>
      <c r="J957" s="3" t="inlineStr">
        <is>
          <t>Cái</t>
        </is>
      </c>
      <c r="K957" s="5" t="n">
        <v>269000</v>
      </c>
      <c r="L957" s="5" t="n">
        <v>317000</v>
      </c>
      <c r="M957" s="6" t="n">
        <v>390000</v>
      </c>
      <c r="N957" s="5" t="n"/>
      <c r="O957" s="5">
        <f>IF(AND(ISNUMBER(N957),ISNUMBER(M957)),N957-M957,"")</f>
        <v/>
      </c>
      <c r="P957" s="7">
        <f>IF(AND(ISNUMBER(N957),ISNUMBER(M957),M957&gt;0),(N957-M957)/M957,"")</f>
        <v/>
      </c>
      <c r="Q957" s="3">
        <f>IF(P957="","",IF(P957&lt;-0.02,"🔴 Bán phá giá sàn",IF(P957&gt;0.05,"🔵 Bán cao hơn","🟢 Đúng giá sàn TMĐT")))</f>
        <v/>
      </c>
      <c r="R957" s="3" t="n"/>
      <c r="S957" s="4" t="n"/>
      <c r="T957" s="4" t="n"/>
    </row>
    <row r="958">
      <c r="A958" s="3" t="n">
        <v>957</v>
      </c>
      <c r="B958" s="3" t="inlineStr">
        <is>
          <t>DL005</t>
        </is>
      </c>
      <c r="C958" s="4" t="inlineStr">
        <is>
          <t>ThinkSafe HCM</t>
        </is>
      </c>
      <c r="D958" s="3" t="inlineStr">
        <is>
          <t>HCM</t>
        </is>
      </c>
      <c r="E958" s="3" t="inlineStr">
        <is>
          <t>XUÂN TRANG</t>
        </is>
      </c>
      <c r="F958" s="3" t="inlineStr">
        <is>
          <t>Shopee, Tiktok</t>
        </is>
      </c>
      <c r="G958" s="4" t="inlineStr">
        <is>
          <t>SHOPEE: https://shopee.vn/baohothinksafe?uls_trackid=56slrjbp02l6&amp;utm_content=3kGSyWceAz2CP3beojAsTsVsisVR TIKTOK: https://www.tiktok.com/@thinksafevn LAZADA: WEBSITE BÁN HÀNG:</t>
        </is>
      </c>
      <c r="H958" s="3" t="inlineStr"/>
      <c r="I958" s="4" t="inlineStr">
        <is>
          <t>Mũi đục bê tông KBVn-17*280</t>
        </is>
      </c>
      <c r="J958" s="3" t="inlineStr">
        <is>
          <t>Cái</t>
        </is>
      </c>
      <c r="K958" s="5" t="n">
        <v>269000</v>
      </c>
      <c r="L958" s="5" t="n">
        <v>317000</v>
      </c>
      <c r="M958" s="6" t="n">
        <v>390000</v>
      </c>
      <c r="N958" s="5" t="n"/>
      <c r="O958" s="5">
        <f>IF(AND(ISNUMBER(N958),ISNUMBER(M958)),N958-M958,"")</f>
        <v/>
      </c>
      <c r="P958" s="7">
        <f>IF(AND(ISNUMBER(N958),ISNUMBER(M958),M958&gt;0),(N958-M958)/M958,"")</f>
        <v/>
      </c>
      <c r="Q958" s="3">
        <f>IF(P958="","",IF(P958&lt;-0.02,"🔴 Bán phá giá sàn",IF(P958&gt;0.05,"🔵 Bán cao hơn","🟢 Đúng giá sàn TMĐT")))</f>
        <v/>
      </c>
      <c r="R958" s="3" t="n"/>
      <c r="S958" s="4" t="n"/>
      <c r="T958" s="4" t="n"/>
    </row>
    <row r="959">
      <c r="A959" s="3" t="n">
        <v>958</v>
      </c>
      <c r="B959" s="3" t="inlineStr">
        <is>
          <t>DL005</t>
        </is>
      </c>
      <c r="C959" s="4" t="inlineStr">
        <is>
          <t>ThinkSafe HCM</t>
        </is>
      </c>
      <c r="D959" s="3" t="inlineStr">
        <is>
          <t>HCM</t>
        </is>
      </c>
      <c r="E959" s="3" t="inlineStr">
        <is>
          <t>XUÂN TRANG</t>
        </is>
      </c>
      <c r="F959" s="3" t="inlineStr">
        <is>
          <t>Shopee, Tiktok</t>
        </is>
      </c>
      <c r="G959" s="4" t="inlineStr">
        <is>
          <t>SHOPEE: https://shopee.vn/baohothinksafe?uls_trackid=56slrjbp02l6&amp;utm_content=3kGSyWceAz2CP3beojAsTsVsisVR TIKTOK: https://www.tiktok.com/@thinksafevn LAZADA: WEBSITE BÁN HÀNG:</t>
        </is>
      </c>
      <c r="H959" s="3" t="inlineStr">
        <is>
          <t>KBL2-06160</t>
        </is>
      </c>
      <c r="I959" s="4" t="inlineStr">
        <is>
          <t>Mũi khoan bê tông gài 2 cạnh KBL2-06*160</t>
        </is>
      </c>
      <c r="J959" s="3" t="inlineStr">
        <is>
          <t>Cái</t>
        </is>
      </c>
      <c r="K959" s="5" t="n">
        <v>23000</v>
      </c>
      <c r="L959" s="5" t="n">
        <v>28000</v>
      </c>
      <c r="M959" s="6" t="n">
        <v>36000</v>
      </c>
      <c r="N959" s="5" t="n"/>
      <c r="O959" s="5">
        <f>IF(AND(ISNUMBER(N959),ISNUMBER(M959)),N959-M959,"")</f>
        <v/>
      </c>
      <c r="P959" s="7">
        <f>IF(AND(ISNUMBER(N959),ISNUMBER(M959),M959&gt;0),(N959-M959)/M959,"")</f>
        <v/>
      </c>
      <c r="Q959" s="3">
        <f>IF(P959="","",IF(P959&lt;-0.02,"🔴 Bán phá giá sàn",IF(P959&gt;0.05,"🔵 Bán cao hơn","🟢 Đúng giá sàn TMĐT")))</f>
        <v/>
      </c>
      <c r="R959" s="3" t="n"/>
      <c r="S959" s="4" t="n"/>
      <c r="T959" s="4" t="n"/>
    </row>
    <row r="960">
      <c r="A960" s="3" t="n">
        <v>959</v>
      </c>
      <c r="B960" s="3" t="inlineStr">
        <is>
          <t>DL005</t>
        </is>
      </c>
      <c r="C960" s="4" t="inlineStr">
        <is>
          <t>ThinkSafe HCM</t>
        </is>
      </c>
      <c r="D960" s="3" t="inlineStr">
        <is>
          <t>HCM</t>
        </is>
      </c>
      <c r="E960" s="3" t="inlineStr">
        <is>
          <t>XUÂN TRANG</t>
        </is>
      </c>
      <c r="F960" s="3" t="inlineStr">
        <is>
          <t>Shopee, Tiktok</t>
        </is>
      </c>
      <c r="G960" s="4" t="inlineStr">
        <is>
          <t>SHOPEE: https://shopee.vn/baohothinksafe?uls_trackid=56slrjbp02l6&amp;utm_content=3kGSyWceAz2CP3beojAsTsVsisVR TIKTOK: https://www.tiktok.com/@thinksafevn LAZADA: WEBSITE BÁN HÀNG:</t>
        </is>
      </c>
      <c r="H960" s="3" t="inlineStr">
        <is>
          <t>KBL2-08160</t>
        </is>
      </c>
      <c r="I960" s="4" t="inlineStr">
        <is>
          <t>Mũi khoan bê tông gài 2 cạnh KBL2-08*160</t>
        </is>
      </c>
      <c r="J960" s="3" t="inlineStr">
        <is>
          <t>Cái</t>
        </is>
      </c>
      <c r="K960" s="5" t="n">
        <v>25000</v>
      </c>
      <c r="L960" s="5" t="n">
        <v>31000</v>
      </c>
      <c r="M960" s="6" t="n">
        <v>39000</v>
      </c>
      <c r="N960" s="5" t="n"/>
      <c r="O960" s="5">
        <f>IF(AND(ISNUMBER(N960),ISNUMBER(M960)),N960-M960,"")</f>
        <v/>
      </c>
      <c r="P960" s="7">
        <f>IF(AND(ISNUMBER(N960),ISNUMBER(M960),M960&gt;0),(N960-M960)/M960,"")</f>
        <v/>
      </c>
      <c r="Q960" s="3">
        <f>IF(P960="","",IF(P960&lt;-0.02,"🔴 Bán phá giá sàn",IF(P960&gt;0.05,"🔵 Bán cao hơn","🟢 Đúng giá sàn TMĐT")))</f>
        <v/>
      </c>
      <c r="R960" s="3" t="n"/>
      <c r="S960" s="4" t="n"/>
      <c r="T960" s="4" t="n"/>
    </row>
    <row r="961">
      <c r="A961" s="3" t="n">
        <v>960</v>
      </c>
      <c r="B961" s="3" t="inlineStr">
        <is>
          <t>DL005</t>
        </is>
      </c>
      <c r="C961" s="4" t="inlineStr">
        <is>
          <t>ThinkSafe HCM</t>
        </is>
      </c>
      <c r="D961" s="3" t="inlineStr">
        <is>
          <t>HCM</t>
        </is>
      </c>
      <c r="E961" s="3" t="inlineStr">
        <is>
          <t>XUÂN TRANG</t>
        </is>
      </c>
      <c r="F961" s="3" t="inlineStr">
        <is>
          <t>Shopee, Tiktok</t>
        </is>
      </c>
      <c r="G961" s="4" t="inlineStr">
        <is>
          <t>SHOPEE: https://shopee.vn/baohothinksafe?uls_trackid=56slrjbp02l6&amp;utm_content=3kGSyWceAz2CP3beojAsTsVsisVR TIKTOK: https://www.tiktok.com/@thinksafevn LAZADA: WEBSITE BÁN HÀNG:</t>
        </is>
      </c>
      <c r="H961" s="3" t="inlineStr">
        <is>
          <t>KBL2-3.2110</t>
        </is>
      </c>
      <c r="I961" s="4" t="inlineStr">
        <is>
          <t>Mũi khoan bê tông không tắc kê KBL2-3.2*110</t>
        </is>
      </c>
      <c r="J961" s="3" t="inlineStr">
        <is>
          <t>Cái</t>
        </is>
      </c>
      <c r="K961" s="5" t="n">
        <v>23000</v>
      </c>
      <c r="L961" s="5" t="n">
        <v>29000</v>
      </c>
      <c r="M961" s="6" t="n">
        <v>38000</v>
      </c>
      <c r="N961" s="5" t="n"/>
      <c r="O961" s="5">
        <f>IF(AND(ISNUMBER(N961),ISNUMBER(M961)),N961-M961,"")</f>
        <v/>
      </c>
      <c r="P961" s="7">
        <f>IF(AND(ISNUMBER(N961),ISNUMBER(M961),M961&gt;0),(N961-M961)/M961,"")</f>
        <v/>
      </c>
      <c r="Q961" s="3">
        <f>IF(P961="","",IF(P961&lt;-0.02,"🔴 Bán phá giá sàn",IF(P961&gt;0.05,"🔵 Bán cao hơn","🟢 Đúng giá sàn TMĐT")))</f>
        <v/>
      </c>
      <c r="R961" s="3" t="n"/>
      <c r="S961" s="4" t="n"/>
      <c r="T961" s="4" t="n"/>
    </row>
    <row r="962">
      <c r="A962" s="3" t="n">
        <v>961</v>
      </c>
      <c r="B962" s="3" t="inlineStr">
        <is>
          <t>DL005</t>
        </is>
      </c>
      <c r="C962" s="4" t="inlineStr">
        <is>
          <t>ThinkSafe HCM</t>
        </is>
      </c>
      <c r="D962" s="3" t="inlineStr">
        <is>
          <t>HCM</t>
        </is>
      </c>
      <c r="E962" s="3" t="inlineStr">
        <is>
          <t>XUÂN TRANG</t>
        </is>
      </c>
      <c r="F962" s="3" t="inlineStr">
        <is>
          <t>Shopee, Tiktok</t>
        </is>
      </c>
      <c r="G962" s="4" t="inlineStr">
        <is>
          <t>SHOPEE: https://shopee.vn/baohothinksafe?uls_trackid=56slrjbp02l6&amp;utm_content=3kGSyWceAz2CP3beojAsTsVsisVR TIKTOK: https://www.tiktok.com/@thinksafevn LAZADA: WEBSITE BÁN HÀNG:</t>
        </is>
      </c>
      <c r="H962" s="3" t="inlineStr">
        <is>
          <t>KBL2-3.290</t>
        </is>
      </c>
      <c r="I962" s="4" t="inlineStr">
        <is>
          <t>Mũi khoan bê tông không tắc kê KBL2-3.2*90</t>
        </is>
      </c>
      <c r="J962" s="3" t="inlineStr">
        <is>
          <t>Cái</t>
        </is>
      </c>
      <c r="K962" s="5" t="n">
        <v>23000</v>
      </c>
      <c r="L962" s="5" t="n">
        <v>29000</v>
      </c>
      <c r="M962" s="6" t="n">
        <v>38000</v>
      </c>
      <c r="N962" s="5" t="n"/>
      <c r="O962" s="5">
        <f>IF(AND(ISNUMBER(N962),ISNUMBER(M962)),N962-M962,"")</f>
        <v/>
      </c>
      <c r="P962" s="7">
        <f>IF(AND(ISNUMBER(N962),ISNUMBER(M962),M962&gt;0),(N962-M962)/M962,"")</f>
        <v/>
      </c>
      <c r="Q962" s="3">
        <f>IF(P962="","",IF(P962&lt;-0.02,"🔴 Bán phá giá sàn",IF(P962&gt;0.05,"🔵 Bán cao hơn","🟢 Đúng giá sàn TMĐT")))</f>
        <v/>
      </c>
      <c r="R962" s="3" t="n"/>
      <c r="S962" s="4" t="n"/>
      <c r="T962" s="4" t="n"/>
    </row>
    <row r="963">
      <c r="A963" s="3" t="n">
        <v>962</v>
      </c>
      <c r="B963" s="3" t="inlineStr">
        <is>
          <t>DL005</t>
        </is>
      </c>
      <c r="C963" s="4" t="inlineStr">
        <is>
          <t>ThinkSafe HCM</t>
        </is>
      </c>
      <c r="D963" s="3" t="inlineStr">
        <is>
          <t>HCM</t>
        </is>
      </c>
      <c r="E963" s="3" t="inlineStr">
        <is>
          <t>XUÂN TRANG</t>
        </is>
      </c>
      <c r="F963" s="3" t="inlineStr">
        <is>
          <t>Shopee, Tiktok</t>
        </is>
      </c>
      <c r="G963" s="4" t="inlineStr">
        <is>
          <t>SHOPEE: https://shopee.vn/baohothinksafe?uls_trackid=56slrjbp02l6&amp;utm_content=3kGSyWceAz2CP3beojAsTsVsisVR TIKTOK: https://www.tiktok.com/@thinksafevn LAZADA: WEBSITE BÁN HÀNG:</t>
        </is>
      </c>
      <c r="H963" s="3" t="inlineStr">
        <is>
          <t>KBL2-3.5110</t>
        </is>
      </c>
      <c r="I963" s="4" t="inlineStr">
        <is>
          <t>Mũi khoan bê tông không tắc kê KBL2-3.5*110</t>
        </is>
      </c>
      <c r="J963" s="3" t="inlineStr">
        <is>
          <t>Cái</t>
        </is>
      </c>
      <c r="K963" s="5" t="n">
        <v>23000</v>
      </c>
      <c r="L963" s="5" t="n">
        <v>29000</v>
      </c>
      <c r="M963" s="6" t="n">
        <v>38000</v>
      </c>
      <c r="N963" s="5" t="n"/>
      <c r="O963" s="5">
        <f>IF(AND(ISNUMBER(N963),ISNUMBER(M963)),N963-M963,"")</f>
        <v/>
      </c>
      <c r="P963" s="7">
        <f>IF(AND(ISNUMBER(N963),ISNUMBER(M963),M963&gt;0),(N963-M963)/M963,"")</f>
        <v/>
      </c>
      <c r="Q963" s="3">
        <f>IF(P963="","",IF(P963&lt;-0.02,"🔴 Bán phá giá sàn",IF(P963&gt;0.05,"🔵 Bán cao hơn","🟢 Đúng giá sàn TMĐT")))</f>
        <v/>
      </c>
      <c r="R963" s="3" t="n"/>
      <c r="S963" s="4" t="n"/>
      <c r="T963" s="4" t="n"/>
    </row>
    <row r="964">
      <c r="A964" s="3" t="n">
        <v>963</v>
      </c>
      <c r="B964" s="3" t="inlineStr">
        <is>
          <t>DL005</t>
        </is>
      </c>
      <c r="C964" s="4" t="inlineStr">
        <is>
          <t>ThinkSafe HCM</t>
        </is>
      </c>
      <c r="D964" s="3" t="inlineStr">
        <is>
          <t>HCM</t>
        </is>
      </c>
      <c r="E964" s="3" t="inlineStr">
        <is>
          <t>XUÂN TRANG</t>
        </is>
      </c>
      <c r="F964" s="3" t="inlineStr">
        <is>
          <t>Shopee, Tiktok</t>
        </is>
      </c>
      <c r="G964" s="4" t="inlineStr">
        <is>
          <t>SHOPEE: https://shopee.vn/baohothinksafe?uls_trackid=56slrjbp02l6&amp;utm_content=3kGSyWceAz2CP3beojAsTsVsisVR TIKTOK: https://www.tiktok.com/@thinksafevn LAZADA: WEBSITE BÁN HÀNG:</t>
        </is>
      </c>
      <c r="H964" s="3" t="inlineStr">
        <is>
          <t>KBL2-4.2110</t>
        </is>
      </c>
      <c r="I964" s="4" t="inlineStr">
        <is>
          <t>Mũi khoan bê tông không tắc kê KBL2-4.2*110</t>
        </is>
      </c>
      <c r="J964" s="3" t="inlineStr">
        <is>
          <t>Cái</t>
        </is>
      </c>
      <c r="K964" s="5" t="n">
        <v>23000</v>
      </c>
      <c r="L964" s="5" t="n">
        <v>29000</v>
      </c>
      <c r="M964" s="6" t="n">
        <v>38000</v>
      </c>
      <c r="N964" s="5" t="n"/>
      <c r="O964" s="5">
        <f>IF(AND(ISNUMBER(N964),ISNUMBER(M964)),N964-M964,"")</f>
        <v/>
      </c>
      <c r="P964" s="7">
        <f>IF(AND(ISNUMBER(N964),ISNUMBER(M964),M964&gt;0),(N964-M964)/M964,"")</f>
        <v/>
      </c>
      <c r="Q964" s="3">
        <f>IF(P964="","",IF(P964&lt;-0.02,"🔴 Bán phá giá sàn",IF(P964&gt;0.05,"🔵 Bán cao hơn","🟢 Đúng giá sàn TMĐT")))</f>
        <v/>
      </c>
      <c r="R964" s="3" t="n"/>
      <c r="S964" s="4" t="n"/>
      <c r="T964" s="4" t="n"/>
    </row>
    <row r="965">
      <c r="A965" s="3" t="n">
        <v>964</v>
      </c>
      <c r="B965" s="3" t="inlineStr">
        <is>
          <t>DL005</t>
        </is>
      </c>
      <c r="C965" s="4" t="inlineStr">
        <is>
          <t>ThinkSafe HCM</t>
        </is>
      </c>
      <c r="D965" s="3" t="inlineStr">
        <is>
          <t>HCM</t>
        </is>
      </c>
      <c r="E965" s="3" t="inlineStr">
        <is>
          <t>XUÂN TRANG</t>
        </is>
      </c>
      <c r="F965" s="3" t="inlineStr">
        <is>
          <t>Shopee, Tiktok</t>
        </is>
      </c>
      <c r="G965" s="4" t="inlineStr">
        <is>
          <t>SHOPEE: https://shopee.vn/baohothinksafe?uls_trackid=56slrjbp02l6&amp;utm_content=3kGSyWceAz2CP3beojAsTsVsisVR TIKTOK: https://www.tiktok.com/@thinksafevn LAZADA: WEBSITE BÁN HÀNG:</t>
        </is>
      </c>
      <c r="H965" s="3" t="inlineStr">
        <is>
          <t>KBK-06</t>
        </is>
      </c>
      <c r="I965" s="4" t="inlineStr">
        <is>
          <t>Mũi khoan đá KBK-06</t>
        </is>
      </c>
      <c r="J965" s="3" t="inlineStr">
        <is>
          <t>Cái</t>
        </is>
      </c>
      <c r="K965" s="5" t="n">
        <v>22000</v>
      </c>
      <c r="L965" s="5" t="n">
        <v>27000</v>
      </c>
      <c r="M965" s="6" t="n">
        <v>35000</v>
      </c>
      <c r="N965" s="5" t="n"/>
      <c r="O965" s="5">
        <f>IF(AND(ISNUMBER(N965),ISNUMBER(M965)),N965-M965,"")</f>
        <v/>
      </c>
      <c r="P965" s="7">
        <f>IF(AND(ISNUMBER(N965),ISNUMBER(M965),M965&gt;0),(N965-M965)/M965,"")</f>
        <v/>
      </c>
      <c r="Q965" s="3">
        <f>IF(P965="","",IF(P965&lt;-0.02,"🔴 Bán phá giá sàn",IF(P965&gt;0.05,"🔵 Bán cao hơn","🟢 Đúng giá sàn TMĐT")))</f>
        <v/>
      </c>
      <c r="R965" s="3" t="n"/>
      <c r="S965" s="4" t="n"/>
      <c r="T965" s="4" t="n"/>
    </row>
    <row r="966">
      <c r="A966" s="3" t="n">
        <v>965</v>
      </c>
      <c r="B966" s="3" t="inlineStr">
        <is>
          <t>DL005</t>
        </is>
      </c>
      <c r="C966" s="4" t="inlineStr">
        <is>
          <t>ThinkSafe HCM</t>
        </is>
      </c>
      <c r="D966" s="3" t="inlineStr">
        <is>
          <t>HCM</t>
        </is>
      </c>
      <c r="E966" s="3" t="inlineStr">
        <is>
          <t>XUÂN TRANG</t>
        </is>
      </c>
      <c r="F966" s="3" t="inlineStr">
        <is>
          <t>Shopee, Tiktok</t>
        </is>
      </c>
      <c r="G966" s="4" t="inlineStr">
        <is>
          <t>SHOPEE: https://shopee.vn/baohothinksafe?uls_trackid=56slrjbp02l6&amp;utm_content=3kGSyWceAz2CP3beojAsTsVsisVR TIKTOK: https://www.tiktok.com/@thinksafevn LAZADA: WEBSITE BÁN HÀNG:</t>
        </is>
      </c>
      <c r="H966" s="3" t="inlineStr">
        <is>
          <t>KBK-08</t>
        </is>
      </c>
      <c r="I966" s="4" t="inlineStr">
        <is>
          <t>Mũi khoan đá KBK-08</t>
        </is>
      </c>
      <c r="J966" s="3" t="inlineStr">
        <is>
          <t>Cái</t>
        </is>
      </c>
      <c r="K966" s="5" t="n">
        <v>25000</v>
      </c>
      <c r="L966" s="5" t="n">
        <v>31000</v>
      </c>
      <c r="M966" s="6" t="n">
        <v>40000</v>
      </c>
      <c r="N966" s="5" t="n"/>
      <c r="O966" s="5">
        <f>IF(AND(ISNUMBER(N966),ISNUMBER(M966)),N966-M966,"")</f>
        <v/>
      </c>
      <c r="P966" s="7">
        <f>IF(AND(ISNUMBER(N966),ISNUMBER(M966),M966&gt;0),(N966-M966)/M966,"")</f>
        <v/>
      </c>
      <c r="Q966" s="3">
        <f>IF(P966="","",IF(P966&lt;-0.02,"🔴 Bán phá giá sàn",IF(P966&gt;0.05,"🔵 Bán cao hơn","🟢 Đúng giá sàn TMĐT")))</f>
        <v/>
      </c>
      <c r="R966" s="3" t="n"/>
      <c r="S966" s="4" t="n"/>
      <c r="T966" s="4" t="n"/>
    </row>
    <row r="967">
      <c r="A967" s="3" t="n">
        <v>966</v>
      </c>
      <c r="B967" s="3" t="inlineStr">
        <is>
          <t>DL005</t>
        </is>
      </c>
      <c r="C967" s="4" t="inlineStr">
        <is>
          <t>ThinkSafe HCM</t>
        </is>
      </c>
      <c r="D967" s="3" t="inlineStr">
        <is>
          <t>HCM</t>
        </is>
      </c>
      <c r="E967" s="3" t="inlineStr">
        <is>
          <t>XUÂN TRANG</t>
        </is>
      </c>
      <c r="F967" s="3" t="inlineStr">
        <is>
          <t>Shopee, Tiktok</t>
        </is>
      </c>
      <c r="G967" s="4" t="inlineStr">
        <is>
          <t>SHOPEE: https://shopee.vn/baohothinksafe?uls_trackid=56slrjbp02l6&amp;utm_content=3kGSyWceAz2CP3beojAsTsVsisVR TIKTOK: https://www.tiktok.com/@thinksafevn LAZADA: WEBSITE BÁN HÀNG:</t>
        </is>
      </c>
      <c r="H967" s="3" t="inlineStr">
        <is>
          <t>KBH2E-3120</t>
        </is>
      </c>
      <c r="I967" s="4" t="inlineStr">
        <is>
          <t>Mũi khoan đa năng lục giác 2 cạnh KBH2E-3*120</t>
        </is>
      </c>
      <c r="J967" s="3" t="inlineStr">
        <is>
          <t>Cái</t>
        </is>
      </c>
      <c r="K967" s="5" t="n">
        <v>269000</v>
      </c>
      <c r="L967" s="5" t="n">
        <v>317000</v>
      </c>
      <c r="M967" s="6" t="n">
        <v>390000</v>
      </c>
      <c r="N967" s="5" t="n"/>
      <c r="O967" s="5">
        <f>IF(AND(ISNUMBER(N967),ISNUMBER(M967)),N967-M967,"")</f>
        <v/>
      </c>
      <c r="P967" s="7">
        <f>IF(AND(ISNUMBER(N967),ISNUMBER(M967),M967&gt;0),(N967-M967)/M967,"")</f>
        <v/>
      </c>
      <c r="Q967" s="3">
        <f>IF(P967="","",IF(P967&lt;-0.02,"🔴 Bán phá giá sàn",IF(P967&gt;0.05,"🔵 Bán cao hơn","🟢 Đúng giá sàn TMĐT")))</f>
        <v/>
      </c>
      <c r="R967" s="3" t="n"/>
      <c r="S967" s="4" t="n"/>
      <c r="T967" s="4" t="n"/>
    </row>
    <row r="968">
      <c r="A968" s="3" t="n">
        <v>967</v>
      </c>
      <c r="B968" s="3" t="inlineStr">
        <is>
          <t>DL005</t>
        </is>
      </c>
      <c r="C968" s="4" t="inlineStr">
        <is>
          <t>ThinkSafe HCM</t>
        </is>
      </c>
      <c r="D968" s="3" t="inlineStr">
        <is>
          <t>HCM</t>
        </is>
      </c>
      <c r="E968" s="3" t="inlineStr">
        <is>
          <t>XUÂN TRANG</t>
        </is>
      </c>
      <c r="F968" s="3" t="inlineStr">
        <is>
          <t>Shopee, Tiktok</t>
        </is>
      </c>
      <c r="G968" s="4" t="inlineStr">
        <is>
          <t>SHOPEE: https://shopee.vn/baohothinksafe?uls_trackid=56slrjbp02l6&amp;utm_content=3kGSyWceAz2CP3beojAsTsVsisVR TIKTOK: https://www.tiktok.com/@thinksafevn LAZADA: WEBSITE BÁN HÀNG:</t>
        </is>
      </c>
      <c r="H968" s="3" t="inlineStr">
        <is>
          <t>KBH2E-3.2120</t>
        </is>
      </c>
      <c r="I968" s="4" t="inlineStr">
        <is>
          <t>Mũi khoan đa năng lục giác 2 cạnh KBH2E-3.2*120</t>
        </is>
      </c>
      <c r="J968" s="3" t="inlineStr">
        <is>
          <t>Cái</t>
        </is>
      </c>
      <c r="K968" s="5" t="n">
        <v>28000</v>
      </c>
      <c r="L968" s="5" t="n">
        <v>35000</v>
      </c>
      <c r="M968" s="6" t="n">
        <v>45000</v>
      </c>
      <c r="N968" s="5" t="n"/>
      <c r="O968" s="5">
        <f>IF(AND(ISNUMBER(N968),ISNUMBER(M968)),N968-M968,"")</f>
        <v/>
      </c>
      <c r="P968" s="7">
        <f>IF(AND(ISNUMBER(N968),ISNUMBER(M968),M968&gt;0),(N968-M968)/M968,"")</f>
        <v/>
      </c>
      <c r="Q968" s="3">
        <f>IF(P968="","",IF(P968&lt;-0.02,"🔴 Bán phá giá sàn",IF(P968&gt;0.05,"🔵 Bán cao hơn","🟢 Đúng giá sàn TMĐT")))</f>
        <v/>
      </c>
      <c r="R968" s="3" t="n"/>
      <c r="S968" s="4" t="n"/>
      <c r="T968" s="4" t="n"/>
    </row>
    <row r="969">
      <c r="A969" s="3" t="n">
        <v>968</v>
      </c>
      <c r="B969" s="3" t="inlineStr">
        <is>
          <t>DL005</t>
        </is>
      </c>
      <c r="C969" s="4" t="inlineStr">
        <is>
          <t>ThinkSafe HCM</t>
        </is>
      </c>
      <c r="D969" s="3" t="inlineStr">
        <is>
          <t>HCM</t>
        </is>
      </c>
      <c r="E969" s="3" t="inlineStr">
        <is>
          <t>XUÂN TRANG</t>
        </is>
      </c>
      <c r="F969" s="3" t="inlineStr">
        <is>
          <t>Shopee, Tiktok</t>
        </is>
      </c>
      <c r="G969" s="4" t="inlineStr">
        <is>
          <t>SHOPEE: https://shopee.vn/baohothinksafe?uls_trackid=56slrjbp02l6&amp;utm_content=3kGSyWceAz2CP3beojAsTsVsisVR TIKTOK: https://www.tiktok.com/@thinksafevn LAZADA: WEBSITE BÁN HÀNG:</t>
        </is>
      </c>
      <c r="H969" s="3" t="inlineStr">
        <is>
          <t>KBH2E-04150</t>
        </is>
      </c>
      <c r="I969" s="4" t="inlineStr">
        <is>
          <t>Mũi khoan ĐN lục giác 2 cạnh KBH2E-04*150</t>
        </is>
      </c>
      <c r="J969" s="3" t="inlineStr">
        <is>
          <t>Cái</t>
        </is>
      </c>
      <c r="K969" s="5" t="n">
        <v>28000</v>
      </c>
      <c r="L969" s="5" t="n">
        <v>35000</v>
      </c>
      <c r="M969" s="6" t="n">
        <v>45000</v>
      </c>
      <c r="N969" s="5" t="n"/>
      <c r="O969" s="5">
        <f>IF(AND(ISNUMBER(N969),ISNUMBER(M969)),N969-M969,"")</f>
        <v/>
      </c>
      <c r="P969" s="7">
        <f>IF(AND(ISNUMBER(N969),ISNUMBER(M969),M969&gt;0),(N969-M969)/M969,"")</f>
        <v/>
      </c>
      <c r="Q969" s="3">
        <f>IF(P969="","",IF(P969&lt;-0.02,"🔴 Bán phá giá sàn",IF(P969&gt;0.05,"🔵 Bán cao hơn","🟢 Đúng giá sàn TMĐT")))</f>
        <v/>
      </c>
      <c r="R969" s="3" t="n"/>
      <c r="S969" s="4" t="n"/>
      <c r="T969" s="4" t="n"/>
    </row>
    <row r="970">
      <c r="A970" s="3" t="n">
        <v>969</v>
      </c>
      <c r="B970" s="3" t="inlineStr">
        <is>
          <t>DL005</t>
        </is>
      </c>
      <c r="C970" s="4" t="inlineStr">
        <is>
          <t>ThinkSafe HCM</t>
        </is>
      </c>
      <c r="D970" s="3" t="inlineStr">
        <is>
          <t>HCM</t>
        </is>
      </c>
      <c r="E970" s="3" t="inlineStr">
        <is>
          <t>XUÂN TRANG</t>
        </is>
      </c>
      <c r="F970" s="3" t="inlineStr">
        <is>
          <t>Shopee, Tiktok</t>
        </is>
      </c>
      <c r="G970" s="4" t="inlineStr">
        <is>
          <t>SHOPEE: https://shopee.vn/baohothinksafe?uls_trackid=56slrjbp02l6&amp;utm_content=3kGSyWceAz2CP3beojAsTsVsisVR TIKTOK: https://www.tiktok.com/@thinksafevn LAZADA: WEBSITE BÁN HÀNG:</t>
        </is>
      </c>
      <c r="H970" s="3" t="inlineStr">
        <is>
          <t>KBH2E-06150</t>
        </is>
      </c>
      <c r="I970" s="4" t="inlineStr">
        <is>
          <t>Mũi khoan ĐN lục giác 2 cạnh KBH2E-06*150</t>
        </is>
      </c>
      <c r="J970" s="3" t="inlineStr">
        <is>
          <t>Cái</t>
        </is>
      </c>
      <c r="K970" s="5" t="n">
        <v>31000</v>
      </c>
      <c r="L970" s="5" t="n">
        <v>39000</v>
      </c>
      <c r="M970" s="6" t="n">
        <v>50000</v>
      </c>
      <c r="N970" s="5" t="n"/>
      <c r="O970" s="5">
        <f>IF(AND(ISNUMBER(N970),ISNUMBER(M970)),N970-M970,"")</f>
        <v/>
      </c>
      <c r="P970" s="7">
        <f>IF(AND(ISNUMBER(N970),ISNUMBER(M970),M970&gt;0),(N970-M970)/M970,"")</f>
        <v/>
      </c>
      <c r="Q970" s="3">
        <f>IF(P970="","",IF(P970&lt;-0.02,"🔴 Bán phá giá sàn",IF(P970&gt;0.05,"🔵 Bán cao hơn","🟢 Đúng giá sàn TMĐT")))</f>
        <v/>
      </c>
      <c r="R970" s="3" t="n"/>
      <c r="S970" s="4" t="n"/>
      <c r="T970" s="4" t="n"/>
    </row>
    <row r="971">
      <c r="A971" s="3" t="n">
        <v>970</v>
      </c>
      <c r="B971" s="3" t="inlineStr">
        <is>
          <t>DL005</t>
        </is>
      </c>
      <c r="C971" s="4" t="inlineStr">
        <is>
          <t>ThinkSafe HCM</t>
        </is>
      </c>
      <c r="D971" s="3" t="inlineStr">
        <is>
          <t>HCM</t>
        </is>
      </c>
      <c r="E971" s="3" t="inlineStr">
        <is>
          <t>XUÂN TRANG</t>
        </is>
      </c>
      <c r="F971" s="3" t="inlineStr">
        <is>
          <t>Shopee, Tiktok</t>
        </is>
      </c>
      <c r="G971" s="4" t="inlineStr">
        <is>
          <t>SHOPEE: https://shopee.vn/baohothinksafe?uls_trackid=56slrjbp02l6&amp;utm_content=3kGSyWceAz2CP3beojAsTsVsisVR TIKTOK: https://www.tiktok.com/@thinksafevn LAZADA: WEBSITE BÁN HÀNG:</t>
        </is>
      </c>
      <c r="H971" s="3" t="inlineStr">
        <is>
          <t>KBH2E-08150</t>
        </is>
      </c>
      <c r="I971" s="4" t="inlineStr">
        <is>
          <t>Mũi khoan ĐN lục giác 2 cạnh KBH2E-08*150</t>
        </is>
      </c>
      <c r="J971" s="3" t="inlineStr">
        <is>
          <t>Cái</t>
        </is>
      </c>
      <c r="K971" s="5" t="n">
        <v>41000</v>
      </c>
      <c r="L971" s="5" t="n">
        <v>51000</v>
      </c>
      <c r="M971" s="6" t="n">
        <v>66000</v>
      </c>
      <c r="N971" s="5" t="n"/>
      <c r="O971" s="5">
        <f>IF(AND(ISNUMBER(N971),ISNUMBER(M971)),N971-M971,"")</f>
        <v/>
      </c>
      <c r="P971" s="7">
        <f>IF(AND(ISNUMBER(N971),ISNUMBER(M971),M971&gt;0),(N971-M971)/M971,"")</f>
        <v/>
      </c>
      <c r="Q971" s="3">
        <f>IF(P971="","",IF(P971&lt;-0.02,"🔴 Bán phá giá sàn",IF(P971&gt;0.05,"🔵 Bán cao hơn","🟢 Đúng giá sàn TMĐT")))</f>
        <v/>
      </c>
      <c r="R971" s="3" t="n"/>
      <c r="S971" s="4" t="n"/>
      <c r="T971" s="4" t="n"/>
    </row>
    <row r="972">
      <c r="A972" s="3" t="n">
        <v>971</v>
      </c>
      <c r="B972" s="3" t="inlineStr">
        <is>
          <t>DL005</t>
        </is>
      </c>
      <c r="C972" s="4" t="inlineStr">
        <is>
          <t>ThinkSafe HCM</t>
        </is>
      </c>
      <c r="D972" s="3" t="inlineStr">
        <is>
          <t>HCM</t>
        </is>
      </c>
      <c r="E972" s="3" t="inlineStr">
        <is>
          <t>XUÂN TRANG</t>
        </is>
      </c>
      <c r="F972" s="3" t="inlineStr">
        <is>
          <t>Shopee, Tiktok</t>
        </is>
      </c>
      <c r="G972" s="4" t="inlineStr">
        <is>
          <t>SHOPEE: https://shopee.vn/baohothinksafe?uls_trackid=56slrjbp02l6&amp;utm_content=3kGSyWceAz2CP3beojAsTsVsisVR TIKTOK: https://www.tiktok.com/@thinksafevn LAZADA: WEBSITE BÁN HÀNG:</t>
        </is>
      </c>
      <c r="H972" s="3" t="inlineStr">
        <is>
          <t>KBH2E-10150</t>
        </is>
      </c>
      <c r="I972" s="4" t="inlineStr">
        <is>
          <t>Mũi khoan ĐN lục giác 2 cạnh KBH2E-10*150</t>
        </is>
      </c>
      <c r="J972" s="3" t="inlineStr">
        <is>
          <t>Cái</t>
        </is>
      </c>
      <c r="K972" s="5" t="n">
        <v>48000</v>
      </c>
      <c r="L972" s="5" t="n">
        <v>60000</v>
      </c>
      <c r="M972" s="6" t="n">
        <v>77000</v>
      </c>
      <c r="N972" s="5" t="n"/>
      <c r="O972" s="5">
        <f>IF(AND(ISNUMBER(N972),ISNUMBER(M972)),N972-M972,"")</f>
        <v/>
      </c>
      <c r="P972" s="7">
        <f>IF(AND(ISNUMBER(N972),ISNUMBER(M972),M972&gt;0),(N972-M972)/M972,"")</f>
        <v/>
      </c>
      <c r="Q972" s="3">
        <f>IF(P972="","",IF(P972&lt;-0.02,"🔴 Bán phá giá sàn",IF(P972&gt;0.05,"🔵 Bán cao hơn","🟢 Đúng giá sàn TMĐT")))</f>
        <v/>
      </c>
      <c r="R972" s="3" t="n"/>
      <c r="S972" s="4" t="n"/>
      <c r="T972" s="4" t="n"/>
    </row>
    <row r="973">
      <c r="A973" s="3" t="n">
        <v>972</v>
      </c>
      <c r="B973" s="3" t="inlineStr">
        <is>
          <t>DL005</t>
        </is>
      </c>
      <c r="C973" s="4" t="inlineStr">
        <is>
          <t>ThinkSafe HCM</t>
        </is>
      </c>
      <c r="D973" s="3" t="inlineStr">
        <is>
          <t>HCM</t>
        </is>
      </c>
      <c r="E973" s="3" t="inlineStr">
        <is>
          <t>XUÂN TRANG</t>
        </is>
      </c>
      <c r="F973" s="3" t="inlineStr">
        <is>
          <t>Shopee, Tiktok</t>
        </is>
      </c>
      <c r="G973" s="4" t="inlineStr">
        <is>
          <t>SHOPEE: https://shopee.vn/baohothinksafe?uls_trackid=56slrjbp02l6&amp;utm_content=3kGSyWceAz2CP3beojAsTsVsisVR TIKTOK: https://www.tiktok.com/@thinksafevn LAZADA: WEBSITE BÁN HÀNG:</t>
        </is>
      </c>
      <c r="H973" s="3" t="inlineStr">
        <is>
          <t>KBH2E-12150</t>
        </is>
      </c>
      <c r="I973" s="4" t="inlineStr">
        <is>
          <t>Mũi khoan ĐN lục giác 2 cạnh KBH2E-12*150</t>
        </is>
      </c>
      <c r="J973" s="3" t="inlineStr">
        <is>
          <t>Cái</t>
        </is>
      </c>
      <c r="K973" s="5" t="n">
        <v>63000</v>
      </c>
      <c r="L973" s="5" t="n">
        <v>78000</v>
      </c>
      <c r="M973" s="6" t="n">
        <v>101000</v>
      </c>
      <c r="N973" s="5" t="n"/>
      <c r="O973" s="5">
        <f>IF(AND(ISNUMBER(N973),ISNUMBER(M973)),N973-M973,"")</f>
        <v/>
      </c>
      <c r="P973" s="7">
        <f>IF(AND(ISNUMBER(N973),ISNUMBER(M973),M973&gt;0),(N973-M973)/M973,"")</f>
        <v/>
      </c>
      <c r="Q973" s="3">
        <f>IF(P973="","",IF(P973&lt;-0.02,"🔴 Bán phá giá sàn",IF(P973&gt;0.05,"🔵 Bán cao hơn","🟢 Đúng giá sàn TMĐT")))</f>
        <v/>
      </c>
      <c r="R973" s="3" t="n"/>
      <c r="S973" s="4" t="n"/>
      <c r="T973" s="4" t="n"/>
    </row>
    <row r="974">
      <c r="A974" s="3" t="n">
        <v>973</v>
      </c>
      <c r="B974" s="3" t="inlineStr">
        <is>
          <t>DL005</t>
        </is>
      </c>
      <c r="C974" s="4" t="inlineStr">
        <is>
          <t>ThinkSafe HCM</t>
        </is>
      </c>
      <c r="D974" s="3" t="inlineStr">
        <is>
          <t>HCM</t>
        </is>
      </c>
      <c r="E974" s="3" t="inlineStr">
        <is>
          <t>XUÂN TRANG</t>
        </is>
      </c>
      <c r="F974" s="3" t="inlineStr">
        <is>
          <t>Shopee, Tiktok</t>
        </is>
      </c>
      <c r="G974" s="4" t="inlineStr">
        <is>
          <t>SHOPEE: https://shopee.vn/baohothinksafe?uls_trackid=56slrjbp02l6&amp;utm_content=3kGSyWceAz2CP3beojAsTsVsisVR TIKTOK: https://www.tiktok.com/@thinksafevn LAZADA: WEBSITE BÁN HÀNG:</t>
        </is>
      </c>
      <c r="H974" s="3" t="inlineStr">
        <is>
          <t>KBH2F-0395</t>
        </is>
      </c>
      <c r="I974" s="4" t="inlineStr">
        <is>
          <t>Mũi khoan ĐN lục giác 2 cạnh KBH2F-03*95</t>
        </is>
      </c>
      <c r="J974" s="3" t="inlineStr">
        <is>
          <t>Cái</t>
        </is>
      </c>
      <c r="K974" s="5" t="n">
        <v>26000</v>
      </c>
      <c r="L974" s="5" t="n">
        <v>32000</v>
      </c>
      <c r="M974" s="6" t="n">
        <v>42000</v>
      </c>
      <c r="N974" s="5" t="n"/>
      <c r="O974" s="5">
        <f>IF(AND(ISNUMBER(N974),ISNUMBER(M974)),N974-M974,"")</f>
        <v/>
      </c>
      <c r="P974" s="7">
        <f>IF(AND(ISNUMBER(N974),ISNUMBER(M974),M974&gt;0),(N974-M974)/M974,"")</f>
        <v/>
      </c>
      <c r="Q974" s="3">
        <f>IF(P974="","",IF(P974&lt;-0.02,"🔴 Bán phá giá sàn",IF(P974&gt;0.05,"🔵 Bán cao hơn","🟢 Đúng giá sàn TMĐT")))</f>
        <v/>
      </c>
      <c r="R974" s="3" t="n"/>
      <c r="S974" s="4" t="n"/>
      <c r="T974" s="4" t="n"/>
    </row>
    <row r="975">
      <c r="A975" s="3" t="n">
        <v>974</v>
      </c>
      <c r="B975" s="3" t="inlineStr">
        <is>
          <t>DL005</t>
        </is>
      </c>
      <c r="C975" s="4" t="inlineStr">
        <is>
          <t>ThinkSafe HCM</t>
        </is>
      </c>
      <c r="D975" s="3" t="inlineStr">
        <is>
          <t>HCM</t>
        </is>
      </c>
      <c r="E975" s="3" t="inlineStr">
        <is>
          <t>XUÂN TRANG</t>
        </is>
      </c>
      <c r="F975" s="3" t="inlineStr">
        <is>
          <t>Shopee, Tiktok</t>
        </is>
      </c>
      <c r="G975" s="4" t="inlineStr">
        <is>
          <t>SHOPEE: https://shopee.vn/baohothinksafe?uls_trackid=56slrjbp02l6&amp;utm_content=3kGSyWceAz2CP3beojAsTsVsisVR TIKTOK: https://www.tiktok.com/@thinksafevn LAZADA: WEBSITE BÁN HÀNG:</t>
        </is>
      </c>
      <c r="H975" s="3" t="inlineStr">
        <is>
          <t>KBH2F-0495</t>
        </is>
      </c>
      <c r="I975" s="4" t="inlineStr">
        <is>
          <t>Mũi khoan ĐN lục giác 2 cạnh KBH2F-04*95</t>
        </is>
      </c>
      <c r="J975" s="3" t="inlineStr">
        <is>
          <t>Cái</t>
        </is>
      </c>
      <c r="K975" s="5" t="n">
        <v>26000</v>
      </c>
      <c r="L975" s="5" t="n">
        <v>32000</v>
      </c>
      <c r="M975" s="6" t="n">
        <v>42000</v>
      </c>
      <c r="N975" s="5" t="n"/>
      <c r="O975" s="5">
        <f>IF(AND(ISNUMBER(N975),ISNUMBER(M975)),N975-M975,"")</f>
        <v/>
      </c>
      <c r="P975" s="7">
        <f>IF(AND(ISNUMBER(N975),ISNUMBER(M975),M975&gt;0),(N975-M975)/M975,"")</f>
        <v/>
      </c>
      <c r="Q975" s="3">
        <f>IF(P975="","",IF(P975&lt;-0.02,"🔴 Bán phá giá sàn",IF(P975&gt;0.05,"🔵 Bán cao hơn","🟢 Đúng giá sàn TMĐT")))</f>
        <v/>
      </c>
      <c r="R975" s="3" t="n"/>
      <c r="S975" s="4" t="n"/>
      <c r="T975" s="4" t="n"/>
    </row>
    <row r="976">
      <c r="A976" s="3" t="n">
        <v>975</v>
      </c>
      <c r="B976" s="3" t="inlineStr">
        <is>
          <t>DL005</t>
        </is>
      </c>
      <c r="C976" s="4" t="inlineStr">
        <is>
          <t>ThinkSafe HCM</t>
        </is>
      </c>
      <c r="D976" s="3" t="inlineStr">
        <is>
          <t>HCM</t>
        </is>
      </c>
      <c r="E976" s="3" t="inlineStr">
        <is>
          <t>XUÂN TRANG</t>
        </is>
      </c>
      <c r="F976" s="3" t="inlineStr">
        <is>
          <t>Shopee, Tiktok</t>
        </is>
      </c>
      <c r="G976" s="4" t="inlineStr">
        <is>
          <t>SHOPEE: https://shopee.vn/baohothinksafe?uls_trackid=56slrjbp02l6&amp;utm_content=3kGSyWceAz2CP3beojAsTsVsisVR TIKTOK: https://www.tiktok.com/@thinksafevn LAZADA: WEBSITE BÁN HÀNG:</t>
        </is>
      </c>
      <c r="H976" s="3" t="inlineStr">
        <is>
          <t>KBH2F-0595</t>
        </is>
      </c>
      <c r="I976" s="4" t="inlineStr">
        <is>
          <t>Mũi khoan ĐN lục giác 2 cạnh KBH2F-05*95</t>
        </is>
      </c>
      <c r="J976" s="3" t="inlineStr">
        <is>
          <t>Cái</t>
        </is>
      </c>
      <c r="K976" s="5" t="n">
        <v>26000</v>
      </c>
      <c r="L976" s="5" t="n">
        <v>32000</v>
      </c>
      <c r="M976" s="6" t="n">
        <v>42000</v>
      </c>
      <c r="N976" s="5" t="n"/>
      <c r="O976" s="5">
        <f>IF(AND(ISNUMBER(N976),ISNUMBER(M976)),N976-M976,"")</f>
        <v/>
      </c>
      <c r="P976" s="7">
        <f>IF(AND(ISNUMBER(N976),ISNUMBER(M976),M976&gt;0),(N976-M976)/M976,"")</f>
        <v/>
      </c>
      <c r="Q976" s="3">
        <f>IF(P976="","",IF(P976&lt;-0.02,"🔴 Bán phá giá sàn",IF(P976&gt;0.05,"🔵 Bán cao hơn","🟢 Đúng giá sàn TMĐT")))</f>
        <v/>
      </c>
      <c r="R976" s="3" t="n"/>
      <c r="S976" s="4" t="n"/>
      <c r="T976" s="4" t="n"/>
    </row>
    <row r="977">
      <c r="A977" s="3" t="n">
        <v>976</v>
      </c>
      <c r="B977" s="3" t="inlineStr">
        <is>
          <t>DL005</t>
        </is>
      </c>
      <c r="C977" s="4" t="inlineStr">
        <is>
          <t>ThinkSafe HCM</t>
        </is>
      </c>
      <c r="D977" s="3" t="inlineStr">
        <is>
          <t>HCM</t>
        </is>
      </c>
      <c r="E977" s="3" t="inlineStr">
        <is>
          <t>XUÂN TRANG</t>
        </is>
      </c>
      <c r="F977" s="3" t="inlineStr">
        <is>
          <t>Shopee, Tiktok</t>
        </is>
      </c>
      <c r="G977" s="4" t="inlineStr">
        <is>
          <t>SHOPEE: https://shopee.vn/baohothinksafe?uls_trackid=56slrjbp02l6&amp;utm_content=3kGSyWceAz2CP3beojAsTsVsisVR TIKTOK: https://www.tiktok.com/@thinksafevn LAZADA: WEBSITE BÁN HÀNG:</t>
        </is>
      </c>
      <c r="H977" s="3" t="inlineStr">
        <is>
          <t>KBH2F-0695</t>
        </is>
      </c>
      <c r="I977" s="4" t="inlineStr">
        <is>
          <t>Mũi khoan ĐN lục giác 2 cạnh KBH2F-06*95</t>
        </is>
      </c>
      <c r="J977" s="3" t="inlineStr">
        <is>
          <t>Cái</t>
        </is>
      </c>
      <c r="K977" s="5" t="n">
        <v>26000</v>
      </c>
      <c r="L977" s="5" t="n">
        <v>32000</v>
      </c>
      <c r="M977" s="6" t="n">
        <v>42000</v>
      </c>
      <c r="N977" s="5" t="n"/>
      <c r="O977" s="5">
        <f>IF(AND(ISNUMBER(N977),ISNUMBER(M977)),N977-M977,"")</f>
        <v/>
      </c>
      <c r="P977" s="7">
        <f>IF(AND(ISNUMBER(N977),ISNUMBER(M977),M977&gt;0),(N977-M977)/M977,"")</f>
        <v/>
      </c>
      <c r="Q977" s="3">
        <f>IF(P977="","",IF(P977&lt;-0.02,"🔴 Bán phá giá sàn",IF(P977&gt;0.05,"🔵 Bán cao hơn","🟢 Đúng giá sàn TMĐT")))</f>
        <v/>
      </c>
      <c r="R977" s="3" t="n"/>
      <c r="S977" s="4" t="n"/>
      <c r="T977" s="4" t="n"/>
    </row>
    <row r="978">
      <c r="A978" s="3" t="n">
        <v>977</v>
      </c>
      <c r="B978" s="3" t="inlineStr">
        <is>
          <t>DL005</t>
        </is>
      </c>
      <c r="C978" s="4" t="inlineStr">
        <is>
          <t>ThinkSafe HCM</t>
        </is>
      </c>
      <c r="D978" s="3" t="inlineStr">
        <is>
          <t>HCM</t>
        </is>
      </c>
      <c r="E978" s="3" t="inlineStr">
        <is>
          <t>XUÂN TRANG</t>
        </is>
      </c>
      <c r="F978" s="3" t="inlineStr">
        <is>
          <t>Shopee, Tiktok</t>
        </is>
      </c>
      <c r="G978" s="4" t="inlineStr">
        <is>
          <t>SHOPEE: https://shopee.vn/baohothinksafe?uls_trackid=56slrjbp02l6&amp;utm_content=3kGSyWceAz2CP3beojAsTsVsisVR TIKTOK: https://www.tiktok.com/@thinksafevn LAZADA: WEBSITE BÁN HÀNG:</t>
        </is>
      </c>
      <c r="H978" s="3" t="inlineStr">
        <is>
          <t>KBH2F-0895</t>
        </is>
      </c>
      <c r="I978" s="4" t="inlineStr">
        <is>
          <t>Mũi khoan ĐN lục giác 2 cạnh KBH2F-08*95</t>
        </is>
      </c>
      <c r="J978" s="3" t="inlineStr">
        <is>
          <t>Cái</t>
        </is>
      </c>
      <c r="K978" s="5" t="n">
        <v>33000</v>
      </c>
      <c r="L978" s="5" t="n">
        <v>41000</v>
      </c>
      <c r="M978" s="6" t="n">
        <v>53000</v>
      </c>
      <c r="N978" s="5" t="n"/>
      <c r="O978" s="5">
        <f>IF(AND(ISNUMBER(N978),ISNUMBER(M978)),N978-M978,"")</f>
        <v/>
      </c>
      <c r="P978" s="7">
        <f>IF(AND(ISNUMBER(N978),ISNUMBER(M978),M978&gt;0),(N978-M978)/M978,"")</f>
        <v/>
      </c>
      <c r="Q978" s="3">
        <f>IF(P978="","",IF(P978&lt;-0.02,"🔴 Bán phá giá sàn",IF(P978&gt;0.05,"🔵 Bán cao hơn","🟢 Đúng giá sàn TMĐT")))</f>
        <v/>
      </c>
      <c r="R978" s="3" t="n"/>
      <c r="S978" s="4" t="n"/>
      <c r="T978" s="4" t="n"/>
    </row>
    <row r="979">
      <c r="A979" s="3" t="n">
        <v>978</v>
      </c>
      <c r="B979" s="3" t="inlineStr">
        <is>
          <t>DL005</t>
        </is>
      </c>
      <c r="C979" s="4" t="inlineStr">
        <is>
          <t>ThinkSafe HCM</t>
        </is>
      </c>
      <c r="D979" s="3" t="inlineStr">
        <is>
          <t>HCM</t>
        </is>
      </c>
      <c r="E979" s="3" t="inlineStr">
        <is>
          <t>XUÂN TRANG</t>
        </is>
      </c>
      <c r="F979" s="3" t="inlineStr">
        <is>
          <t>Shopee, Tiktok</t>
        </is>
      </c>
      <c r="G979" s="4" t="inlineStr">
        <is>
          <t>SHOPEE: https://shopee.vn/baohothinksafe?uls_trackid=56slrjbp02l6&amp;utm_content=3kGSyWceAz2CP3beojAsTsVsisVR TIKTOK: https://www.tiktok.com/@thinksafevn LAZADA: WEBSITE BÁN HÀNG:</t>
        </is>
      </c>
      <c r="H979" s="3" t="inlineStr">
        <is>
          <t>KBH2F-1095</t>
        </is>
      </c>
      <c r="I979" s="4" t="inlineStr">
        <is>
          <t>Mũi khoan ĐN lục giác 2 cạnh KBH2F-10*95</t>
        </is>
      </c>
      <c r="J979" s="3" t="inlineStr">
        <is>
          <t>Cái</t>
        </is>
      </c>
      <c r="K979" s="5" t="n">
        <v>42000</v>
      </c>
      <c r="L979" s="5" t="n">
        <v>52000</v>
      </c>
      <c r="M979" s="6" t="n">
        <v>67000</v>
      </c>
      <c r="N979" s="5" t="n"/>
      <c r="O979" s="5">
        <f>IF(AND(ISNUMBER(N979),ISNUMBER(M979)),N979-M979,"")</f>
        <v/>
      </c>
      <c r="P979" s="7">
        <f>IF(AND(ISNUMBER(N979),ISNUMBER(M979),M979&gt;0),(N979-M979)/M979,"")</f>
        <v/>
      </c>
      <c r="Q979" s="3">
        <f>IF(P979="","",IF(P979&lt;-0.02,"🔴 Bán phá giá sàn",IF(P979&gt;0.05,"🔵 Bán cao hơn","🟢 Đúng giá sàn TMĐT")))</f>
        <v/>
      </c>
      <c r="R979" s="3" t="n"/>
      <c r="S979" s="4" t="n"/>
      <c r="T979" s="4" t="n"/>
    </row>
    <row r="980">
      <c r="A980" s="3" t="n">
        <v>979</v>
      </c>
      <c r="B980" s="3" t="inlineStr">
        <is>
          <t>DL005</t>
        </is>
      </c>
      <c r="C980" s="4" t="inlineStr">
        <is>
          <t>ThinkSafe HCM</t>
        </is>
      </c>
      <c r="D980" s="3" t="inlineStr">
        <is>
          <t>HCM</t>
        </is>
      </c>
      <c r="E980" s="3" t="inlineStr">
        <is>
          <t>XUÂN TRANG</t>
        </is>
      </c>
      <c r="F980" s="3" t="inlineStr">
        <is>
          <t>Shopee, Tiktok</t>
        </is>
      </c>
      <c r="G980" s="4" t="inlineStr">
        <is>
          <t>SHOPEE: https://shopee.vn/baohothinksafe?uls_trackid=56slrjbp02l6&amp;utm_content=3kGSyWceAz2CP3beojAsTsVsisVR TIKTOK: https://www.tiktok.com/@thinksafevn LAZADA: WEBSITE BÁN HÀNG:</t>
        </is>
      </c>
      <c r="H980" s="3" t="inlineStr">
        <is>
          <t>KBH2F-1295</t>
        </is>
      </c>
      <c r="I980" s="4" t="inlineStr">
        <is>
          <t>Mũi khoan ĐN lục giác 2 cạnh KBH2F-12*95</t>
        </is>
      </c>
      <c r="J980" s="3" t="inlineStr">
        <is>
          <t>Cái</t>
        </is>
      </c>
      <c r="K980" s="5" t="n">
        <v>53000</v>
      </c>
      <c r="L980" s="5" t="n">
        <v>66000</v>
      </c>
      <c r="M980" s="6" t="n">
        <v>85000</v>
      </c>
      <c r="N980" s="5" t="n"/>
      <c r="O980" s="5">
        <f>IF(AND(ISNUMBER(N980),ISNUMBER(M980)),N980-M980,"")</f>
        <v/>
      </c>
      <c r="P980" s="7">
        <f>IF(AND(ISNUMBER(N980),ISNUMBER(M980),M980&gt;0),(N980-M980)/M980,"")</f>
        <v/>
      </c>
      <c r="Q980" s="3">
        <f>IF(P980="","",IF(P980&lt;-0.02,"🔴 Bán phá giá sàn",IF(P980&gt;0.05,"🔵 Bán cao hơn","🟢 Đúng giá sàn TMĐT")))</f>
        <v/>
      </c>
      <c r="R980" s="3" t="n"/>
      <c r="S980" s="4" t="n"/>
      <c r="T980" s="4" t="n"/>
    </row>
    <row r="981">
      <c r="A981" s="3" t="n">
        <v>980</v>
      </c>
      <c r="B981" s="3" t="inlineStr">
        <is>
          <t>DL005</t>
        </is>
      </c>
      <c r="C981" s="4" t="inlineStr">
        <is>
          <t>ThinkSafe HCM</t>
        </is>
      </c>
      <c r="D981" s="3" t="inlineStr">
        <is>
          <t>HCM</t>
        </is>
      </c>
      <c r="E981" s="3" t="inlineStr">
        <is>
          <t>XUÂN TRANG</t>
        </is>
      </c>
      <c r="F981" s="3" t="inlineStr">
        <is>
          <t>Shopee, Tiktok</t>
        </is>
      </c>
      <c r="G981" s="4" t="inlineStr">
        <is>
          <t>SHOPEE: https://shopee.vn/baohothinksafe?uls_trackid=56slrjbp02l6&amp;utm_content=3kGSyWceAz2CP3beojAsTsVsisVR TIKTOK: https://www.tiktok.com/@thinksafevn LAZADA: WEBSITE BÁN HÀNG:</t>
        </is>
      </c>
      <c r="H981" s="3" t="inlineStr">
        <is>
          <t>KBH4S-06100</t>
        </is>
      </c>
      <c r="I981" s="4" t="inlineStr">
        <is>
          <t>Mũi khoan ĐN lục giác 4 cạnh KBH4S-06*100</t>
        </is>
      </c>
      <c r="J981" s="3" t="inlineStr">
        <is>
          <t>Cái</t>
        </is>
      </c>
      <c r="K981" s="5" t="n">
        <v>41000</v>
      </c>
      <c r="L981" s="5" t="n">
        <v>51000</v>
      </c>
      <c r="M981" s="6" t="n">
        <v>65000</v>
      </c>
      <c r="N981" s="5" t="n"/>
      <c r="O981" s="5">
        <f>IF(AND(ISNUMBER(N981),ISNUMBER(M981)),N981-M981,"")</f>
        <v/>
      </c>
      <c r="P981" s="7">
        <f>IF(AND(ISNUMBER(N981),ISNUMBER(M981),M981&gt;0),(N981-M981)/M981,"")</f>
        <v/>
      </c>
      <c r="Q981" s="3">
        <f>IF(P981="","",IF(P981&lt;-0.02,"🔴 Bán phá giá sàn",IF(P981&gt;0.05,"🔵 Bán cao hơn","🟢 Đúng giá sàn TMĐT")))</f>
        <v/>
      </c>
      <c r="R981" s="3" t="n"/>
      <c r="S981" s="4" t="n"/>
      <c r="T981" s="4" t="n"/>
    </row>
    <row r="982">
      <c r="A982" s="3" t="n">
        <v>981</v>
      </c>
      <c r="B982" s="3" t="inlineStr">
        <is>
          <t>DL005</t>
        </is>
      </c>
      <c r="C982" s="4" t="inlineStr">
        <is>
          <t>ThinkSafe HCM</t>
        </is>
      </c>
      <c r="D982" s="3" t="inlineStr">
        <is>
          <t>HCM</t>
        </is>
      </c>
      <c r="E982" s="3" t="inlineStr">
        <is>
          <t>XUÂN TRANG</t>
        </is>
      </c>
      <c r="F982" s="3" t="inlineStr">
        <is>
          <t>Shopee, Tiktok</t>
        </is>
      </c>
      <c r="G982" s="4" t="inlineStr">
        <is>
          <t>SHOPEE: https://shopee.vn/baohothinksafe?uls_trackid=56slrjbp02l6&amp;utm_content=3kGSyWceAz2CP3beojAsTsVsisVR TIKTOK: https://www.tiktok.com/@thinksafevn LAZADA: WEBSITE BÁN HÀNG:</t>
        </is>
      </c>
      <c r="H982" s="3" t="inlineStr">
        <is>
          <t>KBH4S-08117</t>
        </is>
      </c>
      <c r="I982" s="4" t="inlineStr">
        <is>
          <t>Mũi khoan ĐN lục giác 4 cạnh KBH4S-08*117</t>
        </is>
      </c>
      <c r="J982" s="3" t="inlineStr">
        <is>
          <t>Cái</t>
        </is>
      </c>
      <c r="K982" s="5" t="n">
        <v>32000</v>
      </c>
      <c r="L982" s="5" t="n">
        <v>40000</v>
      </c>
      <c r="M982" s="6" t="n">
        <v>51000</v>
      </c>
      <c r="N982" s="5" t="n"/>
      <c r="O982" s="5">
        <f>IF(AND(ISNUMBER(N982),ISNUMBER(M982)),N982-M982,"")</f>
        <v/>
      </c>
      <c r="P982" s="7">
        <f>IF(AND(ISNUMBER(N982),ISNUMBER(M982),M982&gt;0),(N982-M982)/M982,"")</f>
        <v/>
      </c>
      <c r="Q982" s="3">
        <f>IF(P982="","",IF(P982&lt;-0.02,"🔴 Bán phá giá sàn",IF(P982&gt;0.05,"🔵 Bán cao hơn","🟢 Đúng giá sàn TMĐT")))</f>
        <v/>
      </c>
      <c r="R982" s="3" t="n"/>
      <c r="S982" s="4" t="n"/>
      <c r="T982" s="4" t="n"/>
    </row>
    <row r="983">
      <c r="A983" s="3" t="n">
        <v>982</v>
      </c>
      <c r="B983" s="3" t="inlineStr">
        <is>
          <t>DL005</t>
        </is>
      </c>
      <c r="C983" s="4" t="inlineStr">
        <is>
          <t>ThinkSafe HCM</t>
        </is>
      </c>
      <c r="D983" s="3" t="inlineStr">
        <is>
          <t>HCM</t>
        </is>
      </c>
      <c r="E983" s="3" t="inlineStr">
        <is>
          <t>XUÂN TRANG</t>
        </is>
      </c>
      <c r="F983" s="3" t="inlineStr">
        <is>
          <t>Shopee, Tiktok</t>
        </is>
      </c>
      <c r="G983" s="4" t="inlineStr">
        <is>
          <t>SHOPEE: https://shopee.vn/baohothinksafe?uls_trackid=56slrjbp02l6&amp;utm_content=3kGSyWceAz2CP3beojAsTsVsisVR TIKTOK: https://www.tiktok.com/@thinksafevn LAZADA: WEBSITE BÁN HÀNG:</t>
        </is>
      </c>
      <c r="H983" s="3" t="inlineStr">
        <is>
          <t>KBH4S-10123</t>
        </is>
      </c>
      <c r="I983" s="4" t="inlineStr">
        <is>
          <t>Mũi khoan ĐN lục giác 4 cạnh KBH4S-10*123</t>
        </is>
      </c>
      <c r="J983" s="3" t="inlineStr">
        <is>
          <t>Cái</t>
        </is>
      </c>
      <c r="K983" s="5" t="n">
        <v>40000</v>
      </c>
      <c r="L983" s="5" t="n">
        <v>50000</v>
      </c>
      <c r="M983" s="6" t="n">
        <v>64000</v>
      </c>
      <c r="N983" s="5" t="n"/>
      <c r="O983" s="5">
        <f>IF(AND(ISNUMBER(N983),ISNUMBER(M983)),N983-M983,"")</f>
        <v/>
      </c>
      <c r="P983" s="7">
        <f>IF(AND(ISNUMBER(N983),ISNUMBER(M983),M983&gt;0),(N983-M983)/M983,"")</f>
        <v/>
      </c>
      <c r="Q983" s="3">
        <f>IF(P983="","",IF(P983&lt;-0.02,"🔴 Bán phá giá sàn",IF(P983&gt;0.05,"🔵 Bán cao hơn","🟢 Đúng giá sàn TMĐT")))</f>
        <v/>
      </c>
      <c r="R983" s="3" t="n"/>
      <c r="S983" s="4" t="n"/>
      <c r="T983" s="4" t="n"/>
    </row>
    <row r="984">
      <c r="A984" s="3" t="n">
        <v>983</v>
      </c>
      <c r="B984" s="3" t="inlineStr">
        <is>
          <t>DL005</t>
        </is>
      </c>
      <c r="C984" s="4" t="inlineStr">
        <is>
          <t>ThinkSafe HCM</t>
        </is>
      </c>
      <c r="D984" s="3" t="inlineStr">
        <is>
          <t>HCM</t>
        </is>
      </c>
      <c r="E984" s="3" t="inlineStr">
        <is>
          <t>XUÂN TRANG</t>
        </is>
      </c>
      <c r="F984" s="3" t="inlineStr">
        <is>
          <t>Shopee, Tiktok</t>
        </is>
      </c>
      <c r="G984" s="4" t="inlineStr">
        <is>
          <t>SHOPEE: https://shopee.vn/baohothinksafe?uls_trackid=56slrjbp02l6&amp;utm_content=3kGSyWceAz2CP3beojAsTsVsisVR TIKTOK: https://www.tiktok.com/@thinksafevn LAZADA: WEBSITE BÁN HÀNG:</t>
        </is>
      </c>
      <c r="H984" s="3" t="inlineStr">
        <is>
          <t>KBH4S-12123</t>
        </is>
      </c>
      <c r="I984" s="4" t="inlineStr">
        <is>
          <t>Mũi khoan ĐN lục giác 4 cạnh KBH4S-12*123</t>
        </is>
      </c>
      <c r="J984" s="3" t="inlineStr">
        <is>
          <t>Cái</t>
        </is>
      </c>
      <c r="K984" s="5" t="n">
        <v>48000</v>
      </c>
      <c r="L984" s="5" t="n">
        <v>60000</v>
      </c>
      <c r="M984" s="6" t="n">
        <v>77000</v>
      </c>
      <c r="N984" s="5" t="n"/>
      <c r="O984" s="5">
        <f>IF(AND(ISNUMBER(N984),ISNUMBER(M984)),N984-M984,"")</f>
        <v/>
      </c>
      <c r="P984" s="7">
        <f>IF(AND(ISNUMBER(N984),ISNUMBER(M984),M984&gt;0),(N984-M984)/M984,"")</f>
        <v/>
      </c>
      <c r="Q984" s="3">
        <f>IF(P984="","",IF(P984&lt;-0.02,"🔴 Bán phá giá sàn",IF(P984&gt;0.05,"🔵 Bán cao hơn","🟢 Đúng giá sàn TMĐT")))</f>
        <v/>
      </c>
      <c r="R984" s="3" t="n"/>
      <c r="S984" s="4" t="n"/>
      <c r="T984" s="4" t="n"/>
    </row>
    <row r="985">
      <c r="A985" s="3" t="n">
        <v>984</v>
      </c>
      <c r="B985" s="3" t="inlineStr">
        <is>
          <t>DL005</t>
        </is>
      </c>
      <c r="C985" s="4" t="inlineStr">
        <is>
          <t>ThinkSafe HCM</t>
        </is>
      </c>
      <c r="D985" s="3" t="inlineStr">
        <is>
          <t>HCM</t>
        </is>
      </c>
      <c r="E985" s="3" t="inlineStr">
        <is>
          <t>XUÂN TRANG</t>
        </is>
      </c>
      <c r="F985" s="3" t="inlineStr">
        <is>
          <t>Shopee, Tiktok</t>
        </is>
      </c>
      <c r="G985" s="4" t="inlineStr">
        <is>
          <t>SHOPEE: https://shopee.vn/baohothinksafe?uls_trackid=56slrjbp02l6&amp;utm_content=3kGSyWceAz2CP3beojAsTsVsisVR TIKTOK: https://www.tiktok.com/@thinksafevn LAZADA: WEBSITE BÁN HÀNG:</t>
        </is>
      </c>
      <c r="H985" s="3" t="inlineStr">
        <is>
          <t>KBH4S-3.592</t>
        </is>
      </c>
      <c r="I985" s="4" t="inlineStr">
        <is>
          <t>Mũi khoan ĐN lục giác 4 cạnh KBH4S-3.5*92</t>
        </is>
      </c>
      <c r="J985" s="3" t="inlineStr">
        <is>
          <t>Cái</t>
        </is>
      </c>
      <c r="K985" s="5" t="n">
        <v>23000</v>
      </c>
      <c r="L985" s="5" t="n">
        <v>29000</v>
      </c>
      <c r="M985" s="6" t="n">
        <v>37000</v>
      </c>
      <c r="N985" s="5" t="n"/>
      <c r="O985" s="5">
        <f>IF(AND(ISNUMBER(N985),ISNUMBER(M985)),N985-M985,"")</f>
        <v/>
      </c>
      <c r="P985" s="7">
        <f>IF(AND(ISNUMBER(N985),ISNUMBER(M985),M985&gt;0),(N985-M985)/M985,"")</f>
        <v/>
      </c>
      <c r="Q985" s="3">
        <f>IF(P985="","",IF(P985&lt;-0.02,"🔴 Bán phá giá sàn",IF(P985&gt;0.05,"🔵 Bán cao hơn","🟢 Đúng giá sàn TMĐT")))</f>
        <v/>
      </c>
      <c r="R985" s="3" t="n"/>
      <c r="S985" s="4" t="n"/>
      <c r="T985" s="4" t="n"/>
    </row>
    <row r="986">
      <c r="A986" s="3" t="n">
        <v>985</v>
      </c>
      <c r="B986" s="3" t="inlineStr">
        <is>
          <t>DL005</t>
        </is>
      </c>
      <c r="C986" s="4" t="inlineStr">
        <is>
          <t>ThinkSafe HCM</t>
        </is>
      </c>
      <c r="D986" s="3" t="inlineStr">
        <is>
          <t>HCM</t>
        </is>
      </c>
      <c r="E986" s="3" t="inlineStr">
        <is>
          <t>XUÂN TRANG</t>
        </is>
      </c>
      <c r="F986" s="3" t="inlineStr">
        <is>
          <t>Shopee, Tiktok</t>
        </is>
      </c>
      <c r="G986" s="4" t="inlineStr">
        <is>
          <t>SHOPEE: https://shopee.vn/baohothinksafe?uls_trackid=56slrjbp02l6&amp;utm_content=3kGSyWceAz2CP3beojAsTsVsisVR TIKTOK: https://www.tiktok.com/@thinksafevn LAZADA: WEBSITE BÁN HÀNG:</t>
        </is>
      </c>
      <c r="H986" s="3" t="inlineStr">
        <is>
          <t>KBX1-06200</t>
        </is>
      </c>
      <c r="I986" s="4" t="inlineStr">
        <is>
          <t>Mũi khoan gỗ chuôi lục KBX1-06*200</t>
        </is>
      </c>
      <c r="J986" s="3" t="inlineStr">
        <is>
          <t>Cái</t>
        </is>
      </c>
      <c r="K986" s="5" t="n">
        <v>32000</v>
      </c>
      <c r="L986" s="5" t="n">
        <v>40000</v>
      </c>
      <c r="M986" s="6" t="n">
        <v>51000</v>
      </c>
      <c r="N986" s="5" t="n"/>
      <c r="O986" s="5">
        <f>IF(AND(ISNUMBER(N986),ISNUMBER(M986)),N986-M986,"")</f>
        <v/>
      </c>
      <c r="P986" s="7">
        <f>IF(AND(ISNUMBER(N986),ISNUMBER(M986),M986&gt;0),(N986-M986)/M986,"")</f>
        <v/>
      </c>
      <c r="Q986" s="3">
        <f>IF(P986="","",IF(P986&lt;-0.02,"🔴 Bán phá giá sàn",IF(P986&gt;0.05,"🔵 Bán cao hơn","🟢 Đúng giá sàn TMĐT")))</f>
        <v/>
      </c>
      <c r="R986" s="3" t="n"/>
      <c r="S986" s="4" t="n"/>
      <c r="T986" s="4" t="n"/>
    </row>
    <row r="987">
      <c r="A987" s="3" t="n">
        <v>986</v>
      </c>
      <c r="B987" s="3" t="inlineStr">
        <is>
          <t>DL005</t>
        </is>
      </c>
      <c r="C987" s="4" t="inlineStr">
        <is>
          <t>ThinkSafe HCM</t>
        </is>
      </c>
      <c r="D987" s="3" t="inlineStr">
        <is>
          <t>HCM</t>
        </is>
      </c>
      <c r="E987" s="3" t="inlineStr">
        <is>
          <t>XUÂN TRANG</t>
        </is>
      </c>
      <c r="F987" s="3" t="inlineStr">
        <is>
          <t>Shopee, Tiktok</t>
        </is>
      </c>
      <c r="G987" s="4" t="inlineStr">
        <is>
          <t>SHOPEE: https://shopee.vn/baohothinksafe?uls_trackid=56slrjbp02l6&amp;utm_content=3kGSyWceAz2CP3beojAsTsVsisVR TIKTOK: https://www.tiktok.com/@thinksafevn LAZADA: WEBSITE BÁN HÀNG:</t>
        </is>
      </c>
      <c r="H987" s="3" t="inlineStr">
        <is>
          <t>KBX1-08200</t>
        </is>
      </c>
      <c r="I987" s="4" t="inlineStr">
        <is>
          <t>Mũi khoan gỗ chuôi lục KBX1-08*200</t>
        </is>
      </c>
      <c r="J987" s="3" t="inlineStr">
        <is>
          <t>Cái</t>
        </is>
      </c>
      <c r="K987" s="5" t="n">
        <v>39000</v>
      </c>
      <c r="L987" s="5" t="n">
        <v>48000</v>
      </c>
      <c r="M987" s="6" t="n">
        <v>62000</v>
      </c>
      <c r="N987" s="5" t="n"/>
      <c r="O987" s="5">
        <f>IF(AND(ISNUMBER(N987),ISNUMBER(M987)),N987-M987,"")</f>
        <v/>
      </c>
      <c r="P987" s="7">
        <f>IF(AND(ISNUMBER(N987),ISNUMBER(M987),M987&gt;0),(N987-M987)/M987,"")</f>
        <v/>
      </c>
      <c r="Q987" s="3">
        <f>IF(P987="","",IF(P987&lt;-0.02,"🔴 Bán phá giá sàn",IF(P987&gt;0.05,"🔵 Bán cao hơn","🟢 Đúng giá sàn TMĐT")))</f>
        <v/>
      </c>
      <c r="R987" s="3" t="n"/>
      <c r="S987" s="4" t="n"/>
      <c r="T987" s="4" t="n"/>
    </row>
    <row r="988">
      <c r="A988" s="3" t="n">
        <v>987</v>
      </c>
      <c r="B988" s="3" t="inlineStr">
        <is>
          <t>DL005</t>
        </is>
      </c>
      <c r="C988" s="4" t="inlineStr">
        <is>
          <t>ThinkSafe HCM</t>
        </is>
      </c>
      <c r="D988" s="3" t="inlineStr">
        <is>
          <t>HCM</t>
        </is>
      </c>
      <c r="E988" s="3" t="inlineStr">
        <is>
          <t>XUÂN TRANG</t>
        </is>
      </c>
      <c r="F988" s="3" t="inlineStr">
        <is>
          <t>Shopee, Tiktok</t>
        </is>
      </c>
      <c r="G988" s="4" t="inlineStr">
        <is>
          <t>SHOPEE: https://shopee.vn/baohothinksafe?uls_trackid=56slrjbp02l6&amp;utm_content=3kGSyWceAz2CP3beojAsTsVsisVR TIKTOK: https://www.tiktok.com/@thinksafevn LAZADA: WEBSITE BÁN HÀNG:</t>
        </is>
      </c>
      <c r="H988" s="3" t="inlineStr">
        <is>
          <t>KRS-55155</t>
        </is>
      </c>
      <c r="I988" s="4" t="inlineStr">
        <is>
          <t>Mũi khoan rút lõi khô KRS-55*155 (new)</t>
        </is>
      </c>
      <c r="J988" s="3" t="inlineStr">
        <is>
          <t>Cái</t>
        </is>
      </c>
      <c r="K988" s="5" t="n">
        <v>1190000</v>
      </c>
      <c r="L988" s="5" t="n">
        <v>1380000</v>
      </c>
      <c r="M988" s="6" t="n">
        <v>1666000</v>
      </c>
      <c r="N988" s="5" t="n"/>
      <c r="O988" s="5">
        <f>IF(AND(ISNUMBER(N988),ISNUMBER(M988)),N988-M988,"")</f>
        <v/>
      </c>
      <c r="P988" s="7">
        <f>IF(AND(ISNUMBER(N988),ISNUMBER(M988),M988&gt;0),(N988-M988)/M988,"")</f>
        <v/>
      </c>
      <c r="Q988" s="3">
        <f>IF(P988="","",IF(P988&lt;-0.02,"🔴 Bán phá giá sàn",IF(P988&gt;0.05,"🔵 Bán cao hơn","🟢 Đúng giá sàn TMĐT")))</f>
        <v/>
      </c>
      <c r="R988" s="3" t="n"/>
      <c r="S988" s="4" t="n"/>
      <c r="T988" s="4" t="n"/>
    </row>
    <row r="989">
      <c r="A989" s="3" t="n">
        <v>988</v>
      </c>
      <c r="B989" s="3" t="inlineStr">
        <is>
          <t>DL005</t>
        </is>
      </c>
      <c r="C989" s="4" t="inlineStr">
        <is>
          <t>ThinkSafe HCM</t>
        </is>
      </c>
      <c r="D989" s="3" t="inlineStr">
        <is>
          <t>HCM</t>
        </is>
      </c>
      <c r="E989" s="3" t="inlineStr">
        <is>
          <t>XUÂN TRANG</t>
        </is>
      </c>
      <c r="F989" s="3" t="inlineStr">
        <is>
          <t>Shopee, Tiktok</t>
        </is>
      </c>
      <c r="G989" s="4" t="inlineStr">
        <is>
          <t>SHOPEE: https://shopee.vn/baohothinksafe?uls_trackid=56slrjbp02l6&amp;utm_content=3kGSyWceAz2CP3beojAsTsVsisVR TIKTOK: https://www.tiktok.com/@thinksafevn LAZADA: WEBSITE BÁN HÀNG:</t>
        </is>
      </c>
      <c r="H989" s="3" t="inlineStr">
        <is>
          <t>KRS-60155</t>
        </is>
      </c>
      <c r="I989" s="4" t="inlineStr">
        <is>
          <t>Mũi khoan rút lõi khô KRS-60*155</t>
        </is>
      </c>
      <c r="J989" s="3" t="inlineStr">
        <is>
          <t>Cái</t>
        </is>
      </c>
      <c r="K989" s="5" t="n">
        <v>1290000</v>
      </c>
      <c r="L989" s="5" t="n">
        <v>1496000</v>
      </c>
      <c r="M989" s="6" t="n">
        <v>1806000</v>
      </c>
      <c r="N989" s="5" t="n"/>
      <c r="O989" s="5">
        <f>IF(AND(ISNUMBER(N989),ISNUMBER(M989)),N989-M989,"")</f>
        <v/>
      </c>
      <c r="P989" s="7">
        <f>IF(AND(ISNUMBER(N989),ISNUMBER(M989),M989&gt;0),(N989-M989)/M989,"")</f>
        <v/>
      </c>
      <c r="Q989" s="3">
        <f>IF(P989="","",IF(P989&lt;-0.02,"🔴 Bán phá giá sàn",IF(P989&gt;0.05,"🔵 Bán cao hơn","🟢 Đúng giá sàn TMĐT")))</f>
        <v/>
      </c>
      <c r="R989" s="3" t="n"/>
      <c r="S989" s="4" t="n"/>
      <c r="T989" s="4" t="n"/>
    </row>
    <row r="990">
      <c r="A990" s="3" t="n">
        <v>989</v>
      </c>
      <c r="B990" s="3" t="inlineStr">
        <is>
          <t>DL005</t>
        </is>
      </c>
      <c r="C990" s="4" t="inlineStr">
        <is>
          <t>ThinkSafe HCM</t>
        </is>
      </c>
      <c r="D990" s="3" t="inlineStr">
        <is>
          <t>HCM</t>
        </is>
      </c>
      <c r="E990" s="3" t="inlineStr">
        <is>
          <t>XUÂN TRANG</t>
        </is>
      </c>
      <c r="F990" s="3" t="inlineStr">
        <is>
          <t>Shopee, Tiktok</t>
        </is>
      </c>
      <c r="G990" s="4" t="inlineStr">
        <is>
          <t>SHOPEE: https://shopee.vn/baohothinksafe?uls_trackid=56slrjbp02l6&amp;utm_content=3kGSyWceAz2CP3beojAsTsVsisVR TIKTOK: https://www.tiktok.com/@thinksafevn LAZADA: WEBSITE BÁN HÀNG:</t>
        </is>
      </c>
      <c r="H990" s="3" t="inlineStr">
        <is>
          <t>KRS-60155</t>
        </is>
      </c>
      <c r="I990" s="4" t="inlineStr">
        <is>
          <t>Mũi khoan rút lõi khô KRS-60*155 (New)</t>
        </is>
      </c>
      <c r="J990" s="3" t="inlineStr">
        <is>
          <t>Cái</t>
        </is>
      </c>
      <c r="K990" s="5" t="n">
        <v>1290000</v>
      </c>
      <c r="L990" s="5" t="n">
        <v>1496000</v>
      </c>
      <c r="M990" s="6" t="n">
        <v>1806000</v>
      </c>
      <c r="N990" s="5" t="n"/>
      <c r="O990" s="5">
        <f>IF(AND(ISNUMBER(N990),ISNUMBER(M990)),N990-M990,"")</f>
        <v/>
      </c>
      <c r="P990" s="7">
        <f>IF(AND(ISNUMBER(N990),ISNUMBER(M990),M990&gt;0),(N990-M990)/M990,"")</f>
        <v/>
      </c>
      <c r="Q990" s="3">
        <f>IF(P990="","",IF(P990&lt;-0.02,"🔴 Bán phá giá sàn",IF(P990&gt;0.05,"🔵 Bán cao hơn","🟢 Đúng giá sàn TMĐT")))</f>
        <v/>
      </c>
      <c r="R990" s="3" t="n"/>
      <c r="S990" s="4" t="n"/>
      <c r="T990" s="4" t="n"/>
    </row>
    <row r="991">
      <c r="A991" s="3" t="n">
        <v>990</v>
      </c>
      <c r="B991" s="3" t="inlineStr">
        <is>
          <t>DL005</t>
        </is>
      </c>
      <c r="C991" s="4" t="inlineStr">
        <is>
          <t>ThinkSafe HCM</t>
        </is>
      </c>
      <c r="D991" s="3" t="inlineStr">
        <is>
          <t>HCM</t>
        </is>
      </c>
      <c r="E991" s="3" t="inlineStr">
        <is>
          <t>XUÂN TRANG</t>
        </is>
      </c>
      <c r="F991" s="3" t="inlineStr">
        <is>
          <t>Shopee, Tiktok</t>
        </is>
      </c>
      <c r="G991" s="4" t="inlineStr">
        <is>
          <t>SHOPEE: https://shopee.vn/baohothinksafe?uls_trackid=56slrjbp02l6&amp;utm_content=3kGSyWceAz2CP3beojAsTsVsisVR TIKTOK: https://www.tiktok.com/@thinksafevn LAZADA: WEBSITE BÁN HÀNG:</t>
        </is>
      </c>
      <c r="H991" s="3" t="inlineStr">
        <is>
          <t>KRS-63155</t>
        </is>
      </c>
      <c r="I991" s="4" t="inlineStr">
        <is>
          <t>Mũi khoan rút lõi khô KRS-63*155</t>
        </is>
      </c>
      <c r="J991" s="3" t="inlineStr">
        <is>
          <t>Cái</t>
        </is>
      </c>
      <c r="K991" s="5" t="n">
        <v>1350000</v>
      </c>
      <c r="L991" s="5" t="n">
        <v>1566000</v>
      </c>
      <c r="M991" s="6" t="n">
        <v>1890000</v>
      </c>
      <c r="N991" s="5" t="n"/>
      <c r="O991" s="5">
        <f>IF(AND(ISNUMBER(N991),ISNUMBER(M991)),N991-M991,"")</f>
        <v/>
      </c>
      <c r="P991" s="7">
        <f>IF(AND(ISNUMBER(N991),ISNUMBER(M991),M991&gt;0),(N991-M991)/M991,"")</f>
        <v/>
      </c>
      <c r="Q991" s="3">
        <f>IF(P991="","",IF(P991&lt;-0.02,"🔴 Bán phá giá sàn",IF(P991&gt;0.05,"🔵 Bán cao hơn","🟢 Đúng giá sàn TMĐT")))</f>
        <v/>
      </c>
      <c r="R991" s="3" t="n"/>
      <c r="S991" s="4" t="n"/>
      <c r="T991" s="4" t="n"/>
    </row>
    <row r="992">
      <c r="A992" s="3" t="n">
        <v>991</v>
      </c>
      <c r="B992" s="3" t="inlineStr">
        <is>
          <t>DL005</t>
        </is>
      </c>
      <c r="C992" s="4" t="inlineStr">
        <is>
          <t>ThinkSafe HCM</t>
        </is>
      </c>
      <c r="D992" s="3" t="inlineStr">
        <is>
          <t>HCM</t>
        </is>
      </c>
      <c r="E992" s="3" t="inlineStr">
        <is>
          <t>XUÂN TRANG</t>
        </is>
      </c>
      <c r="F992" s="3" t="inlineStr">
        <is>
          <t>Shopee, Tiktok</t>
        </is>
      </c>
      <c r="G992" s="4" t="inlineStr">
        <is>
          <t>SHOPEE: https://shopee.vn/baohothinksafe?uls_trackid=56slrjbp02l6&amp;utm_content=3kGSyWceAz2CP3beojAsTsVsisVR TIKTOK: https://www.tiktok.com/@thinksafevn LAZADA: WEBSITE BÁN HÀNG:</t>
        </is>
      </c>
      <c r="H992" s="3" t="inlineStr">
        <is>
          <t>KBR-M30.5</t>
        </is>
      </c>
      <c r="I992" s="4" t="inlineStr">
        <is>
          <t>Mũi khoan TARO KBR-M3*0.5</t>
        </is>
      </c>
      <c r="J992" s="3" t="inlineStr">
        <is>
          <t>Cái</t>
        </is>
      </c>
      <c r="K992" s="5" t="n">
        <v>58000</v>
      </c>
      <c r="L992" s="5" t="n">
        <v>72000</v>
      </c>
      <c r="M992" s="6" t="n">
        <v>93000</v>
      </c>
      <c r="N992" s="5" t="n"/>
      <c r="O992" s="5">
        <f>IF(AND(ISNUMBER(N992),ISNUMBER(M992)),N992-M992,"")</f>
        <v/>
      </c>
      <c r="P992" s="7">
        <f>IF(AND(ISNUMBER(N992),ISNUMBER(M992),M992&gt;0),(N992-M992)/M992,"")</f>
        <v/>
      </c>
      <c r="Q992" s="3">
        <f>IF(P992="","",IF(P992&lt;-0.02,"🔴 Bán phá giá sàn",IF(P992&gt;0.05,"🔵 Bán cao hơn","🟢 Đúng giá sàn TMĐT")))</f>
        <v/>
      </c>
      <c r="R992" s="3" t="n"/>
      <c r="S992" s="4" t="n"/>
      <c r="T992" s="4" t="n"/>
    </row>
    <row r="993">
      <c r="A993" s="3" t="n">
        <v>992</v>
      </c>
      <c r="B993" s="3" t="inlineStr">
        <is>
          <t>DL005</t>
        </is>
      </c>
      <c r="C993" s="4" t="inlineStr">
        <is>
          <t>ThinkSafe HCM</t>
        </is>
      </c>
      <c r="D993" s="3" t="inlineStr">
        <is>
          <t>HCM</t>
        </is>
      </c>
      <c r="E993" s="3" t="inlineStr">
        <is>
          <t>XUÂN TRANG</t>
        </is>
      </c>
      <c r="F993" s="3" t="inlineStr">
        <is>
          <t>Shopee, Tiktok</t>
        </is>
      </c>
      <c r="G993" s="4" t="inlineStr">
        <is>
          <t>SHOPEE: https://shopee.vn/baohothinksafe?uls_trackid=56slrjbp02l6&amp;utm_content=3kGSyWceAz2CP3beojAsTsVsisVR TIKTOK: https://www.tiktok.com/@thinksafevn LAZADA: WEBSITE BÁN HÀNG:</t>
        </is>
      </c>
      <c r="H993" s="3" t="inlineStr"/>
      <c r="I993" s="4" t="inlineStr">
        <is>
          <t>Mũi khoan tường không tắc kê KBLJ - 03*100</t>
        </is>
      </c>
      <c r="J993" s="3" t="inlineStr">
        <is>
          <t>Cái</t>
        </is>
      </c>
      <c r="K993" s="5" t="n">
        <v>269000</v>
      </c>
      <c r="L993" s="5" t="n">
        <v>317000</v>
      </c>
      <c r="M993" s="6" t="n">
        <v>390000</v>
      </c>
      <c r="N993" s="5" t="n"/>
      <c r="O993" s="5">
        <f>IF(AND(ISNUMBER(N993),ISNUMBER(M993)),N993-M993,"")</f>
        <v/>
      </c>
      <c r="P993" s="7">
        <f>IF(AND(ISNUMBER(N993),ISNUMBER(M993),M993&gt;0),(N993-M993)/M993,"")</f>
        <v/>
      </c>
      <c r="Q993" s="3">
        <f>IF(P993="","",IF(P993&lt;-0.02,"🔴 Bán phá giá sàn",IF(P993&gt;0.05,"🔵 Bán cao hơn","🟢 Đúng giá sàn TMĐT")))</f>
        <v/>
      </c>
      <c r="R993" s="3" t="n"/>
      <c r="S993" s="4" t="n"/>
      <c r="T993" s="4" t="n"/>
    </row>
    <row r="994">
      <c r="A994" s="3" t="n">
        <v>993</v>
      </c>
      <c r="B994" s="3" t="inlineStr">
        <is>
          <t>DL005</t>
        </is>
      </c>
      <c r="C994" s="4" t="inlineStr">
        <is>
          <t>ThinkSafe HCM</t>
        </is>
      </c>
      <c r="D994" s="3" t="inlineStr">
        <is>
          <t>HCM</t>
        </is>
      </c>
      <c r="E994" s="3" t="inlineStr">
        <is>
          <t>XUÂN TRANG</t>
        </is>
      </c>
      <c r="F994" s="3" t="inlineStr">
        <is>
          <t>Shopee, Tiktok</t>
        </is>
      </c>
      <c r="G994" s="4" t="inlineStr">
        <is>
          <t>SHOPEE: https://shopee.vn/baohothinksafe?uls_trackid=56slrjbp02l6&amp;utm_content=3kGSyWceAz2CP3beojAsTsVsisVR TIKTOK: https://www.tiktok.com/@thinksafevn LAZADA: WEBSITE BÁN HÀNG:</t>
        </is>
      </c>
      <c r="H994" s="3" t="inlineStr"/>
      <c r="I994" s="4" t="inlineStr">
        <is>
          <t>Mũi khoan tường không tắc kê KBLJ - 03.2*100</t>
        </is>
      </c>
      <c r="J994" s="3" t="inlineStr">
        <is>
          <t>Cái</t>
        </is>
      </c>
      <c r="K994" s="5" t="n">
        <v>269000</v>
      </c>
      <c r="L994" s="5" t="n">
        <v>317000</v>
      </c>
      <c r="M994" s="6" t="n">
        <v>390000</v>
      </c>
      <c r="N994" s="5" t="n"/>
      <c r="O994" s="5">
        <f>IF(AND(ISNUMBER(N994),ISNUMBER(M994)),N994-M994,"")</f>
        <v/>
      </c>
      <c r="P994" s="7">
        <f>IF(AND(ISNUMBER(N994),ISNUMBER(M994),M994&gt;0),(N994-M994)/M994,"")</f>
        <v/>
      </c>
      <c r="Q994" s="3">
        <f>IF(P994="","",IF(P994&lt;-0.02,"🔴 Bán phá giá sàn",IF(P994&gt;0.05,"🔵 Bán cao hơn","🟢 Đúng giá sàn TMĐT")))</f>
        <v/>
      </c>
      <c r="R994" s="3" t="n"/>
      <c r="S994" s="4" t="n"/>
      <c r="T994" s="4" t="n"/>
    </row>
    <row r="995">
      <c r="A995" s="3" t="n">
        <v>994</v>
      </c>
      <c r="B995" s="3" t="inlineStr">
        <is>
          <t>DL005</t>
        </is>
      </c>
      <c r="C995" s="4" t="inlineStr">
        <is>
          <t>ThinkSafe HCM</t>
        </is>
      </c>
      <c r="D995" s="3" t="inlineStr">
        <is>
          <t>HCM</t>
        </is>
      </c>
      <c r="E995" s="3" t="inlineStr">
        <is>
          <t>XUÂN TRANG</t>
        </is>
      </c>
      <c r="F995" s="3" t="inlineStr">
        <is>
          <t>Shopee, Tiktok</t>
        </is>
      </c>
      <c r="G995" s="4" t="inlineStr">
        <is>
          <t>SHOPEE: https://shopee.vn/baohothinksafe?uls_trackid=56slrjbp02l6&amp;utm_content=3kGSyWceAz2CP3beojAsTsVsisVR TIKTOK: https://www.tiktok.com/@thinksafevn LAZADA: WEBSITE BÁN HÀNG:</t>
        </is>
      </c>
      <c r="H995" s="3" t="inlineStr"/>
      <c r="I995" s="4" t="inlineStr">
        <is>
          <t>Mũi khoan tường không tắc kê KBLJ - 03.5*100</t>
        </is>
      </c>
      <c r="J995" s="3" t="inlineStr">
        <is>
          <t>Cái</t>
        </is>
      </c>
      <c r="K995" s="5" t="n">
        <v>269000</v>
      </c>
      <c r="L995" s="5" t="n">
        <v>317000</v>
      </c>
      <c r="M995" s="6" t="n">
        <v>390000</v>
      </c>
      <c r="N995" s="5" t="n"/>
      <c r="O995" s="5">
        <f>IF(AND(ISNUMBER(N995),ISNUMBER(M995)),N995-M995,"")</f>
        <v/>
      </c>
      <c r="P995" s="7">
        <f>IF(AND(ISNUMBER(N995),ISNUMBER(M995),M995&gt;0),(N995-M995)/M995,"")</f>
        <v/>
      </c>
      <c r="Q995" s="3">
        <f>IF(P995="","",IF(P995&lt;-0.02,"🔴 Bán phá giá sàn",IF(P995&gt;0.05,"🔵 Bán cao hơn","🟢 Đúng giá sàn TMĐT")))</f>
        <v/>
      </c>
      <c r="R995" s="3" t="n"/>
      <c r="S995" s="4" t="n"/>
      <c r="T995" s="4" t="n"/>
    </row>
    <row r="996">
      <c r="A996" s="3" t="n">
        <v>995</v>
      </c>
      <c r="B996" s="3" t="inlineStr">
        <is>
          <t>DL005</t>
        </is>
      </c>
      <c r="C996" s="4" t="inlineStr">
        <is>
          <t>ThinkSafe HCM</t>
        </is>
      </c>
      <c r="D996" s="3" t="inlineStr">
        <is>
          <t>HCM</t>
        </is>
      </c>
      <c r="E996" s="3" t="inlineStr">
        <is>
          <t>XUÂN TRANG</t>
        </is>
      </c>
      <c r="F996" s="3" t="inlineStr">
        <is>
          <t>Shopee, Tiktok</t>
        </is>
      </c>
      <c r="G996" s="4" t="inlineStr">
        <is>
          <t>SHOPEE: https://shopee.vn/baohothinksafe?uls_trackid=56slrjbp02l6&amp;utm_content=3kGSyWceAz2CP3beojAsTsVsisVR TIKTOK: https://www.tiktok.com/@thinksafevn LAZADA: WEBSITE BÁN HÀNG:</t>
        </is>
      </c>
      <c r="H996" s="3" t="inlineStr"/>
      <c r="I996" s="4" t="inlineStr">
        <is>
          <t>Mũi khoan tường không tắc kê KBLJ - 04*100</t>
        </is>
      </c>
      <c r="J996" s="3" t="inlineStr">
        <is>
          <t>Cái</t>
        </is>
      </c>
      <c r="K996" s="5" t="n">
        <v>269000</v>
      </c>
      <c r="L996" s="5" t="n">
        <v>317000</v>
      </c>
      <c r="M996" s="6" t="n">
        <v>390000</v>
      </c>
      <c r="N996" s="5" t="n"/>
      <c r="O996" s="5">
        <f>IF(AND(ISNUMBER(N996),ISNUMBER(M996)),N996-M996,"")</f>
        <v/>
      </c>
      <c r="P996" s="7">
        <f>IF(AND(ISNUMBER(N996),ISNUMBER(M996),M996&gt;0),(N996-M996)/M996,"")</f>
        <v/>
      </c>
      <c r="Q996" s="3">
        <f>IF(P996="","",IF(P996&lt;-0.02,"🔴 Bán phá giá sàn",IF(P996&gt;0.05,"🔵 Bán cao hơn","🟢 Đúng giá sàn TMĐT")))</f>
        <v/>
      </c>
      <c r="R996" s="3" t="n"/>
      <c r="S996" s="4" t="n"/>
      <c r="T996" s="4" t="n"/>
    </row>
    <row r="997">
      <c r="A997" s="3" t="n">
        <v>996</v>
      </c>
      <c r="B997" s="3" t="inlineStr">
        <is>
          <t>DL005</t>
        </is>
      </c>
      <c r="C997" s="4" t="inlineStr">
        <is>
          <t>ThinkSafe HCM</t>
        </is>
      </c>
      <c r="D997" s="3" t="inlineStr">
        <is>
          <t>HCM</t>
        </is>
      </c>
      <c r="E997" s="3" t="inlineStr">
        <is>
          <t>XUÂN TRANG</t>
        </is>
      </c>
      <c r="F997" s="3" t="inlineStr">
        <is>
          <t>Shopee, Tiktok</t>
        </is>
      </c>
      <c r="G997" s="4" t="inlineStr">
        <is>
          <t>SHOPEE: https://shopee.vn/baohothinksafe?uls_trackid=56slrjbp02l6&amp;utm_content=3kGSyWceAz2CP3beojAsTsVsisVR TIKTOK: https://www.tiktok.com/@thinksafevn LAZADA: WEBSITE BÁN HÀNG:</t>
        </is>
      </c>
      <c r="H997" s="3" t="inlineStr"/>
      <c r="I997" s="4" t="inlineStr">
        <is>
          <t>Mũi khoan tường không tắc kê KBLJ - 04.2*100</t>
        </is>
      </c>
      <c r="J997" s="3" t="inlineStr">
        <is>
          <t>Cái</t>
        </is>
      </c>
      <c r="K997" s="5" t="n">
        <v>269000</v>
      </c>
      <c r="L997" s="5" t="n">
        <v>317000</v>
      </c>
      <c r="M997" s="6" t="n">
        <v>390000</v>
      </c>
      <c r="N997" s="5" t="n"/>
      <c r="O997" s="5">
        <f>IF(AND(ISNUMBER(N997),ISNUMBER(M997)),N997-M997,"")</f>
        <v/>
      </c>
      <c r="P997" s="7">
        <f>IF(AND(ISNUMBER(N997),ISNUMBER(M997),M997&gt;0),(N997-M997)/M997,"")</f>
        <v/>
      </c>
      <c r="Q997" s="3">
        <f>IF(P997="","",IF(P997&lt;-0.02,"🔴 Bán phá giá sàn",IF(P997&gt;0.05,"🔵 Bán cao hơn","🟢 Đúng giá sàn TMĐT")))</f>
        <v/>
      </c>
      <c r="R997" s="3" t="n"/>
      <c r="S997" s="4" t="n"/>
      <c r="T997" s="4" t="n"/>
    </row>
    <row r="998">
      <c r="A998" s="3" t="n">
        <v>997</v>
      </c>
      <c r="B998" s="3" t="inlineStr">
        <is>
          <t>DL005</t>
        </is>
      </c>
      <c r="C998" s="4" t="inlineStr">
        <is>
          <t>ThinkSafe HCM</t>
        </is>
      </c>
      <c r="D998" s="3" t="inlineStr">
        <is>
          <t>HCM</t>
        </is>
      </c>
      <c r="E998" s="3" t="inlineStr">
        <is>
          <t>XUÂN TRANG</t>
        </is>
      </c>
      <c r="F998" s="3" t="inlineStr">
        <is>
          <t>Shopee, Tiktok</t>
        </is>
      </c>
      <c r="G998" s="4" t="inlineStr">
        <is>
          <t>SHOPEE: https://shopee.vn/baohothinksafe?uls_trackid=56slrjbp02l6&amp;utm_content=3kGSyWceAz2CP3beojAsTsVsisVR TIKTOK: https://www.tiktok.com/@thinksafevn LAZADA: WEBSITE BÁN HÀNG:</t>
        </is>
      </c>
      <c r="H998" s="3" t="inlineStr"/>
      <c r="I998" s="4" t="inlineStr">
        <is>
          <t>Mũi khoan tường không tắc kê KBLJ - 04.5*100</t>
        </is>
      </c>
      <c r="J998" s="3" t="inlineStr">
        <is>
          <t>Cái</t>
        </is>
      </c>
      <c r="K998" s="5" t="n">
        <v>269000</v>
      </c>
      <c r="L998" s="5" t="n">
        <v>317000</v>
      </c>
      <c r="M998" s="6" t="n">
        <v>390000</v>
      </c>
      <c r="N998" s="5" t="n"/>
      <c r="O998" s="5">
        <f>IF(AND(ISNUMBER(N998),ISNUMBER(M998)),N998-M998,"")</f>
        <v/>
      </c>
      <c r="P998" s="7">
        <f>IF(AND(ISNUMBER(N998),ISNUMBER(M998),M998&gt;0),(N998-M998)/M998,"")</f>
        <v/>
      </c>
      <c r="Q998" s="3">
        <f>IF(P998="","",IF(P998&lt;-0.02,"🔴 Bán phá giá sàn",IF(P998&gt;0.05,"🔵 Bán cao hơn","🟢 Đúng giá sàn TMĐT")))</f>
        <v/>
      </c>
      <c r="R998" s="3" t="n"/>
      <c r="S998" s="4" t="n"/>
      <c r="T998" s="4" t="n"/>
    </row>
    <row r="999">
      <c r="A999" s="3" t="n">
        <v>998</v>
      </c>
      <c r="B999" s="3" t="inlineStr">
        <is>
          <t>DL005</t>
        </is>
      </c>
      <c r="C999" s="4" t="inlineStr">
        <is>
          <t>ThinkSafe HCM</t>
        </is>
      </c>
      <c r="D999" s="3" t="inlineStr">
        <is>
          <t>HCM</t>
        </is>
      </c>
      <c r="E999" s="3" t="inlineStr">
        <is>
          <t>XUÂN TRANG</t>
        </is>
      </c>
      <c r="F999" s="3" t="inlineStr">
        <is>
          <t>Shopee, Tiktok</t>
        </is>
      </c>
      <c r="G999" s="4" t="inlineStr">
        <is>
          <t>SHOPEE: https://shopee.vn/baohothinksafe?uls_trackid=56slrjbp02l6&amp;utm_content=3kGSyWceAz2CP3beojAsTsVsisVR TIKTOK: https://www.tiktok.com/@thinksafevn LAZADA: WEBSITE BÁN HÀNG:</t>
        </is>
      </c>
      <c r="H999" s="3" t="inlineStr"/>
      <c r="I999" s="4" t="inlineStr">
        <is>
          <t>Mũi khoan tường không tắc kê KBLJ - 05*100</t>
        </is>
      </c>
      <c r="J999" s="3" t="inlineStr">
        <is>
          <t>Cái</t>
        </is>
      </c>
      <c r="K999" s="5" t="n">
        <v>269000</v>
      </c>
      <c r="L999" s="5" t="n">
        <v>317000</v>
      </c>
      <c r="M999" s="6" t="n">
        <v>390000</v>
      </c>
      <c r="N999" s="5" t="n"/>
      <c r="O999" s="5">
        <f>IF(AND(ISNUMBER(N999),ISNUMBER(M999)),N999-M999,"")</f>
        <v/>
      </c>
      <c r="P999" s="7">
        <f>IF(AND(ISNUMBER(N999),ISNUMBER(M999),M999&gt;0),(N999-M999)/M999,"")</f>
        <v/>
      </c>
      <c r="Q999" s="3">
        <f>IF(P999="","",IF(P999&lt;-0.02,"🔴 Bán phá giá sàn",IF(P999&gt;0.05,"🔵 Bán cao hơn","🟢 Đúng giá sàn TMĐT")))</f>
        <v/>
      </c>
      <c r="R999" s="3" t="n"/>
      <c r="S999" s="4" t="n"/>
      <c r="T999" s="4" t="n"/>
    </row>
    <row r="1000">
      <c r="A1000" s="3" t="n">
        <v>999</v>
      </c>
      <c r="B1000" s="3" t="inlineStr">
        <is>
          <t>DL005</t>
        </is>
      </c>
      <c r="C1000" s="4" t="inlineStr">
        <is>
          <t>ThinkSafe HCM</t>
        </is>
      </c>
      <c r="D1000" s="3" t="inlineStr">
        <is>
          <t>HCM</t>
        </is>
      </c>
      <c r="E1000" s="3" t="inlineStr">
        <is>
          <t>XUÂN TRANG</t>
        </is>
      </c>
      <c r="F1000" s="3" t="inlineStr">
        <is>
          <t>Shopee, Tiktok</t>
        </is>
      </c>
      <c r="G1000" s="4" t="inlineStr">
        <is>
          <t>SHOPEE: https://shopee.vn/baohothinksafe?uls_trackid=56slrjbp02l6&amp;utm_content=3kGSyWceAz2CP3beojAsTsVsisVR TIKTOK: https://www.tiktok.com/@thinksafevn LAZADA: WEBSITE BÁN HÀNG:</t>
        </is>
      </c>
      <c r="H1000" s="3" t="inlineStr"/>
      <c r="I1000" s="4" t="inlineStr">
        <is>
          <t>Mũi khoan tường không tắc kê KBLJ - 05.5*100</t>
        </is>
      </c>
      <c r="J1000" s="3" t="inlineStr">
        <is>
          <t>Cái</t>
        </is>
      </c>
      <c r="K1000" s="5" t="n">
        <v>269000</v>
      </c>
      <c r="L1000" s="5" t="n">
        <v>317000</v>
      </c>
      <c r="M1000" s="6" t="n">
        <v>390000</v>
      </c>
      <c r="N1000" s="5" t="n"/>
      <c r="O1000" s="5">
        <f>IF(AND(ISNUMBER(N1000),ISNUMBER(M1000)),N1000-M1000,"")</f>
        <v/>
      </c>
      <c r="P1000" s="7">
        <f>IF(AND(ISNUMBER(N1000),ISNUMBER(M1000),M1000&gt;0),(N1000-M1000)/M1000,"")</f>
        <v/>
      </c>
      <c r="Q1000" s="3">
        <f>IF(P1000="","",IF(P1000&lt;-0.02,"🔴 Bán phá giá sàn",IF(P1000&gt;0.05,"🔵 Bán cao hơn","🟢 Đúng giá sàn TMĐT")))</f>
        <v/>
      </c>
      <c r="R1000" s="3" t="n"/>
      <c r="S1000" s="4" t="n"/>
      <c r="T1000" s="4" t="n"/>
    </row>
    <row r="1001">
      <c r="A1001" s="3" t="n">
        <v>1000</v>
      </c>
      <c r="B1001" s="3" t="inlineStr">
        <is>
          <t>DL005</t>
        </is>
      </c>
      <c r="C1001" s="4" t="inlineStr">
        <is>
          <t>ThinkSafe HCM</t>
        </is>
      </c>
      <c r="D1001" s="3" t="inlineStr">
        <is>
          <t>HCM</t>
        </is>
      </c>
      <c r="E1001" s="3" t="inlineStr">
        <is>
          <t>XUÂN TRANG</t>
        </is>
      </c>
      <c r="F1001" s="3" t="inlineStr">
        <is>
          <t>Shopee, Tiktok</t>
        </is>
      </c>
      <c r="G1001" s="4" t="inlineStr">
        <is>
          <t>SHOPEE: https://shopee.vn/baohothinksafe?uls_trackid=56slrjbp02l6&amp;utm_content=3kGSyWceAz2CP3beojAsTsVsisVR TIKTOK: https://www.tiktok.com/@thinksafevn LAZADA: WEBSITE BÁN HÀNG:</t>
        </is>
      </c>
      <c r="H1001" s="3" t="inlineStr"/>
      <c r="I1001" s="4" t="inlineStr">
        <is>
          <t>Mũi khoan tường không tắc kê KBLJ - 06*125</t>
        </is>
      </c>
      <c r="J1001" s="3" t="inlineStr">
        <is>
          <t>Cái</t>
        </is>
      </c>
      <c r="K1001" s="5" t="n">
        <v>269000</v>
      </c>
      <c r="L1001" s="5" t="n">
        <v>317000</v>
      </c>
      <c r="M1001" s="6" t="n">
        <v>390000</v>
      </c>
      <c r="N1001" s="5" t="n"/>
      <c r="O1001" s="5">
        <f>IF(AND(ISNUMBER(N1001),ISNUMBER(M1001)),N1001-M1001,"")</f>
        <v/>
      </c>
      <c r="P1001" s="7">
        <f>IF(AND(ISNUMBER(N1001),ISNUMBER(M1001),M1001&gt;0),(N1001-M1001)/M1001,"")</f>
        <v/>
      </c>
      <c r="Q1001" s="3">
        <f>IF(P1001="","",IF(P1001&lt;-0.02,"🔴 Bán phá giá sàn",IF(P1001&gt;0.05,"🔵 Bán cao hơn","🟢 Đúng giá sàn TMĐT")))</f>
        <v/>
      </c>
      <c r="R1001" s="3" t="n"/>
      <c r="S1001" s="4" t="n"/>
      <c r="T1001" s="4" t="n"/>
    </row>
    <row r="1002">
      <c r="A1002" s="3" t="n">
        <v>1001</v>
      </c>
      <c r="B1002" s="3" t="inlineStr">
        <is>
          <t>DL005</t>
        </is>
      </c>
      <c r="C1002" s="4" t="inlineStr">
        <is>
          <t>ThinkSafe HCM</t>
        </is>
      </c>
      <c r="D1002" s="3" t="inlineStr">
        <is>
          <t>HCM</t>
        </is>
      </c>
      <c r="E1002" s="3" t="inlineStr">
        <is>
          <t>XUÂN TRANG</t>
        </is>
      </c>
      <c r="F1002" s="3" t="inlineStr">
        <is>
          <t>Shopee, Tiktok</t>
        </is>
      </c>
      <c r="G1002" s="4" t="inlineStr">
        <is>
          <t>SHOPEE: https://shopee.vn/baohothinksafe?uls_trackid=56slrjbp02l6&amp;utm_content=3kGSyWceAz2CP3beojAsTsVsisVR TIKTOK: https://www.tiktok.com/@thinksafevn LAZADA: WEBSITE BÁN HÀNG:</t>
        </is>
      </c>
      <c r="H1002" s="3" t="inlineStr"/>
      <c r="I1002" s="4" t="inlineStr">
        <is>
          <t>Mũi khoan tường không tắc kê KBLJ - 08*125</t>
        </is>
      </c>
      <c r="J1002" s="3" t="inlineStr">
        <is>
          <t>Cái</t>
        </is>
      </c>
      <c r="K1002" s="5" t="n">
        <v>269000</v>
      </c>
      <c r="L1002" s="5" t="n">
        <v>317000</v>
      </c>
      <c r="M1002" s="6" t="n">
        <v>390000</v>
      </c>
      <c r="N1002" s="5" t="n"/>
      <c r="O1002" s="5">
        <f>IF(AND(ISNUMBER(N1002),ISNUMBER(M1002)),N1002-M1002,"")</f>
        <v/>
      </c>
      <c r="P1002" s="7">
        <f>IF(AND(ISNUMBER(N1002),ISNUMBER(M1002),M1002&gt;0),(N1002-M1002)/M1002,"")</f>
        <v/>
      </c>
      <c r="Q1002" s="3">
        <f>IF(P1002="","",IF(P1002&lt;-0.02,"🔴 Bán phá giá sàn",IF(P1002&gt;0.05,"🔵 Bán cao hơn","🟢 Đúng giá sàn TMĐT")))</f>
        <v/>
      </c>
      <c r="R1002" s="3" t="n"/>
      <c r="S1002" s="4" t="n"/>
      <c r="T1002" s="4" t="n"/>
    </row>
    <row r="1003">
      <c r="A1003" s="3" t="n">
        <v>1002</v>
      </c>
      <c r="B1003" s="3" t="inlineStr">
        <is>
          <t>DL005</t>
        </is>
      </c>
      <c r="C1003" s="4" t="inlineStr">
        <is>
          <t>ThinkSafe HCM</t>
        </is>
      </c>
      <c r="D1003" s="3" t="inlineStr">
        <is>
          <t>HCM</t>
        </is>
      </c>
      <c r="E1003" s="3" t="inlineStr">
        <is>
          <t>XUÂN TRANG</t>
        </is>
      </c>
      <c r="F1003" s="3" t="inlineStr">
        <is>
          <t>Shopee, Tiktok</t>
        </is>
      </c>
      <c r="G1003" s="4" t="inlineStr">
        <is>
          <t>SHOPEE: https://shopee.vn/baohothinksafe?uls_trackid=56slrjbp02l6&amp;utm_content=3kGSyWceAz2CP3beojAsTsVsisVR TIKTOK: https://www.tiktok.com/@thinksafevn LAZADA: WEBSITE BÁN HÀNG:</t>
        </is>
      </c>
      <c r="H1003" s="3" t="inlineStr"/>
      <c r="I1003" s="4" t="inlineStr">
        <is>
          <t>Mũi khoan tường không tắc kê KBLJ - 10*148</t>
        </is>
      </c>
      <c r="J1003" s="3" t="inlineStr">
        <is>
          <t>Cái</t>
        </is>
      </c>
      <c r="K1003" s="5" t="n">
        <v>269000</v>
      </c>
      <c r="L1003" s="5" t="n">
        <v>317000</v>
      </c>
      <c r="M1003" s="6" t="n">
        <v>390000</v>
      </c>
      <c r="N1003" s="5" t="n"/>
      <c r="O1003" s="5">
        <f>IF(AND(ISNUMBER(N1003),ISNUMBER(M1003)),N1003-M1003,"")</f>
        <v/>
      </c>
      <c r="P1003" s="7">
        <f>IF(AND(ISNUMBER(N1003),ISNUMBER(M1003),M1003&gt;0),(N1003-M1003)/M1003,"")</f>
        <v/>
      </c>
      <c r="Q1003" s="3">
        <f>IF(P1003="","",IF(P1003&lt;-0.02,"🔴 Bán phá giá sàn",IF(P1003&gt;0.05,"🔵 Bán cao hơn","🟢 Đúng giá sàn TMĐT")))</f>
        <v/>
      </c>
      <c r="R1003" s="3" t="n"/>
      <c r="S1003" s="4" t="n"/>
      <c r="T1003" s="4" t="n"/>
    </row>
    <row r="1004">
      <c r="A1004" s="3" t="n">
        <v>1003</v>
      </c>
      <c r="B1004" s="3" t="inlineStr">
        <is>
          <t>DL005</t>
        </is>
      </c>
      <c r="C1004" s="4" t="inlineStr">
        <is>
          <t>ThinkSafe HCM</t>
        </is>
      </c>
      <c r="D1004" s="3" t="inlineStr">
        <is>
          <t>HCM</t>
        </is>
      </c>
      <c r="E1004" s="3" t="inlineStr">
        <is>
          <t>XUÂN TRANG</t>
        </is>
      </c>
      <c r="F1004" s="3" t="inlineStr">
        <is>
          <t>Shopee, Tiktok</t>
        </is>
      </c>
      <c r="G1004" s="4" t="inlineStr">
        <is>
          <t>SHOPEE: https://shopee.vn/baohothinksafe?uls_trackid=56slrjbp02l6&amp;utm_content=3kGSyWceAz2CP3beojAsTsVsisVR TIKTOK: https://www.tiktok.com/@thinksafevn LAZADA: WEBSITE BÁN HÀNG:</t>
        </is>
      </c>
      <c r="H1004" s="3" t="inlineStr">
        <is>
          <t>KBT-0412</t>
        </is>
      </c>
      <c r="I1004" s="4" t="inlineStr">
        <is>
          <t>Mũi khoan tháp M2 KBT-04*12</t>
        </is>
      </c>
      <c r="J1004" s="3" t="inlineStr">
        <is>
          <t>Cái</t>
        </is>
      </c>
      <c r="K1004" s="5" t="n">
        <v>88000</v>
      </c>
      <c r="L1004" s="5" t="n">
        <v>109000</v>
      </c>
      <c r="M1004" s="6" t="n">
        <v>141000</v>
      </c>
      <c r="N1004" s="5" t="n"/>
      <c r="O1004" s="5">
        <f>IF(AND(ISNUMBER(N1004),ISNUMBER(M1004)),N1004-M1004,"")</f>
        <v/>
      </c>
      <c r="P1004" s="7">
        <f>IF(AND(ISNUMBER(N1004),ISNUMBER(M1004),M1004&gt;0),(N1004-M1004)/M1004,"")</f>
        <v/>
      </c>
      <c r="Q1004" s="3">
        <f>IF(P1004="","",IF(P1004&lt;-0.02,"🔴 Bán phá giá sàn",IF(P1004&gt;0.05,"🔵 Bán cao hơn","🟢 Đúng giá sàn TMĐT")))</f>
        <v/>
      </c>
      <c r="R1004" s="3" t="n"/>
      <c r="S1004" s="4" t="n"/>
      <c r="T1004" s="4" t="n"/>
    </row>
    <row r="1005">
      <c r="A1005" s="3" t="n">
        <v>1004</v>
      </c>
      <c r="B1005" s="3" t="inlineStr">
        <is>
          <t>DL005</t>
        </is>
      </c>
      <c r="C1005" s="4" t="inlineStr">
        <is>
          <t>ThinkSafe HCM</t>
        </is>
      </c>
      <c r="D1005" s="3" t="inlineStr">
        <is>
          <t>HCM</t>
        </is>
      </c>
      <c r="E1005" s="3" t="inlineStr">
        <is>
          <t>XUÂN TRANG</t>
        </is>
      </c>
      <c r="F1005" s="3" t="inlineStr">
        <is>
          <t>Shopee, Tiktok</t>
        </is>
      </c>
      <c r="G1005" s="4" t="inlineStr">
        <is>
          <t>SHOPEE: https://shopee.vn/baohothinksafe?uls_trackid=56slrjbp02l6&amp;utm_content=3kGSyWceAz2CP3beojAsTsVsisVR TIKTOK: https://www.tiktok.com/@thinksafevn LAZADA: WEBSITE BÁN HÀNG:</t>
        </is>
      </c>
      <c r="H1005" s="3" t="inlineStr">
        <is>
          <t>KBT-0420</t>
        </is>
      </c>
      <c r="I1005" s="4" t="inlineStr">
        <is>
          <t>Mũi khoan tháp M2 KBT-04*20</t>
        </is>
      </c>
      <c r="J1005" s="3" t="inlineStr">
        <is>
          <t>Cái</t>
        </is>
      </c>
      <c r="K1005" s="5" t="n">
        <v>170000</v>
      </c>
      <c r="L1005" s="5" t="n">
        <v>211000</v>
      </c>
      <c r="M1005" s="6" t="n">
        <v>272000</v>
      </c>
      <c r="N1005" s="5" t="n"/>
      <c r="O1005" s="5">
        <f>IF(AND(ISNUMBER(N1005),ISNUMBER(M1005)),N1005-M1005,"")</f>
        <v/>
      </c>
      <c r="P1005" s="7">
        <f>IF(AND(ISNUMBER(N1005),ISNUMBER(M1005),M1005&gt;0),(N1005-M1005)/M1005,"")</f>
        <v/>
      </c>
      <c r="Q1005" s="3">
        <f>IF(P1005="","",IF(P1005&lt;-0.02,"🔴 Bán phá giá sàn",IF(P1005&gt;0.05,"🔵 Bán cao hơn","🟢 Đúng giá sàn TMĐT")))</f>
        <v/>
      </c>
      <c r="R1005" s="3" t="n"/>
      <c r="S1005" s="4" t="n"/>
      <c r="T1005" s="4" t="n"/>
    </row>
    <row r="1006">
      <c r="A1006" s="3" t="n">
        <v>1005</v>
      </c>
      <c r="B1006" s="3" t="inlineStr">
        <is>
          <t>DL005</t>
        </is>
      </c>
      <c r="C1006" s="4" t="inlineStr">
        <is>
          <t>ThinkSafe HCM</t>
        </is>
      </c>
      <c r="D1006" s="3" t="inlineStr">
        <is>
          <t>HCM</t>
        </is>
      </c>
      <c r="E1006" s="3" t="inlineStr">
        <is>
          <t>XUÂN TRANG</t>
        </is>
      </c>
      <c r="F1006" s="3" t="inlineStr">
        <is>
          <t>Shopee, Tiktok</t>
        </is>
      </c>
      <c r="G1006" s="4" t="inlineStr">
        <is>
          <t>SHOPEE: https://shopee.vn/baohothinksafe?uls_trackid=56slrjbp02l6&amp;utm_content=3kGSyWceAz2CP3beojAsTsVsisVR TIKTOK: https://www.tiktok.com/@thinksafevn LAZADA: WEBSITE BÁN HÀNG:</t>
        </is>
      </c>
      <c r="H1006" s="3" t="inlineStr">
        <is>
          <t>KBT-0432</t>
        </is>
      </c>
      <c r="I1006" s="4" t="inlineStr">
        <is>
          <t>Mũi khoan tháp M2 KBT-04*32</t>
        </is>
      </c>
      <c r="J1006" s="3" t="inlineStr">
        <is>
          <t>Cái</t>
        </is>
      </c>
      <c r="K1006" s="5" t="n">
        <v>319000</v>
      </c>
      <c r="L1006" s="5" t="n">
        <v>395000</v>
      </c>
      <c r="M1006" s="6" t="n">
        <v>510000</v>
      </c>
      <c r="N1006" s="5" t="n"/>
      <c r="O1006" s="5">
        <f>IF(AND(ISNUMBER(N1006),ISNUMBER(M1006)),N1006-M1006,"")</f>
        <v/>
      </c>
      <c r="P1006" s="7">
        <f>IF(AND(ISNUMBER(N1006),ISNUMBER(M1006),M1006&gt;0),(N1006-M1006)/M1006,"")</f>
        <v/>
      </c>
      <c r="Q1006" s="3">
        <f>IF(P1006="","",IF(P1006&lt;-0.02,"🔴 Bán phá giá sàn",IF(P1006&gt;0.05,"🔵 Bán cao hơn","🟢 Đúng giá sàn TMĐT")))</f>
        <v/>
      </c>
      <c r="R1006" s="3" t="n"/>
      <c r="S1006" s="4" t="n"/>
      <c r="T1006" s="4" t="n"/>
    </row>
    <row r="1007">
      <c r="A1007" s="3" t="n">
        <v>1006</v>
      </c>
      <c r="B1007" s="3" t="inlineStr">
        <is>
          <t>DL005</t>
        </is>
      </c>
      <c r="C1007" s="4" t="inlineStr">
        <is>
          <t>ThinkSafe HCM</t>
        </is>
      </c>
      <c r="D1007" s="3" t="inlineStr">
        <is>
          <t>HCM</t>
        </is>
      </c>
      <c r="E1007" s="3" t="inlineStr">
        <is>
          <t>XUÂN TRANG</t>
        </is>
      </c>
      <c r="F1007" s="3" t="inlineStr">
        <is>
          <t>Shopee, Tiktok</t>
        </is>
      </c>
      <c r="G1007" s="4" t="inlineStr">
        <is>
          <t>SHOPEE: https://shopee.vn/baohothinksafe?uls_trackid=56slrjbp02l6&amp;utm_content=3kGSyWceAz2CP3beojAsTsVsisVR TIKTOK: https://www.tiktok.com/@thinksafevn LAZADA: WEBSITE BÁN HÀNG:</t>
        </is>
      </c>
      <c r="H1007" s="3" t="inlineStr">
        <is>
          <t>KBL4-10350</t>
        </is>
      </c>
      <c r="I1007" s="4" t="inlineStr">
        <is>
          <t>Mũi khoan xuyên tường 4 cạnh KBL4-10*350</t>
        </is>
      </c>
      <c r="J1007" s="3" t="inlineStr">
        <is>
          <t>Cái</t>
        </is>
      </c>
      <c r="K1007" s="5" t="n">
        <v>81000</v>
      </c>
      <c r="L1007" s="5" t="n">
        <v>99000</v>
      </c>
      <c r="M1007" s="6" t="n">
        <v>126000</v>
      </c>
      <c r="N1007" s="5" t="n"/>
      <c r="O1007" s="5">
        <f>IF(AND(ISNUMBER(N1007),ISNUMBER(M1007)),N1007-M1007,"")</f>
        <v/>
      </c>
      <c r="P1007" s="7">
        <f>IF(AND(ISNUMBER(N1007),ISNUMBER(M1007),M1007&gt;0),(N1007-M1007)/M1007,"")</f>
        <v/>
      </c>
      <c r="Q1007" s="3">
        <f>IF(P1007="","",IF(P1007&lt;-0.02,"🔴 Bán phá giá sàn",IF(P1007&gt;0.05,"🔵 Bán cao hơn","🟢 Đúng giá sàn TMĐT")))</f>
        <v/>
      </c>
      <c r="R1007" s="3" t="n"/>
      <c r="S1007" s="4" t="n"/>
      <c r="T1007" s="4" t="n"/>
    </row>
    <row r="1008">
      <c r="A1008" s="3" t="n">
        <v>1007</v>
      </c>
      <c r="B1008" s="3" t="inlineStr">
        <is>
          <t>DL005</t>
        </is>
      </c>
      <c r="C1008" s="4" t="inlineStr">
        <is>
          <t>ThinkSafe HCM</t>
        </is>
      </c>
      <c r="D1008" s="3" t="inlineStr">
        <is>
          <t>HCM</t>
        </is>
      </c>
      <c r="E1008" s="3" t="inlineStr">
        <is>
          <t>XUÂN TRANG</t>
        </is>
      </c>
      <c r="F1008" s="3" t="inlineStr">
        <is>
          <t>Shopee, Tiktok</t>
        </is>
      </c>
      <c r="G1008" s="4" t="inlineStr">
        <is>
          <t>SHOPEE: https://shopee.vn/baohothinksafe?uls_trackid=56slrjbp02l6&amp;utm_content=3kGSyWceAz2CP3beojAsTsVsisVR TIKTOK: https://www.tiktok.com/@thinksafevn LAZADA: WEBSITE BÁN HÀNG:</t>
        </is>
      </c>
      <c r="H1008" s="3" t="inlineStr">
        <is>
          <t>KBL4-12350</t>
        </is>
      </c>
      <c r="I1008" s="4" t="inlineStr">
        <is>
          <t>Mũi khoan xuyên tường 4 cạnh KBL4-12*350</t>
        </is>
      </c>
      <c r="J1008" s="3" t="inlineStr">
        <is>
          <t>Cái</t>
        </is>
      </c>
      <c r="K1008" s="5" t="n">
        <v>89000</v>
      </c>
      <c r="L1008" s="5" t="n">
        <v>109000</v>
      </c>
      <c r="M1008" s="6" t="n">
        <v>138000</v>
      </c>
      <c r="N1008" s="5" t="n"/>
      <c r="O1008" s="5">
        <f>IF(AND(ISNUMBER(N1008),ISNUMBER(M1008)),N1008-M1008,"")</f>
        <v/>
      </c>
      <c r="P1008" s="7">
        <f>IF(AND(ISNUMBER(N1008),ISNUMBER(M1008),M1008&gt;0),(N1008-M1008)/M1008,"")</f>
        <v/>
      </c>
      <c r="Q1008" s="3">
        <f>IF(P1008="","",IF(P1008&lt;-0.02,"🔴 Bán phá giá sàn",IF(P1008&gt;0.05,"🔵 Bán cao hơn","🟢 Đúng giá sàn TMĐT")))</f>
        <v/>
      </c>
      <c r="R1008" s="3" t="n"/>
      <c r="S1008" s="4" t="n"/>
      <c r="T1008" s="4" t="n"/>
    </row>
    <row r="1009">
      <c r="A1009" s="3" t="n">
        <v>1008</v>
      </c>
      <c r="B1009" s="3" t="inlineStr">
        <is>
          <t>DL005</t>
        </is>
      </c>
      <c r="C1009" s="4" t="inlineStr">
        <is>
          <t>ThinkSafe HCM</t>
        </is>
      </c>
      <c r="D1009" s="3" t="inlineStr">
        <is>
          <t>HCM</t>
        </is>
      </c>
      <c r="E1009" s="3" t="inlineStr">
        <is>
          <t>XUÂN TRANG</t>
        </is>
      </c>
      <c r="F1009" s="3" t="inlineStr">
        <is>
          <t>Shopee, Tiktok</t>
        </is>
      </c>
      <c r="G1009" s="4" t="inlineStr">
        <is>
          <t>SHOPEE: https://shopee.vn/baohothinksafe?uls_trackid=56slrjbp02l6&amp;utm_content=3kGSyWceAz2CP3beojAsTsVsisVR TIKTOK: https://www.tiktok.com/@thinksafevn LAZADA: WEBSITE BÁN HÀNG:</t>
        </is>
      </c>
      <c r="H1009" s="3" t="inlineStr">
        <is>
          <t>KBL4-14350</t>
        </is>
      </c>
      <c r="I1009" s="4" t="inlineStr">
        <is>
          <t>Mũi khoan xuyên tường 4 cạnh KBL4-14*350</t>
        </is>
      </c>
      <c r="J1009" s="3" t="inlineStr">
        <is>
          <t>Cái</t>
        </is>
      </c>
      <c r="K1009" s="5" t="n">
        <v>105000</v>
      </c>
      <c r="L1009" s="5" t="n">
        <v>128000</v>
      </c>
      <c r="M1009" s="6" t="n">
        <v>163000</v>
      </c>
      <c r="N1009" s="5" t="n"/>
      <c r="O1009" s="5">
        <f>IF(AND(ISNUMBER(N1009),ISNUMBER(M1009)),N1009-M1009,"")</f>
        <v/>
      </c>
      <c r="P1009" s="7">
        <f>IF(AND(ISNUMBER(N1009),ISNUMBER(M1009),M1009&gt;0),(N1009-M1009)/M1009,"")</f>
        <v/>
      </c>
      <c r="Q1009" s="3">
        <f>IF(P1009="","",IF(P1009&lt;-0.02,"🔴 Bán phá giá sàn",IF(P1009&gt;0.05,"🔵 Bán cao hơn","🟢 Đúng giá sàn TMĐT")))</f>
        <v/>
      </c>
      <c r="R1009" s="3" t="n"/>
      <c r="S1009" s="4" t="n"/>
      <c r="T1009" s="4" t="n"/>
    </row>
    <row r="1010">
      <c r="A1010" s="3" t="n">
        <v>1009</v>
      </c>
      <c r="B1010" s="3" t="inlineStr">
        <is>
          <t>DL005</t>
        </is>
      </c>
      <c r="C1010" s="4" t="inlineStr">
        <is>
          <t>ThinkSafe HCM</t>
        </is>
      </c>
      <c r="D1010" s="3" t="inlineStr">
        <is>
          <t>HCM</t>
        </is>
      </c>
      <c r="E1010" s="3" t="inlineStr">
        <is>
          <t>XUÂN TRANG</t>
        </is>
      </c>
      <c r="F1010" s="3" t="inlineStr">
        <is>
          <t>Shopee, Tiktok</t>
        </is>
      </c>
      <c r="G1010" s="4" t="inlineStr">
        <is>
          <t>SHOPEE: https://shopee.vn/baohothinksafe?uls_trackid=56slrjbp02l6&amp;utm_content=3kGSyWceAz2CP3beojAsTsVsisVR TIKTOK: https://www.tiktok.com/@thinksafevn LAZADA: WEBSITE BÁN HÀNG:</t>
        </is>
      </c>
      <c r="H1010" s="3" t="inlineStr">
        <is>
          <t>KBL4-16350</t>
        </is>
      </c>
      <c r="I1010" s="4" t="inlineStr">
        <is>
          <t>Mũi khoan xuyên tường 4 cạnh KBL4-16*350</t>
        </is>
      </c>
      <c r="J1010" s="3" t="inlineStr">
        <is>
          <t>Cái</t>
        </is>
      </c>
      <c r="K1010" s="5" t="n">
        <v>126000</v>
      </c>
      <c r="L1010" s="5" t="n">
        <v>154000</v>
      </c>
      <c r="M1010" s="6" t="n">
        <v>195000</v>
      </c>
      <c r="N1010" s="5" t="n"/>
      <c r="O1010" s="5">
        <f>IF(AND(ISNUMBER(N1010),ISNUMBER(M1010)),N1010-M1010,"")</f>
        <v/>
      </c>
      <c r="P1010" s="7">
        <f>IF(AND(ISNUMBER(N1010),ISNUMBER(M1010),M1010&gt;0),(N1010-M1010)/M1010,"")</f>
        <v/>
      </c>
      <c r="Q1010" s="3">
        <f>IF(P1010="","",IF(P1010&lt;-0.02,"🔴 Bán phá giá sàn",IF(P1010&gt;0.05,"🔵 Bán cao hơn","🟢 Đúng giá sàn TMĐT")))</f>
        <v/>
      </c>
      <c r="R1010" s="3" t="n"/>
      <c r="S1010" s="4" t="n"/>
      <c r="T1010" s="4" t="n"/>
    </row>
    <row r="1011">
      <c r="A1011" s="3" t="n">
        <v>1010</v>
      </c>
      <c r="B1011" s="3" t="inlineStr">
        <is>
          <t>DL005</t>
        </is>
      </c>
      <c r="C1011" s="4" t="inlineStr">
        <is>
          <t>ThinkSafe HCM</t>
        </is>
      </c>
      <c r="D1011" s="3" t="inlineStr">
        <is>
          <t>HCM</t>
        </is>
      </c>
      <c r="E1011" s="3" t="inlineStr">
        <is>
          <t>XUÂN TRANG</t>
        </is>
      </c>
      <c r="F1011" s="3" t="inlineStr">
        <is>
          <t>Shopee, Tiktok</t>
        </is>
      </c>
      <c r="G1011" s="4" t="inlineStr">
        <is>
          <t>SHOPEE: https://shopee.vn/baohothinksafe?uls_trackid=56slrjbp02l6&amp;utm_content=3kGSyWceAz2CP3beojAsTsVsisVR TIKTOK: https://www.tiktok.com/@thinksafevn LAZADA: WEBSITE BÁN HÀNG:</t>
        </is>
      </c>
      <c r="H1011" s="3" t="inlineStr">
        <is>
          <t>KBL4-18350</t>
        </is>
      </c>
      <c r="I1011" s="4" t="inlineStr">
        <is>
          <t>Mũi khoan xuyên tường 4 cạnh KBL4-18*350</t>
        </is>
      </c>
      <c r="J1011" s="3" t="inlineStr">
        <is>
          <t>Cái</t>
        </is>
      </c>
      <c r="K1011" s="5" t="n">
        <v>146000</v>
      </c>
      <c r="L1011" s="5" t="n">
        <v>178000</v>
      </c>
      <c r="M1011" s="6" t="n">
        <v>226000</v>
      </c>
      <c r="N1011" s="5" t="n"/>
      <c r="O1011" s="5">
        <f>IF(AND(ISNUMBER(N1011),ISNUMBER(M1011)),N1011-M1011,"")</f>
        <v/>
      </c>
      <c r="P1011" s="7">
        <f>IF(AND(ISNUMBER(N1011),ISNUMBER(M1011),M1011&gt;0),(N1011-M1011)/M1011,"")</f>
        <v/>
      </c>
      <c r="Q1011" s="3">
        <f>IF(P1011="","",IF(P1011&lt;-0.02,"🔴 Bán phá giá sàn",IF(P1011&gt;0.05,"🔵 Bán cao hơn","🟢 Đúng giá sàn TMĐT")))</f>
        <v/>
      </c>
      <c r="R1011" s="3" t="n"/>
      <c r="S1011" s="4" t="n"/>
      <c r="T1011" s="4" t="n"/>
    </row>
    <row r="1012">
      <c r="A1012" s="3" t="n">
        <v>1011</v>
      </c>
      <c r="B1012" s="3" t="inlineStr">
        <is>
          <t>DL005</t>
        </is>
      </c>
      <c r="C1012" s="4" t="inlineStr">
        <is>
          <t>ThinkSafe HCM</t>
        </is>
      </c>
      <c r="D1012" s="3" t="inlineStr">
        <is>
          <t>HCM</t>
        </is>
      </c>
      <c r="E1012" s="3" t="inlineStr">
        <is>
          <t>XUÂN TRANG</t>
        </is>
      </c>
      <c r="F1012" s="3" t="inlineStr">
        <is>
          <t>Shopee, Tiktok</t>
        </is>
      </c>
      <c r="G1012" s="4" t="inlineStr">
        <is>
          <t>SHOPEE: https://shopee.vn/baohothinksafe?uls_trackid=56slrjbp02l6&amp;utm_content=3kGSyWceAz2CP3beojAsTsVsisVR TIKTOK: https://www.tiktok.com/@thinksafevn LAZADA: WEBSITE BÁN HÀNG:</t>
        </is>
      </c>
      <c r="H1012" s="3" t="inlineStr">
        <is>
          <t>KBL4-20350</t>
        </is>
      </c>
      <c r="I1012" s="4" t="inlineStr">
        <is>
          <t>Mũi khoan xuyên tường 4 cạnh KBL4-20*350</t>
        </is>
      </c>
      <c r="J1012" s="3" t="inlineStr">
        <is>
          <t>Cái</t>
        </is>
      </c>
      <c r="K1012" s="5" t="n">
        <v>183000</v>
      </c>
      <c r="L1012" s="5" t="n">
        <v>223000</v>
      </c>
      <c r="M1012" s="6" t="n">
        <v>284000</v>
      </c>
      <c r="N1012" s="5" t="n"/>
      <c r="O1012" s="5">
        <f>IF(AND(ISNUMBER(N1012),ISNUMBER(M1012)),N1012-M1012,"")</f>
        <v/>
      </c>
      <c r="P1012" s="7">
        <f>IF(AND(ISNUMBER(N1012),ISNUMBER(M1012),M1012&gt;0),(N1012-M1012)/M1012,"")</f>
        <v/>
      </c>
      <c r="Q1012" s="3">
        <f>IF(P1012="","",IF(P1012&lt;-0.02,"🔴 Bán phá giá sàn",IF(P1012&gt;0.05,"🔵 Bán cao hơn","🟢 Đúng giá sàn TMĐT")))</f>
        <v/>
      </c>
      <c r="R1012" s="3" t="n"/>
      <c r="S1012" s="4" t="n"/>
      <c r="T1012" s="4" t="n"/>
    </row>
    <row r="1013">
      <c r="A1013" s="3" t="n">
        <v>1012</v>
      </c>
      <c r="B1013" s="3" t="inlineStr">
        <is>
          <t>DL005</t>
        </is>
      </c>
      <c r="C1013" s="4" t="inlineStr">
        <is>
          <t>ThinkSafe HCM</t>
        </is>
      </c>
      <c r="D1013" s="3" t="inlineStr">
        <is>
          <t>HCM</t>
        </is>
      </c>
      <c r="E1013" s="3" t="inlineStr">
        <is>
          <t>XUÂN TRANG</t>
        </is>
      </c>
      <c r="F1013" s="3" t="inlineStr">
        <is>
          <t>Shopee, Tiktok</t>
        </is>
      </c>
      <c r="G1013" s="4" t="inlineStr">
        <is>
          <t>SHOPEE: https://shopee.vn/baohothinksafe?uls_trackid=56slrjbp02l6&amp;utm_content=3kGSyWceAz2CP3beojAsTsVsisVR TIKTOK: https://www.tiktok.com/@thinksafevn LAZADA: WEBSITE BÁN HÀNG:</t>
        </is>
      </c>
      <c r="H1013" s="3" t="inlineStr">
        <is>
          <t>KBL4-22350</t>
        </is>
      </c>
      <c r="I1013" s="4" t="inlineStr">
        <is>
          <t>Mũi khoan xuyên tường 4 cạnh KBL4-22*350</t>
        </is>
      </c>
      <c r="J1013" s="3" t="inlineStr">
        <is>
          <t>Cái</t>
        </is>
      </c>
      <c r="K1013" s="5" t="n">
        <v>228000</v>
      </c>
      <c r="L1013" s="5" t="n">
        <v>278000</v>
      </c>
      <c r="M1013" s="6" t="n">
        <v>353000</v>
      </c>
      <c r="N1013" s="5" t="n"/>
      <c r="O1013" s="5">
        <f>IF(AND(ISNUMBER(N1013),ISNUMBER(M1013)),N1013-M1013,"")</f>
        <v/>
      </c>
      <c r="P1013" s="7">
        <f>IF(AND(ISNUMBER(N1013),ISNUMBER(M1013),M1013&gt;0),(N1013-M1013)/M1013,"")</f>
        <v/>
      </c>
      <c r="Q1013" s="3">
        <f>IF(P1013="","",IF(P1013&lt;-0.02,"🔴 Bán phá giá sàn",IF(P1013&gt;0.05,"🔵 Bán cao hơn","🟢 Đúng giá sàn TMĐT")))</f>
        <v/>
      </c>
      <c r="R1013" s="3" t="n"/>
      <c r="S1013" s="4" t="n"/>
      <c r="T1013" s="4" t="n"/>
    </row>
    <row r="1014">
      <c r="A1014" s="3" t="n">
        <v>1013</v>
      </c>
      <c r="B1014" s="3" t="inlineStr">
        <is>
          <t>DL005</t>
        </is>
      </c>
      <c r="C1014" s="4" t="inlineStr">
        <is>
          <t>ThinkSafe HCM</t>
        </is>
      </c>
      <c r="D1014" s="3" t="inlineStr">
        <is>
          <t>HCM</t>
        </is>
      </c>
      <c r="E1014" s="3" t="inlineStr">
        <is>
          <t>XUÂN TRANG</t>
        </is>
      </c>
      <c r="F1014" s="3" t="inlineStr">
        <is>
          <t>Shopee, Tiktok</t>
        </is>
      </c>
      <c r="G1014" s="4" t="inlineStr">
        <is>
          <t>SHOPEE: https://shopee.vn/baohothinksafe?uls_trackid=56slrjbp02l6&amp;utm_content=3kGSyWceAz2CP3beojAsTsVsisVR TIKTOK: https://www.tiktok.com/@thinksafevn LAZADA: WEBSITE BÁN HÀNG:</t>
        </is>
      </c>
      <c r="H1014" s="3" t="inlineStr">
        <is>
          <t>KBL4-25350</t>
        </is>
      </c>
      <c r="I1014" s="4" t="inlineStr">
        <is>
          <t>Mũi khoan xuyên tường 4 cạnh KBL4-25*350</t>
        </is>
      </c>
      <c r="J1014" s="3" t="inlineStr">
        <is>
          <t>Cái</t>
        </is>
      </c>
      <c r="K1014" s="5" t="n">
        <v>285000</v>
      </c>
      <c r="L1014" s="5" t="n">
        <v>348000</v>
      </c>
      <c r="M1014" s="6" t="n">
        <v>442000</v>
      </c>
      <c r="N1014" s="5" t="n"/>
      <c r="O1014" s="5">
        <f>IF(AND(ISNUMBER(N1014),ISNUMBER(M1014)),N1014-M1014,"")</f>
        <v/>
      </c>
      <c r="P1014" s="7">
        <f>IF(AND(ISNUMBER(N1014),ISNUMBER(M1014),M1014&gt;0),(N1014-M1014)/M1014,"")</f>
        <v/>
      </c>
      <c r="Q1014" s="3">
        <f>IF(P1014="","",IF(P1014&lt;-0.02,"🔴 Bán phá giá sàn",IF(P1014&gt;0.05,"🔵 Bán cao hơn","🟢 Đúng giá sàn TMĐT")))</f>
        <v/>
      </c>
      <c r="R1014" s="3" t="n"/>
      <c r="S1014" s="4" t="n"/>
      <c r="T1014" s="4" t="n"/>
    </row>
    <row r="1015">
      <c r="A1015" s="3" t="n">
        <v>1014</v>
      </c>
      <c r="B1015" s="3" t="inlineStr">
        <is>
          <t>DL005</t>
        </is>
      </c>
      <c r="C1015" s="4" t="inlineStr">
        <is>
          <t>ThinkSafe HCM</t>
        </is>
      </c>
      <c r="D1015" s="3" t="inlineStr">
        <is>
          <t>HCM</t>
        </is>
      </c>
      <c r="E1015" s="3" t="inlineStr">
        <is>
          <t>XUÂN TRANG</t>
        </is>
      </c>
      <c r="F1015" s="3" t="inlineStr">
        <is>
          <t>Shopee, Tiktok</t>
        </is>
      </c>
      <c r="G1015" s="4" t="inlineStr">
        <is>
          <t>SHOPEE: https://shopee.vn/baohothinksafe?uls_trackid=56slrjbp02l6&amp;utm_content=3kGSyWceAz2CP3beojAsTsVsisVR TIKTOK: https://www.tiktok.com/@thinksafevn LAZADA: WEBSITE BÁN HÀNG:</t>
        </is>
      </c>
      <c r="H1015" s="3" t="inlineStr">
        <is>
          <t>R1-17/25</t>
        </is>
      </c>
      <c r="I1015" s="4" t="inlineStr">
        <is>
          <t>Mũi khoét hợp kim Bluebird R1-17/25</t>
        </is>
      </c>
      <c r="J1015" s="3" t="inlineStr">
        <is>
          <t>Cái</t>
        </is>
      </c>
      <c r="K1015" s="5" t="n">
        <v>62000</v>
      </c>
      <c r="L1015" s="5" t="n">
        <v>76000</v>
      </c>
      <c r="M1015" s="6" t="n">
        <v>96000</v>
      </c>
      <c r="N1015" s="5" t="n"/>
      <c r="O1015" s="5">
        <f>IF(AND(ISNUMBER(N1015),ISNUMBER(M1015)),N1015-M1015,"")</f>
        <v/>
      </c>
      <c r="P1015" s="7">
        <f>IF(AND(ISNUMBER(N1015),ISNUMBER(M1015),M1015&gt;0),(N1015-M1015)/M1015,"")</f>
        <v/>
      </c>
      <c r="Q1015" s="3">
        <f>IF(P1015="","",IF(P1015&lt;-0.02,"🔴 Bán phá giá sàn",IF(P1015&gt;0.05,"🔵 Bán cao hơn","🟢 Đúng giá sàn TMĐT")))</f>
        <v/>
      </c>
      <c r="R1015" s="3" t="n"/>
      <c r="S1015" s="4" t="n"/>
      <c r="T1015" s="4" t="n"/>
    </row>
    <row r="1016">
      <c r="A1016" s="3" t="n">
        <v>1015</v>
      </c>
      <c r="B1016" s="3" t="inlineStr">
        <is>
          <t>DL005</t>
        </is>
      </c>
      <c r="C1016" s="4" t="inlineStr">
        <is>
          <t>ThinkSafe HCM</t>
        </is>
      </c>
      <c r="D1016" s="3" t="inlineStr">
        <is>
          <t>HCM</t>
        </is>
      </c>
      <c r="E1016" s="3" t="inlineStr">
        <is>
          <t>XUÂN TRANG</t>
        </is>
      </c>
      <c r="F1016" s="3" t="inlineStr">
        <is>
          <t>Shopee, Tiktok</t>
        </is>
      </c>
      <c r="G1016" s="4" t="inlineStr">
        <is>
          <t>SHOPEE: https://shopee.vn/baohothinksafe?uls_trackid=56slrjbp02l6&amp;utm_content=3kGSyWceAz2CP3beojAsTsVsisVR TIKTOK: https://www.tiktok.com/@thinksafevn LAZADA: WEBSITE BÁN HÀNG:</t>
        </is>
      </c>
      <c r="H1016" s="3" t="inlineStr">
        <is>
          <t>R1-27/25</t>
        </is>
      </c>
      <c r="I1016" s="4" t="inlineStr">
        <is>
          <t>Mũi khoét hợp kim Kingblue R1-27/25</t>
        </is>
      </c>
      <c r="J1016" s="3" t="inlineStr">
        <is>
          <t>Cái</t>
        </is>
      </c>
      <c r="K1016" s="5" t="n">
        <v>99000</v>
      </c>
      <c r="L1016" s="5" t="n">
        <v>121000</v>
      </c>
      <c r="M1016" s="6" t="n">
        <v>154000</v>
      </c>
      <c r="N1016" s="5" t="n"/>
      <c r="O1016" s="5">
        <f>IF(AND(ISNUMBER(N1016),ISNUMBER(M1016)),N1016-M1016,"")</f>
        <v/>
      </c>
      <c r="P1016" s="7">
        <f>IF(AND(ISNUMBER(N1016),ISNUMBER(M1016),M1016&gt;0),(N1016-M1016)/M1016,"")</f>
        <v/>
      </c>
      <c r="Q1016" s="3">
        <f>IF(P1016="","",IF(P1016&lt;-0.02,"🔴 Bán phá giá sàn",IF(P1016&gt;0.05,"🔵 Bán cao hơn","🟢 Đúng giá sàn TMĐT")))</f>
        <v/>
      </c>
      <c r="R1016" s="3" t="n"/>
      <c r="S1016" s="4" t="n"/>
      <c r="T1016" s="4" t="n"/>
    </row>
    <row r="1017">
      <c r="A1017" s="3" t="n">
        <v>1016</v>
      </c>
      <c r="B1017" s="3" t="inlineStr">
        <is>
          <t>DL005</t>
        </is>
      </c>
      <c r="C1017" s="4" t="inlineStr">
        <is>
          <t>ThinkSafe HCM</t>
        </is>
      </c>
      <c r="D1017" s="3" t="inlineStr">
        <is>
          <t>HCM</t>
        </is>
      </c>
      <c r="E1017" s="3" t="inlineStr">
        <is>
          <t>XUÂN TRANG</t>
        </is>
      </c>
      <c r="F1017" s="3" t="inlineStr">
        <is>
          <t>Shopee, Tiktok</t>
        </is>
      </c>
      <c r="G1017" s="4" t="inlineStr">
        <is>
          <t>SHOPEE: https://shopee.vn/baohothinksafe?uls_trackid=56slrjbp02l6&amp;utm_content=3kGSyWceAz2CP3beojAsTsVsisVR TIKTOK: https://www.tiktok.com/@thinksafevn LAZADA: WEBSITE BÁN HÀNG:</t>
        </is>
      </c>
      <c r="H1017" s="3" t="inlineStr">
        <is>
          <t>KB-1304</t>
        </is>
      </c>
      <c r="I1017" s="4" t="inlineStr">
        <is>
          <t>Mũi nong ống đồng KingBlue KB-1304</t>
        </is>
      </c>
      <c r="J1017" s="3" t="inlineStr">
        <is>
          <t>Cái</t>
        </is>
      </c>
      <c r="K1017" s="5" t="n">
        <v>215000</v>
      </c>
      <c r="L1017" s="5" t="n">
        <v>254000</v>
      </c>
      <c r="M1017" s="6" t="n">
        <v>312000</v>
      </c>
      <c r="N1017" s="5" t="n"/>
      <c r="O1017" s="5">
        <f>IF(AND(ISNUMBER(N1017),ISNUMBER(M1017)),N1017-M1017,"")</f>
        <v/>
      </c>
      <c r="P1017" s="7">
        <f>IF(AND(ISNUMBER(N1017),ISNUMBER(M1017),M1017&gt;0),(N1017-M1017)/M1017,"")</f>
        <v/>
      </c>
      <c r="Q1017" s="3">
        <f>IF(P1017="","",IF(P1017&lt;-0.02,"🔴 Bán phá giá sàn",IF(P1017&gt;0.05,"🔵 Bán cao hơn","🟢 Đúng giá sàn TMĐT")))</f>
        <v/>
      </c>
      <c r="R1017" s="3" t="n"/>
      <c r="S1017" s="4" t="n"/>
      <c r="T1017" s="4" t="n"/>
    </row>
    <row r="1018">
      <c r="A1018" s="3" t="n">
        <v>1017</v>
      </c>
      <c r="B1018" s="3" t="inlineStr">
        <is>
          <t>DL005</t>
        </is>
      </c>
      <c r="C1018" s="4" t="inlineStr">
        <is>
          <t>ThinkSafe HCM</t>
        </is>
      </c>
      <c r="D1018" s="3" t="inlineStr">
        <is>
          <t>HCM</t>
        </is>
      </c>
      <c r="E1018" s="3" t="inlineStr">
        <is>
          <t>XUÂN TRANG</t>
        </is>
      </c>
      <c r="F1018" s="3" t="inlineStr">
        <is>
          <t>Shopee, Tiktok</t>
        </is>
      </c>
      <c r="G1018" s="4" t="inlineStr">
        <is>
          <t>SHOPEE: https://shopee.vn/baohothinksafe?uls_trackid=56slrjbp02l6&amp;utm_content=3kGSyWceAz2CP3beojAsTsVsisVR TIKTOK: https://www.tiktok.com/@thinksafevn LAZADA: WEBSITE BÁN HÀNG:</t>
        </is>
      </c>
      <c r="H1018" s="3" t="inlineStr">
        <is>
          <t>KZ-100</t>
        </is>
      </c>
      <c r="I1018" s="4" t="inlineStr">
        <is>
          <t>Nhám xếp KingBlue KZ-100 (NEW)</t>
        </is>
      </c>
      <c r="J1018" s="3" t="inlineStr">
        <is>
          <t>Cái</t>
        </is>
      </c>
      <c r="K1018" s="5" t="n">
        <v>9500</v>
      </c>
      <c r="L1018" s="5" t="n">
        <v>11700</v>
      </c>
      <c r="M1018" s="6" t="n">
        <v>15000</v>
      </c>
      <c r="N1018" s="5" t="n"/>
      <c r="O1018" s="5">
        <f>IF(AND(ISNUMBER(N1018),ISNUMBER(M1018)),N1018-M1018,"")</f>
        <v/>
      </c>
      <c r="P1018" s="7">
        <f>IF(AND(ISNUMBER(N1018),ISNUMBER(M1018),M1018&gt;0),(N1018-M1018)/M1018,"")</f>
        <v/>
      </c>
      <c r="Q1018" s="3">
        <f>IF(P1018="","",IF(P1018&lt;-0.02,"🔴 Bán phá giá sàn",IF(P1018&gt;0.05,"🔵 Bán cao hơn","🟢 Đúng giá sàn TMĐT")))</f>
        <v/>
      </c>
      <c r="R1018" s="3" t="n"/>
      <c r="S1018" s="4" t="n"/>
      <c r="T1018" s="4" t="n"/>
    </row>
    <row r="1019">
      <c r="A1019" s="3" t="n">
        <v>1018</v>
      </c>
      <c r="B1019" s="3" t="inlineStr">
        <is>
          <t>DL005</t>
        </is>
      </c>
      <c r="C1019" s="4" t="inlineStr">
        <is>
          <t>ThinkSafe HCM</t>
        </is>
      </c>
      <c r="D1019" s="3" t="inlineStr">
        <is>
          <t>HCM</t>
        </is>
      </c>
      <c r="E1019" s="3" t="inlineStr">
        <is>
          <t>XUÂN TRANG</t>
        </is>
      </c>
      <c r="F1019" s="3" t="inlineStr">
        <is>
          <t>Shopee, Tiktok</t>
        </is>
      </c>
      <c r="G1019" s="4" t="inlineStr">
        <is>
          <t>SHOPEE: https://shopee.vn/baohothinksafe?uls_trackid=56slrjbp02l6&amp;utm_content=3kGSyWceAz2CP3beojAsTsVsisVR TIKTOK: https://www.tiktok.com/@thinksafevn LAZADA: WEBSITE BÁN HÀNG:</t>
        </is>
      </c>
      <c r="H1019" s="3" t="inlineStr">
        <is>
          <t>KZ-60</t>
        </is>
      </c>
      <c r="I1019" s="4" t="inlineStr">
        <is>
          <t>Nhám xếp KingBlue KZ-60 (NEW)</t>
        </is>
      </c>
      <c r="J1019" s="3" t="inlineStr">
        <is>
          <t>Cái</t>
        </is>
      </c>
      <c r="K1019" s="5" t="n">
        <v>269000</v>
      </c>
      <c r="L1019" s="5" t="n">
        <v>317000</v>
      </c>
      <c r="M1019" s="6" t="n">
        <v>390000</v>
      </c>
      <c r="N1019" s="5" t="n"/>
      <c r="O1019" s="5">
        <f>IF(AND(ISNUMBER(N1019),ISNUMBER(M1019)),N1019-M1019,"")</f>
        <v/>
      </c>
      <c r="P1019" s="7">
        <f>IF(AND(ISNUMBER(N1019),ISNUMBER(M1019),M1019&gt;0),(N1019-M1019)/M1019,"")</f>
        <v/>
      </c>
      <c r="Q1019" s="3">
        <f>IF(P1019="","",IF(P1019&lt;-0.02,"🔴 Bán phá giá sàn",IF(P1019&gt;0.05,"🔵 Bán cao hơn","🟢 Đúng giá sàn TMĐT")))</f>
        <v/>
      </c>
      <c r="R1019" s="3" t="n"/>
      <c r="S1019" s="4" t="n"/>
      <c r="T1019" s="4" t="n"/>
    </row>
    <row r="1020">
      <c r="A1020" s="3" t="n">
        <v>1019</v>
      </c>
      <c r="B1020" s="3" t="inlineStr">
        <is>
          <t>DL005</t>
        </is>
      </c>
      <c r="C1020" s="4" t="inlineStr">
        <is>
          <t>ThinkSafe HCM</t>
        </is>
      </c>
      <c r="D1020" s="3" t="inlineStr">
        <is>
          <t>HCM</t>
        </is>
      </c>
      <c r="E1020" s="3" t="inlineStr">
        <is>
          <t>XUÂN TRANG</t>
        </is>
      </c>
      <c r="F1020" s="3" t="inlineStr">
        <is>
          <t>Shopee, Tiktok</t>
        </is>
      </c>
      <c r="G1020" s="4" t="inlineStr">
        <is>
          <t>SHOPEE: https://shopee.vn/baohothinksafe?uls_trackid=56slrjbp02l6&amp;utm_content=3kGSyWceAz2CP3beojAsTsVsisVR TIKTOK: https://www.tiktok.com/@thinksafevn LAZADA: WEBSITE BÁN HÀNG:</t>
        </is>
      </c>
      <c r="H1020" s="3" t="inlineStr">
        <is>
          <t>KYV40</t>
        </is>
      </c>
      <c r="I1020" s="4" t="inlineStr">
        <is>
          <t>Ổ khóa KYV40</t>
        </is>
      </c>
      <c r="J1020" s="3" t="inlineStr">
        <is>
          <t>Cái</t>
        </is>
      </c>
      <c r="K1020" s="5" t="n">
        <v>62000</v>
      </c>
      <c r="L1020" s="5" t="n">
        <v>72000</v>
      </c>
      <c r="M1020" s="6" t="n">
        <v>87000</v>
      </c>
      <c r="N1020" s="5" t="n"/>
      <c r="O1020" s="5">
        <f>IF(AND(ISNUMBER(N1020),ISNUMBER(M1020)),N1020-M1020,"")</f>
        <v/>
      </c>
      <c r="P1020" s="7">
        <f>IF(AND(ISNUMBER(N1020),ISNUMBER(M1020),M1020&gt;0),(N1020-M1020)/M1020,"")</f>
        <v/>
      </c>
      <c r="Q1020" s="3">
        <f>IF(P1020="","",IF(P1020&lt;-0.02,"🔴 Bán phá giá sàn",IF(P1020&gt;0.05,"🔵 Bán cao hơn","🟢 Đúng giá sàn TMĐT")))</f>
        <v/>
      </c>
      <c r="R1020" s="3" t="n"/>
      <c r="S1020" s="4" t="n"/>
      <c r="T1020" s="4" t="n"/>
    </row>
    <row r="1021">
      <c r="A1021" s="3" t="n">
        <v>1020</v>
      </c>
      <c r="B1021" s="3" t="inlineStr">
        <is>
          <t>DL005</t>
        </is>
      </c>
      <c r="C1021" s="4" t="inlineStr">
        <is>
          <t>ThinkSafe HCM</t>
        </is>
      </c>
      <c r="D1021" s="3" t="inlineStr">
        <is>
          <t>HCM</t>
        </is>
      </c>
      <c r="E1021" s="3" t="inlineStr">
        <is>
          <t>XUÂN TRANG</t>
        </is>
      </c>
      <c r="F1021" s="3" t="inlineStr">
        <is>
          <t>Shopee, Tiktok</t>
        </is>
      </c>
      <c r="G1021" s="4" t="inlineStr">
        <is>
          <t>SHOPEE: https://shopee.vn/baohothinksafe?uls_trackid=56slrjbp02l6&amp;utm_content=3kGSyWceAz2CP3beojAsTsVsisVR TIKTOK: https://www.tiktok.com/@thinksafevn LAZADA: WEBSITE BÁN HÀNG:</t>
        </is>
      </c>
      <c r="H1021" s="3" t="inlineStr">
        <is>
          <t>MS2A18</t>
        </is>
      </c>
      <c r="I1021" s="4" t="inlineStr">
        <is>
          <t>Sạc MS2A18</t>
        </is>
      </c>
      <c r="J1021" s="3" t="inlineStr">
        <is>
          <t>Cái</t>
        </is>
      </c>
      <c r="K1021" s="5" t="n">
        <v>290000</v>
      </c>
      <c r="L1021" s="5" t="n">
        <v>325000</v>
      </c>
      <c r="M1021" s="6" t="n">
        <v>377000</v>
      </c>
      <c r="N1021" s="5" t="n"/>
      <c r="O1021" s="5">
        <f>IF(AND(ISNUMBER(N1021),ISNUMBER(M1021)),N1021-M1021,"")</f>
        <v/>
      </c>
      <c r="P1021" s="7">
        <f>IF(AND(ISNUMBER(N1021),ISNUMBER(M1021),M1021&gt;0),(N1021-M1021)/M1021,"")</f>
        <v/>
      </c>
      <c r="Q1021" s="3">
        <f>IF(P1021="","",IF(P1021&lt;-0.02,"🔴 Bán phá giá sàn",IF(P1021&gt;0.05,"🔵 Bán cao hơn","🟢 Đúng giá sàn TMĐT")))</f>
        <v/>
      </c>
      <c r="R1021" s="3" t="n"/>
      <c r="S1021" s="4" t="n"/>
      <c r="T1021" s="4" t="n"/>
    </row>
    <row r="1022">
      <c r="A1022" s="3" t="n">
        <v>1021</v>
      </c>
      <c r="B1022" s="3" t="inlineStr">
        <is>
          <t>DL005</t>
        </is>
      </c>
      <c r="C1022" s="4" t="inlineStr">
        <is>
          <t>ThinkSafe HCM</t>
        </is>
      </c>
      <c r="D1022" s="3" t="inlineStr">
        <is>
          <t>HCM</t>
        </is>
      </c>
      <c r="E1022" s="3" t="inlineStr">
        <is>
          <t>XUÂN TRANG</t>
        </is>
      </c>
      <c r="F1022" s="3" t="inlineStr">
        <is>
          <t>Shopee, Tiktok</t>
        </is>
      </c>
      <c r="G1022" s="4" t="inlineStr">
        <is>
          <t>SHOPEE: https://shopee.vn/baohothinksafe?uls_trackid=56slrjbp02l6&amp;utm_content=3kGSyWceAz2CP3beojAsTsVsisVR TIKTOK: https://www.tiktok.com/@thinksafevn LAZADA: WEBSITE BÁN HÀNG:</t>
        </is>
      </c>
      <c r="H1022" s="3" t="inlineStr">
        <is>
          <t>KB848G</t>
        </is>
      </c>
      <c r="I1022" s="4" t="inlineStr">
        <is>
          <t>Siết tôn King Blue KB8*48G</t>
        </is>
      </c>
      <c r="J1022" s="3" t="inlineStr">
        <is>
          <t>Cái</t>
        </is>
      </c>
      <c r="K1022" s="5" t="n">
        <v>7500</v>
      </c>
      <c r="L1022" s="5" t="n">
        <v>10000</v>
      </c>
      <c r="M1022" s="6" t="n">
        <v>13000</v>
      </c>
      <c r="N1022" s="5" t="n"/>
      <c r="O1022" s="5">
        <f>IF(AND(ISNUMBER(N1022),ISNUMBER(M1022)),N1022-M1022,"")</f>
        <v/>
      </c>
      <c r="P1022" s="7">
        <f>IF(AND(ISNUMBER(N1022),ISNUMBER(M1022),M1022&gt;0),(N1022-M1022)/M1022,"")</f>
        <v/>
      </c>
      <c r="Q1022" s="3">
        <f>IF(P1022="","",IF(P1022&lt;-0.02,"🔴 Bán phá giá sàn",IF(P1022&gt;0.05,"🔵 Bán cao hơn","🟢 Đúng giá sàn TMĐT")))</f>
        <v/>
      </c>
      <c r="R1022" s="3" t="n"/>
      <c r="S1022" s="4" t="n"/>
      <c r="T1022" s="4" t="n"/>
    </row>
    <row r="1023">
      <c r="A1023" s="3" t="n">
        <v>1022</v>
      </c>
      <c r="B1023" s="3" t="inlineStr">
        <is>
          <t>DL005</t>
        </is>
      </c>
      <c r="C1023" s="4" t="inlineStr">
        <is>
          <t>ThinkSafe HCM</t>
        </is>
      </c>
      <c r="D1023" s="3" t="inlineStr">
        <is>
          <t>HCM</t>
        </is>
      </c>
      <c r="E1023" s="3" t="inlineStr">
        <is>
          <t>XUÂN TRANG</t>
        </is>
      </c>
      <c r="F1023" s="3" t="inlineStr">
        <is>
          <t>Shopee, Tiktok</t>
        </is>
      </c>
      <c r="G1023" s="4" t="inlineStr">
        <is>
          <t>SHOPEE: https://shopee.vn/baohothinksafe?uls_trackid=56slrjbp02l6&amp;utm_content=3kGSyWceAz2CP3beojAsTsVsisVR TIKTOK: https://www.tiktok.com/@thinksafevn LAZADA: WEBSITE BÁN HÀNG:</t>
        </is>
      </c>
      <c r="H1023" s="3" t="inlineStr">
        <is>
          <t>ST08x42V</t>
        </is>
      </c>
      <c r="I1023" s="4" t="inlineStr">
        <is>
          <t>Siết tôn King Blue ST08x42V</t>
        </is>
      </c>
      <c r="J1023" s="3" t="inlineStr">
        <is>
          <t>Vỉ</t>
        </is>
      </c>
      <c r="K1023" s="5" t="n">
        <v>22000</v>
      </c>
      <c r="L1023" s="5" t="n">
        <v>28000</v>
      </c>
      <c r="M1023" s="6" t="n">
        <v>36000</v>
      </c>
      <c r="N1023" s="5" t="n"/>
      <c r="O1023" s="5">
        <f>IF(AND(ISNUMBER(N1023),ISNUMBER(M1023)),N1023-M1023,"")</f>
        <v/>
      </c>
      <c r="P1023" s="7">
        <f>IF(AND(ISNUMBER(N1023),ISNUMBER(M1023),M1023&gt;0),(N1023-M1023)/M1023,"")</f>
        <v/>
      </c>
      <c r="Q1023" s="3">
        <f>IF(P1023="","",IF(P1023&lt;-0.02,"🔴 Bán phá giá sàn",IF(P1023&gt;0.05,"🔵 Bán cao hơn","🟢 Đúng giá sàn TMĐT")))</f>
        <v/>
      </c>
      <c r="R1023" s="3" t="n"/>
      <c r="S1023" s="4" t="n"/>
      <c r="T1023" s="4" t="n"/>
    </row>
    <row r="1024">
      <c r="A1024" s="3" t="n">
        <v>1023</v>
      </c>
      <c r="B1024" s="3" t="inlineStr">
        <is>
          <t>DL005</t>
        </is>
      </c>
      <c r="C1024" s="4" t="inlineStr">
        <is>
          <t>ThinkSafe HCM</t>
        </is>
      </c>
      <c r="D1024" s="3" t="inlineStr">
        <is>
          <t>HCM</t>
        </is>
      </c>
      <c r="E1024" s="3" t="inlineStr">
        <is>
          <t>XUÂN TRANG</t>
        </is>
      </c>
      <c r="F1024" s="3" t="inlineStr">
        <is>
          <t>Shopee, Tiktok</t>
        </is>
      </c>
      <c r="G1024" s="4" t="inlineStr">
        <is>
          <t>SHOPEE: https://shopee.vn/baohothinksafe?uls_trackid=56slrjbp02l6&amp;utm_content=3kGSyWceAz2CP3beojAsTsVsisVR TIKTOK: https://www.tiktok.com/@thinksafevn LAZADA: WEBSITE BÁN HÀNG:</t>
        </is>
      </c>
      <c r="H1024" s="3" t="inlineStr">
        <is>
          <t>ST08x65G</t>
        </is>
      </c>
      <c r="I1024" s="4" t="inlineStr">
        <is>
          <t>Siết tôn KingBlue ST08x65G</t>
        </is>
      </c>
      <c r="J1024" s="3" t="inlineStr">
        <is>
          <t>Cái</t>
        </is>
      </c>
      <c r="K1024" s="5" t="n">
        <v>8500</v>
      </c>
      <c r="L1024" s="5" t="n">
        <v>11000</v>
      </c>
      <c r="M1024" s="6" t="n">
        <v>14000</v>
      </c>
      <c r="N1024" s="5" t="n"/>
      <c r="O1024" s="5">
        <f>IF(AND(ISNUMBER(N1024),ISNUMBER(M1024)),N1024-M1024,"")</f>
        <v/>
      </c>
      <c r="P1024" s="7">
        <f>IF(AND(ISNUMBER(N1024),ISNUMBER(M1024),M1024&gt;0),(N1024-M1024)/M1024,"")</f>
        <v/>
      </c>
      <c r="Q1024" s="3">
        <f>IF(P1024="","",IF(P1024&lt;-0.02,"🔴 Bán phá giá sàn",IF(P1024&gt;0.05,"🔵 Bán cao hơn","🟢 Đúng giá sàn TMĐT")))</f>
        <v/>
      </c>
      <c r="R1024" s="3" t="n"/>
      <c r="S1024" s="4" t="n"/>
      <c r="T1024" s="4" t="n"/>
    </row>
    <row r="1025">
      <c r="A1025" s="3" t="n">
        <v>1024</v>
      </c>
      <c r="B1025" s="3" t="inlineStr">
        <is>
          <t>DL005</t>
        </is>
      </c>
      <c r="C1025" s="4" t="inlineStr">
        <is>
          <t>ThinkSafe HCM</t>
        </is>
      </c>
      <c r="D1025" s="3" t="inlineStr">
        <is>
          <t>HCM</t>
        </is>
      </c>
      <c r="E1025" s="3" t="inlineStr">
        <is>
          <t>XUÂN TRANG</t>
        </is>
      </c>
      <c r="F1025" s="3" t="inlineStr">
        <is>
          <t>Shopee, Tiktok</t>
        </is>
      </c>
      <c r="G1025" s="4" t="inlineStr">
        <is>
          <t>SHOPEE: https://shopee.vn/baohothinksafe?uls_trackid=56slrjbp02l6&amp;utm_content=3kGSyWceAz2CP3beojAsTsVsisVR TIKTOK: https://www.tiktok.com/@thinksafevn LAZADA: WEBSITE BÁN HÀNG:</t>
        </is>
      </c>
      <c r="H1025" s="3" t="inlineStr">
        <is>
          <t>ST10x65G</t>
        </is>
      </c>
      <c r="I1025" s="4" t="inlineStr">
        <is>
          <t>Siết tôn KingBlue ST10x65G</t>
        </is>
      </c>
      <c r="J1025" s="3" t="inlineStr">
        <is>
          <t>Cái</t>
        </is>
      </c>
      <c r="K1025" s="5" t="n">
        <v>9000</v>
      </c>
      <c r="L1025" s="5" t="n">
        <v>11000</v>
      </c>
      <c r="M1025" s="6" t="n">
        <v>15000</v>
      </c>
      <c r="N1025" s="5" t="n"/>
      <c r="O1025" s="5">
        <f>IF(AND(ISNUMBER(N1025),ISNUMBER(M1025)),N1025-M1025,"")</f>
        <v/>
      </c>
      <c r="P1025" s="7">
        <f>IF(AND(ISNUMBER(N1025),ISNUMBER(M1025),M1025&gt;0),(N1025-M1025)/M1025,"")</f>
        <v/>
      </c>
      <c r="Q1025" s="3">
        <f>IF(P1025="","",IF(P1025&lt;-0.02,"🔴 Bán phá giá sàn",IF(P1025&gt;0.05,"🔵 Bán cao hơn","🟢 Đúng giá sàn TMĐT")))</f>
        <v/>
      </c>
      <c r="R1025" s="3" t="n"/>
      <c r="S1025" s="4" t="n"/>
      <c r="T1025" s="4" t="n"/>
    </row>
    <row r="1026">
      <c r="A1026" s="3" t="n">
        <v>1025</v>
      </c>
      <c r="B1026" s="3" t="inlineStr">
        <is>
          <t>DL005</t>
        </is>
      </c>
      <c r="C1026" s="4" t="inlineStr">
        <is>
          <t>ThinkSafe HCM</t>
        </is>
      </c>
      <c r="D1026" s="3" t="inlineStr">
        <is>
          <t>HCM</t>
        </is>
      </c>
      <c r="E1026" s="3" t="inlineStr">
        <is>
          <t>XUÂN TRANG</t>
        </is>
      </c>
      <c r="F1026" s="3" t="inlineStr">
        <is>
          <t>Shopee, Tiktok</t>
        </is>
      </c>
      <c r="G1026" s="4" t="inlineStr">
        <is>
          <t>SHOPEE: https://shopee.vn/baohothinksafe?uls_trackid=56slrjbp02l6&amp;utm_content=3kGSyWceAz2CP3beojAsTsVsisVR TIKTOK: https://www.tiktok.com/@thinksafevn LAZADA: WEBSITE BÁN HÀNG:</t>
        </is>
      </c>
      <c r="H1026" s="3" t="inlineStr">
        <is>
          <t>KFF-73</t>
        </is>
      </c>
      <c r="I1026" s="4" t="inlineStr">
        <is>
          <t>Súng bắn đinh bê tông KFF-73</t>
        </is>
      </c>
      <c r="J1026" s="3" t="inlineStr">
        <is>
          <t>Cái</t>
        </is>
      </c>
      <c r="K1026" s="5" t="n">
        <v>660000</v>
      </c>
      <c r="L1026" s="5" t="n">
        <v>739000</v>
      </c>
      <c r="M1026" s="6" t="n">
        <v>858000</v>
      </c>
      <c r="N1026" s="5" t="n"/>
      <c r="O1026" s="5">
        <f>IF(AND(ISNUMBER(N1026),ISNUMBER(M1026)),N1026-M1026,"")</f>
        <v/>
      </c>
      <c r="P1026" s="7">
        <f>IF(AND(ISNUMBER(N1026),ISNUMBER(M1026),M1026&gt;0),(N1026-M1026)/M1026,"")</f>
        <v/>
      </c>
      <c r="Q1026" s="3">
        <f>IF(P1026="","",IF(P1026&lt;-0.02,"🔴 Bán phá giá sàn",IF(P1026&gt;0.05,"🔵 Bán cao hơn","🟢 Đúng giá sàn TMĐT")))</f>
        <v/>
      </c>
      <c r="R1026" s="3" t="n"/>
      <c r="S1026" s="4" t="n"/>
      <c r="T1026" s="4" t="n"/>
    </row>
    <row r="1027">
      <c r="A1027" s="3" t="n">
        <v>1026</v>
      </c>
      <c r="B1027" s="3" t="inlineStr">
        <is>
          <t>DL005</t>
        </is>
      </c>
      <c r="C1027" s="4" t="inlineStr">
        <is>
          <t>ThinkSafe HCM</t>
        </is>
      </c>
      <c r="D1027" s="3" t="inlineStr">
        <is>
          <t>HCM</t>
        </is>
      </c>
      <c r="E1027" s="3" t="inlineStr">
        <is>
          <t>XUÂN TRANG</t>
        </is>
      </c>
      <c r="F1027" s="3" t="inlineStr">
        <is>
          <t>Shopee, Tiktok</t>
        </is>
      </c>
      <c r="G1027" s="4" t="inlineStr">
        <is>
          <t>SHOPEE: https://shopee.vn/baohothinksafe?uls_trackid=56slrjbp02l6&amp;utm_content=3kGSyWceAz2CP3beojAsTsVsisVR TIKTOK: https://www.tiktok.com/@thinksafevn LAZADA: WEBSITE BÁN HÀNG:</t>
        </is>
      </c>
      <c r="H1027" s="3" t="inlineStr">
        <is>
          <t>KF-301</t>
        </is>
      </c>
      <c r="I1027" s="4" t="inlineStr">
        <is>
          <t>Súng bắn ghim KF-301</t>
        </is>
      </c>
      <c r="J1027" s="3" t="inlineStr">
        <is>
          <t>Cái</t>
        </is>
      </c>
      <c r="K1027" s="5" t="n">
        <v>242000</v>
      </c>
      <c r="L1027" s="5" t="n">
        <v>286000</v>
      </c>
      <c r="M1027" s="6" t="n">
        <v>351000</v>
      </c>
      <c r="N1027" s="5" t="n"/>
      <c r="O1027" s="5">
        <f>IF(AND(ISNUMBER(N1027),ISNUMBER(M1027)),N1027-M1027,"")</f>
        <v/>
      </c>
      <c r="P1027" s="7">
        <f>IF(AND(ISNUMBER(N1027),ISNUMBER(M1027),M1027&gt;0),(N1027-M1027)/M1027,"")</f>
        <v/>
      </c>
      <c r="Q1027" s="3">
        <f>IF(P1027="","",IF(P1027&lt;-0.02,"🔴 Bán phá giá sàn",IF(P1027&gt;0.05,"🔵 Bán cao hơn","🟢 Đúng giá sàn TMĐT")))</f>
        <v/>
      </c>
      <c r="R1027" s="3" t="n"/>
      <c r="S1027" s="4" t="n"/>
      <c r="T1027" s="4" t="n"/>
    </row>
    <row r="1028">
      <c r="A1028" s="3" t="n">
        <v>1027</v>
      </c>
      <c r="B1028" s="3" t="inlineStr">
        <is>
          <t>DL005</t>
        </is>
      </c>
      <c r="C1028" s="4" t="inlineStr">
        <is>
          <t>ThinkSafe HCM</t>
        </is>
      </c>
      <c r="D1028" s="3" t="inlineStr">
        <is>
          <t>HCM</t>
        </is>
      </c>
      <c r="E1028" s="3" t="inlineStr">
        <is>
          <t>XUÂN TRANG</t>
        </is>
      </c>
      <c r="F1028" s="3" t="inlineStr">
        <is>
          <t>Shopee, Tiktok</t>
        </is>
      </c>
      <c r="G1028" s="4" t="inlineStr">
        <is>
          <t>SHOPEE: https://shopee.vn/baohothinksafe?uls_trackid=56slrjbp02l6&amp;utm_content=3kGSyWceAz2CP3beojAsTsVsisVR TIKTOK: https://www.tiktok.com/@thinksafevn LAZADA: WEBSITE BÁN HÀNG:</t>
        </is>
      </c>
      <c r="H1028" s="3" t="inlineStr">
        <is>
          <t>KBO-W71</t>
        </is>
      </c>
      <c r="I1028" s="4" t="inlineStr">
        <is>
          <t>Súng phun sơn KBO-W71</t>
        </is>
      </c>
      <c r="J1028" s="3" t="inlineStr">
        <is>
          <t>Cái</t>
        </is>
      </c>
      <c r="K1028" s="5" t="n">
        <v>317000</v>
      </c>
      <c r="L1028" s="5" t="n">
        <v>374000</v>
      </c>
      <c r="M1028" s="6" t="n">
        <v>460000</v>
      </c>
      <c r="N1028" s="5" t="n"/>
      <c r="O1028" s="5">
        <f>IF(AND(ISNUMBER(N1028),ISNUMBER(M1028)),N1028-M1028,"")</f>
        <v/>
      </c>
      <c r="P1028" s="7">
        <f>IF(AND(ISNUMBER(N1028),ISNUMBER(M1028),M1028&gt;0),(N1028-M1028)/M1028,"")</f>
        <v/>
      </c>
      <c r="Q1028" s="3">
        <f>IF(P1028="","",IF(P1028&lt;-0.02,"🔴 Bán phá giá sàn",IF(P1028&gt;0.05,"🔵 Bán cao hơn","🟢 Đúng giá sàn TMĐT")))</f>
        <v/>
      </c>
      <c r="R1028" s="3" t="n"/>
      <c r="S1028" s="4" t="n"/>
      <c r="T1028" s="4" t="n"/>
    </row>
    <row r="1029">
      <c r="A1029" s="3" t="n">
        <v>1028</v>
      </c>
      <c r="B1029" s="3" t="inlineStr">
        <is>
          <t>DL005</t>
        </is>
      </c>
      <c r="C1029" s="4" t="inlineStr">
        <is>
          <t>ThinkSafe HCM</t>
        </is>
      </c>
      <c r="D1029" s="3" t="inlineStr">
        <is>
          <t>HCM</t>
        </is>
      </c>
      <c r="E1029" s="3" t="inlineStr">
        <is>
          <t>XUÂN TRANG</t>
        </is>
      </c>
      <c r="F1029" s="3" t="inlineStr">
        <is>
          <t>Shopee, Tiktok</t>
        </is>
      </c>
      <c r="G1029" s="4" t="inlineStr">
        <is>
          <t>SHOPEE: https://shopee.vn/baohothinksafe?uls_trackid=56slrjbp02l6&amp;utm_content=3kGSyWceAz2CP3beojAsTsVsisVR TIKTOK: https://www.tiktok.com/@thinksafevn LAZADA: WEBSITE BÁN HÀNG:</t>
        </is>
      </c>
      <c r="H1029" s="3" t="inlineStr">
        <is>
          <t>KV1-6100</t>
        </is>
      </c>
      <c r="I1029" s="4" t="inlineStr">
        <is>
          <t>Tuốc nơ vít 2 đầu KV1-6*100</t>
        </is>
      </c>
      <c r="J1029" s="3" t="inlineStr">
        <is>
          <t>Cái</t>
        </is>
      </c>
      <c r="K1029" s="5" t="n">
        <v>22000</v>
      </c>
      <c r="L1029" s="5" t="n">
        <v>26000</v>
      </c>
      <c r="M1029" s="6" t="n">
        <v>32000</v>
      </c>
      <c r="N1029" s="5" t="n"/>
      <c r="O1029" s="5">
        <f>IF(AND(ISNUMBER(N1029),ISNUMBER(M1029)),N1029-M1029,"")</f>
        <v/>
      </c>
      <c r="P1029" s="7">
        <f>IF(AND(ISNUMBER(N1029),ISNUMBER(M1029),M1029&gt;0),(N1029-M1029)/M1029,"")</f>
        <v/>
      </c>
      <c r="Q1029" s="3">
        <f>IF(P1029="","",IF(P1029&lt;-0.02,"🔴 Bán phá giá sàn",IF(P1029&gt;0.05,"🔵 Bán cao hơn","🟢 Đúng giá sàn TMĐT")))</f>
        <v/>
      </c>
      <c r="R1029" s="3" t="n"/>
      <c r="S1029" s="4" t="n"/>
      <c r="T1029" s="4" t="n"/>
    </row>
    <row r="1030">
      <c r="A1030" s="3" t="n">
        <v>1029</v>
      </c>
      <c r="B1030" s="3" t="inlineStr">
        <is>
          <t>DL005</t>
        </is>
      </c>
      <c r="C1030" s="4" t="inlineStr">
        <is>
          <t>ThinkSafe HCM</t>
        </is>
      </c>
      <c r="D1030" s="3" t="inlineStr">
        <is>
          <t>HCM</t>
        </is>
      </c>
      <c r="E1030" s="3" t="inlineStr">
        <is>
          <t>XUÂN TRANG</t>
        </is>
      </c>
      <c r="F1030" s="3" t="inlineStr">
        <is>
          <t>Shopee, Tiktok</t>
        </is>
      </c>
      <c r="G1030" s="4" t="inlineStr">
        <is>
          <t>SHOPEE: https://shopee.vn/baohothinksafe?uls_trackid=56slrjbp02l6&amp;utm_content=3kGSyWceAz2CP3beojAsTsVsisVR TIKTOK: https://www.tiktok.com/@thinksafevn LAZADA: WEBSITE BÁN HÀNG:</t>
        </is>
      </c>
      <c r="H1030" s="3" t="inlineStr">
        <is>
          <t>KV1-6150</t>
        </is>
      </c>
      <c r="I1030" s="4" t="inlineStr">
        <is>
          <t>Tuốc nơ vít 2 đầu KV1-6*150</t>
        </is>
      </c>
      <c r="J1030" s="3" t="inlineStr">
        <is>
          <t>Cái</t>
        </is>
      </c>
      <c r="K1030" s="5" t="n">
        <v>25000</v>
      </c>
      <c r="L1030" s="5" t="n">
        <v>29000</v>
      </c>
      <c r="M1030" s="6" t="n">
        <v>36000</v>
      </c>
      <c r="N1030" s="5" t="n"/>
      <c r="O1030" s="5">
        <f>IF(AND(ISNUMBER(N1030),ISNUMBER(M1030)),N1030-M1030,"")</f>
        <v/>
      </c>
      <c r="P1030" s="7">
        <f>IF(AND(ISNUMBER(N1030),ISNUMBER(M1030),M1030&gt;0),(N1030-M1030)/M1030,"")</f>
        <v/>
      </c>
      <c r="Q1030" s="3">
        <f>IF(P1030="","",IF(P1030&lt;-0.02,"🔴 Bán phá giá sàn",IF(P1030&gt;0.05,"🔵 Bán cao hơn","🟢 Đúng giá sàn TMĐT")))</f>
        <v/>
      </c>
      <c r="R1030" s="3" t="n"/>
      <c r="S1030" s="4" t="n"/>
      <c r="T1030" s="4" t="n"/>
    </row>
    <row r="1031">
      <c r="A1031" s="3" t="n">
        <v>1030</v>
      </c>
      <c r="B1031" s="3" t="inlineStr">
        <is>
          <t>DL005</t>
        </is>
      </c>
      <c r="C1031" s="4" t="inlineStr">
        <is>
          <t>ThinkSafe HCM</t>
        </is>
      </c>
      <c r="D1031" s="3" t="inlineStr">
        <is>
          <t>HCM</t>
        </is>
      </c>
      <c r="E1031" s="3" t="inlineStr">
        <is>
          <t>XUÂN TRANG</t>
        </is>
      </c>
      <c r="F1031" s="3" t="inlineStr">
        <is>
          <t>Shopee, Tiktok</t>
        </is>
      </c>
      <c r="G1031" s="4" t="inlineStr">
        <is>
          <t>SHOPEE: https://shopee.vn/baohothinksafe?uls_trackid=56slrjbp02l6&amp;utm_content=3kGSyWceAz2CP3beojAsTsVsisVR TIKTOK: https://www.tiktok.com/@thinksafevn LAZADA: WEBSITE BÁN HÀNG:</t>
        </is>
      </c>
      <c r="H1031" s="3" t="inlineStr">
        <is>
          <t>KV1-6200</t>
        </is>
      </c>
      <c r="I1031" s="4" t="inlineStr">
        <is>
          <t>Tuốc nơ vít 2 đầu KV1-6*200</t>
        </is>
      </c>
      <c r="J1031" s="3" t="inlineStr">
        <is>
          <t>Cái</t>
        </is>
      </c>
      <c r="K1031" s="5" t="n">
        <v>29000</v>
      </c>
      <c r="L1031" s="5" t="n">
        <v>34000</v>
      </c>
      <c r="M1031" s="6" t="n">
        <v>42000</v>
      </c>
      <c r="N1031" s="5" t="n"/>
      <c r="O1031" s="5">
        <f>IF(AND(ISNUMBER(N1031),ISNUMBER(M1031)),N1031-M1031,"")</f>
        <v/>
      </c>
      <c r="P1031" s="7">
        <f>IF(AND(ISNUMBER(N1031),ISNUMBER(M1031),M1031&gt;0),(N1031-M1031)/M1031,"")</f>
        <v/>
      </c>
      <c r="Q1031" s="3">
        <f>IF(P1031="","",IF(P1031&lt;-0.02,"🔴 Bán phá giá sàn",IF(P1031&gt;0.05,"🔵 Bán cao hơn","🟢 Đúng giá sàn TMĐT")))</f>
        <v/>
      </c>
      <c r="R1031" s="3" t="n"/>
      <c r="S1031" s="4" t="n"/>
      <c r="T1031" s="4" t="n"/>
    </row>
    <row r="1032">
      <c r="A1032" s="3" t="n">
        <v>1031</v>
      </c>
      <c r="B1032" s="3" t="inlineStr">
        <is>
          <t>DL005</t>
        </is>
      </c>
      <c r="C1032" s="4" t="inlineStr">
        <is>
          <t>ThinkSafe HCM</t>
        </is>
      </c>
      <c r="D1032" s="3" t="inlineStr">
        <is>
          <t>HCM</t>
        </is>
      </c>
      <c r="E1032" s="3" t="inlineStr">
        <is>
          <t>XUÂN TRANG</t>
        </is>
      </c>
      <c r="F1032" s="3" t="inlineStr">
        <is>
          <t>Shopee, Tiktok</t>
        </is>
      </c>
      <c r="G1032" s="4" t="inlineStr">
        <is>
          <t>SHOPEE: https://shopee.vn/baohothinksafe?uls_trackid=56slrjbp02l6&amp;utm_content=3kGSyWceAz2CP3beojAsTsVsisVR TIKTOK: https://www.tiktok.com/@thinksafevn LAZADA: WEBSITE BÁN HÀNG:</t>
        </is>
      </c>
      <c r="H1032" s="3" t="inlineStr">
        <is>
          <t>KV2-6100</t>
        </is>
      </c>
      <c r="I1032" s="4" t="inlineStr">
        <is>
          <t>Tuốc nơ vít đa năng S2 KV2-6*100</t>
        </is>
      </c>
      <c r="J1032" s="3" t="inlineStr">
        <is>
          <t>Cái</t>
        </is>
      </c>
      <c r="K1032" s="5" t="n">
        <v>44000</v>
      </c>
      <c r="L1032" s="5" t="n">
        <v>52000</v>
      </c>
      <c r="M1032" s="6" t="n">
        <v>64000</v>
      </c>
      <c r="N1032" s="5" t="n"/>
      <c r="O1032" s="5">
        <f>IF(AND(ISNUMBER(N1032),ISNUMBER(M1032)),N1032-M1032,"")</f>
        <v/>
      </c>
      <c r="P1032" s="7">
        <f>IF(AND(ISNUMBER(N1032),ISNUMBER(M1032),M1032&gt;0),(N1032-M1032)/M1032,"")</f>
        <v/>
      </c>
      <c r="Q1032" s="3">
        <f>IF(P1032="","",IF(P1032&lt;-0.02,"🔴 Bán phá giá sàn",IF(P1032&gt;0.05,"🔵 Bán cao hơn","🟢 Đúng giá sàn TMĐT")))</f>
        <v/>
      </c>
      <c r="R1032" s="3" t="n"/>
      <c r="S1032" s="4" t="n"/>
      <c r="T1032" s="4" t="n"/>
    </row>
    <row r="1033">
      <c r="A1033" s="3" t="n">
        <v>1032</v>
      </c>
      <c r="B1033" s="3" t="inlineStr">
        <is>
          <t>DL005</t>
        </is>
      </c>
      <c r="C1033" s="4" t="inlineStr">
        <is>
          <t>ThinkSafe HCM</t>
        </is>
      </c>
      <c r="D1033" s="3" t="inlineStr">
        <is>
          <t>HCM</t>
        </is>
      </c>
      <c r="E1033" s="3" t="inlineStr">
        <is>
          <t>XUÂN TRANG</t>
        </is>
      </c>
      <c r="F1033" s="3" t="inlineStr">
        <is>
          <t>Shopee, Tiktok</t>
        </is>
      </c>
      <c r="G1033" s="4" t="inlineStr">
        <is>
          <t>SHOPEE: https://shopee.vn/baohothinksafe?uls_trackid=56slrjbp02l6&amp;utm_content=3kGSyWceAz2CP3beojAsTsVsisVR TIKTOK: https://www.tiktok.com/@thinksafevn LAZADA: WEBSITE BÁN HÀNG:</t>
        </is>
      </c>
      <c r="H1033" s="3" t="inlineStr">
        <is>
          <t>KV2-6150</t>
        </is>
      </c>
      <c r="I1033" s="4" t="inlineStr">
        <is>
          <t>Tuốc nơ vít đa năng S2 KV2-6*150</t>
        </is>
      </c>
      <c r="J1033" s="3" t="inlineStr">
        <is>
          <t>Cái</t>
        </is>
      </c>
      <c r="K1033" s="5" t="n">
        <v>46000</v>
      </c>
      <c r="L1033" s="5" t="n">
        <v>54000</v>
      </c>
      <c r="M1033" s="6" t="n">
        <v>67000</v>
      </c>
      <c r="N1033" s="5" t="n"/>
      <c r="O1033" s="5">
        <f>IF(AND(ISNUMBER(N1033),ISNUMBER(M1033)),N1033-M1033,"")</f>
        <v/>
      </c>
      <c r="P1033" s="7">
        <f>IF(AND(ISNUMBER(N1033),ISNUMBER(M1033),M1033&gt;0),(N1033-M1033)/M1033,"")</f>
        <v/>
      </c>
      <c r="Q1033" s="3">
        <f>IF(P1033="","",IF(P1033&lt;-0.02,"🔴 Bán phá giá sàn",IF(P1033&gt;0.05,"🔵 Bán cao hơn","🟢 Đúng giá sàn TMĐT")))</f>
        <v/>
      </c>
      <c r="R1033" s="3" t="n"/>
      <c r="S1033" s="4" t="n"/>
      <c r="T1033" s="4" t="n"/>
    </row>
    <row r="1034">
      <c r="A1034" s="3" t="n">
        <v>1033</v>
      </c>
      <c r="B1034" s="3" t="inlineStr">
        <is>
          <t>DL005</t>
        </is>
      </c>
      <c r="C1034" s="4" t="inlineStr">
        <is>
          <t>ThinkSafe HCM</t>
        </is>
      </c>
      <c r="D1034" s="3" t="inlineStr">
        <is>
          <t>HCM</t>
        </is>
      </c>
      <c r="E1034" s="3" t="inlineStr">
        <is>
          <t>XUÂN TRANG</t>
        </is>
      </c>
      <c r="F1034" s="3" t="inlineStr">
        <is>
          <t>Shopee, Tiktok</t>
        </is>
      </c>
      <c r="G1034" s="4" t="inlineStr">
        <is>
          <t>SHOPEE: https://shopee.vn/baohothinksafe?uls_trackid=56slrjbp02l6&amp;utm_content=3kGSyWceAz2CP3beojAsTsVsisVR TIKTOK: https://www.tiktok.com/@thinksafevn LAZADA: WEBSITE BÁN HÀNG:</t>
        </is>
      </c>
      <c r="H1034" s="3" t="inlineStr">
        <is>
          <t>KV2-6200</t>
        </is>
      </c>
      <c r="I1034" s="4" t="inlineStr">
        <is>
          <t>Tuốc nơ vít đa năng S2 KV2-6*200</t>
        </is>
      </c>
      <c r="J1034" s="3" t="inlineStr">
        <is>
          <t>Cái</t>
        </is>
      </c>
      <c r="K1034" s="5" t="n">
        <v>48000</v>
      </c>
      <c r="L1034" s="5" t="n">
        <v>57000</v>
      </c>
      <c r="M1034" s="6" t="n">
        <v>70000</v>
      </c>
      <c r="N1034" s="5" t="n"/>
      <c r="O1034" s="5">
        <f>IF(AND(ISNUMBER(N1034),ISNUMBER(M1034)),N1034-M1034,"")</f>
        <v/>
      </c>
      <c r="P1034" s="7">
        <f>IF(AND(ISNUMBER(N1034),ISNUMBER(M1034),M1034&gt;0),(N1034-M1034)/M1034,"")</f>
        <v/>
      </c>
      <c r="Q1034" s="3">
        <f>IF(P1034="","",IF(P1034&lt;-0.02,"🔴 Bán phá giá sàn",IF(P1034&gt;0.05,"🔵 Bán cao hơn","🟢 Đúng giá sàn TMĐT")))</f>
        <v/>
      </c>
      <c r="R1034" s="3" t="n"/>
      <c r="S1034" s="4" t="n"/>
      <c r="T1034" s="4" t="n"/>
    </row>
    <row r="1035">
      <c r="A1035" s="3" t="n">
        <v>1034</v>
      </c>
      <c r="B1035" s="3" t="inlineStr">
        <is>
          <t>DL005</t>
        </is>
      </c>
      <c r="C1035" s="4" t="inlineStr">
        <is>
          <t>ThinkSafe HCM</t>
        </is>
      </c>
      <c r="D1035" s="3" t="inlineStr">
        <is>
          <t>HCM</t>
        </is>
      </c>
      <c r="E1035" s="3" t="inlineStr">
        <is>
          <t>XUÂN TRANG</t>
        </is>
      </c>
      <c r="F1035" s="3" t="inlineStr">
        <is>
          <t>Shopee, Tiktok</t>
        </is>
      </c>
      <c r="G1035" s="4" t="inlineStr">
        <is>
          <t>SHOPEE: https://shopee.vn/baohothinksafe?uls_trackid=56slrjbp02l6&amp;utm_content=3kGSyWceAz2CP3beojAsTsVsisVR TIKTOK: https://www.tiktok.com/@thinksafevn LAZADA: WEBSITE BÁN HÀNG:</t>
        </is>
      </c>
      <c r="H1035" s="3" t="inlineStr">
        <is>
          <t>KV6+6150</t>
        </is>
      </c>
      <c r="I1035" s="4" t="inlineStr">
        <is>
          <t>Tuốc nơ vít KV6+6*150</t>
        </is>
      </c>
      <c r="J1035" s="3" t="inlineStr">
        <is>
          <t>Cái</t>
        </is>
      </c>
      <c r="K1035" s="5" t="n">
        <v>29000</v>
      </c>
      <c r="L1035" s="5" t="n">
        <v>34000</v>
      </c>
      <c r="M1035" s="6" t="n">
        <v>42000</v>
      </c>
      <c r="N1035" s="5" t="n"/>
      <c r="O1035" s="5">
        <f>IF(AND(ISNUMBER(N1035),ISNUMBER(M1035)),N1035-M1035,"")</f>
        <v/>
      </c>
      <c r="P1035" s="7">
        <f>IF(AND(ISNUMBER(N1035),ISNUMBER(M1035),M1035&gt;0),(N1035-M1035)/M1035,"")</f>
        <v/>
      </c>
      <c r="Q1035" s="3">
        <f>IF(P1035="","",IF(P1035&lt;-0.02,"🔴 Bán phá giá sàn",IF(P1035&gt;0.05,"🔵 Bán cao hơn","🟢 Đúng giá sàn TMĐT")))</f>
        <v/>
      </c>
      <c r="R1035" s="3" t="n"/>
      <c r="S1035" s="4" t="n"/>
      <c r="T1035" s="4" t="n"/>
    </row>
    <row r="1036">
      <c r="A1036" s="3" t="n">
        <v>1035</v>
      </c>
      <c r="B1036" s="3" t="inlineStr">
        <is>
          <t>DL005</t>
        </is>
      </c>
      <c r="C1036" s="4" t="inlineStr">
        <is>
          <t>ThinkSafe HCM</t>
        </is>
      </c>
      <c r="D1036" s="3" t="inlineStr">
        <is>
          <t>HCM</t>
        </is>
      </c>
      <c r="E1036" s="3" t="inlineStr">
        <is>
          <t>XUÂN TRANG</t>
        </is>
      </c>
      <c r="F1036" s="3" t="inlineStr">
        <is>
          <t>Shopee, Tiktok</t>
        </is>
      </c>
      <c r="G1036" s="4" t="inlineStr">
        <is>
          <t>SHOPEE: https://shopee.vn/baohothinksafe?uls_trackid=56slrjbp02l6&amp;utm_content=3kGSyWceAz2CP3beojAsTsVsisVR TIKTOK: https://www.tiktok.com/@thinksafevn LAZADA: WEBSITE BÁN HÀNG:</t>
        </is>
      </c>
      <c r="H1036" s="3" t="inlineStr">
        <is>
          <t>KV6-6150</t>
        </is>
      </c>
      <c r="I1036" s="4" t="inlineStr">
        <is>
          <t>Tuốc nơ vít KV6-6*150</t>
        </is>
      </c>
      <c r="J1036" s="3" t="inlineStr">
        <is>
          <t>Cái</t>
        </is>
      </c>
      <c r="K1036" s="5" t="n">
        <v>29000</v>
      </c>
      <c r="L1036" s="5" t="n">
        <v>34000</v>
      </c>
      <c r="M1036" s="6" t="n">
        <v>42000</v>
      </c>
      <c r="N1036" s="5" t="n"/>
      <c r="O1036" s="5">
        <f>IF(AND(ISNUMBER(N1036),ISNUMBER(M1036)),N1036-M1036,"")</f>
        <v/>
      </c>
      <c r="P1036" s="7">
        <f>IF(AND(ISNUMBER(N1036),ISNUMBER(M1036),M1036&gt;0),(N1036-M1036)/M1036,"")</f>
        <v/>
      </c>
      <c r="Q1036" s="3">
        <f>IF(P1036="","",IF(P1036&lt;-0.02,"🔴 Bán phá giá sàn",IF(P1036&gt;0.05,"🔵 Bán cao hơn","🟢 Đúng giá sàn TMĐT")))</f>
        <v/>
      </c>
      <c r="R1036" s="3" t="n"/>
      <c r="S1036" s="4" t="n"/>
      <c r="T1036" s="4" t="n"/>
    </row>
    <row r="1037">
      <c r="A1037" s="3" t="n">
        <v>1036</v>
      </c>
      <c r="B1037" s="3" t="inlineStr">
        <is>
          <t>DL005</t>
        </is>
      </c>
      <c r="C1037" s="4" t="inlineStr">
        <is>
          <t>ThinkSafe HCM</t>
        </is>
      </c>
      <c r="D1037" s="3" t="inlineStr">
        <is>
          <t>HCM</t>
        </is>
      </c>
      <c r="E1037" s="3" t="inlineStr">
        <is>
          <t>XUÂN TRANG</t>
        </is>
      </c>
      <c r="F1037" s="3" t="inlineStr">
        <is>
          <t>Shopee, Tiktok</t>
        </is>
      </c>
      <c r="G1037" s="4" t="inlineStr">
        <is>
          <t>SHOPEE: https://shopee.vn/baohothinksafe?uls_trackid=56slrjbp02l6&amp;utm_content=3kGSyWceAz2CP3beojAsTsVsisVR TIKTOK: https://www.tiktok.com/@thinksafevn LAZADA: WEBSITE BÁN HÀNG:</t>
        </is>
      </c>
      <c r="H1037" s="3" t="inlineStr">
        <is>
          <t>KV4-638</t>
        </is>
      </c>
      <c r="I1037" s="4" t="inlineStr">
        <is>
          <t>Tuốc nơ vít tự động 3 chức năng S2 KV4-6*38</t>
        </is>
      </c>
      <c r="J1037" s="3" t="inlineStr">
        <is>
          <t>Cái</t>
        </is>
      </c>
      <c r="K1037" s="5" t="n">
        <v>68000</v>
      </c>
      <c r="L1037" s="5" t="n">
        <v>80000</v>
      </c>
      <c r="M1037" s="6" t="n">
        <v>99000</v>
      </c>
      <c r="N1037" s="5" t="n"/>
      <c r="O1037" s="5">
        <f>IF(AND(ISNUMBER(N1037),ISNUMBER(M1037)),N1037-M1037,"")</f>
        <v/>
      </c>
      <c r="P1037" s="7">
        <f>IF(AND(ISNUMBER(N1037),ISNUMBER(M1037),M1037&gt;0),(N1037-M1037)/M1037,"")</f>
        <v/>
      </c>
      <c r="Q1037" s="3">
        <f>IF(P1037="","",IF(P1037&lt;-0.02,"🔴 Bán phá giá sàn",IF(P1037&gt;0.05,"🔵 Bán cao hơn","🟢 Đúng giá sàn TMĐT")))</f>
        <v/>
      </c>
      <c r="R1037" s="3" t="n"/>
      <c r="S1037" s="4" t="n"/>
      <c r="T1037" s="4" t="n"/>
    </row>
    <row r="1038">
      <c r="A1038" s="3" t="n">
        <v>1037</v>
      </c>
      <c r="B1038" s="3" t="inlineStr">
        <is>
          <t>DL005</t>
        </is>
      </c>
      <c r="C1038" s="4" t="inlineStr">
        <is>
          <t>ThinkSafe HCM</t>
        </is>
      </c>
      <c r="D1038" s="3" t="inlineStr">
        <is>
          <t>HCM</t>
        </is>
      </c>
      <c r="E1038" s="3" t="inlineStr">
        <is>
          <t>XUÂN TRANG</t>
        </is>
      </c>
      <c r="F1038" s="3" t="inlineStr">
        <is>
          <t>Shopee, Tiktok</t>
        </is>
      </c>
      <c r="G1038" s="4" t="inlineStr">
        <is>
          <t>SHOPEE: https://shopee.vn/baohothinksafe?uls_trackid=56slrjbp02l6&amp;utm_content=3kGSyWceAz2CP3beojAsTsVsisVR TIKTOK: https://www.tiktok.com/@thinksafevn LAZADA: WEBSITE BÁN HÀNG:</t>
        </is>
      </c>
      <c r="H1038" s="3" t="inlineStr">
        <is>
          <t>KHD4212</t>
        </is>
      </c>
      <c r="I1038" s="4" t="inlineStr">
        <is>
          <t>Thùng đựng đồ nghề kèm phụ kiện KHD4212 NEW</t>
        </is>
      </c>
      <c r="J1038" s="3" t="inlineStr">
        <is>
          <t>Cái</t>
        </is>
      </c>
      <c r="K1038" s="5" t="n">
        <v>1996</v>
      </c>
      <c r="L1038" s="5" t="n">
        <v>539000</v>
      </c>
      <c r="M1038" s="6" t="n">
        <v>615000</v>
      </c>
      <c r="N1038" s="5" t="n"/>
      <c r="O1038" s="5">
        <f>IF(AND(ISNUMBER(N1038),ISNUMBER(M1038)),N1038-M1038,"")</f>
        <v/>
      </c>
      <c r="P1038" s="7">
        <f>IF(AND(ISNUMBER(N1038),ISNUMBER(M1038),M1038&gt;0),(N1038-M1038)/M1038,"")</f>
        <v/>
      </c>
      <c r="Q1038" s="3">
        <f>IF(P1038="","",IF(P1038&lt;-0.02,"🔴 Bán phá giá sàn",IF(P1038&gt;0.05,"🔵 Bán cao hơn","🟢 Đúng giá sàn TMĐT")))</f>
        <v/>
      </c>
      <c r="R1038" s="3" t="n"/>
      <c r="S1038" s="4" t="n"/>
      <c r="T1038" s="4" t="n"/>
    </row>
    <row r="1039">
      <c r="A1039" s="3" t="n">
        <v>1038</v>
      </c>
      <c r="B1039" s="3" t="inlineStr">
        <is>
          <t>DL005</t>
        </is>
      </c>
      <c r="C1039" s="4" t="inlineStr">
        <is>
          <t>ThinkSafe HCM</t>
        </is>
      </c>
      <c r="D1039" s="3" t="inlineStr">
        <is>
          <t>HCM</t>
        </is>
      </c>
      <c r="E1039" s="3" t="inlineStr">
        <is>
          <t>XUÂN TRANG</t>
        </is>
      </c>
      <c r="F1039" s="3" t="inlineStr">
        <is>
          <t>Shopee, Tiktok</t>
        </is>
      </c>
      <c r="G1039" s="4" t="inlineStr">
        <is>
          <t>SHOPEE: https://shopee.vn/baohothinksafe?uls_trackid=56slrjbp02l6&amp;utm_content=3kGSyWceAz2CP3beojAsTsVsisVR TIKTOK: https://www.tiktok.com/@thinksafevn LAZADA: WEBSITE BÁN HÀNG:</t>
        </is>
      </c>
      <c r="H1039" s="3" t="inlineStr">
        <is>
          <t>KHD20</t>
        </is>
      </c>
      <c r="I1039" s="4" t="inlineStr">
        <is>
          <t>Thùng đựng đồ nghề KHD20</t>
        </is>
      </c>
      <c r="J1039" s="3" t="inlineStr">
        <is>
          <t>Cái</t>
        </is>
      </c>
      <c r="K1039" s="5" t="n">
        <v>396000</v>
      </c>
      <c r="L1039" s="5" t="n">
        <v>452000</v>
      </c>
      <c r="M1039" s="6" t="n">
        <v>535000</v>
      </c>
      <c r="N1039" s="5" t="n"/>
      <c r="O1039" s="5">
        <f>IF(AND(ISNUMBER(N1039),ISNUMBER(M1039)),N1039-M1039,"")</f>
        <v/>
      </c>
      <c r="P1039" s="7">
        <f>IF(AND(ISNUMBER(N1039),ISNUMBER(M1039),M1039&gt;0),(N1039-M1039)/M1039,"")</f>
        <v/>
      </c>
      <c r="Q1039" s="3">
        <f>IF(P1039="","",IF(P1039&lt;-0.02,"🔴 Bán phá giá sàn",IF(P1039&gt;0.05,"🔵 Bán cao hơn","🟢 Đúng giá sàn TMĐT")))</f>
        <v/>
      </c>
      <c r="R1039" s="3" t="n"/>
      <c r="S1039" s="4" t="n"/>
      <c r="T1039" s="4" t="n"/>
    </row>
    <row r="1040">
      <c r="A1040" s="3" t="n">
        <v>1039</v>
      </c>
      <c r="B1040" s="3" t="inlineStr">
        <is>
          <t>DL005</t>
        </is>
      </c>
      <c r="C1040" s="4" t="inlineStr">
        <is>
          <t>ThinkSafe HCM</t>
        </is>
      </c>
      <c r="D1040" s="3" t="inlineStr">
        <is>
          <t>HCM</t>
        </is>
      </c>
      <c r="E1040" s="3" t="inlineStr">
        <is>
          <t>XUÂN TRANG</t>
        </is>
      </c>
      <c r="F1040" s="3" t="inlineStr">
        <is>
          <t>Shopee, Tiktok</t>
        </is>
      </c>
      <c r="G1040" s="4" t="inlineStr">
        <is>
          <t>SHOPEE: https://shopee.vn/baohothinksafe?uls_trackid=56slrjbp02l6&amp;utm_content=3kGSyWceAz2CP3beojAsTsVsisVR TIKTOK: https://www.tiktok.com/@thinksafevn LAZADA: WEBSITE BÁN HÀNG:</t>
        </is>
      </c>
      <c r="H1040" s="3" t="inlineStr">
        <is>
          <t>KHD4212</t>
        </is>
      </c>
      <c r="I1040" s="4" t="inlineStr">
        <is>
          <t>Thùng đựng đồ nghề KHD4212</t>
        </is>
      </c>
      <c r="J1040" s="3" t="inlineStr">
        <is>
          <t>Cái</t>
        </is>
      </c>
      <c r="K1040" s="5" t="n">
        <v>1996</v>
      </c>
      <c r="L1040" s="5" t="n">
        <v>539000</v>
      </c>
      <c r="M1040" s="6" t="n">
        <v>615000</v>
      </c>
      <c r="N1040" s="5" t="n"/>
      <c r="O1040" s="5">
        <f>IF(AND(ISNUMBER(N1040),ISNUMBER(M1040)),N1040-M1040,"")</f>
        <v/>
      </c>
      <c r="P1040" s="7">
        <f>IF(AND(ISNUMBER(N1040),ISNUMBER(M1040),M1040&gt;0),(N1040-M1040)/M1040,"")</f>
        <v/>
      </c>
      <c r="Q1040" s="3">
        <f>IF(P1040="","",IF(P1040&lt;-0.02,"🔴 Bán phá giá sàn",IF(P1040&gt;0.05,"🔵 Bán cao hơn","🟢 Đúng giá sàn TMĐT")))</f>
        <v/>
      </c>
      <c r="R1040" s="3" t="n"/>
      <c r="S1040" s="4" t="n"/>
      <c r="T1040" s="4" t="n"/>
    </row>
    <row r="1041">
      <c r="A1041" s="3" t="n">
        <v>1040</v>
      </c>
      <c r="B1041" s="3" t="inlineStr">
        <is>
          <t>DL005</t>
        </is>
      </c>
      <c r="C1041" s="4" t="inlineStr">
        <is>
          <t>ThinkSafe HCM</t>
        </is>
      </c>
      <c r="D1041" s="3" t="inlineStr">
        <is>
          <t>HCM</t>
        </is>
      </c>
      <c r="E1041" s="3" t="inlineStr">
        <is>
          <t>XUÂN TRANG</t>
        </is>
      </c>
      <c r="F1041" s="3" t="inlineStr">
        <is>
          <t>Shopee, Tiktok</t>
        </is>
      </c>
      <c r="G1041" s="4" t="inlineStr">
        <is>
          <t>SHOPEE: https://shopee.vn/baohothinksafe?uls_trackid=56slrjbp02l6&amp;utm_content=3kGSyWceAz2CP3beojAsTsVsisVR TIKTOK: https://www.tiktok.com/@thinksafevn LAZADA: WEBSITE BÁN HÀNG:</t>
        </is>
      </c>
      <c r="H1041" s="3" t="inlineStr">
        <is>
          <t>KHD4216</t>
        </is>
      </c>
      <c r="I1041" s="4" t="inlineStr">
        <is>
          <t>Thùng đựng đồ nghề KHD4216</t>
        </is>
      </c>
      <c r="J1041" s="3" t="inlineStr">
        <is>
          <t>Cái</t>
        </is>
      </c>
      <c r="K1041" s="5" t="n">
        <v>2065</v>
      </c>
      <c r="L1041" s="5" t="n">
        <v>484000</v>
      </c>
      <c r="M1041" s="6" t="n">
        <v>552000</v>
      </c>
      <c r="N1041" s="5" t="n"/>
      <c r="O1041" s="5">
        <f>IF(AND(ISNUMBER(N1041),ISNUMBER(M1041)),N1041-M1041,"")</f>
        <v/>
      </c>
      <c r="P1041" s="7">
        <f>IF(AND(ISNUMBER(N1041),ISNUMBER(M1041),M1041&gt;0),(N1041-M1041)/M1041,"")</f>
        <v/>
      </c>
      <c r="Q1041" s="3">
        <f>IF(P1041="","",IF(P1041&lt;-0.02,"🔴 Bán phá giá sàn",IF(P1041&gt;0.05,"🔵 Bán cao hơn","🟢 Đúng giá sàn TMĐT")))</f>
        <v/>
      </c>
      <c r="R1041" s="3" t="n"/>
      <c r="S1041" s="4" t="n"/>
      <c r="T1041" s="4" t="n"/>
    </row>
    <row r="1042">
      <c r="A1042" s="3" t="n">
        <v>1041</v>
      </c>
      <c r="B1042" s="3" t="inlineStr">
        <is>
          <t>DL005</t>
        </is>
      </c>
      <c r="C1042" s="4" t="inlineStr">
        <is>
          <t>ThinkSafe HCM</t>
        </is>
      </c>
      <c r="D1042" s="3" t="inlineStr">
        <is>
          <t>HCM</t>
        </is>
      </c>
      <c r="E1042" s="3" t="inlineStr">
        <is>
          <t>XUÂN TRANG</t>
        </is>
      </c>
      <c r="F1042" s="3" t="inlineStr">
        <is>
          <t>Shopee, Tiktok</t>
        </is>
      </c>
      <c r="G1042" s="4" t="inlineStr">
        <is>
          <t>SHOPEE: https://shopee.vn/baohothinksafe?uls_trackid=56slrjbp02l6&amp;utm_content=3kGSyWceAz2CP3beojAsTsVsisVR TIKTOK: https://www.tiktok.com/@thinksafevn LAZADA: WEBSITE BÁN HÀNG:</t>
        </is>
      </c>
      <c r="H1042" s="3" t="inlineStr">
        <is>
          <t>KHD4233</t>
        </is>
      </c>
      <c r="I1042" s="4" t="inlineStr">
        <is>
          <t>Thùng đựng đồ nghề KHD4233</t>
        </is>
      </c>
      <c r="J1042" s="3" t="inlineStr">
        <is>
          <t>Cái</t>
        </is>
      </c>
      <c r="K1042" s="5" t="n">
        <v>269000</v>
      </c>
      <c r="L1042" s="5" t="n">
        <v>317000</v>
      </c>
      <c r="M1042" s="6" t="n">
        <v>390000</v>
      </c>
      <c r="N1042" s="5" t="n"/>
      <c r="O1042" s="5">
        <f>IF(AND(ISNUMBER(N1042),ISNUMBER(M1042)),N1042-M1042,"")</f>
        <v/>
      </c>
      <c r="P1042" s="7">
        <f>IF(AND(ISNUMBER(N1042),ISNUMBER(M1042),M1042&gt;0),(N1042-M1042)/M1042,"")</f>
        <v/>
      </c>
      <c r="Q1042" s="3">
        <f>IF(P1042="","",IF(P1042&lt;-0.02,"🔴 Bán phá giá sàn",IF(P1042&gt;0.05,"🔵 Bán cao hơn","🟢 Đúng giá sàn TMĐT")))</f>
        <v/>
      </c>
      <c r="R1042" s="3" t="n"/>
      <c r="S1042" s="4" t="n"/>
      <c r="T1042" s="4" t="n"/>
    </row>
    <row r="1043">
      <c r="A1043" s="3" t="n">
        <v>1042</v>
      </c>
      <c r="B1043" s="3" t="inlineStr">
        <is>
          <t>DL005</t>
        </is>
      </c>
      <c r="C1043" s="4" t="inlineStr">
        <is>
          <t>ThinkSafe HCM</t>
        </is>
      </c>
      <c r="D1043" s="3" t="inlineStr">
        <is>
          <t>HCM</t>
        </is>
      </c>
      <c r="E1043" s="3" t="inlineStr">
        <is>
          <t>XUÂN TRANG</t>
        </is>
      </c>
      <c r="F1043" s="3" t="inlineStr">
        <is>
          <t>Shopee, Tiktok</t>
        </is>
      </c>
      <c r="G1043" s="4" t="inlineStr">
        <is>
          <t>SHOPEE: https://shopee.vn/baohothinksafe?uls_trackid=56slrjbp02l6&amp;utm_content=3kGSyWceAz2CP3beojAsTsVsisVR TIKTOK: https://www.tiktok.com/@thinksafevn LAZADA: WEBSITE BÁN HÀNG:</t>
        </is>
      </c>
      <c r="H1043" s="3" t="inlineStr">
        <is>
          <t>MC-50.25</t>
        </is>
      </c>
      <c r="I1043" s="4" t="inlineStr">
        <is>
          <t>Thước Cuộn MC-50.25</t>
        </is>
      </c>
      <c r="J1043" s="3" t="inlineStr">
        <is>
          <t>Cái</t>
        </is>
      </c>
      <c r="K1043" s="5" t="n">
        <v>59000</v>
      </c>
      <c r="L1043" s="5" t="n">
        <v>70000</v>
      </c>
      <c r="M1043" s="6" t="n">
        <v>86000</v>
      </c>
      <c r="N1043" s="5" t="n"/>
      <c r="O1043" s="5">
        <f>IF(AND(ISNUMBER(N1043),ISNUMBER(M1043)),N1043-M1043,"")</f>
        <v/>
      </c>
      <c r="P1043" s="7">
        <f>IF(AND(ISNUMBER(N1043),ISNUMBER(M1043),M1043&gt;0),(N1043-M1043)/M1043,"")</f>
        <v/>
      </c>
      <c r="Q1043" s="3">
        <f>IF(P1043="","",IF(P1043&lt;-0.02,"🔴 Bán phá giá sàn",IF(P1043&gt;0.05,"🔵 Bán cao hơn","🟢 Đúng giá sàn TMĐT")))</f>
        <v/>
      </c>
      <c r="R1043" s="3" t="n"/>
      <c r="S1043" s="4" t="n"/>
      <c r="T1043" s="4" t="n"/>
    </row>
    <row r="1044">
      <c r="A1044" s="3" t="n">
        <v>1043</v>
      </c>
      <c r="B1044" s="3" t="inlineStr">
        <is>
          <t>DL005</t>
        </is>
      </c>
      <c r="C1044" s="4" t="inlineStr">
        <is>
          <t>ThinkSafe HCM</t>
        </is>
      </c>
      <c r="D1044" s="3" t="inlineStr">
        <is>
          <t>HCM</t>
        </is>
      </c>
      <c r="E1044" s="3" t="inlineStr">
        <is>
          <t>XUÂN TRANG</t>
        </is>
      </c>
      <c r="F1044" s="3" t="inlineStr">
        <is>
          <t>Shopee, Tiktok</t>
        </is>
      </c>
      <c r="G1044" s="4" t="inlineStr">
        <is>
          <t>SHOPEE: https://shopee.vn/baohothinksafe?uls_trackid=56slrjbp02l6&amp;utm_content=3kGSyWceAz2CP3beojAsTsVsisVR TIKTOK: https://www.tiktok.com/@thinksafevn LAZADA: WEBSITE BÁN HÀNG:</t>
        </is>
      </c>
      <c r="H1044" s="3" t="inlineStr">
        <is>
          <t>MD-50.25</t>
        </is>
      </c>
      <c r="I1044" s="4" t="inlineStr">
        <is>
          <t>Thước Cuộn tự hãm MD-50.25</t>
        </is>
      </c>
      <c r="J1044" s="3" t="inlineStr">
        <is>
          <t>Cái</t>
        </is>
      </c>
      <c r="K1044" s="5" t="n">
        <v>64000</v>
      </c>
      <c r="L1044" s="5" t="n">
        <v>76000</v>
      </c>
      <c r="M1044" s="6" t="n">
        <v>93000</v>
      </c>
      <c r="N1044" s="5" t="n"/>
      <c r="O1044" s="5">
        <f>IF(AND(ISNUMBER(N1044),ISNUMBER(M1044)),N1044-M1044,"")</f>
        <v/>
      </c>
      <c r="P1044" s="7">
        <f>IF(AND(ISNUMBER(N1044),ISNUMBER(M1044),M1044&gt;0),(N1044-M1044)/M1044,"")</f>
        <v/>
      </c>
      <c r="Q1044" s="3">
        <f>IF(P1044="","",IF(P1044&lt;-0.02,"🔴 Bán phá giá sàn",IF(P1044&gt;0.05,"🔵 Bán cao hơn","🟢 Đúng giá sàn TMĐT")))</f>
        <v/>
      </c>
      <c r="R1044" s="3" t="n"/>
      <c r="S1044" s="4" t="n"/>
      <c r="T1044" s="4" t="n"/>
    </row>
    <row r="1045">
      <c r="A1045" s="3" t="n">
        <v>1044</v>
      </c>
      <c r="B1045" s="3" t="inlineStr">
        <is>
          <t>DL005</t>
        </is>
      </c>
      <c r="C1045" s="4" t="inlineStr">
        <is>
          <t>ThinkSafe HCM</t>
        </is>
      </c>
      <c r="D1045" s="3" t="inlineStr">
        <is>
          <t>HCM</t>
        </is>
      </c>
      <c r="E1045" s="3" t="inlineStr">
        <is>
          <t>XUÂN TRANG</t>
        </is>
      </c>
      <c r="F1045" s="3" t="inlineStr">
        <is>
          <t>Shopee, Tiktok</t>
        </is>
      </c>
      <c r="G1045" s="4" t="inlineStr">
        <is>
          <t>SHOPEE: https://shopee.vn/baohothinksafe?uls_trackid=56slrjbp02l6&amp;utm_content=3kGSyWceAz2CP3beojAsTsVsisVR TIKTOK: https://www.tiktok.com/@thinksafevn LAZADA: WEBSITE BÁN HÀNG:</t>
        </is>
      </c>
      <c r="H1045" s="3" t="inlineStr">
        <is>
          <t>TK-150</t>
        </is>
      </c>
      <c r="I1045" s="4" t="inlineStr">
        <is>
          <t>Thước kẹp cơ TK-150</t>
        </is>
      </c>
      <c r="J1045" s="3" t="inlineStr">
        <is>
          <t>Cái</t>
        </is>
      </c>
      <c r="K1045" s="5" t="n">
        <v>182000</v>
      </c>
      <c r="L1045" s="5" t="n">
        <v>215000</v>
      </c>
      <c r="M1045" s="6" t="n">
        <v>264000</v>
      </c>
      <c r="N1045" s="5" t="n"/>
      <c r="O1045" s="5">
        <f>IF(AND(ISNUMBER(N1045),ISNUMBER(M1045)),N1045-M1045,"")</f>
        <v/>
      </c>
      <c r="P1045" s="7">
        <f>IF(AND(ISNUMBER(N1045),ISNUMBER(M1045),M1045&gt;0),(N1045-M1045)/M1045,"")</f>
        <v/>
      </c>
      <c r="Q1045" s="3">
        <f>IF(P1045="","",IF(P1045&lt;-0.02,"🔴 Bán phá giá sàn",IF(P1045&gt;0.05,"🔵 Bán cao hơn","🟢 Đúng giá sàn TMĐT")))</f>
        <v/>
      </c>
      <c r="R1045" s="3" t="n"/>
      <c r="S1045" s="4" t="n"/>
      <c r="T1045" s="4" t="n"/>
    </row>
    <row r="1046">
      <c r="A1046" s="3" t="n">
        <v>1045</v>
      </c>
      <c r="B1046" s="3" t="inlineStr">
        <is>
          <t>DL005</t>
        </is>
      </c>
      <c r="C1046" s="4" t="inlineStr">
        <is>
          <t>ThinkSafe HCM</t>
        </is>
      </c>
      <c r="D1046" s="3" t="inlineStr">
        <is>
          <t>HCM</t>
        </is>
      </c>
      <c r="E1046" s="3" t="inlineStr">
        <is>
          <t>XUÂN TRANG</t>
        </is>
      </c>
      <c r="F1046" s="3" t="inlineStr">
        <is>
          <t>Shopee, Tiktok</t>
        </is>
      </c>
      <c r="G1046" s="4" t="inlineStr">
        <is>
          <t>SHOPEE: https://shopee.vn/baohothinksafe?uls_trackid=56slrjbp02l6&amp;utm_content=3kGSyWceAz2CP3beojAsTsVsisVR TIKTOK: https://www.tiktok.com/@thinksafevn LAZADA: WEBSITE BÁN HÀNG:</t>
        </is>
      </c>
      <c r="H1046" s="3" t="inlineStr">
        <is>
          <t>TK-200</t>
        </is>
      </c>
      <c r="I1046" s="4" t="inlineStr">
        <is>
          <t>Thước kẹp cơ TK-200</t>
        </is>
      </c>
      <c r="J1046" s="3" t="inlineStr">
        <is>
          <t>Cái</t>
        </is>
      </c>
      <c r="K1046" s="5" t="n">
        <v>286000</v>
      </c>
      <c r="L1046" s="5" t="n">
        <v>338000</v>
      </c>
      <c r="M1046" s="6" t="n">
        <v>415000</v>
      </c>
      <c r="N1046" s="5" t="n"/>
      <c r="O1046" s="5">
        <f>IF(AND(ISNUMBER(N1046),ISNUMBER(M1046)),N1046-M1046,"")</f>
        <v/>
      </c>
      <c r="P1046" s="7">
        <f>IF(AND(ISNUMBER(N1046),ISNUMBER(M1046),M1046&gt;0),(N1046-M1046)/M1046,"")</f>
        <v/>
      </c>
      <c r="Q1046" s="3">
        <f>IF(P1046="","",IF(P1046&lt;-0.02,"🔴 Bán phá giá sàn",IF(P1046&gt;0.05,"🔵 Bán cao hơn","🟢 Đúng giá sàn TMĐT")))</f>
        <v/>
      </c>
      <c r="R1046" s="3" t="n"/>
      <c r="S1046" s="4" t="n"/>
      <c r="T1046" s="4" t="n"/>
    </row>
    <row r="1047">
      <c r="A1047" s="3" t="n">
        <v>1046</v>
      </c>
      <c r="B1047" s="3" t="inlineStr">
        <is>
          <t>DL005</t>
        </is>
      </c>
      <c r="C1047" s="4" t="inlineStr">
        <is>
          <t>ThinkSafe HCM</t>
        </is>
      </c>
      <c r="D1047" s="3" t="inlineStr">
        <is>
          <t>HCM</t>
        </is>
      </c>
      <c r="E1047" s="3" t="inlineStr">
        <is>
          <t>XUÂN TRANG</t>
        </is>
      </c>
      <c r="F1047" s="3" t="inlineStr">
        <is>
          <t>Shopee, Tiktok</t>
        </is>
      </c>
      <c r="G1047" s="4" t="inlineStr">
        <is>
          <t>SHOPEE: https://shopee.vn/baohothinksafe?uls_trackid=56slrjbp02l6&amp;utm_content=3kGSyWceAz2CP3beojAsTsVsisVR TIKTOK: https://www.tiktok.com/@thinksafevn LAZADA: WEBSITE BÁN HÀNG:</t>
        </is>
      </c>
      <c r="H1047" s="3" t="inlineStr">
        <is>
          <t>TK-025</t>
        </is>
      </c>
      <c r="I1047" s="4" t="inlineStr">
        <is>
          <t>Thước kẹp panme TK-025</t>
        </is>
      </c>
      <c r="J1047" s="3" t="inlineStr">
        <is>
          <t>Cái</t>
        </is>
      </c>
      <c r="K1047" s="5" t="n">
        <v>396000</v>
      </c>
      <c r="L1047" s="5" t="n">
        <v>467000</v>
      </c>
      <c r="M1047" s="6" t="n">
        <v>574000</v>
      </c>
      <c r="N1047" s="5" t="n"/>
      <c r="O1047" s="5">
        <f>IF(AND(ISNUMBER(N1047),ISNUMBER(M1047)),N1047-M1047,"")</f>
        <v/>
      </c>
      <c r="P1047" s="7">
        <f>IF(AND(ISNUMBER(N1047),ISNUMBER(M1047),M1047&gt;0),(N1047-M1047)/M1047,"")</f>
        <v/>
      </c>
      <c r="Q1047" s="3">
        <f>IF(P1047="","",IF(P1047&lt;-0.02,"🔴 Bán phá giá sàn",IF(P1047&gt;0.05,"🔵 Bán cao hơn","🟢 Đúng giá sàn TMĐT")))</f>
        <v/>
      </c>
      <c r="R1047" s="3" t="n"/>
      <c r="S1047" s="4" t="n"/>
      <c r="T1047" s="4" t="n"/>
    </row>
    <row r="1048">
      <c r="A1048" s="3" t="n">
        <v>1047</v>
      </c>
      <c r="B1048" s="3" t="inlineStr">
        <is>
          <t>DL005</t>
        </is>
      </c>
      <c r="C1048" s="4" t="inlineStr">
        <is>
          <t>ThinkSafe HCM</t>
        </is>
      </c>
      <c r="D1048" s="3" t="inlineStr">
        <is>
          <t>HCM</t>
        </is>
      </c>
      <c r="E1048" s="3" t="inlineStr">
        <is>
          <t>XUÂN TRANG</t>
        </is>
      </c>
      <c r="F1048" s="3" t="inlineStr">
        <is>
          <t>Shopee, Tiktok</t>
        </is>
      </c>
      <c r="G1048" s="4" t="inlineStr">
        <is>
          <t>SHOPEE: https://shopee.vn/baohothinksafe?uls_trackid=56slrjbp02l6&amp;utm_content=3kGSyWceAz2CP3beojAsTsVsisVR TIKTOK: https://www.tiktok.com/@thinksafevn LAZADA: WEBSITE BÁN HÀNG:</t>
        </is>
      </c>
      <c r="H1048" s="3" t="inlineStr">
        <is>
          <t>KTT-25A</t>
        </is>
      </c>
      <c r="I1048" s="4" t="inlineStr">
        <is>
          <t>Thước thủy KTT-25A</t>
        </is>
      </c>
      <c r="J1048" s="3" t="inlineStr">
        <is>
          <t>Cái</t>
        </is>
      </c>
      <c r="K1048" s="5" t="n">
        <v>35000</v>
      </c>
      <c r="L1048" s="5" t="n">
        <v>41000</v>
      </c>
      <c r="M1048" s="6" t="n">
        <v>51000</v>
      </c>
      <c r="N1048" s="5" t="n"/>
      <c r="O1048" s="5">
        <f>IF(AND(ISNUMBER(N1048),ISNUMBER(M1048)),N1048-M1048,"")</f>
        <v/>
      </c>
      <c r="P1048" s="7">
        <f>IF(AND(ISNUMBER(N1048),ISNUMBER(M1048),M1048&gt;0),(N1048-M1048)/M1048,"")</f>
        <v/>
      </c>
      <c r="Q1048" s="3">
        <f>IF(P1048="","",IF(P1048&lt;-0.02,"🔴 Bán phá giá sàn",IF(P1048&gt;0.05,"🔵 Bán cao hơn","🟢 Đúng giá sàn TMĐT")))</f>
        <v/>
      </c>
      <c r="R1048" s="3" t="n"/>
      <c r="S1048" s="4" t="n"/>
      <c r="T1048" s="4" t="n"/>
    </row>
    <row r="1049">
      <c r="A1049" s="3" t="n">
        <v>1048</v>
      </c>
      <c r="B1049" s="3" t="inlineStr">
        <is>
          <t>DL005</t>
        </is>
      </c>
      <c r="C1049" s="4" t="inlineStr">
        <is>
          <t>ThinkSafe HCM</t>
        </is>
      </c>
      <c r="D1049" s="3" t="inlineStr">
        <is>
          <t>HCM</t>
        </is>
      </c>
      <c r="E1049" s="3" t="inlineStr">
        <is>
          <t>XUÂN TRANG</t>
        </is>
      </c>
      <c r="F1049" s="3" t="inlineStr">
        <is>
          <t>Shopee, Tiktok</t>
        </is>
      </c>
      <c r="G1049" s="4" t="inlineStr">
        <is>
          <t>SHOPEE: https://shopee.vn/baohothinksafe?uls_trackid=56slrjbp02l6&amp;utm_content=3kGSyWceAz2CP3beojAsTsVsisVR TIKTOK: https://www.tiktok.com/@thinksafevn LAZADA: WEBSITE BÁN HÀNG:</t>
        </is>
      </c>
      <c r="H1049" s="3" t="inlineStr">
        <is>
          <t>KFJ-432</t>
        </is>
      </c>
      <c r="I1049" s="4" t="inlineStr">
        <is>
          <t>Vít bê tông không dùng tắc kê KFJ-432</t>
        </is>
      </c>
      <c r="J1049" s="3" t="inlineStr">
        <is>
          <t>Hộp</t>
        </is>
      </c>
      <c r="K1049" s="5" t="n">
        <v>81000</v>
      </c>
      <c r="L1049" s="5" t="n">
        <v>101000</v>
      </c>
      <c r="M1049" s="6" t="n">
        <v>130000</v>
      </c>
      <c r="N1049" s="5" t="n"/>
      <c r="O1049" s="5">
        <f>IF(AND(ISNUMBER(N1049),ISNUMBER(M1049)),N1049-M1049,"")</f>
        <v/>
      </c>
      <c r="P1049" s="7">
        <f>IF(AND(ISNUMBER(N1049),ISNUMBER(M1049),M1049&gt;0),(N1049-M1049)/M1049,"")</f>
        <v/>
      </c>
      <c r="Q1049" s="3">
        <f>IF(P1049="","",IF(P1049&lt;-0.02,"🔴 Bán phá giá sàn",IF(P1049&gt;0.05,"🔵 Bán cao hơn","🟢 Đúng giá sàn TMĐT")))</f>
        <v/>
      </c>
      <c r="R1049" s="3" t="n"/>
      <c r="S1049" s="4" t="n"/>
      <c r="T1049" s="4" t="n"/>
    </row>
    <row r="1050">
      <c r="A1050" s="3" t="n">
        <v>1049</v>
      </c>
      <c r="B1050" s="3" t="inlineStr">
        <is>
          <t>DL005</t>
        </is>
      </c>
      <c r="C1050" s="4" t="inlineStr">
        <is>
          <t>ThinkSafe HCM</t>
        </is>
      </c>
      <c r="D1050" s="3" t="inlineStr">
        <is>
          <t>HCM</t>
        </is>
      </c>
      <c r="E1050" s="3" t="inlineStr">
        <is>
          <t>XUÂN TRANG</t>
        </is>
      </c>
      <c r="F1050" s="3" t="inlineStr">
        <is>
          <t>Shopee, Tiktok</t>
        </is>
      </c>
      <c r="G1050" s="4" t="inlineStr">
        <is>
          <t>SHOPEE: https://shopee.vn/baohothinksafe?uls_trackid=56slrjbp02l6&amp;utm_content=3kGSyWceAz2CP3beojAsTsVsisVR TIKTOK: https://www.tiktok.com/@thinksafevn LAZADA: WEBSITE BÁN HÀNG:</t>
        </is>
      </c>
      <c r="H1050" s="3" t="inlineStr">
        <is>
          <t>KFJ-438</t>
        </is>
      </c>
      <c r="I1050" s="4" t="inlineStr">
        <is>
          <t>Vít bê tông không dùng tắc kê KFJ-438</t>
        </is>
      </c>
      <c r="J1050" s="3" t="inlineStr">
        <is>
          <t>Hộp</t>
        </is>
      </c>
      <c r="K1050" s="5" t="n">
        <v>81000</v>
      </c>
      <c r="L1050" s="5" t="n">
        <v>101000</v>
      </c>
      <c r="M1050" s="6" t="n">
        <v>130000</v>
      </c>
      <c r="N1050" s="5" t="n"/>
      <c r="O1050" s="5">
        <f>IF(AND(ISNUMBER(N1050),ISNUMBER(M1050)),N1050-M1050,"")</f>
        <v/>
      </c>
      <c r="P1050" s="7">
        <f>IF(AND(ISNUMBER(N1050),ISNUMBER(M1050),M1050&gt;0),(N1050-M1050)/M1050,"")</f>
        <v/>
      </c>
      <c r="Q1050" s="3">
        <f>IF(P1050="","",IF(P1050&lt;-0.02,"🔴 Bán phá giá sàn",IF(P1050&gt;0.05,"🔵 Bán cao hơn","🟢 Đúng giá sàn TMĐT")))</f>
        <v/>
      </c>
      <c r="R1050" s="3" t="n"/>
      <c r="S1050" s="4" t="n"/>
      <c r="T1050" s="4" t="n"/>
    </row>
    <row r="1051">
      <c r="A1051" s="3" t="n">
        <v>1050</v>
      </c>
      <c r="B1051" s="3" t="inlineStr">
        <is>
          <t>DL005</t>
        </is>
      </c>
      <c r="C1051" s="4" t="inlineStr">
        <is>
          <t>ThinkSafe HCM</t>
        </is>
      </c>
      <c r="D1051" s="3" t="inlineStr">
        <is>
          <t>HCM</t>
        </is>
      </c>
      <c r="E1051" s="3" t="inlineStr">
        <is>
          <t>XUÂN TRANG</t>
        </is>
      </c>
      <c r="F1051" s="3" t="inlineStr">
        <is>
          <t>Shopee, Tiktok</t>
        </is>
      </c>
      <c r="G1051" s="4" t="inlineStr">
        <is>
          <t>SHOPEE: https://shopee.vn/baohothinksafe?uls_trackid=56slrjbp02l6&amp;utm_content=3kGSyWceAz2CP3beojAsTsVsisVR TIKTOK: https://www.tiktok.com/@thinksafevn LAZADA: WEBSITE BÁN HÀNG:</t>
        </is>
      </c>
      <c r="H1051" s="3" t="inlineStr">
        <is>
          <t>KFJ-445</t>
        </is>
      </c>
      <c r="I1051" s="4" t="inlineStr">
        <is>
          <t>Vít bê tông không dùng tắc kê KFJ-445</t>
        </is>
      </c>
      <c r="J1051" s="3" t="inlineStr">
        <is>
          <t>Hộp</t>
        </is>
      </c>
      <c r="K1051" s="5" t="n">
        <v>81000</v>
      </c>
      <c r="L1051" s="5" t="n">
        <v>101000</v>
      </c>
      <c r="M1051" s="6" t="n">
        <v>130000</v>
      </c>
      <c r="N1051" s="5" t="n"/>
      <c r="O1051" s="5">
        <f>IF(AND(ISNUMBER(N1051),ISNUMBER(M1051)),N1051-M1051,"")</f>
        <v/>
      </c>
      <c r="P1051" s="7">
        <f>IF(AND(ISNUMBER(N1051),ISNUMBER(M1051),M1051&gt;0),(N1051-M1051)/M1051,"")</f>
        <v/>
      </c>
      <c r="Q1051" s="3">
        <f>IF(P1051="","",IF(P1051&lt;-0.02,"🔴 Bán phá giá sàn",IF(P1051&gt;0.05,"🔵 Bán cao hơn","🟢 Đúng giá sàn TMĐT")))</f>
        <v/>
      </c>
      <c r="R1051" s="3" t="n"/>
      <c r="S1051" s="4" t="n"/>
      <c r="T1051" s="4" t="n"/>
    </row>
    <row r="1052">
      <c r="A1052" s="3" t="n">
        <v>1051</v>
      </c>
      <c r="B1052" s="3" t="inlineStr">
        <is>
          <t>DL005</t>
        </is>
      </c>
      <c r="C1052" s="4" t="inlineStr">
        <is>
          <t>ThinkSafe HCM</t>
        </is>
      </c>
      <c r="D1052" s="3" t="inlineStr">
        <is>
          <t>HCM</t>
        </is>
      </c>
      <c r="E1052" s="3" t="inlineStr">
        <is>
          <t>XUÂN TRANG</t>
        </is>
      </c>
      <c r="F1052" s="3" t="inlineStr">
        <is>
          <t>Shopee, Tiktok</t>
        </is>
      </c>
      <c r="G1052" s="4" t="inlineStr">
        <is>
          <t>SHOPEE: https://shopee.vn/baohothinksafe?uls_trackid=56slrjbp02l6&amp;utm_content=3kGSyWceAz2CP3beojAsTsVsisVR TIKTOK: https://www.tiktok.com/@thinksafevn LAZADA: WEBSITE BÁN HÀNG:</t>
        </is>
      </c>
      <c r="H1052" s="3" t="inlineStr">
        <is>
          <t>KFJ-535</t>
        </is>
      </c>
      <c r="I1052" s="4" t="inlineStr">
        <is>
          <t>Vít bê tông không dùng tắc kê KFJ-535</t>
        </is>
      </c>
      <c r="J1052" s="3" t="inlineStr">
        <is>
          <t>Hộp</t>
        </is>
      </c>
      <c r="K1052" s="5" t="n">
        <v>81000</v>
      </c>
      <c r="L1052" s="5" t="n">
        <v>101000</v>
      </c>
      <c r="M1052" s="6" t="n">
        <v>130000</v>
      </c>
      <c r="N1052" s="5" t="n"/>
      <c r="O1052" s="5">
        <f>IF(AND(ISNUMBER(N1052),ISNUMBER(M1052)),N1052-M1052,"")</f>
        <v/>
      </c>
      <c r="P1052" s="7">
        <f>IF(AND(ISNUMBER(N1052),ISNUMBER(M1052),M1052&gt;0),(N1052-M1052)/M1052,"")</f>
        <v/>
      </c>
      <c r="Q1052" s="3">
        <f>IF(P1052="","",IF(P1052&lt;-0.02,"🔴 Bán phá giá sàn",IF(P1052&gt;0.05,"🔵 Bán cao hơn","🟢 Đúng giá sàn TMĐT")))</f>
        <v/>
      </c>
      <c r="R1052" s="3" t="n"/>
      <c r="S1052" s="4" t="n"/>
      <c r="T1052" s="4" t="n"/>
    </row>
    <row r="1053">
      <c r="A1053" s="3" t="n">
        <v>1052</v>
      </c>
      <c r="B1053" s="3" t="inlineStr">
        <is>
          <t>DL005</t>
        </is>
      </c>
      <c r="C1053" s="4" t="inlineStr">
        <is>
          <t>ThinkSafe HCM</t>
        </is>
      </c>
      <c r="D1053" s="3" t="inlineStr">
        <is>
          <t>HCM</t>
        </is>
      </c>
      <c r="E1053" s="3" t="inlineStr">
        <is>
          <t>XUÂN TRANG</t>
        </is>
      </c>
      <c r="F1053" s="3" t="inlineStr">
        <is>
          <t>Shopee, Tiktok</t>
        </is>
      </c>
      <c r="G1053" s="4" t="inlineStr">
        <is>
          <t>SHOPEE: https://shopee.vn/baohothinksafe?uls_trackid=56slrjbp02l6&amp;utm_content=3kGSyWceAz2CP3beojAsTsVsisVR TIKTOK: https://www.tiktok.com/@thinksafevn LAZADA: WEBSITE BÁN HÀNG:</t>
        </is>
      </c>
      <c r="H1053" s="3" t="inlineStr">
        <is>
          <t>KFJ-545</t>
        </is>
      </c>
      <c r="I1053" s="4" t="inlineStr">
        <is>
          <t>Vít bê tông không dùng tắc kê KFJ-545</t>
        </is>
      </c>
      <c r="J1053" s="3" t="inlineStr">
        <is>
          <t>Hộp</t>
        </is>
      </c>
      <c r="K1053" s="5" t="n">
        <v>81000</v>
      </c>
      <c r="L1053" s="5" t="n">
        <v>101000</v>
      </c>
      <c r="M1053" s="6" t="n">
        <v>130000</v>
      </c>
      <c r="N1053" s="5" t="n"/>
      <c r="O1053" s="5">
        <f>IF(AND(ISNUMBER(N1053),ISNUMBER(M1053)),N1053-M1053,"")</f>
        <v/>
      </c>
      <c r="P1053" s="7">
        <f>IF(AND(ISNUMBER(N1053),ISNUMBER(M1053),M1053&gt;0),(N1053-M1053)/M1053,"")</f>
        <v/>
      </c>
      <c r="Q1053" s="3">
        <f>IF(P1053="","",IF(P1053&lt;-0.02,"🔴 Bán phá giá sàn",IF(P1053&gt;0.05,"🔵 Bán cao hơn","🟢 Đúng giá sàn TMĐT")))</f>
        <v/>
      </c>
      <c r="R1053" s="3" t="n"/>
      <c r="S1053" s="4" t="n"/>
      <c r="T1053" s="4" t="n"/>
    </row>
    <row r="1054">
      <c r="A1054" s="3" t="n">
        <v>1053</v>
      </c>
      <c r="B1054" s="3" t="inlineStr">
        <is>
          <t>DL005</t>
        </is>
      </c>
      <c r="C1054" s="4" t="inlineStr">
        <is>
          <t>ThinkSafe HCM</t>
        </is>
      </c>
      <c r="D1054" s="3" t="inlineStr">
        <is>
          <t>HCM</t>
        </is>
      </c>
      <c r="E1054" s="3" t="inlineStr">
        <is>
          <t>XUÂN TRANG</t>
        </is>
      </c>
      <c r="F1054" s="3" t="inlineStr">
        <is>
          <t>Shopee, Tiktok</t>
        </is>
      </c>
      <c r="G1054" s="4" t="inlineStr">
        <is>
          <t>SHOPEE: https://shopee.vn/baohothinksafe?uls_trackid=56slrjbp02l6&amp;utm_content=3kGSyWceAz2CP3beojAsTsVsisVR TIKTOK: https://www.tiktok.com/@thinksafevn LAZADA: WEBSITE BÁN HÀNG:</t>
        </is>
      </c>
      <c r="H1054" s="3" t="inlineStr">
        <is>
          <t>KB4x100</t>
        </is>
      </c>
      <c r="I1054" s="4" t="inlineStr">
        <is>
          <t>Vít KingBlue KB4x100</t>
        </is>
      </c>
      <c r="J1054" s="3" t="inlineStr">
        <is>
          <t>Cái</t>
        </is>
      </c>
      <c r="K1054" s="5" t="n">
        <v>11000</v>
      </c>
      <c r="L1054" s="5" t="n">
        <v>14000</v>
      </c>
      <c r="M1054" s="6" t="n">
        <v>18000</v>
      </c>
      <c r="N1054" s="5" t="n"/>
      <c r="O1054" s="5">
        <f>IF(AND(ISNUMBER(N1054),ISNUMBER(M1054)),N1054-M1054,"")</f>
        <v/>
      </c>
      <c r="P1054" s="7">
        <f>IF(AND(ISNUMBER(N1054),ISNUMBER(M1054),M1054&gt;0),(N1054-M1054)/M1054,"")</f>
        <v/>
      </c>
      <c r="Q1054" s="3">
        <f>IF(P1054="","",IF(P1054&lt;-0.02,"🔴 Bán phá giá sàn",IF(P1054&gt;0.05,"🔵 Bán cao hơn","🟢 Đúng giá sàn TMĐT")))</f>
        <v/>
      </c>
      <c r="R1054" s="3" t="n"/>
      <c r="S1054" s="4" t="n"/>
      <c r="T1054" s="4" t="n"/>
    </row>
    <row r="1055">
      <c r="A1055" s="3" t="n">
        <v>1054</v>
      </c>
      <c r="B1055" s="3" t="inlineStr">
        <is>
          <t>DL005</t>
        </is>
      </c>
      <c r="C1055" s="4" t="inlineStr">
        <is>
          <t>ThinkSafe HCM</t>
        </is>
      </c>
      <c r="D1055" s="3" t="inlineStr">
        <is>
          <t>HCM</t>
        </is>
      </c>
      <c r="E1055" s="3" t="inlineStr">
        <is>
          <t>XUÂN TRANG</t>
        </is>
      </c>
      <c r="F1055" s="3" t="inlineStr">
        <is>
          <t>Shopee, Tiktok</t>
        </is>
      </c>
      <c r="G1055" s="4" t="inlineStr">
        <is>
          <t>SHOPEE: https://shopee.vn/baohothinksafe?uls_trackid=56slrjbp02l6&amp;utm_content=3kGSyWceAz2CP3beojAsTsVsisVR TIKTOK: https://www.tiktok.com/@thinksafevn LAZADA: WEBSITE BÁN HÀNG:</t>
        </is>
      </c>
      <c r="H1055" s="3" t="inlineStr">
        <is>
          <t>KB4x65</t>
        </is>
      </c>
      <c r="I1055" s="4" t="inlineStr">
        <is>
          <t>Vít KingBlue KB4x65</t>
        </is>
      </c>
      <c r="J1055" s="3" t="inlineStr">
        <is>
          <t>Cái</t>
        </is>
      </c>
      <c r="K1055" s="5" t="n">
        <v>7500</v>
      </c>
      <c r="L1055" s="5" t="n">
        <v>10000</v>
      </c>
      <c r="M1055" s="6" t="n">
        <v>12500</v>
      </c>
      <c r="N1055" s="5" t="n"/>
      <c r="O1055" s="5">
        <f>IF(AND(ISNUMBER(N1055),ISNUMBER(M1055)),N1055-M1055,"")</f>
        <v/>
      </c>
      <c r="P1055" s="7">
        <f>IF(AND(ISNUMBER(N1055),ISNUMBER(M1055),M1055&gt;0),(N1055-M1055)/M1055,"")</f>
        <v/>
      </c>
      <c r="Q1055" s="3">
        <f>IF(P1055="","",IF(P1055&lt;-0.02,"🔴 Bán phá giá sàn",IF(P1055&gt;0.05,"🔵 Bán cao hơn","🟢 Đúng giá sàn TMĐT")))</f>
        <v/>
      </c>
      <c r="R1055" s="3" t="n"/>
      <c r="S1055" s="4" t="n"/>
      <c r="T1055" s="4" t="n"/>
    </row>
    <row r="1056">
      <c r="A1056" s="3" t="n">
        <v>1055</v>
      </c>
      <c r="B1056" s="3" t="inlineStr">
        <is>
          <t>DL005</t>
        </is>
      </c>
      <c r="C1056" s="4" t="inlineStr">
        <is>
          <t>ThinkSafe HCM</t>
        </is>
      </c>
      <c r="D1056" s="3" t="inlineStr">
        <is>
          <t>HCM</t>
        </is>
      </c>
      <c r="E1056" s="3" t="inlineStr">
        <is>
          <t>XUÂN TRANG</t>
        </is>
      </c>
      <c r="F1056" s="3" t="inlineStr">
        <is>
          <t>Shopee, Tiktok</t>
        </is>
      </c>
      <c r="G1056" s="4" t="inlineStr">
        <is>
          <t>SHOPEE: https://shopee.vn/baohothinksafe?uls_trackid=56slrjbp02l6&amp;utm_content=3kGSyWceAz2CP3beojAsTsVsisVR TIKTOK: https://www.tiktok.com/@thinksafevn LAZADA: WEBSITE BÁN HÀNG:</t>
        </is>
      </c>
      <c r="H1056" s="3" t="inlineStr">
        <is>
          <t>KB4x65S</t>
        </is>
      </c>
      <c r="I1056" s="4" t="inlineStr">
        <is>
          <t>Vít KingBlue KB4x65S</t>
        </is>
      </c>
      <c r="J1056" s="3" t="inlineStr">
        <is>
          <t>Cái</t>
        </is>
      </c>
      <c r="K1056" s="5" t="n">
        <v>11000</v>
      </c>
      <c r="L1056" s="5" t="n">
        <v>14000</v>
      </c>
      <c r="M1056" s="6" t="n">
        <v>18000</v>
      </c>
      <c r="N1056" s="5" t="n"/>
      <c r="O1056" s="5">
        <f>IF(AND(ISNUMBER(N1056),ISNUMBER(M1056)),N1056-M1056,"")</f>
        <v/>
      </c>
      <c r="P1056" s="7">
        <f>IF(AND(ISNUMBER(N1056),ISNUMBER(M1056),M1056&gt;0),(N1056-M1056)/M1056,"")</f>
        <v/>
      </c>
      <c r="Q1056" s="3">
        <f>IF(P1056="","",IF(P1056&lt;-0.02,"🔴 Bán phá giá sàn",IF(P1056&gt;0.05,"🔵 Bán cao hơn","🟢 Đúng giá sàn TMĐT")))</f>
        <v/>
      </c>
      <c r="R1056" s="3" t="n"/>
      <c r="S1056" s="4" t="n"/>
      <c r="T1056" s="4" t="n"/>
    </row>
    <row r="1057">
      <c r="A1057" s="3" t="n">
        <v>1056</v>
      </c>
      <c r="B1057" s="3" t="inlineStr">
        <is>
          <t>DL007</t>
        </is>
      </c>
      <c r="C1057" s="4" t="inlineStr">
        <is>
          <t>CÔNG TY TNHH ĐHT VIỆT NAM - HCM</t>
        </is>
      </c>
      <c r="D1057" s="3" t="inlineStr">
        <is>
          <t>HCM</t>
        </is>
      </c>
      <c r="E1057" s="3" t="inlineStr">
        <is>
          <t>BẢO TRÂM</t>
        </is>
      </c>
      <c r="F1057" s="3" t="inlineStr">
        <is>
          <t>Shopee</t>
        </is>
      </c>
      <c r="G1057" s="4" t="inlineStr">
        <is>
          <t>SHOPEE: https://shopee.vn/lequang_shop?categoryId=100636&amp;entryPoint=ShopByPDP&amp;itemId=48503940317 TIKTOK: LAZADA: WEBSITE BÁN HÀNG:</t>
        </is>
      </c>
      <c r="H1057" s="3" t="inlineStr">
        <is>
          <t>KL-008</t>
        </is>
      </c>
      <c r="I1057" s="4" t="inlineStr">
        <is>
          <t>Bộ lục giác gập KL-008</t>
        </is>
      </c>
      <c r="J1057" s="3" t="inlineStr">
        <is>
          <t>Cái</t>
        </is>
      </c>
      <c r="K1057" s="5" t="n">
        <v>269000</v>
      </c>
      <c r="L1057" s="5" t="n">
        <v>317000</v>
      </c>
      <c r="M1057" s="6" t="n">
        <v>390000</v>
      </c>
      <c r="N1057" s="5" t="n"/>
      <c r="O1057" s="5">
        <f>IF(AND(ISNUMBER(N1057),ISNUMBER(M1057)),N1057-M1057,"")</f>
        <v/>
      </c>
      <c r="P1057" s="7">
        <f>IF(AND(ISNUMBER(N1057),ISNUMBER(M1057),M1057&gt;0),(N1057-M1057)/M1057,"")</f>
        <v/>
      </c>
      <c r="Q1057" s="3">
        <f>IF(P1057="","",IF(P1057&lt;-0.02,"🔴 Bán phá giá sàn",IF(P1057&gt;0.05,"🔵 Bán cao hơn","🟢 Đúng giá sàn TMĐT")))</f>
        <v/>
      </c>
      <c r="R1057" s="3" t="n"/>
      <c r="S1057" s="4" t="n"/>
      <c r="T1057" s="4" t="n"/>
    </row>
    <row r="1058">
      <c r="A1058" s="3" t="n">
        <v>1057</v>
      </c>
      <c r="B1058" s="3" t="inlineStr">
        <is>
          <t>DL007</t>
        </is>
      </c>
      <c r="C1058" s="4" t="inlineStr">
        <is>
          <t>CÔNG TY TNHH ĐHT VIỆT NAM - HCM</t>
        </is>
      </c>
      <c r="D1058" s="3" t="inlineStr">
        <is>
          <t>HCM</t>
        </is>
      </c>
      <c r="E1058" s="3" t="inlineStr">
        <is>
          <t>BẢO TRÂM</t>
        </is>
      </c>
      <c r="F1058" s="3" t="inlineStr">
        <is>
          <t>Shopee</t>
        </is>
      </c>
      <c r="G1058" s="4" t="inlineStr">
        <is>
          <t>SHOPEE: https://shopee.vn/lequang_shop?categoryId=100636&amp;entryPoint=ShopByPDP&amp;itemId=48503940317 TIKTOK: LAZADA: WEBSITE BÁN HÀNG:</t>
        </is>
      </c>
      <c r="H1058" s="3" t="inlineStr">
        <is>
          <t>V100S</t>
        </is>
      </c>
      <c r="I1058" s="4" t="inlineStr">
        <is>
          <t>Mũi bắn vít PH2 V100S</t>
        </is>
      </c>
      <c r="J1058" s="3" t="inlineStr">
        <is>
          <t>Vỉ</t>
        </is>
      </c>
      <c r="K1058" s="5" t="n">
        <v>44000</v>
      </c>
      <c r="L1058" s="5" t="n">
        <v>56000</v>
      </c>
      <c r="M1058" s="6" t="n">
        <v>73000</v>
      </c>
      <c r="N1058" s="5" t="n"/>
      <c r="O1058" s="5">
        <f>IF(AND(ISNUMBER(N1058),ISNUMBER(M1058)),N1058-M1058,"")</f>
        <v/>
      </c>
      <c r="P1058" s="7">
        <f>IF(AND(ISNUMBER(N1058),ISNUMBER(M1058),M1058&gt;0),(N1058-M1058)/M1058,"")</f>
        <v/>
      </c>
      <c r="Q1058" s="3">
        <f>IF(P1058="","",IF(P1058&lt;-0.02,"🔴 Bán phá giá sàn",IF(P1058&gt;0.05,"🔵 Bán cao hơn","🟢 Đúng giá sàn TMĐT")))</f>
        <v/>
      </c>
      <c r="R1058" s="3" t="n"/>
      <c r="S1058" s="4" t="n"/>
      <c r="T1058" s="4" t="n"/>
    </row>
    <row r="1059">
      <c r="A1059" s="3" t="n">
        <v>1058</v>
      </c>
      <c r="B1059" s="3" t="inlineStr">
        <is>
          <t>DL007</t>
        </is>
      </c>
      <c r="C1059" s="4" t="inlineStr">
        <is>
          <t>CÔNG TY TNHH ĐHT VIỆT NAM - HCM</t>
        </is>
      </c>
      <c r="D1059" s="3" t="inlineStr">
        <is>
          <t>HCM</t>
        </is>
      </c>
      <c r="E1059" s="3" t="inlineStr">
        <is>
          <t>BẢO TRÂM</t>
        </is>
      </c>
      <c r="F1059" s="3" t="inlineStr">
        <is>
          <t>Shopee</t>
        </is>
      </c>
      <c r="G1059" s="4" t="inlineStr">
        <is>
          <t>SHOPEE: https://shopee.vn/lequang_shop?categoryId=100636&amp;entryPoint=ShopByPDP&amp;itemId=48503940317 TIKTOK: LAZADA: WEBSITE BÁN HÀNG:</t>
        </is>
      </c>
      <c r="H1059" s="3" t="inlineStr">
        <is>
          <t>V150S</t>
        </is>
      </c>
      <c r="I1059" s="4" t="inlineStr">
        <is>
          <t>Mũi bắn vít PH2 V150S</t>
        </is>
      </c>
      <c r="J1059" s="3" t="inlineStr">
        <is>
          <t>Vỉ</t>
        </is>
      </c>
      <c r="K1059" s="5" t="n">
        <v>54000</v>
      </c>
      <c r="L1059" s="5" t="n">
        <v>68000</v>
      </c>
      <c r="M1059" s="6" t="n">
        <v>89000</v>
      </c>
      <c r="N1059" s="5" t="n"/>
      <c r="O1059" s="5">
        <f>IF(AND(ISNUMBER(N1059),ISNUMBER(M1059)),N1059-M1059,"")</f>
        <v/>
      </c>
      <c r="P1059" s="7">
        <f>IF(AND(ISNUMBER(N1059),ISNUMBER(M1059),M1059&gt;0),(N1059-M1059)/M1059,"")</f>
        <v/>
      </c>
      <c r="Q1059" s="3">
        <f>IF(P1059="","",IF(P1059&lt;-0.02,"🔴 Bán phá giá sàn",IF(P1059&gt;0.05,"🔵 Bán cao hơn","🟢 Đúng giá sàn TMĐT")))</f>
        <v/>
      </c>
      <c r="R1059" s="3" t="n"/>
      <c r="S1059" s="4" t="n"/>
      <c r="T1059" s="4" t="n"/>
    </row>
    <row r="1060">
      <c r="A1060" s="3" t="n">
        <v>1059</v>
      </c>
      <c r="B1060" s="3" t="inlineStr">
        <is>
          <t>DL007</t>
        </is>
      </c>
      <c r="C1060" s="4" t="inlineStr">
        <is>
          <t>CÔNG TY TNHH ĐHT VIỆT NAM - HCM</t>
        </is>
      </c>
      <c r="D1060" s="3" t="inlineStr">
        <is>
          <t>HCM</t>
        </is>
      </c>
      <c r="E1060" s="3" t="inlineStr">
        <is>
          <t>BẢO TRÂM</t>
        </is>
      </c>
      <c r="F1060" s="3" t="inlineStr">
        <is>
          <t>Shopee</t>
        </is>
      </c>
      <c r="G1060" s="4" t="inlineStr">
        <is>
          <t>SHOPEE: https://shopee.vn/lequang_shop?categoryId=100636&amp;entryPoint=ShopByPDP&amp;itemId=48503940317 TIKTOK: LAZADA: WEBSITE BÁN HÀNG:</t>
        </is>
      </c>
      <c r="H1060" s="3" t="inlineStr">
        <is>
          <t>V50S</t>
        </is>
      </c>
      <c r="I1060" s="4" t="inlineStr">
        <is>
          <t>Mũi bắn vít PH2 V50S</t>
        </is>
      </c>
      <c r="J1060" s="3" t="inlineStr">
        <is>
          <t>Vỉ</t>
        </is>
      </c>
      <c r="K1060" s="5" t="n">
        <v>28000</v>
      </c>
      <c r="L1060" s="5" t="n">
        <v>36000</v>
      </c>
      <c r="M1060" s="6" t="n">
        <v>48000</v>
      </c>
      <c r="N1060" s="5" t="n"/>
      <c r="O1060" s="5">
        <f>IF(AND(ISNUMBER(N1060),ISNUMBER(M1060)),N1060-M1060,"")</f>
        <v/>
      </c>
      <c r="P1060" s="7">
        <f>IF(AND(ISNUMBER(N1060),ISNUMBER(M1060),M1060&gt;0),(N1060-M1060)/M1060,"")</f>
        <v/>
      </c>
      <c r="Q1060" s="3">
        <f>IF(P1060="","",IF(P1060&lt;-0.02,"🔴 Bán phá giá sàn",IF(P1060&gt;0.05,"🔵 Bán cao hơn","🟢 Đúng giá sàn TMĐT")))</f>
        <v/>
      </c>
      <c r="R1060" s="3" t="n"/>
      <c r="S1060" s="4" t="n"/>
      <c r="T1060" s="4" t="n"/>
    </row>
    <row r="1061">
      <c r="A1061" s="3" t="n">
        <v>1060</v>
      </c>
      <c r="B1061" s="3" t="inlineStr">
        <is>
          <t>DL007</t>
        </is>
      </c>
      <c r="C1061" s="4" t="inlineStr">
        <is>
          <t>CÔNG TY TNHH ĐHT VIỆT NAM - HCM</t>
        </is>
      </c>
      <c r="D1061" s="3" t="inlineStr">
        <is>
          <t>HCM</t>
        </is>
      </c>
      <c r="E1061" s="3" t="inlineStr">
        <is>
          <t>BẢO TRÂM</t>
        </is>
      </c>
      <c r="F1061" s="3" t="inlineStr">
        <is>
          <t>Shopee</t>
        </is>
      </c>
      <c r="G1061" s="4" t="inlineStr">
        <is>
          <t>SHOPEE: https://shopee.vn/lequang_shop?categoryId=100636&amp;entryPoint=ShopByPDP&amp;itemId=48503940317 TIKTOK: LAZADA: WEBSITE BÁN HÀNG:</t>
        </is>
      </c>
      <c r="H1061" s="3" t="inlineStr">
        <is>
          <t>V65S</t>
        </is>
      </c>
      <c r="I1061" s="4" t="inlineStr">
        <is>
          <t>Mũi bắn vít PH2 V65S</t>
        </is>
      </c>
      <c r="J1061" s="3" t="inlineStr">
        <is>
          <t>Vỉ</t>
        </is>
      </c>
      <c r="K1061" s="5" t="n">
        <v>30000</v>
      </c>
      <c r="L1061" s="5" t="n">
        <v>38000</v>
      </c>
      <c r="M1061" s="6" t="n">
        <v>50000</v>
      </c>
      <c r="N1061" s="5" t="n"/>
      <c r="O1061" s="5">
        <f>IF(AND(ISNUMBER(N1061),ISNUMBER(M1061)),N1061-M1061,"")</f>
        <v/>
      </c>
      <c r="P1061" s="7">
        <f>IF(AND(ISNUMBER(N1061),ISNUMBER(M1061),M1061&gt;0),(N1061-M1061)/M1061,"")</f>
        <v/>
      </c>
      <c r="Q1061" s="3">
        <f>IF(P1061="","",IF(P1061&lt;-0.02,"🔴 Bán phá giá sàn",IF(P1061&gt;0.05,"🔵 Bán cao hơn","🟢 Đúng giá sàn TMĐT")))</f>
        <v/>
      </c>
      <c r="R1061" s="3" t="n"/>
      <c r="S1061" s="4" t="n"/>
      <c r="T1061" s="4" t="n"/>
    </row>
    <row r="1062">
      <c r="A1062" s="3" t="n">
        <v>1061</v>
      </c>
      <c r="B1062" s="3" t="inlineStr">
        <is>
          <t>DL007</t>
        </is>
      </c>
      <c r="C1062" s="4" t="inlineStr">
        <is>
          <t>CÔNG TY TNHH ĐHT VIỆT NAM - HCM</t>
        </is>
      </c>
      <c r="D1062" s="3" t="inlineStr">
        <is>
          <t>HCM</t>
        </is>
      </c>
      <c r="E1062" s="3" t="inlineStr">
        <is>
          <t>BẢO TRÂM</t>
        </is>
      </c>
      <c r="F1062" s="3" t="inlineStr">
        <is>
          <t>Shopee</t>
        </is>
      </c>
      <c r="G1062" s="4" t="inlineStr">
        <is>
          <t>SHOPEE: https://shopee.vn/lequang_shop?categoryId=100636&amp;entryPoint=ShopByPDP&amp;itemId=48503940317 TIKTOK: LAZADA: WEBSITE BÁN HÀNG:</t>
        </is>
      </c>
      <c r="H1062" s="3" t="inlineStr">
        <is>
          <t>KBH2F-0395</t>
        </is>
      </c>
      <c r="I1062" s="4" t="inlineStr">
        <is>
          <t>Mũi khoan ĐN lục giác 2 cạnh KBH2F-03*95</t>
        </is>
      </c>
      <c r="J1062" s="3" t="inlineStr">
        <is>
          <t>Cái</t>
        </is>
      </c>
      <c r="K1062" s="5" t="n">
        <v>26000</v>
      </c>
      <c r="L1062" s="5" t="n">
        <v>32000</v>
      </c>
      <c r="M1062" s="6" t="n">
        <v>42000</v>
      </c>
      <c r="N1062" s="5" t="n"/>
      <c r="O1062" s="5">
        <f>IF(AND(ISNUMBER(N1062),ISNUMBER(M1062)),N1062-M1062,"")</f>
        <v/>
      </c>
      <c r="P1062" s="7">
        <f>IF(AND(ISNUMBER(N1062),ISNUMBER(M1062),M1062&gt;0),(N1062-M1062)/M1062,"")</f>
        <v/>
      </c>
      <c r="Q1062" s="3">
        <f>IF(P1062="","",IF(P1062&lt;-0.02,"🔴 Bán phá giá sàn",IF(P1062&gt;0.05,"🔵 Bán cao hơn","🟢 Đúng giá sàn TMĐT")))</f>
        <v/>
      </c>
      <c r="R1062" s="3" t="n"/>
      <c r="S1062" s="4" t="n"/>
      <c r="T1062" s="4" t="n"/>
    </row>
    <row r="1063">
      <c r="A1063" s="3" t="n">
        <v>1062</v>
      </c>
      <c r="B1063" s="3" t="inlineStr">
        <is>
          <t>DL007</t>
        </is>
      </c>
      <c r="C1063" s="4" t="inlineStr">
        <is>
          <t>CÔNG TY TNHH ĐHT VIỆT NAM - HCM</t>
        </is>
      </c>
      <c r="D1063" s="3" t="inlineStr">
        <is>
          <t>HCM</t>
        </is>
      </c>
      <c r="E1063" s="3" t="inlineStr">
        <is>
          <t>BẢO TRÂM</t>
        </is>
      </c>
      <c r="F1063" s="3" t="inlineStr">
        <is>
          <t>Shopee</t>
        </is>
      </c>
      <c r="G1063" s="4" t="inlineStr">
        <is>
          <t>SHOPEE: https://shopee.vn/lequang_shop?categoryId=100636&amp;entryPoint=ShopByPDP&amp;itemId=48503940317 TIKTOK: LAZADA: WEBSITE BÁN HÀNG:</t>
        </is>
      </c>
      <c r="H1063" s="3" t="inlineStr">
        <is>
          <t>KBH2F-0495</t>
        </is>
      </c>
      <c r="I1063" s="4" t="inlineStr">
        <is>
          <t>Mũi khoan ĐN lục giác 2 cạnh KBH2F-04*95</t>
        </is>
      </c>
      <c r="J1063" s="3" t="inlineStr">
        <is>
          <t>Cái</t>
        </is>
      </c>
      <c r="K1063" s="5" t="n">
        <v>26000</v>
      </c>
      <c r="L1063" s="5" t="n">
        <v>32000</v>
      </c>
      <c r="M1063" s="6" t="n">
        <v>42000</v>
      </c>
      <c r="N1063" s="5" t="n"/>
      <c r="O1063" s="5">
        <f>IF(AND(ISNUMBER(N1063),ISNUMBER(M1063)),N1063-M1063,"")</f>
        <v/>
      </c>
      <c r="P1063" s="7">
        <f>IF(AND(ISNUMBER(N1063),ISNUMBER(M1063),M1063&gt;0),(N1063-M1063)/M1063,"")</f>
        <v/>
      </c>
      <c r="Q1063" s="3">
        <f>IF(P1063="","",IF(P1063&lt;-0.02,"🔴 Bán phá giá sàn",IF(P1063&gt;0.05,"🔵 Bán cao hơn","🟢 Đúng giá sàn TMĐT")))</f>
        <v/>
      </c>
      <c r="R1063" s="3" t="n"/>
      <c r="S1063" s="4" t="n"/>
      <c r="T1063" s="4" t="n"/>
    </row>
    <row r="1064">
      <c r="A1064" s="3" t="n">
        <v>1063</v>
      </c>
      <c r="B1064" s="3" t="inlineStr">
        <is>
          <t>DL007</t>
        </is>
      </c>
      <c r="C1064" s="4" t="inlineStr">
        <is>
          <t>CÔNG TY TNHH ĐHT VIỆT NAM - HCM</t>
        </is>
      </c>
      <c r="D1064" s="3" t="inlineStr">
        <is>
          <t>HCM</t>
        </is>
      </c>
      <c r="E1064" s="3" t="inlineStr">
        <is>
          <t>BẢO TRÂM</t>
        </is>
      </c>
      <c r="F1064" s="3" t="inlineStr">
        <is>
          <t>Shopee</t>
        </is>
      </c>
      <c r="G1064" s="4" t="inlineStr">
        <is>
          <t>SHOPEE: https://shopee.vn/lequang_shop?categoryId=100636&amp;entryPoint=ShopByPDP&amp;itemId=48503940317 TIKTOK: LAZADA: WEBSITE BÁN HÀNG:</t>
        </is>
      </c>
      <c r="H1064" s="3" t="inlineStr">
        <is>
          <t>KBH2F-0595</t>
        </is>
      </c>
      <c r="I1064" s="4" t="inlineStr">
        <is>
          <t>Mũi khoan ĐN lục giác 2 cạnh KBH2F-05*95</t>
        </is>
      </c>
      <c r="J1064" s="3" t="inlineStr">
        <is>
          <t>Cái</t>
        </is>
      </c>
      <c r="K1064" s="5" t="n">
        <v>26000</v>
      </c>
      <c r="L1064" s="5" t="n">
        <v>32000</v>
      </c>
      <c r="M1064" s="6" t="n">
        <v>42000</v>
      </c>
      <c r="N1064" s="5" t="n"/>
      <c r="O1064" s="5">
        <f>IF(AND(ISNUMBER(N1064),ISNUMBER(M1064)),N1064-M1064,"")</f>
        <v/>
      </c>
      <c r="P1064" s="7">
        <f>IF(AND(ISNUMBER(N1064),ISNUMBER(M1064),M1064&gt;0),(N1064-M1064)/M1064,"")</f>
        <v/>
      </c>
      <c r="Q1064" s="3">
        <f>IF(P1064="","",IF(P1064&lt;-0.02,"🔴 Bán phá giá sàn",IF(P1064&gt;0.05,"🔵 Bán cao hơn","🟢 Đúng giá sàn TMĐT")))</f>
        <v/>
      </c>
      <c r="R1064" s="3" t="n"/>
      <c r="S1064" s="4" t="n"/>
      <c r="T1064" s="4" t="n"/>
    </row>
    <row r="1065">
      <c r="A1065" s="3" t="n">
        <v>1064</v>
      </c>
      <c r="B1065" s="3" t="inlineStr">
        <is>
          <t>DL007</t>
        </is>
      </c>
      <c r="C1065" s="4" t="inlineStr">
        <is>
          <t>CÔNG TY TNHH ĐHT VIỆT NAM - HCM</t>
        </is>
      </c>
      <c r="D1065" s="3" t="inlineStr">
        <is>
          <t>HCM</t>
        </is>
      </c>
      <c r="E1065" s="3" t="inlineStr">
        <is>
          <t>BẢO TRÂM</t>
        </is>
      </c>
      <c r="F1065" s="3" t="inlineStr">
        <is>
          <t>Shopee</t>
        </is>
      </c>
      <c r="G1065" s="4" t="inlineStr">
        <is>
          <t>SHOPEE: https://shopee.vn/lequang_shop?categoryId=100636&amp;entryPoint=ShopByPDP&amp;itemId=48503940317 TIKTOK: LAZADA: WEBSITE BÁN HÀNG:</t>
        </is>
      </c>
      <c r="H1065" s="3" t="inlineStr">
        <is>
          <t>KBH2F-0695</t>
        </is>
      </c>
      <c r="I1065" s="4" t="inlineStr">
        <is>
          <t>Mũi khoan ĐN lục giác 2 cạnh KBH2F-06*95</t>
        </is>
      </c>
      <c r="J1065" s="3" t="inlineStr">
        <is>
          <t>Cái</t>
        </is>
      </c>
      <c r="K1065" s="5" t="n">
        <v>26000</v>
      </c>
      <c r="L1065" s="5" t="n">
        <v>32000</v>
      </c>
      <c r="M1065" s="6" t="n">
        <v>42000</v>
      </c>
      <c r="N1065" s="5" t="n"/>
      <c r="O1065" s="5">
        <f>IF(AND(ISNUMBER(N1065),ISNUMBER(M1065)),N1065-M1065,"")</f>
        <v/>
      </c>
      <c r="P1065" s="7">
        <f>IF(AND(ISNUMBER(N1065),ISNUMBER(M1065),M1065&gt;0),(N1065-M1065)/M1065,"")</f>
        <v/>
      </c>
      <c r="Q1065" s="3">
        <f>IF(P1065="","",IF(P1065&lt;-0.02,"🔴 Bán phá giá sàn",IF(P1065&gt;0.05,"🔵 Bán cao hơn","🟢 Đúng giá sàn TMĐT")))</f>
        <v/>
      </c>
      <c r="R1065" s="3" t="n"/>
      <c r="S1065" s="4" t="n"/>
      <c r="T1065" s="4" t="n"/>
    </row>
    <row r="1066">
      <c r="A1066" s="3" t="n">
        <v>1065</v>
      </c>
      <c r="B1066" s="3" t="inlineStr">
        <is>
          <t>DL007</t>
        </is>
      </c>
      <c r="C1066" s="4" t="inlineStr">
        <is>
          <t>CÔNG TY TNHH ĐHT VIỆT NAM - HCM</t>
        </is>
      </c>
      <c r="D1066" s="3" t="inlineStr">
        <is>
          <t>HCM</t>
        </is>
      </c>
      <c r="E1066" s="3" t="inlineStr">
        <is>
          <t>BẢO TRÂM</t>
        </is>
      </c>
      <c r="F1066" s="3" t="inlineStr">
        <is>
          <t>Shopee</t>
        </is>
      </c>
      <c r="G1066" s="4" t="inlineStr">
        <is>
          <t>SHOPEE: https://shopee.vn/lequang_shop?categoryId=100636&amp;entryPoint=ShopByPDP&amp;itemId=48503940317 TIKTOK: LAZADA: WEBSITE BÁN HÀNG:</t>
        </is>
      </c>
      <c r="H1066" s="3" t="inlineStr">
        <is>
          <t>KBH2F-0895</t>
        </is>
      </c>
      <c r="I1066" s="4" t="inlineStr">
        <is>
          <t>Mũi khoan ĐN lục giác 2 cạnh KBH2F-08*95</t>
        </is>
      </c>
      <c r="J1066" s="3" t="inlineStr">
        <is>
          <t>Cái</t>
        </is>
      </c>
      <c r="K1066" s="5" t="n">
        <v>33000</v>
      </c>
      <c r="L1066" s="5" t="n">
        <v>41000</v>
      </c>
      <c r="M1066" s="6" t="n">
        <v>53000</v>
      </c>
      <c r="N1066" s="5" t="n"/>
      <c r="O1066" s="5">
        <f>IF(AND(ISNUMBER(N1066),ISNUMBER(M1066)),N1066-M1066,"")</f>
        <v/>
      </c>
      <c r="P1066" s="7">
        <f>IF(AND(ISNUMBER(N1066),ISNUMBER(M1066),M1066&gt;0),(N1066-M1066)/M1066,"")</f>
        <v/>
      </c>
      <c r="Q1066" s="3">
        <f>IF(P1066="","",IF(P1066&lt;-0.02,"🔴 Bán phá giá sàn",IF(P1066&gt;0.05,"🔵 Bán cao hơn","🟢 Đúng giá sàn TMĐT")))</f>
        <v/>
      </c>
      <c r="R1066" s="3" t="n"/>
      <c r="S1066" s="4" t="n"/>
      <c r="T1066" s="4" t="n"/>
    </row>
    <row r="1067">
      <c r="A1067" s="3" t="n">
        <v>1066</v>
      </c>
      <c r="B1067" s="3" t="inlineStr">
        <is>
          <t>DL007</t>
        </is>
      </c>
      <c r="C1067" s="4" t="inlineStr">
        <is>
          <t>CÔNG TY TNHH ĐHT VIỆT NAM - HCM</t>
        </is>
      </c>
      <c r="D1067" s="3" t="inlineStr">
        <is>
          <t>HCM</t>
        </is>
      </c>
      <c r="E1067" s="3" t="inlineStr">
        <is>
          <t>BẢO TRÂM</t>
        </is>
      </c>
      <c r="F1067" s="3" t="inlineStr">
        <is>
          <t>Shopee</t>
        </is>
      </c>
      <c r="G1067" s="4" t="inlineStr">
        <is>
          <t>SHOPEE: https://shopee.vn/lequang_shop?categoryId=100636&amp;entryPoint=ShopByPDP&amp;itemId=48503940317 TIKTOK: LAZADA: WEBSITE BÁN HÀNG:</t>
        </is>
      </c>
      <c r="H1067" s="3" t="inlineStr">
        <is>
          <t>KBH2F-1095</t>
        </is>
      </c>
      <c r="I1067" s="4" t="inlineStr">
        <is>
          <t>Mũi khoan ĐN lục giác 2 cạnh KBH2F-10*95</t>
        </is>
      </c>
      <c r="J1067" s="3" t="inlineStr">
        <is>
          <t>Cái</t>
        </is>
      </c>
      <c r="K1067" s="5" t="n">
        <v>42000</v>
      </c>
      <c r="L1067" s="5" t="n">
        <v>52000</v>
      </c>
      <c r="M1067" s="6" t="n">
        <v>67000</v>
      </c>
      <c r="N1067" s="5" t="n"/>
      <c r="O1067" s="5">
        <f>IF(AND(ISNUMBER(N1067),ISNUMBER(M1067)),N1067-M1067,"")</f>
        <v/>
      </c>
      <c r="P1067" s="7">
        <f>IF(AND(ISNUMBER(N1067),ISNUMBER(M1067),M1067&gt;0),(N1067-M1067)/M1067,"")</f>
        <v/>
      </c>
      <c r="Q1067" s="3">
        <f>IF(P1067="","",IF(P1067&lt;-0.02,"🔴 Bán phá giá sàn",IF(P1067&gt;0.05,"🔵 Bán cao hơn","🟢 Đúng giá sàn TMĐT")))</f>
        <v/>
      </c>
      <c r="R1067" s="3" t="n"/>
      <c r="S1067" s="4" t="n"/>
      <c r="T1067" s="4" t="n"/>
    </row>
    <row r="1068">
      <c r="A1068" s="3" t="n">
        <v>1067</v>
      </c>
      <c r="B1068" s="3" t="inlineStr">
        <is>
          <t>DL007</t>
        </is>
      </c>
      <c r="C1068" s="4" t="inlineStr">
        <is>
          <t>CÔNG TY TNHH ĐHT VIỆT NAM - HCM</t>
        </is>
      </c>
      <c r="D1068" s="3" t="inlineStr">
        <is>
          <t>HCM</t>
        </is>
      </c>
      <c r="E1068" s="3" t="inlineStr">
        <is>
          <t>BẢO TRÂM</t>
        </is>
      </c>
      <c r="F1068" s="3" t="inlineStr">
        <is>
          <t>Shopee</t>
        </is>
      </c>
      <c r="G1068" s="4" t="inlineStr">
        <is>
          <t>SHOPEE: https://shopee.vn/lequang_shop?categoryId=100636&amp;entryPoint=ShopByPDP&amp;itemId=48503940317 TIKTOK: LAZADA: WEBSITE BÁN HÀNG:</t>
        </is>
      </c>
      <c r="H1068" s="3" t="inlineStr">
        <is>
          <t>KBH2F-1295</t>
        </is>
      </c>
      <c r="I1068" s="4" t="inlineStr">
        <is>
          <t>Mũi khoan ĐN lục giác 2 cạnh KBH2F-12*95</t>
        </is>
      </c>
      <c r="J1068" s="3" t="inlineStr">
        <is>
          <t>Cái</t>
        </is>
      </c>
      <c r="K1068" s="5" t="n">
        <v>53000</v>
      </c>
      <c r="L1068" s="5" t="n">
        <v>66000</v>
      </c>
      <c r="M1068" s="6" t="n">
        <v>85000</v>
      </c>
      <c r="N1068" s="5" t="n"/>
      <c r="O1068" s="5">
        <f>IF(AND(ISNUMBER(N1068),ISNUMBER(M1068)),N1068-M1068,"")</f>
        <v/>
      </c>
      <c r="P1068" s="7">
        <f>IF(AND(ISNUMBER(N1068),ISNUMBER(M1068),M1068&gt;0),(N1068-M1068)/M1068,"")</f>
        <v/>
      </c>
      <c r="Q1068" s="3">
        <f>IF(P1068="","",IF(P1068&lt;-0.02,"🔴 Bán phá giá sàn",IF(P1068&gt;0.05,"🔵 Bán cao hơn","🟢 Đúng giá sàn TMĐT")))</f>
        <v/>
      </c>
      <c r="R1068" s="3" t="n"/>
      <c r="S1068" s="4" t="n"/>
      <c r="T1068" s="4" t="n"/>
    </row>
    <row r="1069">
      <c r="A1069" s="3" t="n">
        <v>1068</v>
      </c>
      <c r="B1069" s="3" t="inlineStr">
        <is>
          <t>DL007</t>
        </is>
      </c>
      <c r="C1069" s="4" t="inlineStr">
        <is>
          <t>CÔNG TY TNHH ĐHT VIỆT NAM - HCM</t>
        </is>
      </c>
      <c r="D1069" s="3" t="inlineStr">
        <is>
          <t>HCM</t>
        </is>
      </c>
      <c r="E1069" s="3" t="inlineStr">
        <is>
          <t>BẢO TRÂM</t>
        </is>
      </c>
      <c r="F1069" s="3" t="inlineStr">
        <is>
          <t>Shopee</t>
        </is>
      </c>
      <c r="G1069" s="4" t="inlineStr">
        <is>
          <t>SHOPEE: https://shopee.vn/lequang_shop?categoryId=100636&amp;entryPoint=ShopByPDP&amp;itemId=48503940317 TIKTOK: LAZADA: WEBSITE BÁN HÀNG:</t>
        </is>
      </c>
      <c r="H1069" s="3" t="inlineStr">
        <is>
          <t>KBH4S-06100</t>
        </is>
      </c>
      <c r="I1069" s="4" t="inlineStr">
        <is>
          <t>Mũi khoan ĐN lục giác 4 cạnh KBH4S-06*100</t>
        </is>
      </c>
      <c r="J1069" s="3" t="inlineStr">
        <is>
          <t>Cái</t>
        </is>
      </c>
      <c r="K1069" s="5" t="n">
        <v>41000</v>
      </c>
      <c r="L1069" s="5" t="n">
        <v>51000</v>
      </c>
      <c r="M1069" s="6" t="n">
        <v>65000</v>
      </c>
      <c r="N1069" s="5" t="n"/>
      <c r="O1069" s="5">
        <f>IF(AND(ISNUMBER(N1069),ISNUMBER(M1069)),N1069-M1069,"")</f>
        <v/>
      </c>
      <c r="P1069" s="7">
        <f>IF(AND(ISNUMBER(N1069),ISNUMBER(M1069),M1069&gt;0),(N1069-M1069)/M1069,"")</f>
        <v/>
      </c>
      <c r="Q1069" s="3">
        <f>IF(P1069="","",IF(P1069&lt;-0.02,"🔴 Bán phá giá sàn",IF(P1069&gt;0.05,"🔵 Bán cao hơn","🟢 Đúng giá sàn TMĐT")))</f>
        <v/>
      </c>
      <c r="R1069" s="3" t="n"/>
      <c r="S1069" s="4" t="n"/>
      <c r="T1069" s="4" t="n"/>
    </row>
    <row r="1070">
      <c r="A1070" s="3" t="n">
        <v>1069</v>
      </c>
      <c r="B1070" s="3" t="inlineStr">
        <is>
          <t>DL007</t>
        </is>
      </c>
      <c r="C1070" s="4" t="inlineStr">
        <is>
          <t>CÔNG TY TNHH ĐHT VIỆT NAM - HCM</t>
        </is>
      </c>
      <c r="D1070" s="3" t="inlineStr">
        <is>
          <t>HCM</t>
        </is>
      </c>
      <c r="E1070" s="3" t="inlineStr">
        <is>
          <t>BẢO TRÂM</t>
        </is>
      </c>
      <c r="F1070" s="3" t="inlineStr">
        <is>
          <t>Shopee</t>
        </is>
      </c>
      <c r="G1070" s="4" t="inlineStr">
        <is>
          <t>SHOPEE: https://shopee.vn/lequang_shop?categoryId=100636&amp;entryPoint=ShopByPDP&amp;itemId=48503940317 TIKTOK: LAZADA: WEBSITE BÁN HÀNG:</t>
        </is>
      </c>
      <c r="H1070" s="3" t="inlineStr">
        <is>
          <t>KBH4S-08117</t>
        </is>
      </c>
      <c r="I1070" s="4" t="inlineStr">
        <is>
          <t>Mũi khoan ĐN lục giác 4 cạnh KBH4S-08*117</t>
        </is>
      </c>
      <c r="J1070" s="3" t="inlineStr">
        <is>
          <t>Cái</t>
        </is>
      </c>
      <c r="K1070" s="5" t="n">
        <v>32000</v>
      </c>
      <c r="L1070" s="5" t="n">
        <v>40000</v>
      </c>
      <c r="M1070" s="6" t="n">
        <v>51000</v>
      </c>
      <c r="N1070" s="5" t="n"/>
      <c r="O1070" s="5">
        <f>IF(AND(ISNUMBER(N1070),ISNUMBER(M1070)),N1070-M1070,"")</f>
        <v/>
      </c>
      <c r="P1070" s="7">
        <f>IF(AND(ISNUMBER(N1070),ISNUMBER(M1070),M1070&gt;0),(N1070-M1070)/M1070,"")</f>
        <v/>
      </c>
      <c r="Q1070" s="3">
        <f>IF(P1070="","",IF(P1070&lt;-0.02,"🔴 Bán phá giá sàn",IF(P1070&gt;0.05,"🔵 Bán cao hơn","🟢 Đúng giá sàn TMĐT")))</f>
        <v/>
      </c>
      <c r="R1070" s="3" t="n"/>
      <c r="S1070" s="4" t="n"/>
      <c r="T1070" s="4" t="n"/>
    </row>
    <row r="1071">
      <c r="A1071" s="3" t="n">
        <v>1070</v>
      </c>
      <c r="B1071" s="3" t="inlineStr">
        <is>
          <t>DL007</t>
        </is>
      </c>
      <c r="C1071" s="4" t="inlineStr">
        <is>
          <t>CÔNG TY TNHH ĐHT VIỆT NAM - HCM</t>
        </is>
      </c>
      <c r="D1071" s="3" t="inlineStr">
        <is>
          <t>HCM</t>
        </is>
      </c>
      <c r="E1071" s="3" t="inlineStr">
        <is>
          <t>BẢO TRÂM</t>
        </is>
      </c>
      <c r="F1071" s="3" t="inlineStr">
        <is>
          <t>Shopee</t>
        </is>
      </c>
      <c r="G1071" s="4" t="inlineStr">
        <is>
          <t>SHOPEE: https://shopee.vn/lequang_shop?categoryId=100636&amp;entryPoint=ShopByPDP&amp;itemId=48503940317 TIKTOK: LAZADA: WEBSITE BÁN HÀNG:</t>
        </is>
      </c>
      <c r="H1071" s="3" t="inlineStr">
        <is>
          <t>KBH4S-10123</t>
        </is>
      </c>
      <c r="I1071" s="4" t="inlineStr">
        <is>
          <t>Mũi khoan ĐN lục giác 4 cạnh KBH4S-10*123</t>
        </is>
      </c>
      <c r="J1071" s="3" t="inlineStr">
        <is>
          <t>Cái</t>
        </is>
      </c>
      <c r="K1071" s="5" t="n">
        <v>40000</v>
      </c>
      <c r="L1071" s="5" t="n">
        <v>50000</v>
      </c>
      <c r="M1071" s="6" t="n">
        <v>64000</v>
      </c>
      <c r="N1071" s="5" t="n"/>
      <c r="O1071" s="5">
        <f>IF(AND(ISNUMBER(N1071),ISNUMBER(M1071)),N1071-M1071,"")</f>
        <v/>
      </c>
      <c r="P1071" s="7">
        <f>IF(AND(ISNUMBER(N1071),ISNUMBER(M1071),M1071&gt;0),(N1071-M1071)/M1071,"")</f>
        <v/>
      </c>
      <c r="Q1071" s="3">
        <f>IF(P1071="","",IF(P1071&lt;-0.02,"🔴 Bán phá giá sàn",IF(P1071&gt;0.05,"🔵 Bán cao hơn","🟢 Đúng giá sàn TMĐT")))</f>
        <v/>
      </c>
      <c r="R1071" s="3" t="n"/>
      <c r="S1071" s="4" t="n"/>
      <c r="T1071" s="4" t="n"/>
    </row>
    <row r="1072">
      <c r="A1072" s="3" t="n">
        <v>1071</v>
      </c>
      <c r="B1072" s="3" t="inlineStr">
        <is>
          <t>DL007</t>
        </is>
      </c>
      <c r="C1072" s="4" t="inlineStr">
        <is>
          <t>CÔNG TY TNHH ĐHT VIỆT NAM - HCM</t>
        </is>
      </c>
      <c r="D1072" s="3" t="inlineStr">
        <is>
          <t>HCM</t>
        </is>
      </c>
      <c r="E1072" s="3" t="inlineStr">
        <is>
          <t>BẢO TRÂM</t>
        </is>
      </c>
      <c r="F1072" s="3" t="inlineStr">
        <is>
          <t>Shopee</t>
        </is>
      </c>
      <c r="G1072" s="4" t="inlineStr">
        <is>
          <t>SHOPEE: https://shopee.vn/lequang_shop?categoryId=100636&amp;entryPoint=ShopByPDP&amp;itemId=48503940317 TIKTOK: LAZADA: WEBSITE BÁN HÀNG:</t>
        </is>
      </c>
      <c r="H1072" s="3" t="inlineStr">
        <is>
          <t>KBH4S-12123</t>
        </is>
      </c>
      <c r="I1072" s="4" t="inlineStr">
        <is>
          <t>Mũi khoan ĐN lục giác 4 cạnh KBH4S-12*123</t>
        </is>
      </c>
      <c r="J1072" s="3" t="inlineStr">
        <is>
          <t>Cái</t>
        </is>
      </c>
      <c r="K1072" s="5" t="n">
        <v>48000</v>
      </c>
      <c r="L1072" s="5" t="n">
        <v>60000</v>
      </c>
      <c r="M1072" s="6" t="n">
        <v>77000</v>
      </c>
      <c r="N1072" s="5" t="n"/>
      <c r="O1072" s="5">
        <f>IF(AND(ISNUMBER(N1072),ISNUMBER(M1072)),N1072-M1072,"")</f>
        <v/>
      </c>
      <c r="P1072" s="7">
        <f>IF(AND(ISNUMBER(N1072),ISNUMBER(M1072),M1072&gt;0),(N1072-M1072)/M1072,"")</f>
        <v/>
      </c>
      <c r="Q1072" s="3">
        <f>IF(P1072="","",IF(P1072&lt;-0.02,"🔴 Bán phá giá sàn",IF(P1072&gt;0.05,"🔵 Bán cao hơn","🟢 Đúng giá sàn TMĐT")))</f>
        <v/>
      </c>
      <c r="R1072" s="3" t="n"/>
      <c r="S1072" s="4" t="n"/>
      <c r="T1072" s="4" t="n"/>
    </row>
    <row r="1073">
      <c r="A1073" s="3" t="n">
        <v>1072</v>
      </c>
      <c r="B1073" s="3" t="inlineStr">
        <is>
          <t>DL007</t>
        </is>
      </c>
      <c r="C1073" s="4" t="inlineStr">
        <is>
          <t>CÔNG TY TNHH ĐHT VIỆT NAM - HCM</t>
        </is>
      </c>
      <c r="D1073" s="3" t="inlineStr">
        <is>
          <t>HCM</t>
        </is>
      </c>
      <c r="E1073" s="3" t="inlineStr">
        <is>
          <t>BẢO TRÂM</t>
        </is>
      </c>
      <c r="F1073" s="3" t="inlineStr">
        <is>
          <t>Shopee</t>
        </is>
      </c>
      <c r="G1073" s="4" t="inlineStr">
        <is>
          <t>SHOPEE: https://shopee.vn/lequang_shop?categoryId=100636&amp;entryPoint=ShopByPDP&amp;itemId=48503940317 TIKTOK: LAZADA: WEBSITE BÁN HÀNG:</t>
        </is>
      </c>
      <c r="H1073" s="3" t="inlineStr"/>
      <c r="I1073" s="4" t="inlineStr">
        <is>
          <t>Mũi khoan tường không tắc kê KBLJ - 03*100</t>
        </is>
      </c>
      <c r="J1073" s="3" t="inlineStr">
        <is>
          <t>Cái</t>
        </is>
      </c>
      <c r="K1073" s="5" t="n">
        <v>269000</v>
      </c>
      <c r="L1073" s="5" t="n">
        <v>317000</v>
      </c>
      <c r="M1073" s="6" t="n">
        <v>390000</v>
      </c>
      <c r="N1073" s="5" t="n"/>
      <c r="O1073" s="5">
        <f>IF(AND(ISNUMBER(N1073),ISNUMBER(M1073)),N1073-M1073,"")</f>
        <v/>
      </c>
      <c r="P1073" s="7">
        <f>IF(AND(ISNUMBER(N1073),ISNUMBER(M1073),M1073&gt;0),(N1073-M1073)/M1073,"")</f>
        <v/>
      </c>
      <c r="Q1073" s="3">
        <f>IF(P1073="","",IF(P1073&lt;-0.02,"🔴 Bán phá giá sàn",IF(P1073&gt;0.05,"🔵 Bán cao hơn","🟢 Đúng giá sàn TMĐT")))</f>
        <v/>
      </c>
      <c r="R1073" s="3" t="n"/>
      <c r="S1073" s="4" t="n"/>
      <c r="T1073" s="4" t="n"/>
    </row>
    <row r="1074">
      <c r="A1074" s="3" t="n">
        <v>1073</v>
      </c>
      <c r="B1074" s="3" t="inlineStr">
        <is>
          <t>DL007</t>
        </is>
      </c>
      <c r="C1074" s="4" t="inlineStr">
        <is>
          <t>CÔNG TY TNHH ĐHT VIỆT NAM - HCM</t>
        </is>
      </c>
      <c r="D1074" s="3" t="inlineStr">
        <is>
          <t>HCM</t>
        </is>
      </c>
      <c r="E1074" s="3" t="inlineStr">
        <is>
          <t>BẢO TRÂM</t>
        </is>
      </c>
      <c r="F1074" s="3" t="inlineStr">
        <is>
          <t>Shopee</t>
        </is>
      </c>
      <c r="G1074" s="4" t="inlineStr">
        <is>
          <t>SHOPEE: https://shopee.vn/lequang_shop?categoryId=100636&amp;entryPoint=ShopByPDP&amp;itemId=48503940317 TIKTOK: LAZADA: WEBSITE BÁN HÀNG:</t>
        </is>
      </c>
      <c r="H1074" s="3" t="inlineStr"/>
      <c r="I1074" s="4" t="inlineStr">
        <is>
          <t>Mũi khoan tường không tắc kê KBLJ - 03.2*100</t>
        </is>
      </c>
      <c r="J1074" s="3" t="inlineStr">
        <is>
          <t>Cái</t>
        </is>
      </c>
      <c r="K1074" s="5" t="n">
        <v>269000</v>
      </c>
      <c r="L1074" s="5" t="n">
        <v>317000</v>
      </c>
      <c r="M1074" s="6" t="n">
        <v>390000</v>
      </c>
      <c r="N1074" s="5" t="n"/>
      <c r="O1074" s="5">
        <f>IF(AND(ISNUMBER(N1074),ISNUMBER(M1074)),N1074-M1074,"")</f>
        <v/>
      </c>
      <c r="P1074" s="7">
        <f>IF(AND(ISNUMBER(N1074),ISNUMBER(M1074),M1074&gt;0),(N1074-M1074)/M1074,"")</f>
        <v/>
      </c>
      <c r="Q1074" s="3">
        <f>IF(P1074="","",IF(P1074&lt;-0.02,"🔴 Bán phá giá sàn",IF(P1074&gt;0.05,"🔵 Bán cao hơn","🟢 Đúng giá sàn TMĐT")))</f>
        <v/>
      </c>
      <c r="R1074" s="3" t="n"/>
      <c r="S1074" s="4" t="n"/>
      <c r="T1074" s="4" t="n"/>
    </row>
    <row r="1075">
      <c r="A1075" s="3" t="n">
        <v>1074</v>
      </c>
      <c r="B1075" s="3" t="inlineStr">
        <is>
          <t>DL007</t>
        </is>
      </c>
      <c r="C1075" s="4" t="inlineStr">
        <is>
          <t>CÔNG TY TNHH ĐHT VIỆT NAM - HCM</t>
        </is>
      </c>
      <c r="D1075" s="3" t="inlineStr">
        <is>
          <t>HCM</t>
        </is>
      </c>
      <c r="E1075" s="3" t="inlineStr">
        <is>
          <t>BẢO TRÂM</t>
        </is>
      </c>
      <c r="F1075" s="3" t="inlineStr">
        <is>
          <t>Shopee</t>
        </is>
      </c>
      <c r="G1075" s="4" t="inlineStr">
        <is>
          <t>SHOPEE: https://shopee.vn/lequang_shop?categoryId=100636&amp;entryPoint=ShopByPDP&amp;itemId=48503940317 TIKTOK: LAZADA: WEBSITE BÁN HÀNG:</t>
        </is>
      </c>
      <c r="H1075" s="3" t="inlineStr"/>
      <c r="I1075" s="4" t="inlineStr">
        <is>
          <t>Mũi khoan tường không tắc kê KBLJ - 03.5*100</t>
        </is>
      </c>
      <c r="J1075" s="3" t="inlineStr">
        <is>
          <t>Cái</t>
        </is>
      </c>
      <c r="K1075" s="5" t="n">
        <v>269000</v>
      </c>
      <c r="L1075" s="5" t="n">
        <v>317000</v>
      </c>
      <c r="M1075" s="6" t="n">
        <v>390000</v>
      </c>
      <c r="N1075" s="5" t="n"/>
      <c r="O1075" s="5">
        <f>IF(AND(ISNUMBER(N1075),ISNUMBER(M1075)),N1075-M1075,"")</f>
        <v/>
      </c>
      <c r="P1075" s="7">
        <f>IF(AND(ISNUMBER(N1075),ISNUMBER(M1075),M1075&gt;0),(N1075-M1075)/M1075,"")</f>
        <v/>
      </c>
      <c r="Q1075" s="3">
        <f>IF(P1075="","",IF(P1075&lt;-0.02,"🔴 Bán phá giá sàn",IF(P1075&gt;0.05,"🔵 Bán cao hơn","🟢 Đúng giá sàn TMĐT")))</f>
        <v/>
      </c>
      <c r="R1075" s="3" t="n"/>
      <c r="S1075" s="4" t="n"/>
      <c r="T1075" s="4" t="n"/>
    </row>
    <row r="1076">
      <c r="A1076" s="3" t="n">
        <v>1075</v>
      </c>
      <c r="B1076" s="3" t="inlineStr">
        <is>
          <t>DL007</t>
        </is>
      </c>
      <c r="C1076" s="4" t="inlineStr">
        <is>
          <t>CÔNG TY TNHH ĐHT VIỆT NAM - HCM</t>
        </is>
      </c>
      <c r="D1076" s="3" t="inlineStr">
        <is>
          <t>HCM</t>
        </is>
      </c>
      <c r="E1076" s="3" t="inlineStr">
        <is>
          <t>BẢO TRÂM</t>
        </is>
      </c>
      <c r="F1076" s="3" t="inlineStr">
        <is>
          <t>Shopee</t>
        </is>
      </c>
      <c r="G1076" s="4" t="inlineStr">
        <is>
          <t>SHOPEE: https://shopee.vn/lequang_shop?categoryId=100636&amp;entryPoint=ShopByPDP&amp;itemId=48503940317 TIKTOK: LAZADA: WEBSITE BÁN HÀNG:</t>
        </is>
      </c>
      <c r="H1076" s="3" t="inlineStr"/>
      <c r="I1076" s="4" t="inlineStr">
        <is>
          <t>Mũi khoan tường không tắc kê KBLJ - 04*100</t>
        </is>
      </c>
      <c r="J1076" s="3" t="inlineStr">
        <is>
          <t>Cái</t>
        </is>
      </c>
      <c r="K1076" s="5" t="n">
        <v>269000</v>
      </c>
      <c r="L1076" s="5" t="n">
        <v>317000</v>
      </c>
      <c r="M1076" s="6" t="n">
        <v>390000</v>
      </c>
      <c r="N1076" s="5" t="n"/>
      <c r="O1076" s="5">
        <f>IF(AND(ISNUMBER(N1076),ISNUMBER(M1076)),N1076-M1076,"")</f>
        <v/>
      </c>
      <c r="P1076" s="7">
        <f>IF(AND(ISNUMBER(N1076),ISNUMBER(M1076),M1076&gt;0),(N1076-M1076)/M1076,"")</f>
        <v/>
      </c>
      <c r="Q1076" s="3">
        <f>IF(P1076="","",IF(P1076&lt;-0.02,"🔴 Bán phá giá sàn",IF(P1076&gt;0.05,"🔵 Bán cao hơn","🟢 Đúng giá sàn TMĐT")))</f>
        <v/>
      </c>
      <c r="R1076" s="3" t="n"/>
      <c r="S1076" s="4" t="n"/>
      <c r="T1076" s="4" t="n"/>
    </row>
    <row r="1077">
      <c r="A1077" s="3" t="n">
        <v>1076</v>
      </c>
      <c r="B1077" s="3" t="inlineStr">
        <is>
          <t>DL007</t>
        </is>
      </c>
      <c r="C1077" s="4" t="inlineStr">
        <is>
          <t>CÔNG TY TNHH ĐHT VIỆT NAM - HCM</t>
        </is>
      </c>
      <c r="D1077" s="3" t="inlineStr">
        <is>
          <t>HCM</t>
        </is>
      </c>
      <c r="E1077" s="3" t="inlineStr">
        <is>
          <t>BẢO TRÂM</t>
        </is>
      </c>
      <c r="F1077" s="3" t="inlineStr">
        <is>
          <t>Shopee</t>
        </is>
      </c>
      <c r="G1077" s="4" t="inlineStr">
        <is>
          <t>SHOPEE: https://shopee.vn/lequang_shop?categoryId=100636&amp;entryPoint=ShopByPDP&amp;itemId=48503940317 TIKTOK: LAZADA: WEBSITE BÁN HÀNG:</t>
        </is>
      </c>
      <c r="H1077" s="3" t="inlineStr"/>
      <c r="I1077" s="4" t="inlineStr">
        <is>
          <t>Mũi khoan tường không tắc kê KBLJ - 04.2*100</t>
        </is>
      </c>
      <c r="J1077" s="3" t="inlineStr">
        <is>
          <t>Cái</t>
        </is>
      </c>
      <c r="K1077" s="5" t="n">
        <v>269000</v>
      </c>
      <c r="L1077" s="5" t="n">
        <v>317000</v>
      </c>
      <c r="M1077" s="6" t="n">
        <v>390000</v>
      </c>
      <c r="N1077" s="5" t="n"/>
      <c r="O1077" s="5">
        <f>IF(AND(ISNUMBER(N1077),ISNUMBER(M1077)),N1077-M1077,"")</f>
        <v/>
      </c>
      <c r="P1077" s="7">
        <f>IF(AND(ISNUMBER(N1077),ISNUMBER(M1077),M1077&gt;0),(N1077-M1077)/M1077,"")</f>
        <v/>
      </c>
      <c r="Q1077" s="3">
        <f>IF(P1077="","",IF(P1077&lt;-0.02,"🔴 Bán phá giá sàn",IF(P1077&gt;0.05,"🔵 Bán cao hơn","🟢 Đúng giá sàn TMĐT")))</f>
        <v/>
      </c>
      <c r="R1077" s="3" t="n"/>
      <c r="S1077" s="4" t="n"/>
      <c r="T1077" s="4" t="n"/>
    </row>
    <row r="1078">
      <c r="A1078" s="3" t="n">
        <v>1077</v>
      </c>
      <c r="B1078" s="3" t="inlineStr">
        <is>
          <t>DL007</t>
        </is>
      </c>
      <c r="C1078" s="4" t="inlineStr">
        <is>
          <t>CÔNG TY TNHH ĐHT VIỆT NAM - HCM</t>
        </is>
      </c>
      <c r="D1078" s="3" t="inlineStr">
        <is>
          <t>HCM</t>
        </is>
      </c>
      <c r="E1078" s="3" t="inlineStr">
        <is>
          <t>BẢO TRÂM</t>
        </is>
      </c>
      <c r="F1078" s="3" t="inlineStr">
        <is>
          <t>Shopee</t>
        </is>
      </c>
      <c r="G1078" s="4" t="inlineStr">
        <is>
          <t>SHOPEE: https://shopee.vn/lequang_shop?categoryId=100636&amp;entryPoint=ShopByPDP&amp;itemId=48503940317 TIKTOK: LAZADA: WEBSITE BÁN HÀNG:</t>
        </is>
      </c>
      <c r="H1078" s="3" t="inlineStr"/>
      <c r="I1078" s="4" t="inlineStr">
        <is>
          <t>Mũi khoan tường không tắc kê KBLJ - 04.5*100</t>
        </is>
      </c>
      <c r="J1078" s="3" t="inlineStr">
        <is>
          <t>Cái</t>
        </is>
      </c>
      <c r="K1078" s="5" t="n">
        <v>269000</v>
      </c>
      <c r="L1078" s="5" t="n">
        <v>317000</v>
      </c>
      <c r="M1078" s="6" t="n">
        <v>390000</v>
      </c>
      <c r="N1078" s="5" t="n"/>
      <c r="O1078" s="5">
        <f>IF(AND(ISNUMBER(N1078),ISNUMBER(M1078)),N1078-M1078,"")</f>
        <v/>
      </c>
      <c r="P1078" s="7">
        <f>IF(AND(ISNUMBER(N1078),ISNUMBER(M1078),M1078&gt;0),(N1078-M1078)/M1078,"")</f>
        <v/>
      </c>
      <c r="Q1078" s="3">
        <f>IF(P1078="","",IF(P1078&lt;-0.02,"🔴 Bán phá giá sàn",IF(P1078&gt;0.05,"🔵 Bán cao hơn","🟢 Đúng giá sàn TMĐT")))</f>
        <v/>
      </c>
      <c r="R1078" s="3" t="n"/>
      <c r="S1078" s="4" t="n"/>
      <c r="T1078" s="4" t="n"/>
    </row>
    <row r="1079">
      <c r="A1079" s="3" t="n">
        <v>1078</v>
      </c>
      <c r="B1079" s="3" t="inlineStr">
        <is>
          <t>DL007</t>
        </is>
      </c>
      <c r="C1079" s="4" t="inlineStr">
        <is>
          <t>CÔNG TY TNHH ĐHT VIỆT NAM - HCM</t>
        </is>
      </c>
      <c r="D1079" s="3" t="inlineStr">
        <is>
          <t>HCM</t>
        </is>
      </c>
      <c r="E1079" s="3" t="inlineStr">
        <is>
          <t>BẢO TRÂM</t>
        </is>
      </c>
      <c r="F1079" s="3" t="inlineStr">
        <is>
          <t>Shopee</t>
        </is>
      </c>
      <c r="G1079" s="4" t="inlineStr">
        <is>
          <t>SHOPEE: https://shopee.vn/lequang_shop?categoryId=100636&amp;entryPoint=ShopByPDP&amp;itemId=48503940317 TIKTOK: LAZADA: WEBSITE BÁN HÀNG:</t>
        </is>
      </c>
      <c r="H1079" s="3" t="inlineStr"/>
      <c r="I1079" s="4" t="inlineStr">
        <is>
          <t>Mũi khoan tường không tắc kê KBLJ - 05*100</t>
        </is>
      </c>
      <c r="J1079" s="3" t="inlineStr">
        <is>
          <t>Cái</t>
        </is>
      </c>
      <c r="K1079" s="5" t="n">
        <v>269000</v>
      </c>
      <c r="L1079" s="5" t="n">
        <v>317000</v>
      </c>
      <c r="M1079" s="6" t="n">
        <v>390000</v>
      </c>
      <c r="N1079" s="5" t="n"/>
      <c r="O1079" s="5">
        <f>IF(AND(ISNUMBER(N1079),ISNUMBER(M1079)),N1079-M1079,"")</f>
        <v/>
      </c>
      <c r="P1079" s="7">
        <f>IF(AND(ISNUMBER(N1079),ISNUMBER(M1079),M1079&gt;0),(N1079-M1079)/M1079,"")</f>
        <v/>
      </c>
      <c r="Q1079" s="3">
        <f>IF(P1079="","",IF(P1079&lt;-0.02,"🔴 Bán phá giá sàn",IF(P1079&gt;0.05,"🔵 Bán cao hơn","🟢 Đúng giá sàn TMĐT")))</f>
        <v/>
      </c>
      <c r="R1079" s="3" t="n"/>
      <c r="S1079" s="4" t="n"/>
      <c r="T1079" s="4" t="n"/>
    </row>
    <row r="1080">
      <c r="A1080" s="3" t="n">
        <v>1079</v>
      </c>
      <c r="B1080" s="3" t="inlineStr">
        <is>
          <t>DL007</t>
        </is>
      </c>
      <c r="C1080" s="4" t="inlineStr">
        <is>
          <t>CÔNG TY TNHH ĐHT VIỆT NAM - HCM</t>
        </is>
      </c>
      <c r="D1080" s="3" t="inlineStr">
        <is>
          <t>HCM</t>
        </is>
      </c>
      <c r="E1080" s="3" t="inlineStr">
        <is>
          <t>BẢO TRÂM</t>
        </is>
      </c>
      <c r="F1080" s="3" t="inlineStr">
        <is>
          <t>Shopee</t>
        </is>
      </c>
      <c r="G1080" s="4" t="inlineStr">
        <is>
          <t>SHOPEE: https://shopee.vn/lequang_shop?categoryId=100636&amp;entryPoint=ShopByPDP&amp;itemId=48503940317 TIKTOK: LAZADA: WEBSITE BÁN HÀNG:</t>
        </is>
      </c>
      <c r="H1080" s="3" t="inlineStr"/>
      <c r="I1080" s="4" t="inlineStr">
        <is>
          <t>Mũi khoan tường không tắc kê KBLJ - 06*125</t>
        </is>
      </c>
      <c r="J1080" s="3" t="inlineStr">
        <is>
          <t>Cái</t>
        </is>
      </c>
      <c r="K1080" s="5" t="n">
        <v>269000</v>
      </c>
      <c r="L1080" s="5" t="n">
        <v>317000</v>
      </c>
      <c r="M1080" s="6" t="n">
        <v>390000</v>
      </c>
      <c r="N1080" s="5" t="n"/>
      <c r="O1080" s="5">
        <f>IF(AND(ISNUMBER(N1080),ISNUMBER(M1080)),N1080-M1080,"")</f>
        <v/>
      </c>
      <c r="P1080" s="7">
        <f>IF(AND(ISNUMBER(N1080),ISNUMBER(M1080),M1080&gt;0),(N1080-M1080)/M1080,"")</f>
        <v/>
      </c>
      <c r="Q1080" s="3">
        <f>IF(P1080="","",IF(P1080&lt;-0.02,"🔴 Bán phá giá sàn",IF(P1080&gt;0.05,"🔵 Bán cao hơn","🟢 Đúng giá sàn TMĐT")))</f>
        <v/>
      </c>
      <c r="R1080" s="3" t="n"/>
      <c r="S1080" s="4" t="n"/>
      <c r="T1080" s="4" t="n"/>
    </row>
    <row r="1081">
      <c r="A1081" s="3" t="n">
        <v>1080</v>
      </c>
      <c r="B1081" s="3" t="inlineStr">
        <is>
          <t>DL007</t>
        </is>
      </c>
      <c r="C1081" s="4" t="inlineStr">
        <is>
          <t>CÔNG TY TNHH ĐHT VIỆT NAM - HCM</t>
        </is>
      </c>
      <c r="D1081" s="3" t="inlineStr">
        <is>
          <t>HCM</t>
        </is>
      </c>
      <c r="E1081" s="3" t="inlineStr">
        <is>
          <t>BẢO TRÂM</t>
        </is>
      </c>
      <c r="F1081" s="3" t="inlineStr">
        <is>
          <t>Shopee</t>
        </is>
      </c>
      <c r="G1081" s="4" t="inlineStr">
        <is>
          <t>SHOPEE: https://shopee.vn/lequang_shop?categoryId=100636&amp;entryPoint=ShopByPDP&amp;itemId=48503940317 TIKTOK: LAZADA: WEBSITE BÁN HÀNG:</t>
        </is>
      </c>
      <c r="H1081" s="3" t="inlineStr"/>
      <c r="I1081" s="4" t="inlineStr">
        <is>
          <t>Mũi khoan tường không tắc kê KBLJ - 07*125</t>
        </is>
      </c>
      <c r="J1081" s="3" t="inlineStr">
        <is>
          <t>Cái</t>
        </is>
      </c>
      <c r="K1081" s="5" t="n">
        <v>269000</v>
      </c>
      <c r="L1081" s="5" t="n">
        <v>317000</v>
      </c>
      <c r="M1081" s="6" t="n">
        <v>390000</v>
      </c>
      <c r="N1081" s="5" t="n"/>
      <c r="O1081" s="5">
        <f>IF(AND(ISNUMBER(N1081),ISNUMBER(M1081)),N1081-M1081,"")</f>
        <v/>
      </c>
      <c r="P1081" s="7">
        <f>IF(AND(ISNUMBER(N1081),ISNUMBER(M1081),M1081&gt;0),(N1081-M1081)/M1081,"")</f>
        <v/>
      </c>
      <c r="Q1081" s="3">
        <f>IF(P1081="","",IF(P1081&lt;-0.02,"🔴 Bán phá giá sàn",IF(P1081&gt;0.05,"🔵 Bán cao hơn","🟢 Đúng giá sàn TMĐT")))</f>
        <v/>
      </c>
      <c r="R1081" s="3" t="n"/>
      <c r="S1081" s="4" t="n"/>
      <c r="T1081" s="4" t="n"/>
    </row>
    <row r="1082">
      <c r="A1082" s="3" t="n">
        <v>1081</v>
      </c>
      <c r="B1082" s="3" t="inlineStr">
        <is>
          <t>DL007</t>
        </is>
      </c>
      <c r="C1082" s="4" t="inlineStr">
        <is>
          <t>CÔNG TY TNHH ĐHT VIỆT NAM - HCM</t>
        </is>
      </c>
      <c r="D1082" s="3" t="inlineStr">
        <is>
          <t>HCM</t>
        </is>
      </c>
      <c r="E1082" s="3" t="inlineStr">
        <is>
          <t>BẢO TRÂM</t>
        </is>
      </c>
      <c r="F1082" s="3" t="inlineStr">
        <is>
          <t>Shopee</t>
        </is>
      </c>
      <c r="G1082" s="4" t="inlineStr">
        <is>
          <t>SHOPEE: https://shopee.vn/lequang_shop?categoryId=100636&amp;entryPoint=ShopByPDP&amp;itemId=48503940317 TIKTOK: LAZADA: WEBSITE BÁN HÀNG:</t>
        </is>
      </c>
      <c r="H1082" s="3" t="inlineStr"/>
      <c r="I1082" s="4" t="inlineStr">
        <is>
          <t>Mũi khoan tường không tắc kê KBLJ - 08*125</t>
        </is>
      </c>
      <c r="J1082" s="3" t="inlineStr">
        <is>
          <t>Cái</t>
        </is>
      </c>
      <c r="K1082" s="5" t="n">
        <v>269000</v>
      </c>
      <c r="L1082" s="5" t="n">
        <v>317000</v>
      </c>
      <c r="M1082" s="6" t="n">
        <v>390000</v>
      </c>
      <c r="N1082" s="5" t="n"/>
      <c r="O1082" s="5">
        <f>IF(AND(ISNUMBER(N1082),ISNUMBER(M1082)),N1082-M1082,"")</f>
        <v/>
      </c>
      <c r="P1082" s="7">
        <f>IF(AND(ISNUMBER(N1082),ISNUMBER(M1082),M1082&gt;0),(N1082-M1082)/M1082,"")</f>
        <v/>
      </c>
      <c r="Q1082" s="3">
        <f>IF(P1082="","",IF(P1082&lt;-0.02,"🔴 Bán phá giá sàn",IF(P1082&gt;0.05,"🔵 Bán cao hơn","🟢 Đúng giá sàn TMĐT")))</f>
        <v/>
      </c>
      <c r="R1082" s="3" t="n"/>
      <c r="S1082" s="4" t="n"/>
      <c r="T1082" s="4" t="n"/>
    </row>
    <row r="1083">
      <c r="A1083" s="3" t="n">
        <v>1082</v>
      </c>
      <c r="B1083" s="3" t="inlineStr">
        <is>
          <t>DL007</t>
        </is>
      </c>
      <c r="C1083" s="4" t="inlineStr">
        <is>
          <t>CÔNG TY TNHH ĐHT VIỆT NAM - HCM</t>
        </is>
      </c>
      <c r="D1083" s="3" t="inlineStr">
        <is>
          <t>HCM</t>
        </is>
      </c>
      <c r="E1083" s="3" t="inlineStr">
        <is>
          <t>BẢO TRÂM</t>
        </is>
      </c>
      <c r="F1083" s="3" t="inlineStr">
        <is>
          <t>Shopee</t>
        </is>
      </c>
      <c r="G1083" s="4" t="inlineStr">
        <is>
          <t>SHOPEE: https://shopee.vn/lequang_shop?categoryId=100636&amp;entryPoint=ShopByPDP&amp;itemId=48503940317 TIKTOK: LAZADA: WEBSITE BÁN HÀNG:</t>
        </is>
      </c>
      <c r="H1083" s="3" t="inlineStr"/>
      <c r="I1083" s="4" t="inlineStr">
        <is>
          <t>Mũi khoan tường không tắc kê KBLJ - 10*148</t>
        </is>
      </c>
      <c r="J1083" s="3" t="inlineStr">
        <is>
          <t>Cái</t>
        </is>
      </c>
      <c r="K1083" s="5" t="n">
        <v>269000</v>
      </c>
      <c r="L1083" s="5" t="n">
        <v>317000</v>
      </c>
      <c r="M1083" s="6" t="n">
        <v>390000</v>
      </c>
      <c r="N1083" s="5" t="n"/>
      <c r="O1083" s="5">
        <f>IF(AND(ISNUMBER(N1083),ISNUMBER(M1083)),N1083-M1083,"")</f>
        <v/>
      </c>
      <c r="P1083" s="7">
        <f>IF(AND(ISNUMBER(N1083),ISNUMBER(M1083),M1083&gt;0),(N1083-M1083)/M1083,"")</f>
        <v/>
      </c>
      <c r="Q1083" s="3">
        <f>IF(P1083="","",IF(P1083&lt;-0.02,"🔴 Bán phá giá sàn",IF(P1083&gt;0.05,"🔵 Bán cao hơn","🟢 Đúng giá sàn TMĐT")))</f>
        <v/>
      </c>
      <c r="R1083" s="3" t="n"/>
      <c r="S1083" s="4" t="n"/>
      <c r="T1083" s="4" t="n"/>
    </row>
    <row r="1084">
      <c r="A1084" s="3" t="n">
        <v>1083</v>
      </c>
      <c r="B1084" s="3" t="inlineStr">
        <is>
          <t>DL007</t>
        </is>
      </c>
      <c r="C1084" s="4" t="inlineStr">
        <is>
          <t>CÔNG TY TNHH ĐHT VIỆT NAM - HCM</t>
        </is>
      </c>
      <c r="D1084" s="3" t="inlineStr">
        <is>
          <t>HCM</t>
        </is>
      </c>
      <c r="E1084" s="3" t="inlineStr">
        <is>
          <t>BẢO TRÂM</t>
        </is>
      </c>
      <c r="F1084" s="3" t="inlineStr">
        <is>
          <t>Shopee</t>
        </is>
      </c>
      <c r="G1084" s="4" t="inlineStr">
        <is>
          <t>SHOPEE: https://shopee.vn/lequang_shop?categoryId=100636&amp;entryPoint=ShopByPDP&amp;itemId=48503940317 TIKTOK: LAZADA: WEBSITE BÁN HÀNG:</t>
        </is>
      </c>
      <c r="H1084" s="3" t="inlineStr">
        <is>
          <t>KFJ-432</t>
        </is>
      </c>
      <c r="I1084" s="4" t="inlineStr">
        <is>
          <t>Vít bê tông không dùng tắc kê KFJ-432</t>
        </is>
      </c>
      <c r="J1084" s="3" t="inlineStr">
        <is>
          <t>Hộp</t>
        </is>
      </c>
      <c r="K1084" s="5" t="n">
        <v>81000</v>
      </c>
      <c r="L1084" s="5" t="n">
        <v>101000</v>
      </c>
      <c r="M1084" s="6" t="n">
        <v>130000</v>
      </c>
      <c r="N1084" s="5" t="n"/>
      <c r="O1084" s="5">
        <f>IF(AND(ISNUMBER(N1084),ISNUMBER(M1084)),N1084-M1084,"")</f>
        <v/>
      </c>
      <c r="P1084" s="7">
        <f>IF(AND(ISNUMBER(N1084),ISNUMBER(M1084),M1084&gt;0),(N1084-M1084)/M1084,"")</f>
        <v/>
      </c>
      <c r="Q1084" s="3">
        <f>IF(P1084="","",IF(P1084&lt;-0.02,"🔴 Bán phá giá sàn",IF(P1084&gt;0.05,"🔵 Bán cao hơn","🟢 Đúng giá sàn TMĐT")))</f>
        <v/>
      </c>
      <c r="R1084" s="3" t="n"/>
      <c r="S1084" s="4" t="n"/>
      <c r="T1084" s="4" t="n"/>
    </row>
    <row r="1085">
      <c r="A1085" s="3" t="n">
        <v>1084</v>
      </c>
      <c r="B1085" s="3" t="inlineStr">
        <is>
          <t>DL007</t>
        </is>
      </c>
      <c r="C1085" s="4" t="inlineStr">
        <is>
          <t>CÔNG TY TNHH ĐHT VIỆT NAM - HCM</t>
        </is>
      </c>
      <c r="D1085" s="3" t="inlineStr">
        <is>
          <t>HCM</t>
        </is>
      </c>
      <c r="E1085" s="3" t="inlineStr">
        <is>
          <t>BẢO TRÂM</t>
        </is>
      </c>
      <c r="F1085" s="3" t="inlineStr">
        <is>
          <t>Shopee</t>
        </is>
      </c>
      <c r="G1085" s="4" t="inlineStr">
        <is>
          <t>SHOPEE: https://shopee.vn/lequang_shop?categoryId=100636&amp;entryPoint=ShopByPDP&amp;itemId=48503940317 TIKTOK: LAZADA: WEBSITE BÁN HÀNG:</t>
        </is>
      </c>
      <c r="H1085" s="3" t="inlineStr">
        <is>
          <t>KFJ-438</t>
        </is>
      </c>
      <c r="I1085" s="4" t="inlineStr">
        <is>
          <t>Vít bê tông không dùng tắc kê KFJ-438</t>
        </is>
      </c>
      <c r="J1085" s="3" t="inlineStr">
        <is>
          <t>Hộp</t>
        </is>
      </c>
      <c r="K1085" s="5" t="n">
        <v>81000</v>
      </c>
      <c r="L1085" s="5" t="n">
        <v>101000</v>
      </c>
      <c r="M1085" s="6" t="n">
        <v>130000</v>
      </c>
      <c r="N1085" s="5" t="n"/>
      <c r="O1085" s="5">
        <f>IF(AND(ISNUMBER(N1085),ISNUMBER(M1085)),N1085-M1085,"")</f>
        <v/>
      </c>
      <c r="P1085" s="7">
        <f>IF(AND(ISNUMBER(N1085),ISNUMBER(M1085),M1085&gt;0),(N1085-M1085)/M1085,"")</f>
        <v/>
      </c>
      <c r="Q1085" s="3">
        <f>IF(P1085="","",IF(P1085&lt;-0.02,"🔴 Bán phá giá sàn",IF(P1085&gt;0.05,"🔵 Bán cao hơn","🟢 Đúng giá sàn TMĐT")))</f>
        <v/>
      </c>
      <c r="R1085" s="3" t="n"/>
      <c r="S1085" s="4" t="n"/>
      <c r="T1085" s="4" t="n"/>
    </row>
    <row r="1086">
      <c r="A1086" s="3" t="n">
        <v>1085</v>
      </c>
      <c r="B1086" s="3" t="inlineStr">
        <is>
          <t>DL007</t>
        </is>
      </c>
      <c r="C1086" s="4" t="inlineStr">
        <is>
          <t>CÔNG TY TNHH ĐHT VIỆT NAM - HCM</t>
        </is>
      </c>
      <c r="D1086" s="3" t="inlineStr">
        <is>
          <t>HCM</t>
        </is>
      </c>
      <c r="E1086" s="3" t="inlineStr">
        <is>
          <t>BẢO TRÂM</t>
        </is>
      </c>
      <c r="F1086" s="3" t="inlineStr">
        <is>
          <t>Shopee</t>
        </is>
      </c>
      <c r="G1086" s="4" t="inlineStr">
        <is>
          <t>SHOPEE: https://shopee.vn/lequang_shop?categoryId=100636&amp;entryPoint=ShopByPDP&amp;itemId=48503940317 TIKTOK: LAZADA: WEBSITE BÁN HÀNG:</t>
        </is>
      </c>
      <c r="H1086" s="3" t="inlineStr">
        <is>
          <t>KFJ-445</t>
        </is>
      </c>
      <c r="I1086" s="4" t="inlineStr">
        <is>
          <t>Vít bê tông không dùng tắc kê KFJ-445</t>
        </is>
      </c>
      <c r="J1086" s="3" t="inlineStr">
        <is>
          <t>Hộp</t>
        </is>
      </c>
      <c r="K1086" s="5" t="n">
        <v>81000</v>
      </c>
      <c r="L1086" s="5" t="n">
        <v>101000</v>
      </c>
      <c r="M1086" s="6" t="n">
        <v>130000</v>
      </c>
      <c r="N1086" s="5" t="n"/>
      <c r="O1086" s="5">
        <f>IF(AND(ISNUMBER(N1086),ISNUMBER(M1086)),N1086-M1086,"")</f>
        <v/>
      </c>
      <c r="P1086" s="7">
        <f>IF(AND(ISNUMBER(N1086),ISNUMBER(M1086),M1086&gt;0),(N1086-M1086)/M1086,"")</f>
        <v/>
      </c>
      <c r="Q1086" s="3">
        <f>IF(P1086="","",IF(P1086&lt;-0.02,"🔴 Bán phá giá sàn",IF(P1086&gt;0.05,"🔵 Bán cao hơn","🟢 Đúng giá sàn TMĐT")))</f>
        <v/>
      </c>
      <c r="R1086" s="3" t="n"/>
      <c r="S1086" s="4" t="n"/>
      <c r="T1086" s="4" t="n"/>
    </row>
    <row r="1087">
      <c r="A1087" s="3" t="n">
        <v>1086</v>
      </c>
      <c r="B1087" s="3" t="inlineStr">
        <is>
          <t>DL007</t>
        </is>
      </c>
      <c r="C1087" s="4" t="inlineStr">
        <is>
          <t>CÔNG TY TNHH ĐHT VIỆT NAM - HCM</t>
        </is>
      </c>
      <c r="D1087" s="3" t="inlineStr">
        <is>
          <t>HCM</t>
        </is>
      </c>
      <c r="E1087" s="3" t="inlineStr">
        <is>
          <t>BẢO TRÂM</t>
        </is>
      </c>
      <c r="F1087" s="3" t="inlineStr">
        <is>
          <t>Shopee</t>
        </is>
      </c>
      <c r="G1087" s="4" t="inlineStr">
        <is>
          <t>SHOPEE: https://shopee.vn/lequang_shop?categoryId=100636&amp;entryPoint=ShopByPDP&amp;itemId=48503940317 TIKTOK: LAZADA: WEBSITE BÁN HÀNG:</t>
        </is>
      </c>
      <c r="H1087" s="3" t="inlineStr">
        <is>
          <t>KFJ-535</t>
        </is>
      </c>
      <c r="I1087" s="4" t="inlineStr">
        <is>
          <t>Vít bê tông không dùng tắc kê KFJ-535</t>
        </is>
      </c>
      <c r="J1087" s="3" t="inlineStr">
        <is>
          <t>Hộp</t>
        </is>
      </c>
      <c r="K1087" s="5" t="n">
        <v>81000</v>
      </c>
      <c r="L1087" s="5" t="n">
        <v>101000</v>
      </c>
      <c r="M1087" s="6" t="n">
        <v>130000</v>
      </c>
      <c r="N1087" s="5" t="n"/>
      <c r="O1087" s="5">
        <f>IF(AND(ISNUMBER(N1087),ISNUMBER(M1087)),N1087-M1087,"")</f>
        <v/>
      </c>
      <c r="P1087" s="7">
        <f>IF(AND(ISNUMBER(N1087),ISNUMBER(M1087),M1087&gt;0),(N1087-M1087)/M1087,"")</f>
        <v/>
      </c>
      <c r="Q1087" s="3">
        <f>IF(P1087="","",IF(P1087&lt;-0.02,"🔴 Bán phá giá sàn",IF(P1087&gt;0.05,"🔵 Bán cao hơn","🟢 Đúng giá sàn TMĐT")))</f>
        <v/>
      </c>
      <c r="R1087" s="3" t="n"/>
      <c r="S1087" s="4" t="n"/>
      <c r="T1087" s="4" t="n"/>
    </row>
    <row r="1088">
      <c r="A1088" s="3" t="n">
        <v>1087</v>
      </c>
      <c r="B1088" s="3" t="inlineStr">
        <is>
          <t>DL007</t>
        </is>
      </c>
      <c r="C1088" s="4" t="inlineStr">
        <is>
          <t>CÔNG TY TNHH ĐHT VIỆT NAM - HCM</t>
        </is>
      </c>
      <c r="D1088" s="3" t="inlineStr">
        <is>
          <t>HCM</t>
        </is>
      </c>
      <c r="E1088" s="3" t="inlineStr">
        <is>
          <t>BẢO TRÂM</t>
        </is>
      </c>
      <c r="F1088" s="3" t="inlineStr">
        <is>
          <t>Shopee</t>
        </is>
      </c>
      <c r="G1088" s="4" t="inlineStr">
        <is>
          <t>SHOPEE: https://shopee.vn/lequang_shop?categoryId=100636&amp;entryPoint=ShopByPDP&amp;itemId=48503940317 TIKTOK: LAZADA: WEBSITE BÁN HÀNG:</t>
        </is>
      </c>
      <c r="H1088" s="3" t="inlineStr">
        <is>
          <t>KFJ-545</t>
        </is>
      </c>
      <c r="I1088" s="4" t="inlineStr">
        <is>
          <t>Vít bê tông không dùng tắc kê KFJ-545</t>
        </is>
      </c>
      <c r="J1088" s="3" t="inlineStr">
        <is>
          <t>Hộp</t>
        </is>
      </c>
      <c r="K1088" s="5" t="n">
        <v>81000</v>
      </c>
      <c r="L1088" s="5" t="n">
        <v>101000</v>
      </c>
      <c r="M1088" s="6" t="n">
        <v>130000</v>
      </c>
      <c r="N1088" s="5" t="n"/>
      <c r="O1088" s="5">
        <f>IF(AND(ISNUMBER(N1088),ISNUMBER(M1088)),N1088-M1088,"")</f>
        <v/>
      </c>
      <c r="P1088" s="7">
        <f>IF(AND(ISNUMBER(N1088),ISNUMBER(M1088),M1088&gt;0),(N1088-M1088)/M1088,"")</f>
        <v/>
      </c>
      <c r="Q1088" s="3">
        <f>IF(P1088="","",IF(P1088&lt;-0.02,"🔴 Bán phá giá sàn",IF(P1088&gt;0.05,"🔵 Bán cao hơn","🟢 Đúng giá sàn TMĐT")))</f>
        <v/>
      </c>
      <c r="R1088" s="3" t="n"/>
      <c r="S1088" s="4" t="n"/>
      <c r="T1088" s="4" t="n"/>
    </row>
    <row r="1089">
      <c r="A1089" s="3" t="n">
        <v>1088</v>
      </c>
      <c r="B1089" s="3" t="inlineStr">
        <is>
          <t>DL008</t>
        </is>
      </c>
      <c r="C1089" s="4" t="inlineStr">
        <is>
          <t>XSAFE</t>
        </is>
      </c>
      <c r="D1089" s="3" t="inlineStr">
        <is>
          <t>HCM</t>
        </is>
      </c>
      <c r="E1089" s="3" t="inlineStr">
        <is>
          <t>BẢO TRÂM</t>
        </is>
      </c>
      <c r="F1089" s="3" t="inlineStr">
        <is>
          <t>Tiktok</t>
        </is>
      </c>
      <c r="G1089" s="4" t="inlineStr">
        <is>
          <t>SHOPEE: TIKTOK: https://www.tiktok.com/@xsafevietnam LAZADA: WEBSITE BÁN HÀNG:</t>
        </is>
      </c>
      <c r="H1089" s="3" t="inlineStr"/>
      <c r="I1089" s="4" t="inlineStr">
        <is>
          <t>x</t>
        </is>
      </c>
      <c r="J1089" s="3" t="inlineStr">
        <is>
          <t>Cái</t>
        </is>
      </c>
      <c r="K1089" s="5" t="n">
        <v>4000</v>
      </c>
      <c r="L1089" s="5" t="n">
        <v>5000</v>
      </c>
      <c r="M1089" s="6" t="n">
        <v>6500</v>
      </c>
      <c r="N1089" s="5" t="n"/>
      <c r="O1089" s="5">
        <f>IF(AND(ISNUMBER(N1089),ISNUMBER(M1089)),N1089-M1089,"")</f>
        <v/>
      </c>
      <c r="P1089" s="7">
        <f>IF(AND(ISNUMBER(N1089),ISNUMBER(M1089),M1089&gt;0),(N1089-M1089)/M1089,"")</f>
        <v/>
      </c>
      <c r="Q1089" s="3">
        <f>IF(P1089="","",IF(P1089&lt;-0.02,"🔴 Bán phá giá sàn",IF(P1089&gt;0.05,"🔵 Bán cao hơn","🟢 Đúng giá sàn TMĐT")))</f>
        <v/>
      </c>
      <c r="R1089" s="3" t="n"/>
      <c r="S1089" s="4" t="n"/>
      <c r="T1089" s="4" t="n"/>
    </row>
    <row r="1090">
      <c r="A1090" s="3" t="n">
        <v>1089</v>
      </c>
      <c r="B1090" s="3" t="inlineStr">
        <is>
          <t>DL009</t>
        </is>
      </c>
      <c r="C1090" s="4" t="inlineStr">
        <is>
          <t>META</t>
        </is>
      </c>
      <c r="D1090" s="3" t="inlineStr">
        <is>
          <t>HN</t>
        </is>
      </c>
      <c r="E1090" s="3" t="inlineStr">
        <is>
          <t>ĐIỆP</t>
        </is>
      </c>
      <c r="F1090" s="3" t="inlineStr">
        <is>
          <t>Website bán hàng</t>
        </is>
      </c>
      <c r="G1090" s="4" t="inlineStr">
        <is>
          <t>SHOPEE: TIKTOK: LAZADA: WEBSITE BÁN HÀNG: https://meta.vn/</t>
        </is>
      </c>
      <c r="H1090" s="3" t="inlineStr">
        <is>
          <t>K10000</t>
        </is>
      </c>
      <c r="I1090" s="4" t="inlineStr">
        <is>
          <t>Bộ bơm lốp, kích bình đa năng K10000</t>
        </is>
      </c>
      <c r="J1090" s="3" t="inlineStr">
        <is>
          <t>Cái</t>
        </is>
      </c>
      <c r="K1090" s="5" t="n">
        <v>269000</v>
      </c>
      <c r="L1090" s="5" t="n">
        <v>317000</v>
      </c>
      <c r="M1090" s="6" t="n">
        <v>390000</v>
      </c>
      <c r="N1090" s="5" t="n"/>
      <c r="O1090" s="5">
        <f>IF(AND(ISNUMBER(N1090),ISNUMBER(M1090)),N1090-M1090,"")</f>
        <v/>
      </c>
      <c r="P1090" s="7">
        <f>IF(AND(ISNUMBER(N1090),ISNUMBER(M1090),M1090&gt;0),(N1090-M1090)/M1090,"")</f>
        <v/>
      </c>
      <c r="Q1090" s="3">
        <f>IF(P1090="","",IF(P1090&lt;-0.02,"🔴 Bán phá giá sàn",IF(P1090&gt;0.05,"🔵 Bán cao hơn","🟢 Đúng giá sàn TMĐT")))</f>
        <v/>
      </c>
      <c r="R1090" s="3" t="n"/>
      <c r="S1090" s="4" t="n"/>
      <c r="T1090" s="4" t="n"/>
    </row>
    <row r="1091">
      <c r="A1091" s="3" t="n">
        <v>1090</v>
      </c>
      <c r="B1091" s="3" t="inlineStr">
        <is>
          <t>DL009</t>
        </is>
      </c>
      <c r="C1091" s="4" t="inlineStr">
        <is>
          <t>META</t>
        </is>
      </c>
      <c r="D1091" s="3" t="inlineStr">
        <is>
          <t>HN</t>
        </is>
      </c>
      <c r="E1091" s="3" t="inlineStr">
        <is>
          <t>ĐIỆP</t>
        </is>
      </c>
      <c r="F1091" s="3" t="inlineStr">
        <is>
          <t>Website bán hàng</t>
        </is>
      </c>
      <c r="G1091" s="4" t="inlineStr">
        <is>
          <t>SHOPEE: TIKTOK: LAZADA: WEBSITE BÁN HÀNG: https://meta.vn/</t>
        </is>
      </c>
      <c r="H1091" s="3" t="inlineStr">
        <is>
          <t>KH2-B9</t>
        </is>
      </c>
      <c r="I1091" s="4" t="inlineStr">
        <is>
          <t>Bộ cờ lê vòng miệng KH2-B9</t>
        </is>
      </c>
      <c r="J1091" s="3" t="inlineStr">
        <is>
          <t>Cái</t>
        </is>
      </c>
      <c r="K1091" s="5" t="n">
        <v>269000</v>
      </c>
      <c r="L1091" s="5" t="n">
        <v>317000</v>
      </c>
      <c r="M1091" s="6" t="n">
        <v>390000</v>
      </c>
      <c r="N1091" s="5" t="n"/>
      <c r="O1091" s="5">
        <f>IF(AND(ISNUMBER(N1091),ISNUMBER(M1091)),N1091-M1091,"")</f>
        <v/>
      </c>
      <c r="P1091" s="7">
        <f>IF(AND(ISNUMBER(N1091),ISNUMBER(M1091),M1091&gt;0),(N1091-M1091)/M1091,"")</f>
        <v/>
      </c>
      <c r="Q1091" s="3">
        <f>IF(P1091="","",IF(P1091&lt;-0.02,"🔴 Bán phá giá sàn",IF(P1091&gt;0.05,"🔵 Bán cao hơn","🟢 Đúng giá sàn TMĐT")))</f>
        <v/>
      </c>
      <c r="R1091" s="3" t="n"/>
      <c r="S1091" s="4" t="n"/>
      <c r="T1091" s="4" t="n"/>
    </row>
    <row r="1092">
      <c r="A1092" s="3" t="n">
        <v>1091</v>
      </c>
      <c r="B1092" s="3" t="inlineStr">
        <is>
          <t>DL009</t>
        </is>
      </c>
      <c r="C1092" s="4" t="inlineStr">
        <is>
          <t>META</t>
        </is>
      </c>
      <c r="D1092" s="3" t="inlineStr">
        <is>
          <t>HN</t>
        </is>
      </c>
      <c r="E1092" s="3" t="inlineStr">
        <is>
          <t>ĐIỆP</t>
        </is>
      </c>
      <c r="F1092" s="3" t="inlineStr">
        <is>
          <t>Website bán hàng</t>
        </is>
      </c>
      <c r="G1092" s="4" t="inlineStr">
        <is>
          <t>SHOPEE: TIKTOK: LAZADA: WEBSITE BÁN HÀNG: https://meta.vn/</t>
        </is>
      </c>
      <c r="H1092" s="3" t="inlineStr">
        <is>
          <t>KH3-B7</t>
        </is>
      </c>
      <c r="I1092" s="4" t="inlineStr">
        <is>
          <t>Bộ cờ lê vòng miệng tự động KH3-B7</t>
        </is>
      </c>
      <c r="J1092" s="3" t="inlineStr">
        <is>
          <t>Cái</t>
        </is>
      </c>
      <c r="K1092" s="5" t="n">
        <v>269000</v>
      </c>
      <c r="L1092" s="5" t="n">
        <v>317000</v>
      </c>
      <c r="M1092" s="6" t="n">
        <v>390000</v>
      </c>
      <c r="N1092" s="5" t="n"/>
      <c r="O1092" s="5">
        <f>IF(AND(ISNUMBER(N1092),ISNUMBER(M1092)),N1092-M1092,"")</f>
        <v/>
      </c>
      <c r="P1092" s="7">
        <f>IF(AND(ISNUMBER(N1092),ISNUMBER(M1092),M1092&gt;0),(N1092-M1092)/M1092,"")</f>
        <v/>
      </c>
      <c r="Q1092" s="3">
        <f>IF(P1092="","",IF(P1092&lt;-0.02,"🔴 Bán phá giá sàn",IF(P1092&gt;0.05,"🔵 Bán cao hơn","🟢 Đúng giá sàn TMĐT")))</f>
        <v/>
      </c>
      <c r="R1092" s="3" t="n"/>
      <c r="S1092" s="4" t="n"/>
      <c r="T1092" s="4" t="n"/>
    </row>
    <row r="1093">
      <c r="A1093" s="3" t="n">
        <v>1092</v>
      </c>
      <c r="B1093" s="3" t="inlineStr">
        <is>
          <t>DL009</t>
        </is>
      </c>
      <c r="C1093" s="4" t="inlineStr">
        <is>
          <t>META</t>
        </is>
      </c>
      <c r="D1093" s="3" t="inlineStr">
        <is>
          <t>HN</t>
        </is>
      </c>
      <c r="E1093" s="3" t="inlineStr">
        <is>
          <t>ĐIỆP</t>
        </is>
      </c>
      <c r="F1093" s="3" t="inlineStr">
        <is>
          <t>Website bán hàng</t>
        </is>
      </c>
      <c r="G1093" s="4" t="inlineStr">
        <is>
          <t>SHOPEE: TIKTOK: LAZADA: WEBSITE BÁN HÀNG: https://meta.vn/</t>
        </is>
      </c>
      <c r="H1093" s="3" t="inlineStr">
        <is>
          <t>KL018</t>
        </is>
      </c>
      <c r="I1093" s="4" t="inlineStr">
        <is>
          <t>Bộ lục giác KL018</t>
        </is>
      </c>
      <c r="J1093" s="3" t="inlineStr">
        <is>
          <t>Cái</t>
        </is>
      </c>
      <c r="K1093" s="5" t="n">
        <v>269000</v>
      </c>
      <c r="L1093" s="5" t="n">
        <v>317000</v>
      </c>
      <c r="M1093" s="6" t="n">
        <v>390000</v>
      </c>
      <c r="N1093" s="5" t="n"/>
      <c r="O1093" s="5">
        <f>IF(AND(ISNUMBER(N1093),ISNUMBER(M1093)),N1093-M1093,"")</f>
        <v/>
      </c>
      <c r="P1093" s="7">
        <f>IF(AND(ISNUMBER(N1093),ISNUMBER(M1093),M1093&gt;0),(N1093-M1093)/M1093,"")</f>
        <v/>
      </c>
      <c r="Q1093" s="3">
        <f>IF(P1093="","",IF(P1093&lt;-0.02,"🔴 Bán phá giá sàn",IF(P1093&gt;0.05,"🔵 Bán cao hơn","🟢 Đúng giá sàn TMĐT")))</f>
        <v/>
      </c>
      <c r="R1093" s="3" t="n"/>
      <c r="S1093" s="4" t="n"/>
      <c r="T1093" s="4" t="n"/>
    </row>
    <row r="1094">
      <c r="A1094" s="3" t="n">
        <v>1093</v>
      </c>
      <c r="B1094" s="3" t="inlineStr">
        <is>
          <t>DL009</t>
        </is>
      </c>
      <c r="C1094" s="4" t="inlineStr">
        <is>
          <t>META</t>
        </is>
      </c>
      <c r="D1094" s="3" t="inlineStr">
        <is>
          <t>HN</t>
        </is>
      </c>
      <c r="E1094" s="3" t="inlineStr">
        <is>
          <t>ĐIỆP</t>
        </is>
      </c>
      <c r="F1094" s="3" t="inlineStr">
        <is>
          <t>Website bán hàng</t>
        </is>
      </c>
      <c r="G1094" s="4" t="inlineStr">
        <is>
          <t>SHOPEE: TIKTOK: LAZADA: WEBSITE BÁN HÀNG: https://meta.vn/</t>
        </is>
      </c>
      <c r="H1094" s="3" t="inlineStr">
        <is>
          <t>KB20VC1</t>
        </is>
      </c>
      <c r="I1094" s="4" t="inlineStr">
        <is>
          <t>Bộ Máy Bắn Vít 20V KB20VC1</t>
        </is>
      </c>
      <c r="J1094" s="3" t="inlineStr">
        <is>
          <t>Bộ</t>
        </is>
      </c>
      <c r="K1094" s="5" t="n">
        <v>2050000</v>
      </c>
      <c r="L1094" s="5" t="n">
        <v>2250000</v>
      </c>
      <c r="M1094" s="6" t="n">
        <v>2560000</v>
      </c>
      <c r="N1094" s="5" t="n"/>
      <c r="O1094" s="5">
        <f>IF(AND(ISNUMBER(N1094),ISNUMBER(M1094)),N1094-M1094,"")</f>
        <v/>
      </c>
      <c r="P1094" s="7">
        <f>IF(AND(ISNUMBER(N1094),ISNUMBER(M1094),M1094&gt;0),(N1094-M1094)/M1094,"")</f>
        <v/>
      </c>
      <c r="Q1094" s="3">
        <f>IF(P1094="","",IF(P1094&lt;-0.02,"🔴 Bán phá giá sàn",IF(P1094&gt;0.05,"🔵 Bán cao hơn","🟢 Đúng giá sàn TMĐT")))</f>
        <v/>
      </c>
      <c r="R1094" s="3" t="n"/>
      <c r="S1094" s="4" t="n"/>
      <c r="T1094" s="4" t="n"/>
    </row>
    <row r="1095">
      <c r="A1095" s="3" t="n">
        <v>1094</v>
      </c>
      <c r="B1095" s="3" t="inlineStr">
        <is>
          <t>DL009</t>
        </is>
      </c>
      <c r="C1095" s="4" t="inlineStr">
        <is>
          <t>META</t>
        </is>
      </c>
      <c r="D1095" s="3" t="inlineStr">
        <is>
          <t>HN</t>
        </is>
      </c>
      <c r="E1095" s="3" t="inlineStr">
        <is>
          <t>ĐIỆP</t>
        </is>
      </c>
      <c r="F1095" s="3" t="inlineStr">
        <is>
          <t>Website bán hàng</t>
        </is>
      </c>
      <c r="G1095" s="4" t="inlineStr">
        <is>
          <t>SHOPEE: TIKTOK: LAZADA: WEBSITE BÁN HÀNG: https://meta.vn/</t>
        </is>
      </c>
      <c r="H1095" s="3" t="inlineStr">
        <is>
          <t>KB20CK1</t>
        </is>
      </c>
      <c r="I1095" s="4" t="inlineStr">
        <is>
          <t>Bộ Máy Cưa Kiếm 20V KB20CK1</t>
        </is>
      </c>
      <c r="J1095" s="3" t="inlineStr">
        <is>
          <t>Bộ</t>
        </is>
      </c>
      <c r="K1095" s="5" t="n">
        <v>3070000</v>
      </c>
      <c r="L1095" s="5" t="n">
        <v>3380000</v>
      </c>
      <c r="M1095" s="6" t="n">
        <v>3840000</v>
      </c>
      <c r="N1095" s="5" t="n"/>
      <c r="O1095" s="5">
        <f>IF(AND(ISNUMBER(N1095),ISNUMBER(M1095)),N1095-M1095,"")</f>
        <v/>
      </c>
      <c r="P1095" s="7">
        <f>IF(AND(ISNUMBER(N1095),ISNUMBER(M1095),M1095&gt;0),(N1095-M1095)/M1095,"")</f>
        <v/>
      </c>
      <c r="Q1095" s="3">
        <f>IF(P1095="","",IF(P1095&lt;-0.02,"🔴 Bán phá giá sàn",IF(P1095&gt;0.05,"🔵 Bán cao hơn","🟢 Đúng giá sàn TMĐT")))</f>
        <v/>
      </c>
      <c r="R1095" s="3" t="n"/>
      <c r="S1095" s="4" t="n"/>
      <c r="T1095" s="4" t="n"/>
    </row>
    <row r="1096">
      <c r="A1096" s="3" t="n">
        <v>1095</v>
      </c>
      <c r="B1096" s="3" t="inlineStr">
        <is>
          <t>DL009</t>
        </is>
      </c>
      <c r="C1096" s="4" t="inlineStr">
        <is>
          <t>META</t>
        </is>
      </c>
      <c r="D1096" s="3" t="inlineStr">
        <is>
          <t>HN</t>
        </is>
      </c>
      <c r="E1096" s="3" t="inlineStr">
        <is>
          <t>ĐIỆP</t>
        </is>
      </c>
      <c r="F1096" s="3" t="inlineStr">
        <is>
          <t>Website bán hàng</t>
        </is>
      </c>
      <c r="G1096" s="4" t="inlineStr">
        <is>
          <t>SHOPEE: TIKTOK: LAZADA: WEBSITE BÁN HÀNG: https://meta.vn/</t>
        </is>
      </c>
      <c r="H1096" s="3" t="inlineStr">
        <is>
          <t>KB20QE1</t>
        </is>
      </c>
      <c r="I1096" s="4" t="inlineStr">
        <is>
          <t>Bộ Máy Khoan 3 Chức Năng 20V KB20QE1</t>
        </is>
      </c>
      <c r="J1096" s="3" t="inlineStr">
        <is>
          <t>Bộ</t>
        </is>
      </c>
      <c r="K1096" s="5" t="n">
        <v>3060000</v>
      </c>
      <c r="L1096" s="5" t="n">
        <v>3360000</v>
      </c>
      <c r="M1096" s="6" t="n">
        <v>3820000</v>
      </c>
      <c r="N1096" s="5" t="n"/>
      <c r="O1096" s="5">
        <f>IF(AND(ISNUMBER(N1096),ISNUMBER(M1096)),N1096-M1096,"")</f>
        <v/>
      </c>
      <c r="P1096" s="7">
        <f>IF(AND(ISNUMBER(N1096),ISNUMBER(M1096),M1096&gt;0),(N1096-M1096)/M1096,"")</f>
        <v/>
      </c>
      <c r="Q1096" s="3">
        <f>IF(P1096="","",IF(P1096&lt;-0.02,"🔴 Bán phá giá sàn",IF(P1096&gt;0.05,"🔵 Bán cao hơn","🟢 Đúng giá sàn TMĐT")))</f>
        <v/>
      </c>
      <c r="R1096" s="3" t="n"/>
      <c r="S1096" s="4" t="n"/>
      <c r="T1096" s="4" t="n"/>
    </row>
    <row r="1097">
      <c r="A1097" s="3" t="n">
        <v>1096</v>
      </c>
      <c r="B1097" s="3" t="inlineStr">
        <is>
          <t>DL009</t>
        </is>
      </c>
      <c r="C1097" s="4" t="inlineStr">
        <is>
          <t>META</t>
        </is>
      </c>
      <c r="D1097" s="3" t="inlineStr">
        <is>
          <t>HN</t>
        </is>
      </c>
      <c r="E1097" s="3" t="inlineStr">
        <is>
          <t>ĐIỆP</t>
        </is>
      </c>
      <c r="F1097" s="3" t="inlineStr">
        <is>
          <t>Website bán hàng</t>
        </is>
      </c>
      <c r="G1097" s="4" t="inlineStr">
        <is>
          <t>SHOPEE: TIKTOK: LAZADA: WEBSITE BÁN HÀNG: https://meta.vn/</t>
        </is>
      </c>
      <c r="H1097" s="3" t="inlineStr">
        <is>
          <t>KB20QF1</t>
        </is>
      </c>
      <c r="I1097" s="4" t="inlineStr">
        <is>
          <t>Bộ Máy Khoan Bê Tông 20V KB20QF1</t>
        </is>
      </c>
      <c r="J1097" s="3" t="inlineStr">
        <is>
          <t>Bộ</t>
        </is>
      </c>
      <c r="K1097" s="5" t="n">
        <v>3080000</v>
      </c>
      <c r="L1097" s="5" t="n">
        <v>3390000</v>
      </c>
      <c r="M1097" s="6" t="n">
        <v>3850000</v>
      </c>
      <c r="N1097" s="5" t="n"/>
      <c r="O1097" s="5">
        <f>IF(AND(ISNUMBER(N1097),ISNUMBER(M1097)),N1097-M1097,"")</f>
        <v/>
      </c>
      <c r="P1097" s="7">
        <f>IF(AND(ISNUMBER(N1097),ISNUMBER(M1097),M1097&gt;0),(N1097-M1097)/M1097,"")</f>
        <v/>
      </c>
      <c r="Q1097" s="3">
        <f>IF(P1097="","",IF(P1097&lt;-0.02,"🔴 Bán phá giá sàn",IF(P1097&gt;0.05,"🔵 Bán cao hơn","🟢 Đúng giá sàn TMĐT")))</f>
        <v/>
      </c>
      <c r="R1097" s="3" t="n"/>
      <c r="S1097" s="4" t="n"/>
      <c r="T1097" s="4" t="n"/>
    </row>
    <row r="1098">
      <c r="A1098" s="3" t="n">
        <v>1097</v>
      </c>
      <c r="B1098" s="3" t="inlineStr">
        <is>
          <t>DL009</t>
        </is>
      </c>
      <c r="C1098" s="4" t="inlineStr">
        <is>
          <t>META</t>
        </is>
      </c>
      <c r="D1098" s="3" t="inlineStr">
        <is>
          <t>HN</t>
        </is>
      </c>
      <c r="E1098" s="3" t="inlineStr">
        <is>
          <t>ĐIỆP</t>
        </is>
      </c>
      <c r="F1098" s="3" t="inlineStr">
        <is>
          <t>Website bán hàng</t>
        </is>
      </c>
      <c r="G1098" s="4" t="inlineStr">
        <is>
          <t>SHOPEE: TIKTOK: LAZADA: WEBSITE BÁN HÀNG: https://meta.vn/</t>
        </is>
      </c>
      <c r="H1098" s="3" t="inlineStr">
        <is>
          <t>KB20SE1</t>
        </is>
      </c>
      <c r="I1098" s="4" t="inlineStr">
        <is>
          <t>Bộ Máy Siết Bulon 20V KB20SE1</t>
        </is>
      </c>
      <c r="J1098" s="3" t="inlineStr">
        <is>
          <t>Bộ</t>
        </is>
      </c>
      <c r="K1098" s="5" t="n">
        <v>3090000</v>
      </c>
      <c r="L1098" s="5" t="n">
        <v>3400000</v>
      </c>
      <c r="M1098" s="6" t="n">
        <v>3860000</v>
      </c>
      <c r="N1098" s="5" t="n"/>
      <c r="O1098" s="5">
        <f>IF(AND(ISNUMBER(N1098),ISNUMBER(M1098)),N1098-M1098,"")</f>
        <v/>
      </c>
      <c r="P1098" s="7">
        <f>IF(AND(ISNUMBER(N1098),ISNUMBER(M1098),M1098&gt;0),(N1098-M1098)/M1098,"")</f>
        <v/>
      </c>
      <c r="Q1098" s="3">
        <f>IF(P1098="","",IF(P1098&lt;-0.02,"🔴 Bán phá giá sàn",IF(P1098&gt;0.05,"🔵 Bán cao hơn","🟢 Đúng giá sàn TMĐT")))</f>
        <v/>
      </c>
      <c r="R1098" s="3" t="n"/>
      <c r="S1098" s="4" t="n"/>
      <c r="T1098" s="4" t="n"/>
    </row>
    <row r="1099">
      <c r="A1099" s="3" t="n">
        <v>1098</v>
      </c>
      <c r="B1099" s="3" t="inlineStr">
        <is>
          <t>DL009</t>
        </is>
      </c>
      <c r="C1099" s="4" t="inlineStr">
        <is>
          <t>META</t>
        </is>
      </c>
      <c r="D1099" s="3" t="inlineStr">
        <is>
          <t>HN</t>
        </is>
      </c>
      <c r="E1099" s="3" t="inlineStr">
        <is>
          <t>ĐIỆP</t>
        </is>
      </c>
      <c r="F1099" s="3" t="inlineStr">
        <is>
          <t>Website bán hàng</t>
        </is>
      </c>
      <c r="G1099" s="4" t="inlineStr">
        <is>
          <t>SHOPEE: TIKTOK: LAZADA: WEBSITE BÁN HÀNG: https://meta.vn/</t>
        </is>
      </c>
      <c r="H1099" s="3" t="inlineStr">
        <is>
          <t>KB-E5701</t>
        </is>
      </c>
      <c r="I1099" s="4" t="inlineStr">
        <is>
          <t>Bộ tua vít điện KingBlue KB-E5701</t>
        </is>
      </c>
      <c r="J1099" s="3" t="inlineStr">
        <is>
          <t>Cái</t>
        </is>
      </c>
      <c r="K1099" s="5" t="n">
        <v>968000</v>
      </c>
      <c r="L1099" s="5" t="n">
        <v>1104000</v>
      </c>
      <c r="M1099" s="6" t="n">
        <v>1307000</v>
      </c>
      <c r="N1099" s="5" t="n"/>
      <c r="O1099" s="5">
        <f>IF(AND(ISNUMBER(N1099),ISNUMBER(M1099)),N1099-M1099,"")</f>
        <v/>
      </c>
      <c r="P1099" s="7">
        <f>IF(AND(ISNUMBER(N1099),ISNUMBER(M1099),M1099&gt;0),(N1099-M1099)/M1099,"")</f>
        <v/>
      </c>
      <c r="Q1099" s="3">
        <f>IF(P1099="","",IF(P1099&lt;-0.02,"🔴 Bán phá giá sàn",IF(P1099&gt;0.05,"🔵 Bán cao hơn","🟢 Đúng giá sàn TMĐT")))</f>
        <v/>
      </c>
      <c r="R1099" s="3" t="n"/>
      <c r="S1099" s="4" t="n"/>
      <c r="T1099" s="4" t="n"/>
    </row>
    <row r="1100">
      <c r="A1100" s="3" t="n">
        <v>1099</v>
      </c>
      <c r="B1100" s="3" t="inlineStr">
        <is>
          <t>DL009</t>
        </is>
      </c>
      <c r="C1100" s="4" t="inlineStr">
        <is>
          <t>META</t>
        </is>
      </c>
      <c r="D1100" s="3" t="inlineStr">
        <is>
          <t>HN</t>
        </is>
      </c>
      <c r="E1100" s="3" t="inlineStr">
        <is>
          <t>ĐIỆP</t>
        </is>
      </c>
      <c r="F1100" s="3" t="inlineStr">
        <is>
          <t>Website bán hàng</t>
        </is>
      </c>
      <c r="G1100" s="4" t="inlineStr">
        <is>
          <t>SHOPEE: TIKTOK: LAZADA: WEBSITE BÁN HÀNG: https://meta.vn/</t>
        </is>
      </c>
      <c r="H1100" s="3" t="inlineStr">
        <is>
          <t>KV9</t>
        </is>
      </c>
      <c r="I1100" s="4" t="inlineStr">
        <is>
          <t>Bộ tuốc nơ vít điện tử KV9 - 11AT</t>
        </is>
      </c>
      <c r="J1100" s="3" t="inlineStr">
        <is>
          <t>Cái</t>
        </is>
      </c>
      <c r="K1100" s="5" t="n">
        <v>269000</v>
      </c>
      <c r="L1100" s="5" t="n">
        <v>317000</v>
      </c>
      <c r="M1100" s="6" t="n">
        <v>390000</v>
      </c>
      <c r="N1100" s="5" t="n"/>
      <c r="O1100" s="5">
        <f>IF(AND(ISNUMBER(N1100),ISNUMBER(M1100)),N1100-M1100,"")</f>
        <v/>
      </c>
      <c r="P1100" s="7">
        <f>IF(AND(ISNUMBER(N1100),ISNUMBER(M1100),M1100&gt;0),(N1100-M1100)/M1100,"")</f>
        <v/>
      </c>
      <c r="Q1100" s="3">
        <f>IF(P1100="","",IF(P1100&lt;-0.02,"🔴 Bán phá giá sàn",IF(P1100&gt;0.05,"🔵 Bán cao hơn","🟢 Đúng giá sàn TMĐT")))</f>
        <v/>
      </c>
      <c r="R1100" s="3" t="n"/>
      <c r="S1100" s="4" t="n"/>
      <c r="T1100" s="4" t="n"/>
    </row>
    <row r="1101">
      <c r="A1101" s="3" t="n">
        <v>1100</v>
      </c>
      <c r="B1101" s="3" t="inlineStr">
        <is>
          <t>DL009</t>
        </is>
      </c>
      <c r="C1101" s="4" t="inlineStr">
        <is>
          <t>META</t>
        </is>
      </c>
      <c r="D1101" s="3" t="inlineStr">
        <is>
          <t>HN</t>
        </is>
      </c>
      <c r="E1101" s="3" t="inlineStr">
        <is>
          <t>ĐIỆP</t>
        </is>
      </c>
      <c r="F1101" s="3" t="inlineStr">
        <is>
          <t>Website bán hàng</t>
        </is>
      </c>
      <c r="G1101" s="4" t="inlineStr">
        <is>
          <t>SHOPEE: TIKTOK: LAZADA: WEBSITE BÁN HÀNG: https://meta.vn/</t>
        </is>
      </c>
      <c r="H1101" s="3" t="inlineStr">
        <is>
          <t>KV10-13</t>
        </is>
      </c>
      <c r="I1101" s="4" t="inlineStr">
        <is>
          <t>Bộ tuvit đóng KV10-13</t>
        </is>
      </c>
      <c r="J1101" s="3" t="inlineStr">
        <is>
          <t>Cái</t>
        </is>
      </c>
      <c r="K1101" s="5" t="n">
        <v>269000</v>
      </c>
      <c r="L1101" s="5" t="n">
        <v>317000</v>
      </c>
      <c r="M1101" s="6" t="n">
        <v>390000</v>
      </c>
      <c r="N1101" s="5" t="n"/>
      <c r="O1101" s="5">
        <f>IF(AND(ISNUMBER(N1101),ISNUMBER(M1101)),N1101-M1101,"")</f>
        <v/>
      </c>
      <c r="P1101" s="7">
        <f>IF(AND(ISNUMBER(N1101),ISNUMBER(M1101),M1101&gt;0),(N1101-M1101)/M1101,"")</f>
        <v/>
      </c>
      <c r="Q1101" s="3">
        <f>IF(P1101="","",IF(P1101&lt;-0.02,"🔴 Bán phá giá sàn",IF(P1101&gt;0.05,"🔵 Bán cao hơn","🟢 Đúng giá sàn TMĐT")))</f>
        <v/>
      </c>
      <c r="R1101" s="3" t="n"/>
      <c r="S1101" s="4" t="n"/>
      <c r="T1101" s="4" t="n"/>
    </row>
    <row r="1102">
      <c r="A1102" s="3" t="n">
        <v>1101</v>
      </c>
      <c r="B1102" s="3" t="inlineStr">
        <is>
          <t>DL009</t>
        </is>
      </c>
      <c r="C1102" s="4" t="inlineStr">
        <is>
          <t>META</t>
        </is>
      </c>
      <c r="D1102" s="3" t="inlineStr">
        <is>
          <t>HN</t>
        </is>
      </c>
      <c r="E1102" s="3" t="inlineStr">
        <is>
          <t>ĐIỆP</t>
        </is>
      </c>
      <c r="F1102" s="3" t="inlineStr">
        <is>
          <t>Website bán hàng</t>
        </is>
      </c>
      <c r="G1102" s="4" t="inlineStr">
        <is>
          <t>SHOPEE: TIKTOK: LAZADA: WEBSITE BÁN HÀNG: https://meta.vn/</t>
        </is>
      </c>
      <c r="H1102" s="3" t="inlineStr">
        <is>
          <t>KLG-21</t>
        </is>
      </c>
      <c r="I1102" s="4" t="inlineStr">
        <is>
          <t>Bộ tuýp cần  tự động 21 chi tiết KLG-21</t>
        </is>
      </c>
      <c r="J1102" s="3" t="inlineStr">
        <is>
          <t>Cái</t>
        </is>
      </c>
      <c r="K1102" s="5" t="n">
        <v>269000</v>
      </c>
      <c r="L1102" s="5" t="n">
        <v>317000</v>
      </c>
      <c r="M1102" s="6" t="n">
        <v>390000</v>
      </c>
      <c r="N1102" s="5" t="n"/>
      <c r="O1102" s="5">
        <f>IF(AND(ISNUMBER(N1102),ISNUMBER(M1102)),N1102-M1102,"")</f>
        <v/>
      </c>
      <c r="P1102" s="7">
        <f>IF(AND(ISNUMBER(N1102),ISNUMBER(M1102),M1102&gt;0),(N1102-M1102)/M1102,"")</f>
        <v/>
      </c>
      <c r="Q1102" s="3">
        <f>IF(P1102="","",IF(P1102&lt;-0.02,"🔴 Bán phá giá sàn",IF(P1102&gt;0.05,"🔵 Bán cao hơn","🟢 Đúng giá sàn TMĐT")))</f>
        <v/>
      </c>
      <c r="R1102" s="3" t="n"/>
      <c r="S1102" s="4" t="n"/>
      <c r="T1102" s="4" t="n"/>
    </row>
    <row r="1103">
      <c r="A1103" s="3" t="n">
        <v>1102</v>
      </c>
      <c r="B1103" s="3" t="inlineStr">
        <is>
          <t>DL009</t>
        </is>
      </c>
      <c r="C1103" s="4" t="inlineStr">
        <is>
          <t>META</t>
        </is>
      </c>
      <c r="D1103" s="3" t="inlineStr">
        <is>
          <t>HN</t>
        </is>
      </c>
      <c r="E1103" s="3" t="inlineStr">
        <is>
          <t>ĐIỆP</t>
        </is>
      </c>
      <c r="F1103" s="3" t="inlineStr">
        <is>
          <t>Website bán hàng</t>
        </is>
      </c>
      <c r="G1103" s="4" t="inlineStr">
        <is>
          <t>SHOPEE: TIKTOK: LAZADA: WEBSITE BÁN HÀNG: https://meta.vn/</t>
        </is>
      </c>
      <c r="H1103" s="3" t="inlineStr">
        <is>
          <t>KLG12</t>
        </is>
      </c>
      <c r="I1103" s="4" t="inlineStr">
        <is>
          <t>Bộ tuýp cần tự động 12 chi tiết KLG12</t>
        </is>
      </c>
      <c r="J1103" s="3" t="inlineStr">
        <is>
          <t>Bộ</t>
        </is>
      </c>
      <c r="K1103" s="5" t="n">
        <v>424000</v>
      </c>
      <c r="L1103" s="5" t="n">
        <v>500000</v>
      </c>
      <c r="M1103" s="6" t="n">
        <v>615000</v>
      </c>
      <c r="N1103" s="5" t="n"/>
      <c r="O1103" s="5">
        <f>IF(AND(ISNUMBER(N1103),ISNUMBER(M1103)),N1103-M1103,"")</f>
        <v/>
      </c>
      <c r="P1103" s="7">
        <f>IF(AND(ISNUMBER(N1103),ISNUMBER(M1103),M1103&gt;0),(N1103-M1103)/M1103,"")</f>
        <v/>
      </c>
      <c r="Q1103" s="3">
        <f>IF(P1103="","",IF(P1103&lt;-0.02,"🔴 Bán phá giá sàn",IF(P1103&gt;0.05,"🔵 Bán cao hơn","🟢 Đúng giá sàn TMĐT")))</f>
        <v/>
      </c>
      <c r="R1103" s="3" t="n"/>
      <c r="S1103" s="4" t="n"/>
      <c r="T1103" s="4" t="n"/>
    </row>
    <row r="1104">
      <c r="A1104" s="3" t="n">
        <v>1103</v>
      </c>
      <c r="B1104" s="3" t="inlineStr">
        <is>
          <t>DL009</t>
        </is>
      </c>
      <c r="C1104" s="4" t="inlineStr">
        <is>
          <t>META</t>
        </is>
      </c>
      <c r="D1104" s="3" t="inlineStr">
        <is>
          <t>HN</t>
        </is>
      </c>
      <c r="E1104" s="3" t="inlineStr">
        <is>
          <t>ĐIỆP</t>
        </is>
      </c>
      <c r="F1104" s="3" t="inlineStr">
        <is>
          <t>Website bán hàng</t>
        </is>
      </c>
      <c r="G1104" s="4" t="inlineStr">
        <is>
          <t>SHOPEE: TIKTOK: LAZADA: WEBSITE BÁN HÀNG: https://meta.vn/</t>
        </is>
      </c>
      <c r="H1104" s="3" t="inlineStr">
        <is>
          <t>KLG-12S</t>
        </is>
      </c>
      <c r="I1104" s="4" t="inlineStr">
        <is>
          <t>Bộ tuýp cần tự động 12 chi tiết KLG-12S</t>
        </is>
      </c>
      <c r="J1104" s="3" t="inlineStr">
        <is>
          <t>Cái</t>
        </is>
      </c>
      <c r="K1104" s="5" t="n">
        <v>269000</v>
      </c>
      <c r="L1104" s="5" t="n">
        <v>317000</v>
      </c>
      <c r="M1104" s="6" t="n">
        <v>390000</v>
      </c>
      <c r="N1104" s="5" t="n"/>
      <c r="O1104" s="5">
        <f>IF(AND(ISNUMBER(N1104),ISNUMBER(M1104)),N1104-M1104,"")</f>
        <v/>
      </c>
      <c r="P1104" s="7">
        <f>IF(AND(ISNUMBER(N1104),ISNUMBER(M1104),M1104&gt;0),(N1104-M1104)/M1104,"")</f>
        <v/>
      </c>
      <c r="Q1104" s="3">
        <f>IF(P1104="","",IF(P1104&lt;-0.02,"🔴 Bán phá giá sàn",IF(P1104&gt;0.05,"🔵 Bán cao hơn","🟢 Đúng giá sàn TMĐT")))</f>
        <v/>
      </c>
      <c r="R1104" s="3" t="n"/>
      <c r="S1104" s="4" t="n"/>
      <c r="T1104" s="4" t="n"/>
    </row>
    <row r="1105">
      <c r="A1105" s="3" t="n">
        <v>1104</v>
      </c>
      <c r="B1105" s="3" t="inlineStr">
        <is>
          <t>DL009</t>
        </is>
      </c>
      <c r="C1105" s="4" t="inlineStr">
        <is>
          <t>META</t>
        </is>
      </c>
      <c r="D1105" s="3" t="inlineStr">
        <is>
          <t>HN</t>
        </is>
      </c>
      <c r="E1105" s="3" t="inlineStr">
        <is>
          <t>ĐIỆP</t>
        </is>
      </c>
      <c r="F1105" s="3" t="inlineStr">
        <is>
          <t>Website bán hàng</t>
        </is>
      </c>
      <c r="G1105" s="4" t="inlineStr">
        <is>
          <t>SHOPEE: TIKTOK: LAZADA: WEBSITE BÁN HÀNG: https://meta.vn/</t>
        </is>
      </c>
      <c r="H1105" s="3" t="inlineStr">
        <is>
          <t>KLG-24</t>
        </is>
      </c>
      <c r="I1105" s="4" t="inlineStr">
        <is>
          <t>Bộ tuýp cần tự động 24 chi tiết KLG-24</t>
        </is>
      </c>
      <c r="J1105" s="3" t="inlineStr">
        <is>
          <t>Cái</t>
        </is>
      </c>
      <c r="K1105" s="5" t="n">
        <v>269000</v>
      </c>
      <c r="L1105" s="5" t="n">
        <v>317000</v>
      </c>
      <c r="M1105" s="6" t="n">
        <v>390000</v>
      </c>
      <c r="N1105" s="5" t="n"/>
      <c r="O1105" s="5">
        <f>IF(AND(ISNUMBER(N1105),ISNUMBER(M1105)),N1105-M1105,"")</f>
        <v/>
      </c>
      <c r="P1105" s="7">
        <f>IF(AND(ISNUMBER(N1105),ISNUMBER(M1105),M1105&gt;0),(N1105-M1105)/M1105,"")</f>
        <v/>
      </c>
      <c r="Q1105" s="3">
        <f>IF(P1105="","",IF(P1105&lt;-0.02,"🔴 Bán phá giá sàn",IF(P1105&gt;0.05,"🔵 Bán cao hơn","🟢 Đúng giá sàn TMĐT")))</f>
        <v/>
      </c>
      <c r="R1105" s="3" t="n"/>
      <c r="S1105" s="4" t="n"/>
      <c r="T1105" s="4" t="n"/>
    </row>
    <row r="1106">
      <c r="A1106" s="3" t="n">
        <v>1105</v>
      </c>
      <c r="B1106" s="3" t="inlineStr">
        <is>
          <t>DL009</t>
        </is>
      </c>
      <c r="C1106" s="4" t="inlineStr">
        <is>
          <t>META</t>
        </is>
      </c>
      <c r="D1106" s="3" t="inlineStr">
        <is>
          <t>HN</t>
        </is>
      </c>
      <c r="E1106" s="3" t="inlineStr">
        <is>
          <t>ĐIỆP</t>
        </is>
      </c>
      <c r="F1106" s="3" t="inlineStr">
        <is>
          <t>Website bán hàng</t>
        </is>
      </c>
      <c r="G1106" s="4" t="inlineStr">
        <is>
          <t>SHOPEE: TIKTOK: LAZADA: WEBSITE BÁN HÀNG: https://meta.vn/</t>
        </is>
      </c>
      <c r="H1106" s="3" t="inlineStr">
        <is>
          <t>KB-05X</t>
        </is>
      </c>
      <c r="I1106" s="4" t="inlineStr">
        <is>
          <t>Chân máy laser KB-05X</t>
        </is>
      </c>
      <c r="J1106" s="3" t="inlineStr">
        <is>
          <t>Cái</t>
        </is>
      </c>
      <c r="K1106" s="5" t="n">
        <v>1350000</v>
      </c>
      <c r="L1106" s="5" t="n">
        <v>1510000</v>
      </c>
      <c r="M1106" s="6" t="n">
        <v>1760000</v>
      </c>
      <c r="N1106" s="5" t="n"/>
      <c r="O1106" s="5">
        <f>IF(AND(ISNUMBER(N1106),ISNUMBER(M1106)),N1106-M1106,"")</f>
        <v/>
      </c>
      <c r="P1106" s="7">
        <f>IF(AND(ISNUMBER(N1106),ISNUMBER(M1106),M1106&gt;0),(N1106-M1106)/M1106,"")</f>
        <v/>
      </c>
      <c r="Q1106" s="3">
        <f>IF(P1106="","",IF(P1106&lt;-0.02,"🔴 Bán phá giá sàn",IF(P1106&gt;0.05,"🔵 Bán cao hơn","🟢 Đúng giá sàn TMĐT")))</f>
        <v/>
      </c>
      <c r="R1106" s="3" t="n"/>
      <c r="S1106" s="4" t="n"/>
      <c r="T1106" s="4" t="n"/>
    </row>
    <row r="1107">
      <c r="A1107" s="3" t="n">
        <v>1106</v>
      </c>
      <c r="B1107" s="3" t="inlineStr">
        <is>
          <t>DL009</t>
        </is>
      </c>
      <c r="C1107" s="4" t="inlineStr">
        <is>
          <t>META</t>
        </is>
      </c>
      <c r="D1107" s="3" t="inlineStr">
        <is>
          <t>HN</t>
        </is>
      </c>
      <c r="E1107" s="3" t="inlineStr">
        <is>
          <t>ĐIỆP</t>
        </is>
      </c>
      <c r="F1107" s="3" t="inlineStr">
        <is>
          <t>Website bán hàng</t>
        </is>
      </c>
      <c r="G1107" s="4" t="inlineStr">
        <is>
          <t>SHOPEE: TIKTOK: LAZADA: WEBSITE BÁN HÀNG: https://meta.vn/</t>
        </is>
      </c>
      <c r="H1107" s="3" t="inlineStr">
        <is>
          <t>KBA-I1800</t>
        </is>
      </c>
      <c r="I1107" s="4" t="inlineStr">
        <is>
          <t>Dây bố thép 10m - Phụ kiện máy rửa xe KBA-I1800</t>
        </is>
      </c>
      <c r="J1107" s="3" t="inlineStr">
        <is>
          <t>Cái</t>
        </is>
      </c>
      <c r="K1107" s="5" t="n">
        <v>269000</v>
      </c>
      <c r="L1107" s="5" t="n">
        <v>317000</v>
      </c>
      <c r="M1107" s="6" t="n">
        <v>390000</v>
      </c>
      <c r="N1107" s="5" t="n"/>
      <c r="O1107" s="5">
        <f>IF(AND(ISNUMBER(N1107),ISNUMBER(M1107)),N1107-M1107,"")</f>
        <v/>
      </c>
      <c r="P1107" s="7">
        <f>IF(AND(ISNUMBER(N1107),ISNUMBER(M1107),M1107&gt;0),(N1107-M1107)/M1107,"")</f>
        <v/>
      </c>
      <c r="Q1107" s="3">
        <f>IF(P1107="","",IF(P1107&lt;-0.02,"🔴 Bán phá giá sàn",IF(P1107&gt;0.05,"🔵 Bán cao hơn","🟢 Đúng giá sàn TMĐT")))</f>
        <v/>
      </c>
      <c r="R1107" s="3" t="n"/>
      <c r="S1107" s="4" t="n"/>
      <c r="T1107" s="4" t="n"/>
    </row>
    <row r="1108">
      <c r="A1108" s="3" t="n">
        <v>1107</v>
      </c>
      <c r="B1108" s="3" t="inlineStr">
        <is>
          <t>DL009</t>
        </is>
      </c>
      <c r="C1108" s="4" t="inlineStr">
        <is>
          <t>META</t>
        </is>
      </c>
      <c r="D1108" s="3" t="inlineStr">
        <is>
          <t>HN</t>
        </is>
      </c>
      <c r="E1108" s="3" t="inlineStr">
        <is>
          <t>ĐIỆP</t>
        </is>
      </c>
      <c r="F1108" s="3" t="inlineStr">
        <is>
          <t>Website bán hàng</t>
        </is>
      </c>
      <c r="G1108" s="4" t="inlineStr">
        <is>
          <t>SHOPEE: TIKTOK: LAZADA: WEBSITE BÁN HÀNG: https://meta.vn/</t>
        </is>
      </c>
      <c r="H1108" s="3" t="inlineStr">
        <is>
          <t>MINI20GKD</t>
        </is>
      </c>
      <c r="I1108" s="4" t="inlineStr">
        <is>
          <t>Đinh MINI20GKD</t>
        </is>
      </c>
      <c r="J1108" s="3" t="inlineStr">
        <is>
          <t>Cái</t>
        </is>
      </c>
      <c r="K1108" s="5" t="n">
        <v>269000</v>
      </c>
      <c r="L1108" s="5" t="n">
        <v>317000</v>
      </c>
      <c r="M1108" s="6" t="n">
        <v>390000</v>
      </c>
      <c r="N1108" s="5" t="n"/>
      <c r="O1108" s="5">
        <f>IF(AND(ISNUMBER(N1108),ISNUMBER(M1108)),N1108-M1108,"")</f>
        <v/>
      </c>
      <c r="P1108" s="7">
        <f>IF(AND(ISNUMBER(N1108),ISNUMBER(M1108),M1108&gt;0),(N1108-M1108)/M1108,"")</f>
        <v/>
      </c>
      <c r="Q1108" s="3">
        <f>IF(P1108="","",IF(P1108&lt;-0.02,"🔴 Bán phá giá sàn",IF(P1108&gt;0.05,"🔵 Bán cao hơn","🟢 Đúng giá sàn TMĐT")))</f>
        <v/>
      </c>
      <c r="R1108" s="3" t="n"/>
      <c r="S1108" s="4" t="n"/>
      <c r="T1108" s="4" t="n"/>
    </row>
    <row r="1109">
      <c r="A1109" s="3" t="n">
        <v>1108</v>
      </c>
      <c r="B1109" s="3" t="inlineStr">
        <is>
          <t>DL009</t>
        </is>
      </c>
      <c r="C1109" s="4" t="inlineStr">
        <is>
          <t>META</t>
        </is>
      </c>
      <c r="D1109" s="3" t="inlineStr">
        <is>
          <t>HN</t>
        </is>
      </c>
      <c r="E1109" s="3" t="inlineStr">
        <is>
          <t>ĐIỆP</t>
        </is>
      </c>
      <c r="F1109" s="3" t="inlineStr">
        <is>
          <t>Website bán hàng</t>
        </is>
      </c>
      <c r="G1109" s="4" t="inlineStr">
        <is>
          <t>SHOPEE: TIKTOK: LAZADA: WEBSITE BÁN HÀNG: https://meta.vn/</t>
        </is>
      </c>
      <c r="H1109" s="3" t="inlineStr"/>
      <c r="I1109" s="4" t="inlineStr">
        <is>
          <t>Đinh MINIGJD</t>
        </is>
      </c>
      <c r="J1109" s="3" t="inlineStr">
        <is>
          <t>Cái</t>
        </is>
      </c>
      <c r="K1109" s="5" t="n">
        <v>269000</v>
      </c>
      <c r="L1109" s="5" t="n">
        <v>317000</v>
      </c>
      <c r="M1109" s="6" t="n">
        <v>390000</v>
      </c>
      <c r="N1109" s="5" t="n"/>
      <c r="O1109" s="5">
        <f>IF(AND(ISNUMBER(N1109),ISNUMBER(M1109)),N1109-M1109,"")</f>
        <v/>
      </c>
      <c r="P1109" s="7">
        <f>IF(AND(ISNUMBER(N1109),ISNUMBER(M1109),M1109&gt;0),(N1109-M1109)/M1109,"")</f>
        <v/>
      </c>
      <c r="Q1109" s="3">
        <f>IF(P1109="","",IF(P1109&lt;-0.02,"🔴 Bán phá giá sàn",IF(P1109&gt;0.05,"🔵 Bán cao hơn","🟢 Đúng giá sàn TMĐT")))</f>
        <v/>
      </c>
      <c r="R1109" s="3" t="n"/>
      <c r="S1109" s="4" t="n"/>
      <c r="T1109" s="4" t="n"/>
    </row>
    <row r="1110">
      <c r="A1110" s="3" t="n">
        <v>1109</v>
      </c>
      <c r="B1110" s="3" t="inlineStr">
        <is>
          <t>DL009</t>
        </is>
      </c>
      <c r="C1110" s="4" t="inlineStr">
        <is>
          <t>META</t>
        </is>
      </c>
      <c r="D1110" s="3" t="inlineStr">
        <is>
          <t>HN</t>
        </is>
      </c>
      <c r="E1110" s="3" t="inlineStr">
        <is>
          <t>ĐIỆP</t>
        </is>
      </c>
      <c r="F1110" s="3" t="inlineStr">
        <is>
          <t>Website bán hàng</t>
        </is>
      </c>
      <c r="G1110" s="4" t="inlineStr">
        <is>
          <t>SHOPEE: TIKTOK: LAZADA: WEBSITE BÁN HÀNG: https://meta.vn/</t>
        </is>
      </c>
      <c r="H1110" s="3" t="inlineStr"/>
      <c r="I1110" s="4" t="inlineStr">
        <is>
          <t>Đinh MINISFD</t>
        </is>
      </c>
      <c r="J1110" s="3" t="inlineStr">
        <is>
          <t>Cái</t>
        </is>
      </c>
      <c r="K1110" s="5" t="n">
        <v>269000</v>
      </c>
      <c r="L1110" s="5" t="n">
        <v>317000</v>
      </c>
      <c r="M1110" s="6" t="n">
        <v>390000</v>
      </c>
      <c r="N1110" s="5" t="n"/>
      <c r="O1110" s="5">
        <f>IF(AND(ISNUMBER(N1110),ISNUMBER(M1110)),N1110-M1110,"")</f>
        <v/>
      </c>
      <c r="P1110" s="7">
        <f>IF(AND(ISNUMBER(N1110),ISNUMBER(M1110),M1110&gt;0),(N1110-M1110)/M1110,"")</f>
        <v/>
      </c>
      <c r="Q1110" s="3">
        <f>IF(P1110="","",IF(P1110&lt;-0.02,"🔴 Bán phá giá sàn",IF(P1110&gt;0.05,"🔵 Bán cao hơn","🟢 Đúng giá sàn TMĐT")))</f>
        <v/>
      </c>
      <c r="R1110" s="3" t="n"/>
      <c r="S1110" s="4" t="n"/>
      <c r="T1110" s="4" t="n"/>
    </row>
    <row r="1111">
      <c r="A1111" s="3" t="n">
        <v>1110</v>
      </c>
      <c r="B1111" s="3" t="inlineStr">
        <is>
          <t>DL009</t>
        </is>
      </c>
      <c r="C1111" s="4" t="inlineStr">
        <is>
          <t>META</t>
        </is>
      </c>
      <c r="D1111" s="3" t="inlineStr">
        <is>
          <t>HN</t>
        </is>
      </c>
      <c r="E1111" s="3" t="inlineStr">
        <is>
          <t>ĐIỆP</t>
        </is>
      </c>
      <c r="F1111" s="3" t="inlineStr">
        <is>
          <t>Website bán hàng</t>
        </is>
      </c>
      <c r="G1111" s="4" t="inlineStr">
        <is>
          <t>SHOPEE: TIKTOK: LAZADA: WEBSITE BÁN HÀNG: https://meta.vn/</t>
        </is>
      </c>
      <c r="H1111" s="3" t="inlineStr">
        <is>
          <t>KBE-BL2816</t>
        </is>
      </c>
      <c r="I1111" s="4" t="inlineStr">
        <is>
          <t>Kéo cắt cành pin KBE-BL2816</t>
        </is>
      </c>
      <c r="J1111" s="3" t="inlineStr">
        <is>
          <t>Cái</t>
        </is>
      </c>
      <c r="K1111" s="5" t="n">
        <v>1600000</v>
      </c>
      <c r="L1111" s="5" t="n">
        <v>1760000</v>
      </c>
      <c r="M1111" s="6" t="n">
        <v>2000000</v>
      </c>
      <c r="N1111" s="5" t="n"/>
      <c r="O1111" s="5">
        <f>IF(AND(ISNUMBER(N1111),ISNUMBER(M1111)),N1111-M1111,"")</f>
        <v/>
      </c>
      <c r="P1111" s="7">
        <f>IF(AND(ISNUMBER(N1111),ISNUMBER(M1111),M1111&gt;0),(N1111-M1111)/M1111,"")</f>
        <v/>
      </c>
      <c r="Q1111" s="3">
        <f>IF(P1111="","",IF(P1111&lt;-0.02,"🔴 Bán phá giá sàn",IF(P1111&gt;0.05,"🔵 Bán cao hơn","🟢 Đúng giá sàn TMĐT")))</f>
        <v/>
      </c>
      <c r="R1111" s="3" t="n"/>
      <c r="S1111" s="4" t="n"/>
      <c r="T1111" s="4" t="n"/>
    </row>
    <row r="1112">
      <c r="A1112" s="3" t="n">
        <v>1111</v>
      </c>
      <c r="B1112" s="3" t="inlineStr">
        <is>
          <t>DL009</t>
        </is>
      </c>
      <c r="C1112" s="4" t="inlineStr">
        <is>
          <t>META</t>
        </is>
      </c>
      <c r="D1112" s="3" t="inlineStr">
        <is>
          <t>HN</t>
        </is>
      </c>
      <c r="E1112" s="3" t="inlineStr">
        <is>
          <t>ĐIỆP</t>
        </is>
      </c>
      <c r="F1112" s="3" t="inlineStr">
        <is>
          <t>Website bán hàng</t>
        </is>
      </c>
      <c r="G1112" s="4" t="inlineStr">
        <is>
          <t>SHOPEE: TIKTOK: LAZADA: WEBSITE BÁN HÀNG: https://meta.vn/</t>
        </is>
      </c>
      <c r="H1112" s="3" t="inlineStr">
        <is>
          <t>KB-16XV</t>
        </is>
      </c>
      <c r="I1112" s="4" t="inlineStr">
        <is>
          <t>Máy cân bằng 16 tia KB-16XV</t>
        </is>
      </c>
      <c r="J1112" s="3" t="inlineStr">
        <is>
          <t>Cái</t>
        </is>
      </c>
      <c r="K1112" s="5" t="n">
        <v>2560000</v>
      </c>
      <c r="L1112" s="5" t="n">
        <v>2870000</v>
      </c>
      <c r="M1112" s="6" t="n">
        <v>3330000</v>
      </c>
      <c r="N1112" s="5" t="n"/>
      <c r="O1112" s="5">
        <f>IF(AND(ISNUMBER(N1112),ISNUMBER(M1112)),N1112-M1112,"")</f>
        <v/>
      </c>
      <c r="P1112" s="7">
        <f>IF(AND(ISNUMBER(N1112),ISNUMBER(M1112),M1112&gt;0),(N1112-M1112)/M1112,"")</f>
        <v/>
      </c>
      <c r="Q1112" s="3">
        <f>IF(P1112="","",IF(P1112&lt;-0.02,"🔴 Bán phá giá sàn",IF(P1112&gt;0.05,"🔵 Bán cao hơn","🟢 Đúng giá sàn TMĐT")))</f>
        <v/>
      </c>
      <c r="R1112" s="3" t="n"/>
      <c r="S1112" s="4" t="n"/>
      <c r="T1112" s="4" t="n"/>
    </row>
    <row r="1113">
      <c r="A1113" s="3" t="n">
        <v>1112</v>
      </c>
      <c r="B1113" s="3" t="inlineStr">
        <is>
          <t>DL009</t>
        </is>
      </c>
      <c r="C1113" s="4" t="inlineStr">
        <is>
          <t>META</t>
        </is>
      </c>
      <c r="D1113" s="3" t="inlineStr">
        <is>
          <t>HN</t>
        </is>
      </c>
      <c r="E1113" s="3" t="inlineStr">
        <is>
          <t>ĐIỆP</t>
        </is>
      </c>
      <c r="F1113" s="3" t="inlineStr">
        <is>
          <t>Website bán hàng</t>
        </is>
      </c>
      <c r="G1113" s="4" t="inlineStr">
        <is>
          <t>SHOPEE: TIKTOK: LAZADA: WEBSITE BÁN HÀNG: https://meta.vn/</t>
        </is>
      </c>
      <c r="H1113" s="3" t="inlineStr">
        <is>
          <t>KB-02X</t>
        </is>
      </c>
      <c r="I1113" s="4" t="inlineStr">
        <is>
          <t>Máy cân bằng KB-02X</t>
        </is>
      </c>
      <c r="J1113" s="3" t="inlineStr">
        <is>
          <t>Cái</t>
        </is>
      </c>
      <c r="K1113" s="5" t="n">
        <v>700000</v>
      </c>
      <c r="L1113" s="5" t="n">
        <v>780000</v>
      </c>
      <c r="M1113" s="6" t="n">
        <v>910000</v>
      </c>
      <c r="N1113" s="5" t="n"/>
      <c r="O1113" s="5">
        <f>IF(AND(ISNUMBER(N1113),ISNUMBER(M1113)),N1113-M1113,"")</f>
        <v/>
      </c>
      <c r="P1113" s="7">
        <f>IF(AND(ISNUMBER(N1113),ISNUMBER(M1113),M1113&gt;0),(N1113-M1113)/M1113,"")</f>
        <v/>
      </c>
      <c r="Q1113" s="3">
        <f>IF(P1113="","",IF(P1113&lt;-0.02,"🔴 Bán phá giá sàn",IF(P1113&gt;0.05,"🔵 Bán cao hơn","🟢 Đúng giá sàn TMĐT")))</f>
        <v/>
      </c>
      <c r="R1113" s="3" t="n"/>
      <c r="S1113" s="4" t="n"/>
      <c r="T1113" s="4" t="n"/>
    </row>
    <row r="1114">
      <c r="A1114" s="3" t="n">
        <v>1113</v>
      </c>
      <c r="B1114" s="3" t="inlineStr">
        <is>
          <t>DL009</t>
        </is>
      </c>
      <c r="C1114" s="4" t="inlineStr">
        <is>
          <t>META</t>
        </is>
      </c>
      <c r="D1114" s="3" t="inlineStr">
        <is>
          <t>HN</t>
        </is>
      </c>
      <c r="E1114" s="3" t="inlineStr">
        <is>
          <t>ĐIỆP</t>
        </is>
      </c>
      <c r="F1114" s="3" t="inlineStr">
        <is>
          <t>Website bán hàng</t>
        </is>
      </c>
      <c r="G1114" s="4" t="inlineStr">
        <is>
          <t>SHOPEE: TIKTOK: LAZADA: WEBSITE BÁN HÀNG: https://meta.vn/</t>
        </is>
      </c>
      <c r="H1114" s="3" t="inlineStr">
        <is>
          <t>KB-05XS</t>
        </is>
      </c>
      <c r="I1114" s="4" t="inlineStr">
        <is>
          <t>Máy cân bằng KB-05XS</t>
        </is>
      </c>
      <c r="J1114" s="3" t="inlineStr">
        <is>
          <t>Cái</t>
        </is>
      </c>
      <c r="K1114" s="5" t="n">
        <v>2090000</v>
      </c>
      <c r="L1114" s="5" t="n">
        <v>2340000</v>
      </c>
      <c r="M1114" s="6" t="n">
        <v>2720000</v>
      </c>
      <c r="N1114" s="5" t="n"/>
      <c r="O1114" s="5">
        <f>IF(AND(ISNUMBER(N1114),ISNUMBER(M1114)),N1114-M1114,"")</f>
        <v/>
      </c>
      <c r="P1114" s="7">
        <f>IF(AND(ISNUMBER(N1114),ISNUMBER(M1114),M1114&gt;0),(N1114-M1114)/M1114,"")</f>
        <v/>
      </c>
      <c r="Q1114" s="3">
        <f>IF(P1114="","",IF(P1114&lt;-0.02,"🔴 Bán phá giá sàn",IF(P1114&gt;0.05,"🔵 Bán cao hơn","🟢 Đúng giá sàn TMĐT")))</f>
        <v/>
      </c>
      <c r="R1114" s="3" t="n"/>
      <c r="S1114" s="4" t="n"/>
      <c r="T1114" s="4" t="n"/>
    </row>
    <row r="1115">
      <c r="A1115" s="3" t="n">
        <v>1114</v>
      </c>
      <c r="B1115" s="3" t="inlineStr">
        <is>
          <t>DL009</t>
        </is>
      </c>
      <c r="C1115" s="4" t="inlineStr">
        <is>
          <t>META</t>
        </is>
      </c>
      <c r="D1115" s="3" t="inlineStr">
        <is>
          <t>HN</t>
        </is>
      </c>
      <c r="E1115" s="3" t="inlineStr">
        <is>
          <t>ĐIỆP</t>
        </is>
      </c>
      <c r="F1115" s="3" t="inlineStr">
        <is>
          <t>Website bán hàng</t>
        </is>
      </c>
      <c r="G1115" s="4" t="inlineStr">
        <is>
          <t>SHOPEE: TIKTOK: LAZADA: WEBSITE BÁN HÀNG: https://meta.vn/</t>
        </is>
      </c>
      <c r="H1115" s="3" t="inlineStr">
        <is>
          <t>KB20QF</t>
        </is>
      </c>
      <c r="I1115" s="4" t="inlineStr">
        <is>
          <t>Máy Khoan Bê Tông 20V KB20QF</t>
        </is>
      </c>
      <c r="J1115" s="3" t="inlineStr">
        <is>
          <t>Cái</t>
        </is>
      </c>
      <c r="K1115" s="5" t="n">
        <v>2110000</v>
      </c>
      <c r="L1115" s="5" t="n">
        <v>2320000</v>
      </c>
      <c r="M1115" s="6" t="n">
        <v>2640000</v>
      </c>
      <c r="N1115" s="5" t="n"/>
      <c r="O1115" s="5">
        <f>IF(AND(ISNUMBER(N1115),ISNUMBER(M1115)),N1115-M1115,"")</f>
        <v/>
      </c>
      <c r="P1115" s="7">
        <f>IF(AND(ISNUMBER(N1115),ISNUMBER(M1115),M1115&gt;0),(N1115-M1115)/M1115,"")</f>
        <v/>
      </c>
      <c r="Q1115" s="3">
        <f>IF(P1115="","",IF(P1115&lt;-0.02,"🔴 Bán phá giá sàn",IF(P1115&gt;0.05,"🔵 Bán cao hơn","🟢 Đúng giá sàn TMĐT")))</f>
        <v/>
      </c>
      <c r="R1115" s="3" t="n"/>
      <c r="S1115" s="4" t="n"/>
      <c r="T1115" s="4" t="n"/>
    </row>
    <row r="1116">
      <c r="A1116" s="3" t="n">
        <v>1115</v>
      </c>
      <c r="B1116" s="3" t="inlineStr">
        <is>
          <t>DL009</t>
        </is>
      </c>
      <c r="C1116" s="4" t="inlineStr">
        <is>
          <t>META</t>
        </is>
      </c>
      <c r="D1116" s="3" t="inlineStr">
        <is>
          <t>HN</t>
        </is>
      </c>
      <c r="E1116" s="3" t="inlineStr">
        <is>
          <t>ĐIỆP</t>
        </is>
      </c>
      <c r="F1116" s="3" t="inlineStr">
        <is>
          <t>Website bán hàng</t>
        </is>
      </c>
      <c r="G1116" s="4" t="inlineStr">
        <is>
          <t>SHOPEE: TIKTOK: LAZADA: WEBSITE BÁN HÀNG: https://meta.vn/</t>
        </is>
      </c>
      <c r="H1116" s="3" t="inlineStr">
        <is>
          <t>KBA-U1200</t>
        </is>
      </c>
      <c r="I1116" s="4" t="inlineStr">
        <is>
          <t>Máy rửa xe KBA-U1200</t>
        </is>
      </c>
      <c r="J1116" s="3" t="inlineStr">
        <is>
          <t>Cái</t>
        </is>
      </c>
      <c r="K1116" s="5" t="n">
        <v>1100000</v>
      </c>
      <c r="L1116" s="5" t="n">
        <v>1230000</v>
      </c>
      <c r="M1116" s="6" t="n">
        <v>1430000</v>
      </c>
      <c r="N1116" s="5" t="n"/>
      <c r="O1116" s="5">
        <f>IF(AND(ISNUMBER(N1116),ISNUMBER(M1116)),N1116-M1116,"")</f>
        <v/>
      </c>
      <c r="P1116" s="7">
        <f>IF(AND(ISNUMBER(N1116),ISNUMBER(M1116),M1116&gt;0),(N1116-M1116)/M1116,"")</f>
        <v/>
      </c>
      <c r="Q1116" s="3">
        <f>IF(P1116="","",IF(P1116&lt;-0.02,"🔴 Bán phá giá sàn",IF(P1116&gt;0.05,"🔵 Bán cao hơn","🟢 Đúng giá sàn TMĐT")))</f>
        <v/>
      </c>
      <c r="R1116" s="3" t="n"/>
      <c r="S1116" s="4" t="n"/>
      <c r="T1116" s="4" t="n"/>
    </row>
    <row r="1117">
      <c r="A1117" s="3" t="n">
        <v>1116</v>
      </c>
      <c r="B1117" s="3" t="inlineStr">
        <is>
          <t>DL009</t>
        </is>
      </c>
      <c r="C1117" s="4" t="inlineStr">
        <is>
          <t>META</t>
        </is>
      </c>
      <c r="D1117" s="3" t="inlineStr">
        <is>
          <t>HN</t>
        </is>
      </c>
      <c r="E1117" s="3" t="inlineStr">
        <is>
          <t>ĐIỆP</t>
        </is>
      </c>
      <c r="F1117" s="3" t="inlineStr">
        <is>
          <t>Website bán hàng</t>
        </is>
      </c>
      <c r="G1117" s="4" t="inlineStr">
        <is>
          <t>SHOPEE: TIKTOK: LAZADA: WEBSITE BÁN HÀNG: https://meta.vn/</t>
        </is>
      </c>
      <c r="H1117" s="3" t="inlineStr">
        <is>
          <t>KBC-I1800</t>
        </is>
      </c>
      <c r="I1117" s="4" t="inlineStr">
        <is>
          <t>Máy rửa xe KBC-I1800</t>
        </is>
      </c>
      <c r="J1117" s="3" t="inlineStr">
        <is>
          <t>Cái</t>
        </is>
      </c>
      <c r="K1117" s="5" t="n">
        <v>3120000</v>
      </c>
      <c r="L1117" s="5" t="n">
        <v>3490000</v>
      </c>
      <c r="M1117" s="6" t="n">
        <v>4060000</v>
      </c>
      <c r="N1117" s="5" t="n"/>
      <c r="O1117" s="5">
        <f>IF(AND(ISNUMBER(N1117),ISNUMBER(M1117)),N1117-M1117,"")</f>
        <v/>
      </c>
      <c r="P1117" s="7">
        <f>IF(AND(ISNUMBER(N1117),ISNUMBER(M1117),M1117&gt;0),(N1117-M1117)/M1117,"")</f>
        <v/>
      </c>
      <c r="Q1117" s="3">
        <f>IF(P1117="","",IF(P1117&lt;-0.02,"🔴 Bán phá giá sàn",IF(P1117&gt;0.05,"🔵 Bán cao hơn","🟢 Đúng giá sàn TMĐT")))</f>
        <v/>
      </c>
      <c r="R1117" s="3" t="n"/>
      <c r="S1117" s="4" t="n"/>
      <c r="T1117" s="4" t="n"/>
    </row>
    <row r="1118">
      <c r="A1118" s="3" t="n">
        <v>1117</v>
      </c>
      <c r="B1118" s="3" t="inlineStr">
        <is>
          <t>DL009</t>
        </is>
      </c>
      <c r="C1118" s="4" t="inlineStr">
        <is>
          <t>META</t>
        </is>
      </c>
      <c r="D1118" s="3" t="inlineStr">
        <is>
          <t>HN</t>
        </is>
      </c>
      <c r="E1118" s="3" t="inlineStr">
        <is>
          <t>ĐIỆP</t>
        </is>
      </c>
      <c r="F1118" s="3" t="inlineStr">
        <is>
          <t>Website bán hàng</t>
        </is>
      </c>
      <c r="G1118" s="4" t="inlineStr">
        <is>
          <t>SHOPEE: TIKTOK: LAZADA: WEBSITE BÁN HÀNG: https://meta.vn/</t>
        </is>
      </c>
      <c r="H1118" s="3" t="inlineStr">
        <is>
          <t>KM18-HR1</t>
        </is>
      </c>
      <c r="I1118" s="4" t="inlineStr">
        <is>
          <t>Máy rung ốp lát gạch KM18-HR1</t>
        </is>
      </c>
      <c r="J1118" s="3" t="inlineStr">
        <is>
          <t>Cái</t>
        </is>
      </c>
      <c r="K1118" s="5" t="n">
        <v>269000</v>
      </c>
      <c r="L1118" s="5" t="n">
        <v>317000</v>
      </c>
      <c r="M1118" s="6" t="n">
        <v>390000</v>
      </c>
      <c r="N1118" s="5" t="n"/>
      <c r="O1118" s="5">
        <f>IF(AND(ISNUMBER(N1118),ISNUMBER(M1118)),N1118-M1118,"")</f>
        <v/>
      </c>
      <c r="P1118" s="7">
        <f>IF(AND(ISNUMBER(N1118),ISNUMBER(M1118),M1118&gt;0),(N1118-M1118)/M1118,"")</f>
        <v/>
      </c>
      <c r="Q1118" s="3">
        <f>IF(P1118="","",IF(P1118&lt;-0.02,"🔴 Bán phá giá sàn",IF(P1118&gt;0.05,"🔵 Bán cao hơn","🟢 Đúng giá sàn TMĐT")))</f>
        <v/>
      </c>
      <c r="R1118" s="3" t="n"/>
      <c r="S1118" s="4" t="n"/>
      <c r="T1118" s="4" t="n"/>
    </row>
    <row r="1119">
      <c r="A1119" s="3" t="n">
        <v>1118</v>
      </c>
      <c r="B1119" s="3" t="inlineStr">
        <is>
          <t>DL009</t>
        </is>
      </c>
      <c r="C1119" s="4" t="inlineStr">
        <is>
          <t>META</t>
        </is>
      </c>
      <c r="D1119" s="3" t="inlineStr">
        <is>
          <t>HN</t>
        </is>
      </c>
      <c r="E1119" s="3" t="inlineStr">
        <is>
          <t>ĐIỆP</t>
        </is>
      </c>
      <c r="F1119" s="3" t="inlineStr">
        <is>
          <t>Website bán hàng</t>
        </is>
      </c>
      <c r="G1119" s="4" t="inlineStr">
        <is>
          <t>SHOPEE: TIKTOK: LAZADA: WEBSITE BÁN HÀNG: https://meta.vn/</t>
        </is>
      </c>
      <c r="H1119" s="3" t="inlineStr">
        <is>
          <t>KM18SD</t>
        </is>
      </c>
      <c r="I1119" s="4" t="inlineStr">
        <is>
          <t>Máy Siết Bulon 18V KM18SD</t>
        </is>
      </c>
      <c r="J1119" s="3" t="inlineStr">
        <is>
          <t>Cái</t>
        </is>
      </c>
      <c r="K1119" s="5" t="n">
        <v>1690000</v>
      </c>
      <c r="L1119" s="5" t="n">
        <v>1860000</v>
      </c>
      <c r="M1119" s="6" t="n">
        <v>2120000</v>
      </c>
      <c r="N1119" s="5" t="n"/>
      <c r="O1119" s="5">
        <f>IF(AND(ISNUMBER(N1119),ISNUMBER(M1119)),N1119-M1119,"")</f>
        <v/>
      </c>
      <c r="P1119" s="7">
        <f>IF(AND(ISNUMBER(N1119),ISNUMBER(M1119),M1119&gt;0),(N1119-M1119)/M1119,"")</f>
        <v/>
      </c>
      <c r="Q1119" s="3">
        <f>IF(P1119="","",IF(P1119&lt;-0.02,"🔴 Bán phá giá sàn",IF(P1119&gt;0.05,"🔵 Bán cao hơn","🟢 Đúng giá sàn TMĐT")))</f>
        <v/>
      </c>
      <c r="R1119" s="3" t="n"/>
      <c r="S1119" s="4" t="n"/>
      <c r="T1119" s="4" t="n"/>
    </row>
    <row r="1120">
      <c r="A1120" s="3" t="n">
        <v>1119</v>
      </c>
      <c r="B1120" s="3" t="inlineStr">
        <is>
          <t>DL009</t>
        </is>
      </c>
      <c r="C1120" s="4" t="inlineStr">
        <is>
          <t>META</t>
        </is>
      </c>
      <c r="D1120" s="3" t="inlineStr">
        <is>
          <t>HN</t>
        </is>
      </c>
      <c r="E1120" s="3" t="inlineStr">
        <is>
          <t>ĐIỆP</t>
        </is>
      </c>
      <c r="F1120" s="3" t="inlineStr">
        <is>
          <t>Website bán hàng</t>
        </is>
      </c>
      <c r="G1120" s="4" t="inlineStr">
        <is>
          <t>SHOPEE: TIKTOK: LAZADA: WEBSITE BÁN HÀNG: https://meta.vn/</t>
        </is>
      </c>
      <c r="H1120" s="3" t="inlineStr"/>
      <c r="I1120" s="4" t="inlineStr">
        <is>
          <t>Mũi đục bê tông KBVd-30*420*37</t>
        </is>
      </c>
      <c r="J1120" s="3" t="inlineStr">
        <is>
          <t>Cái</t>
        </is>
      </c>
      <c r="K1120" s="5" t="n">
        <v>269000</v>
      </c>
      <c r="L1120" s="5" t="n">
        <v>317000</v>
      </c>
      <c r="M1120" s="6" t="n">
        <v>390000</v>
      </c>
      <c r="N1120" s="5" t="n"/>
      <c r="O1120" s="5">
        <f>IF(AND(ISNUMBER(N1120),ISNUMBER(M1120)),N1120-M1120,"")</f>
        <v/>
      </c>
      <c r="P1120" s="7">
        <f>IF(AND(ISNUMBER(N1120),ISNUMBER(M1120),M1120&gt;0),(N1120-M1120)/M1120,"")</f>
        <v/>
      </c>
      <c r="Q1120" s="3">
        <f>IF(P1120="","",IF(P1120&lt;-0.02,"🔴 Bán phá giá sàn",IF(P1120&gt;0.05,"🔵 Bán cao hơn","🟢 Đúng giá sàn TMĐT")))</f>
        <v/>
      </c>
      <c r="R1120" s="3" t="n"/>
      <c r="S1120" s="4" t="n"/>
      <c r="T1120" s="4" t="n"/>
    </row>
    <row r="1121">
      <c r="A1121" s="3" t="n">
        <v>1120</v>
      </c>
      <c r="B1121" s="3" t="inlineStr">
        <is>
          <t>DL009</t>
        </is>
      </c>
      <c r="C1121" s="4" t="inlineStr">
        <is>
          <t>META</t>
        </is>
      </c>
      <c r="D1121" s="3" t="inlineStr">
        <is>
          <t>HN</t>
        </is>
      </c>
      <c r="E1121" s="3" t="inlineStr">
        <is>
          <t>ĐIỆP</t>
        </is>
      </c>
      <c r="F1121" s="3" t="inlineStr">
        <is>
          <t>Website bán hàng</t>
        </is>
      </c>
      <c r="G1121" s="4" t="inlineStr">
        <is>
          <t>SHOPEE: TIKTOK: LAZADA: WEBSITE BÁN HÀNG: https://meta.vn/</t>
        </is>
      </c>
      <c r="H1121" s="3" t="inlineStr">
        <is>
          <t>KBL2-08160</t>
        </is>
      </c>
      <c r="I1121" s="4" t="inlineStr">
        <is>
          <t>Mũi khoan bê tông gài 2 cạnh KBL2-08*160</t>
        </is>
      </c>
      <c r="J1121" s="3" t="inlineStr">
        <is>
          <t>Cái</t>
        </is>
      </c>
      <c r="K1121" s="5" t="n">
        <v>25000</v>
      </c>
      <c r="L1121" s="5" t="n">
        <v>31000</v>
      </c>
      <c r="M1121" s="6" t="n">
        <v>39000</v>
      </c>
      <c r="N1121" s="5" t="n"/>
      <c r="O1121" s="5">
        <f>IF(AND(ISNUMBER(N1121),ISNUMBER(M1121)),N1121-M1121,"")</f>
        <v/>
      </c>
      <c r="P1121" s="7">
        <f>IF(AND(ISNUMBER(N1121),ISNUMBER(M1121),M1121&gt;0),(N1121-M1121)/M1121,"")</f>
        <v/>
      </c>
      <c r="Q1121" s="3">
        <f>IF(P1121="","",IF(P1121&lt;-0.02,"🔴 Bán phá giá sàn",IF(P1121&gt;0.05,"🔵 Bán cao hơn","🟢 Đúng giá sàn TMĐT")))</f>
        <v/>
      </c>
      <c r="R1121" s="3" t="n"/>
      <c r="S1121" s="4" t="n"/>
      <c r="T1121" s="4" t="n"/>
    </row>
    <row r="1122">
      <c r="A1122" s="3" t="n">
        <v>1121</v>
      </c>
      <c r="B1122" s="3" t="inlineStr">
        <is>
          <t>DL009</t>
        </is>
      </c>
      <c r="C1122" s="4" t="inlineStr">
        <is>
          <t>META</t>
        </is>
      </c>
      <c r="D1122" s="3" t="inlineStr">
        <is>
          <t>HN</t>
        </is>
      </c>
      <c r="E1122" s="3" t="inlineStr">
        <is>
          <t>ĐIỆP</t>
        </is>
      </c>
      <c r="F1122" s="3" t="inlineStr">
        <is>
          <t>Website bán hàng</t>
        </is>
      </c>
      <c r="G1122" s="4" t="inlineStr">
        <is>
          <t>SHOPEE: TIKTOK: LAZADA: WEBSITE BÁN HÀNG: https://meta.vn/</t>
        </is>
      </c>
      <c r="H1122" s="3" t="inlineStr">
        <is>
          <t>KBL2S-06160</t>
        </is>
      </c>
      <c r="I1122" s="4" t="inlineStr">
        <is>
          <t>Mũi khoan đa năng chuôi gài 2 cạnh KBL2S-06*160</t>
        </is>
      </c>
      <c r="J1122" s="3" t="inlineStr">
        <is>
          <t>Cái</t>
        </is>
      </c>
      <c r="K1122" s="5" t="n">
        <v>24000</v>
      </c>
      <c r="L1122" s="5" t="n">
        <v>30000</v>
      </c>
      <c r="M1122" s="6" t="n">
        <v>38000</v>
      </c>
      <c r="N1122" s="5" t="n"/>
      <c r="O1122" s="5">
        <f>IF(AND(ISNUMBER(N1122),ISNUMBER(M1122)),N1122-M1122,"")</f>
        <v/>
      </c>
      <c r="P1122" s="7">
        <f>IF(AND(ISNUMBER(N1122),ISNUMBER(M1122),M1122&gt;0),(N1122-M1122)/M1122,"")</f>
        <v/>
      </c>
      <c r="Q1122" s="3">
        <f>IF(P1122="","",IF(P1122&lt;-0.02,"🔴 Bán phá giá sàn",IF(P1122&gt;0.05,"🔵 Bán cao hơn","🟢 Đúng giá sàn TMĐT")))</f>
        <v/>
      </c>
      <c r="R1122" s="3" t="n"/>
      <c r="S1122" s="4" t="n"/>
      <c r="T1122" s="4" t="n"/>
    </row>
    <row r="1123">
      <c r="A1123" s="3" t="n">
        <v>1122</v>
      </c>
      <c r="B1123" s="3" t="inlineStr">
        <is>
          <t>DL009</t>
        </is>
      </c>
      <c r="C1123" s="4" t="inlineStr">
        <is>
          <t>META</t>
        </is>
      </c>
      <c r="D1123" s="3" t="inlineStr">
        <is>
          <t>HN</t>
        </is>
      </c>
      <c r="E1123" s="3" t="inlineStr">
        <is>
          <t>ĐIỆP</t>
        </is>
      </c>
      <c r="F1123" s="3" t="inlineStr">
        <is>
          <t>Website bán hàng</t>
        </is>
      </c>
      <c r="G1123" s="4" t="inlineStr">
        <is>
          <t>SHOPEE: TIKTOK: LAZADA: WEBSITE BÁN HÀNG: https://meta.vn/</t>
        </is>
      </c>
      <c r="H1123" s="3" t="inlineStr">
        <is>
          <t>B2040</t>
        </is>
      </c>
      <c r="I1123" s="4" t="inlineStr">
        <is>
          <t>Pin B2040</t>
        </is>
      </c>
      <c r="J1123" s="3" t="inlineStr">
        <is>
          <t>Cái</t>
        </is>
      </c>
      <c r="K1123" s="5" t="n">
        <v>660000</v>
      </c>
      <c r="L1123" s="5" t="n">
        <v>739000</v>
      </c>
      <c r="M1123" s="6" t="n">
        <v>858000</v>
      </c>
      <c r="N1123" s="5" t="n"/>
      <c r="O1123" s="5">
        <f>IF(AND(ISNUMBER(N1123),ISNUMBER(M1123)),N1123-M1123,"")</f>
        <v/>
      </c>
      <c r="P1123" s="7">
        <f>IF(AND(ISNUMBER(N1123),ISNUMBER(M1123),M1123&gt;0),(N1123-M1123)/M1123,"")</f>
        <v/>
      </c>
      <c r="Q1123" s="3">
        <f>IF(P1123="","",IF(P1123&lt;-0.02,"🔴 Bán phá giá sàn",IF(P1123&gt;0.05,"🔵 Bán cao hơn","🟢 Đúng giá sàn TMĐT")))</f>
        <v/>
      </c>
      <c r="R1123" s="3" t="n"/>
      <c r="S1123" s="4" t="n"/>
      <c r="T1123" s="4" t="n"/>
    </row>
    <row r="1124">
      <c r="A1124" s="3" t="n">
        <v>1123</v>
      </c>
      <c r="B1124" s="3" t="inlineStr">
        <is>
          <t>DL009</t>
        </is>
      </c>
      <c r="C1124" s="4" t="inlineStr">
        <is>
          <t>META</t>
        </is>
      </c>
      <c r="D1124" s="3" t="inlineStr">
        <is>
          <t>HN</t>
        </is>
      </c>
      <c r="E1124" s="3" t="inlineStr">
        <is>
          <t>ĐIỆP</t>
        </is>
      </c>
      <c r="F1124" s="3" t="inlineStr">
        <is>
          <t>Website bán hàng</t>
        </is>
      </c>
      <c r="G1124" s="4" t="inlineStr">
        <is>
          <t>SHOPEE: TIKTOK: LAZADA: WEBSITE BÁN HÀNG: https://meta.vn/</t>
        </is>
      </c>
      <c r="H1124" s="3" t="inlineStr">
        <is>
          <t>B2050</t>
        </is>
      </c>
      <c r="I1124" s="4" t="inlineStr">
        <is>
          <t>Pin B2050</t>
        </is>
      </c>
      <c r="J1124" s="3" t="inlineStr">
        <is>
          <t>Cái</t>
        </is>
      </c>
      <c r="K1124" s="5" t="n">
        <v>858000</v>
      </c>
      <c r="L1124" s="5" t="n">
        <v>961000</v>
      </c>
      <c r="M1124" s="6" t="n">
        <v>1115000</v>
      </c>
      <c r="N1124" s="5" t="n"/>
      <c r="O1124" s="5">
        <f>IF(AND(ISNUMBER(N1124),ISNUMBER(M1124)),N1124-M1124,"")</f>
        <v/>
      </c>
      <c r="P1124" s="7">
        <f>IF(AND(ISNUMBER(N1124),ISNUMBER(M1124),M1124&gt;0),(N1124-M1124)/M1124,"")</f>
        <v/>
      </c>
      <c r="Q1124" s="3">
        <f>IF(P1124="","",IF(P1124&lt;-0.02,"🔴 Bán phá giá sàn",IF(P1124&gt;0.05,"🔵 Bán cao hơn","🟢 Đúng giá sàn TMĐT")))</f>
        <v/>
      </c>
      <c r="R1124" s="3" t="n"/>
      <c r="S1124" s="4" t="n"/>
      <c r="T1124" s="4" t="n"/>
    </row>
    <row r="1125">
      <c r="A1125" s="3" t="n">
        <v>1124</v>
      </c>
      <c r="B1125" s="3" t="inlineStr">
        <is>
          <t>DL009</t>
        </is>
      </c>
      <c r="C1125" s="4" t="inlineStr">
        <is>
          <t>META</t>
        </is>
      </c>
      <c r="D1125" s="3" t="inlineStr">
        <is>
          <t>HN</t>
        </is>
      </c>
      <c r="E1125" s="3" t="inlineStr">
        <is>
          <t>ĐIỆP</t>
        </is>
      </c>
      <c r="F1125" s="3" t="inlineStr">
        <is>
          <t>Website bán hàng</t>
        </is>
      </c>
      <c r="G1125" s="4" t="inlineStr">
        <is>
          <t>SHOPEE: TIKTOK: LAZADA: WEBSITE BÁN HÀNG: https://meta.vn/</t>
        </is>
      </c>
      <c r="H1125" s="3" t="inlineStr">
        <is>
          <t>M1840</t>
        </is>
      </c>
      <c r="I1125" s="4" t="inlineStr">
        <is>
          <t>Pin M1840</t>
        </is>
      </c>
      <c r="J1125" s="3" t="inlineStr">
        <is>
          <t>Cái</t>
        </is>
      </c>
      <c r="K1125" s="5" t="n">
        <v>825000</v>
      </c>
      <c r="L1125" s="5" t="n">
        <v>924000</v>
      </c>
      <c r="M1125" s="6" t="n">
        <v>1073000</v>
      </c>
      <c r="N1125" s="5" t="n"/>
      <c r="O1125" s="5">
        <f>IF(AND(ISNUMBER(N1125),ISNUMBER(M1125)),N1125-M1125,"")</f>
        <v/>
      </c>
      <c r="P1125" s="7">
        <f>IF(AND(ISNUMBER(N1125),ISNUMBER(M1125),M1125&gt;0),(N1125-M1125)/M1125,"")</f>
        <v/>
      </c>
      <c r="Q1125" s="3">
        <f>IF(P1125="","",IF(P1125&lt;-0.02,"🔴 Bán phá giá sàn",IF(P1125&gt;0.05,"🔵 Bán cao hơn","🟢 Đúng giá sàn TMĐT")))</f>
        <v/>
      </c>
      <c r="R1125" s="3" t="n"/>
      <c r="S1125" s="4" t="n"/>
      <c r="T1125" s="4" t="n"/>
    </row>
    <row r="1126">
      <c r="A1126" s="3" t="n">
        <v>1125</v>
      </c>
      <c r="B1126" s="3" t="inlineStr">
        <is>
          <t>DL009</t>
        </is>
      </c>
      <c r="C1126" s="4" t="inlineStr">
        <is>
          <t>META</t>
        </is>
      </c>
      <c r="D1126" s="3" t="inlineStr">
        <is>
          <t>HN</t>
        </is>
      </c>
      <c r="E1126" s="3" t="inlineStr">
        <is>
          <t>ĐIỆP</t>
        </is>
      </c>
      <c r="F1126" s="3" t="inlineStr">
        <is>
          <t>Website bán hàng</t>
        </is>
      </c>
      <c r="G1126" s="4" t="inlineStr">
        <is>
          <t>SHOPEE: TIKTOK: LAZADA: WEBSITE BÁN HÀNG: https://meta.vn/</t>
        </is>
      </c>
      <c r="H1126" s="3" t="inlineStr"/>
      <c r="I1126" s="4" t="inlineStr">
        <is>
          <t>Pin máy rung gạch 2.0Ah</t>
        </is>
      </c>
      <c r="J1126" s="3" t="inlineStr">
        <is>
          <t>Cái</t>
        </is>
      </c>
      <c r="K1126" s="5" t="n">
        <v>269000</v>
      </c>
      <c r="L1126" s="5" t="n">
        <v>317000</v>
      </c>
      <c r="M1126" s="6" t="n">
        <v>390000</v>
      </c>
      <c r="N1126" s="5" t="n"/>
      <c r="O1126" s="5">
        <f>IF(AND(ISNUMBER(N1126),ISNUMBER(M1126)),N1126-M1126,"")</f>
        <v/>
      </c>
      <c r="P1126" s="7">
        <f>IF(AND(ISNUMBER(N1126),ISNUMBER(M1126),M1126&gt;0),(N1126-M1126)/M1126,"")</f>
        <v/>
      </c>
      <c r="Q1126" s="3">
        <f>IF(P1126="","",IF(P1126&lt;-0.02,"🔴 Bán phá giá sàn",IF(P1126&gt;0.05,"🔵 Bán cao hơn","🟢 Đúng giá sàn TMĐT")))</f>
        <v/>
      </c>
      <c r="R1126" s="3" t="n"/>
      <c r="S1126" s="4" t="n"/>
      <c r="T1126" s="4" t="n"/>
    </row>
    <row r="1127">
      <c r="A1127" s="3" t="n">
        <v>1126</v>
      </c>
      <c r="B1127" s="3" t="inlineStr">
        <is>
          <t>DL009</t>
        </is>
      </c>
      <c r="C1127" s="4" t="inlineStr">
        <is>
          <t>META</t>
        </is>
      </c>
      <c r="D1127" s="3" t="inlineStr">
        <is>
          <t>HN</t>
        </is>
      </c>
      <c r="E1127" s="3" t="inlineStr">
        <is>
          <t>ĐIỆP</t>
        </is>
      </c>
      <c r="F1127" s="3" t="inlineStr">
        <is>
          <t>Website bán hàng</t>
        </is>
      </c>
      <c r="G1127" s="4" t="inlineStr">
        <is>
          <t>SHOPEE: TIKTOK: LAZADA: WEBSITE BÁN HÀNG: https://meta.vn/</t>
        </is>
      </c>
      <c r="H1127" s="3" t="inlineStr">
        <is>
          <t>KBO-ST64</t>
        </is>
      </c>
      <c r="I1127" s="4" t="inlineStr">
        <is>
          <t>Súng bắn đinh bê tông KBO-ST64</t>
        </is>
      </c>
      <c r="J1127" s="3" t="inlineStr">
        <is>
          <t>Cái</t>
        </is>
      </c>
      <c r="K1127" s="5" t="n">
        <v>946000</v>
      </c>
      <c r="L1127" s="5" t="n">
        <v>1097000</v>
      </c>
      <c r="M1127" s="6" t="n">
        <v>1324000</v>
      </c>
      <c r="N1127" s="5" t="n"/>
      <c r="O1127" s="5">
        <f>IF(AND(ISNUMBER(N1127),ISNUMBER(M1127)),N1127-M1127,"")</f>
        <v/>
      </c>
      <c r="P1127" s="7">
        <f>IF(AND(ISNUMBER(N1127),ISNUMBER(M1127),M1127&gt;0),(N1127-M1127)/M1127,"")</f>
        <v/>
      </c>
      <c r="Q1127" s="3">
        <f>IF(P1127="","",IF(P1127&lt;-0.02,"🔴 Bán phá giá sàn",IF(P1127&gt;0.05,"🔵 Bán cao hơn","🟢 Đúng giá sàn TMĐT")))</f>
        <v/>
      </c>
      <c r="R1127" s="3" t="n"/>
      <c r="S1127" s="4" t="n"/>
      <c r="T1127" s="4" t="n"/>
    </row>
    <row r="1128">
      <c r="A1128" s="3" t="n">
        <v>1127</v>
      </c>
      <c r="B1128" s="3" t="inlineStr">
        <is>
          <t>DL009</t>
        </is>
      </c>
      <c r="C1128" s="4" t="inlineStr">
        <is>
          <t>META</t>
        </is>
      </c>
      <c r="D1128" s="3" t="inlineStr">
        <is>
          <t>HN</t>
        </is>
      </c>
      <c r="E1128" s="3" t="inlineStr">
        <is>
          <t>ĐIỆP</t>
        </is>
      </c>
      <c r="F1128" s="3" t="inlineStr">
        <is>
          <t>Website bán hàng</t>
        </is>
      </c>
      <c r="G1128" s="4" t="inlineStr">
        <is>
          <t>SHOPEE: TIKTOK: LAZADA: WEBSITE BÁN HÀNG: https://meta.vn/</t>
        </is>
      </c>
      <c r="H1128" s="3" t="inlineStr">
        <is>
          <t>KFF-73</t>
        </is>
      </c>
      <c r="I1128" s="4" t="inlineStr">
        <is>
          <t>Súng bắn đinh bê tông KFF-73</t>
        </is>
      </c>
      <c r="J1128" s="3" t="inlineStr">
        <is>
          <t>Cái</t>
        </is>
      </c>
      <c r="K1128" s="5" t="n">
        <v>660000</v>
      </c>
      <c r="L1128" s="5" t="n">
        <v>739000</v>
      </c>
      <c r="M1128" s="6" t="n">
        <v>858000</v>
      </c>
      <c r="N1128" s="5" t="n"/>
      <c r="O1128" s="5">
        <f>IF(AND(ISNUMBER(N1128),ISNUMBER(M1128)),N1128-M1128,"")</f>
        <v/>
      </c>
      <c r="P1128" s="7">
        <f>IF(AND(ISNUMBER(N1128),ISNUMBER(M1128),M1128&gt;0),(N1128-M1128)/M1128,"")</f>
        <v/>
      </c>
      <c r="Q1128" s="3">
        <f>IF(P1128="","",IF(P1128&lt;-0.02,"🔴 Bán phá giá sàn",IF(P1128&gt;0.05,"🔵 Bán cao hơn","🟢 Đúng giá sàn TMĐT")))</f>
        <v/>
      </c>
      <c r="R1128" s="3" t="n"/>
      <c r="S1128" s="4" t="n"/>
      <c r="T1128" s="4" t="n"/>
    </row>
    <row r="1129">
      <c r="A1129" s="3" t="n">
        <v>1128</v>
      </c>
      <c r="B1129" s="3" t="inlineStr">
        <is>
          <t>DL009</t>
        </is>
      </c>
      <c r="C1129" s="4" t="inlineStr">
        <is>
          <t>META</t>
        </is>
      </c>
      <c r="D1129" s="3" t="inlineStr">
        <is>
          <t>HN</t>
        </is>
      </c>
      <c r="E1129" s="3" t="inlineStr">
        <is>
          <t>ĐIỆP</t>
        </is>
      </c>
      <c r="F1129" s="3" t="inlineStr">
        <is>
          <t>Website bán hàng</t>
        </is>
      </c>
      <c r="G1129" s="4" t="inlineStr">
        <is>
          <t>SHOPEE: TIKTOK: LAZADA: WEBSITE BÁN HÀNG: https://meta.vn/</t>
        </is>
      </c>
      <c r="H1129" s="3" t="inlineStr">
        <is>
          <t>KBO-F3050</t>
        </is>
      </c>
      <c r="I1129" s="4" t="inlineStr">
        <is>
          <t>Súng Bắn Đinh KBO-F3050</t>
        </is>
      </c>
      <c r="J1129" s="3" t="inlineStr">
        <is>
          <t>Cái</t>
        </is>
      </c>
      <c r="K1129" s="5" t="n">
        <v>935000</v>
      </c>
      <c r="L1129" s="5" t="n">
        <v>1085000</v>
      </c>
      <c r="M1129" s="6" t="n">
        <v>1309000</v>
      </c>
      <c r="N1129" s="5" t="n"/>
      <c r="O1129" s="5">
        <f>IF(AND(ISNUMBER(N1129),ISNUMBER(M1129)),N1129-M1129,"")</f>
        <v/>
      </c>
      <c r="P1129" s="7">
        <f>IF(AND(ISNUMBER(N1129),ISNUMBER(M1129),M1129&gt;0),(N1129-M1129)/M1129,"")</f>
        <v/>
      </c>
      <c r="Q1129" s="3">
        <f>IF(P1129="","",IF(P1129&lt;-0.02,"🔴 Bán phá giá sàn",IF(P1129&gt;0.05,"🔵 Bán cao hơn","🟢 Đúng giá sàn TMĐT")))</f>
        <v/>
      </c>
      <c r="R1129" s="3" t="n"/>
      <c r="S1129" s="4" t="n"/>
      <c r="T1129" s="4" t="n"/>
    </row>
    <row r="1130">
      <c r="A1130" s="3" t="n">
        <v>1129</v>
      </c>
      <c r="B1130" s="3" t="inlineStr">
        <is>
          <t>DL009</t>
        </is>
      </c>
      <c r="C1130" s="4" t="inlineStr">
        <is>
          <t>META</t>
        </is>
      </c>
      <c r="D1130" s="3" t="inlineStr">
        <is>
          <t>HN</t>
        </is>
      </c>
      <c r="E1130" s="3" t="inlineStr">
        <is>
          <t>ĐIỆP</t>
        </is>
      </c>
      <c r="F1130" s="3" t="inlineStr">
        <is>
          <t>Website bán hàng</t>
        </is>
      </c>
      <c r="G1130" s="4" t="inlineStr">
        <is>
          <t>SHOPEE: TIKTOK: LAZADA: WEBSITE BÁN HÀNG: https://meta.vn/</t>
        </is>
      </c>
      <c r="H1130" s="3" t="inlineStr">
        <is>
          <t>KBO-R500</t>
        </is>
      </c>
      <c r="I1130" s="4" t="inlineStr">
        <is>
          <t>Súng Phun Sơn KBO-R500</t>
        </is>
      </c>
      <c r="J1130" s="3" t="inlineStr">
        <is>
          <t>Cái</t>
        </is>
      </c>
      <c r="K1130" s="5" t="n">
        <v>889000</v>
      </c>
      <c r="L1130" s="5" t="n">
        <v>1049000</v>
      </c>
      <c r="M1130" s="6" t="n">
        <v>1289000</v>
      </c>
      <c r="N1130" s="5" t="n"/>
      <c r="O1130" s="5">
        <f>IF(AND(ISNUMBER(N1130),ISNUMBER(M1130)),N1130-M1130,"")</f>
        <v/>
      </c>
      <c r="P1130" s="7">
        <f>IF(AND(ISNUMBER(N1130),ISNUMBER(M1130),M1130&gt;0),(N1130-M1130)/M1130,"")</f>
        <v/>
      </c>
      <c r="Q1130" s="3">
        <f>IF(P1130="","",IF(P1130&lt;-0.02,"🔴 Bán phá giá sàn",IF(P1130&gt;0.05,"🔵 Bán cao hơn","🟢 Đúng giá sàn TMĐT")))</f>
        <v/>
      </c>
      <c r="R1130" s="3" t="n"/>
      <c r="S1130" s="4" t="n"/>
      <c r="T1130" s="4" t="n"/>
    </row>
    <row r="1131">
      <c r="A1131" s="3" t="n">
        <v>1130</v>
      </c>
      <c r="B1131" s="3" t="inlineStr">
        <is>
          <t>DL009</t>
        </is>
      </c>
      <c r="C1131" s="4" t="inlineStr">
        <is>
          <t>META</t>
        </is>
      </c>
      <c r="D1131" s="3" t="inlineStr">
        <is>
          <t>HN</t>
        </is>
      </c>
      <c r="E1131" s="3" t="inlineStr">
        <is>
          <t>ĐIỆP</t>
        </is>
      </c>
      <c r="F1131" s="3" t="inlineStr">
        <is>
          <t>Website bán hàng</t>
        </is>
      </c>
      <c r="G1131" s="4" t="inlineStr">
        <is>
          <t>SHOPEE: TIKTOK: LAZADA: WEBSITE BÁN HÀNG: https://meta.vn/</t>
        </is>
      </c>
      <c r="H1131" s="3" t="inlineStr">
        <is>
          <t>KBO-W71</t>
        </is>
      </c>
      <c r="I1131" s="4" t="inlineStr">
        <is>
          <t>Súng phun sơn KBO-W71</t>
        </is>
      </c>
      <c r="J1131" s="3" t="inlineStr">
        <is>
          <t>Cái</t>
        </is>
      </c>
      <c r="K1131" s="5" t="n">
        <v>317000</v>
      </c>
      <c r="L1131" s="5" t="n">
        <v>374000</v>
      </c>
      <c r="M1131" s="6" t="n">
        <v>460000</v>
      </c>
      <c r="N1131" s="5" t="n"/>
      <c r="O1131" s="5">
        <f>IF(AND(ISNUMBER(N1131),ISNUMBER(M1131)),N1131-M1131,"")</f>
        <v/>
      </c>
      <c r="P1131" s="7">
        <f>IF(AND(ISNUMBER(N1131),ISNUMBER(M1131),M1131&gt;0),(N1131-M1131)/M1131,"")</f>
        <v/>
      </c>
      <c r="Q1131" s="3">
        <f>IF(P1131="","",IF(P1131&lt;-0.02,"🔴 Bán phá giá sàn",IF(P1131&gt;0.05,"🔵 Bán cao hơn","🟢 Đúng giá sàn TMĐT")))</f>
        <v/>
      </c>
      <c r="R1131" s="3" t="n"/>
      <c r="S1131" s="4" t="n"/>
      <c r="T1131" s="4" t="n"/>
    </row>
    <row r="1132">
      <c r="A1132" s="3" t="n">
        <v>1131</v>
      </c>
      <c r="B1132" s="3" t="inlineStr">
        <is>
          <t>DL009</t>
        </is>
      </c>
      <c r="C1132" s="4" t="inlineStr">
        <is>
          <t>META</t>
        </is>
      </c>
      <c r="D1132" s="3" t="inlineStr">
        <is>
          <t>HN</t>
        </is>
      </c>
      <c r="E1132" s="3" t="inlineStr">
        <is>
          <t>ĐIỆP</t>
        </is>
      </c>
      <c r="F1132" s="3" t="inlineStr">
        <is>
          <t>Website bán hàng</t>
        </is>
      </c>
      <c r="G1132" s="4" t="inlineStr">
        <is>
          <t>SHOPEE: TIKTOK: LAZADA: WEBSITE BÁN HÀNG: https://meta.vn/</t>
        </is>
      </c>
      <c r="H1132" s="3" t="inlineStr">
        <is>
          <t>KHD4212</t>
        </is>
      </c>
      <c r="I1132" s="4" t="inlineStr">
        <is>
          <t>Thùng đựng đồ nghề KHD4212</t>
        </is>
      </c>
      <c r="J1132" s="3" t="inlineStr">
        <is>
          <t>Cái</t>
        </is>
      </c>
      <c r="K1132" s="5" t="n">
        <v>1996</v>
      </c>
      <c r="L1132" s="5" t="n">
        <v>539000</v>
      </c>
      <c r="M1132" s="6" t="n">
        <v>615000</v>
      </c>
      <c r="N1132" s="5" t="n"/>
      <c r="O1132" s="5">
        <f>IF(AND(ISNUMBER(N1132),ISNUMBER(M1132)),N1132-M1132,"")</f>
        <v/>
      </c>
      <c r="P1132" s="7">
        <f>IF(AND(ISNUMBER(N1132),ISNUMBER(M1132),M1132&gt;0),(N1132-M1132)/M1132,"")</f>
        <v/>
      </c>
      <c r="Q1132" s="3">
        <f>IF(P1132="","",IF(P1132&lt;-0.02,"🔴 Bán phá giá sàn",IF(P1132&gt;0.05,"🔵 Bán cao hơn","🟢 Đúng giá sàn TMĐT")))</f>
        <v/>
      </c>
      <c r="R1132" s="3" t="n"/>
      <c r="S1132" s="4" t="n"/>
      <c r="T1132" s="4" t="n"/>
    </row>
    <row r="1133">
      <c r="A1133" s="3" t="n">
        <v>1132</v>
      </c>
      <c r="B1133" s="3" t="inlineStr">
        <is>
          <t>DL009</t>
        </is>
      </c>
      <c r="C1133" s="4" t="inlineStr">
        <is>
          <t>META</t>
        </is>
      </c>
      <c r="D1133" s="3" t="inlineStr">
        <is>
          <t>HN</t>
        </is>
      </c>
      <c r="E1133" s="3" t="inlineStr">
        <is>
          <t>ĐIỆP</t>
        </is>
      </c>
      <c r="F1133" s="3" t="inlineStr">
        <is>
          <t>Website bán hàng</t>
        </is>
      </c>
      <c r="G1133" s="4" t="inlineStr">
        <is>
          <t>SHOPEE: TIKTOK: LAZADA: WEBSITE BÁN HÀNG: https://meta.vn/</t>
        </is>
      </c>
      <c r="H1133" s="3" t="inlineStr">
        <is>
          <t>KNZ-100X</t>
        </is>
      </c>
      <c r="I1133" s="4" t="inlineStr">
        <is>
          <t>Thước đo khoảng cách laser KNZ-100X</t>
        </is>
      </c>
      <c r="J1133" s="3" t="inlineStr">
        <is>
          <t>Cái</t>
        </is>
      </c>
      <c r="K1133" s="5" t="n">
        <v>730000</v>
      </c>
      <c r="L1133" s="5" t="n">
        <v>810000</v>
      </c>
      <c r="M1133" s="6" t="n">
        <v>940000</v>
      </c>
      <c r="N1133" s="5" t="n"/>
      <c r="O1133" s="5">
        <f>IF(AND(ISNUMBER(N1133),ISNUMBER(M1133)),N1133-M1133,"")</f>
        <v/>
      </c>
      <c r="P1133" s="7">
        <f>IF(AND(ISNUMBER(N1133),ISNUMBER(M1133),M1133&gt;0),(N1133-M1133)/M1133,"")</f>
        <v/>
      </c>
      <c r="Q1133" s="3">
        <f>IF(P1133="","",IF(P1133&lt;-0.02,"🔴 Bán phá giá sàn",IF(P1133&gt;0.05,"🔵 Bán cao hơn","🟢 Đúng giá sàn TMĐT")))</f>
        <v/>
      </c>
      <c r="R1133" s="3" t="n"/>
      <c r="S1133" s="4" t="n"/>
      <c r="T1133" s="4" t="n"/>
    </row>
    <row r="1134">
      <c r="A1134" s="3" t="n">
        <v>1133</v>
      </c>
      <c r="B1134" s="3" t="inlineStr">
        <is>
          <t>DL009</t>
        </is>
      </c>
      <c r="C1134" s="4" t="inlineStr">
        <is>
          <t>META</t>
        </is>
      </c>
      <c r="D1134" s="3" t="inlineStr">
        <is>
          <t>HN</t>
        </is>
      </c>
      <c r="E1134" s="3" t="inlineStr">
        <is>
          <t>ĐIỆP</t>
        </is>
      </c>
      <c r="F1134" s="3" t="inlineStr">
        <is>
          <t>Website bán hàng</t>
        </is>
      </c>
      <c r="G1134" s="4" t="inlineStr">
        <is>
          <t>SHOPEE: TIKTOK: LAZADA: WEBSITE BÁN HÀNG: https://meta.vn/</t>
        </is>
      </c>
      <c r="H1134" s="3" t="inlineStr">
        <is>
          <t>TK-150</t>
        </is>
      </c>
      <c r="I1134" s="4" t="inlineStr">
        <is>
          <t>Thước kẹp cơ TK-150</t>
        </is>
      </c>
      <c r="J1134" s="3" t="inlineStr">
        <is>
          <t>Cái</t>
        </is>
      </c>
      <c r="K1134" s="5" t="n">
        <v>182000</v>
      </c>
      <c r="L1134" s="5" t="n">
        <v>215000</v>
      </c>
      <c r="M1134" s="6" t="n">
        <v>264000</v>
      </c>
      <c r="N1134" s="5" t="n"/>
      <c r="O1134" s="5">
        <f>IF(AND(ISNUMBER(N1134),ISNUMBER(M1134)),N1134-M1134,"")</f>
        <v/>
      </c>
      <c r="P1134" s="7">
        <f>IF(AND(ISNUMBER(N1134),ISNUMBER(M1134),M1134&gt;0),(N1134-M1134)/M1134,"")</f>
        <v/>
      </c>
      <c r="Q1134" s="3">
        <f>IF(P1134="","",IF(P1134&lt;-0.02,"🔴 Bán phá giá sàn",IF(P1134&gt;0.05,"🔵 Bán cao hơn","🟢 Đúng giá sàn TMĐT")))</f>
        <v/>
      </c>
      <c r="R1134" s="3" t="n"/>
      <c r="S1134" s="4" t="n"/>
      <c r="T1134" s="4" t="n"/>
    </row>
    <row r="1135">
      <c r="A1135" s="3" t="n">
        <v>1134</v>
      </c>
      <c r="B1135" s="3" t="inlineStr">
        <is>
          <t>DL009</t>
        </is>
      </c>
      <c r="C1135" s="4" t="inlineStr">
        <is>
          <t>META</t>
        </is>
      </c>
      <c r="D1135" s="3" t="inlineStr">
        <is>
          <t>HN</t>
        </is>
      </c>
      <c r="E1135" s="3" t="inlineStr">
        <is>
          <t>ĐIỆP</t>
        </is>
      </c>
      <c r="F1135" s="3" t="inlineStr">
        <is>
          <t>Website bán hàng</t>
        </is>
      </c>
      <c r="G1135" s="4" t="inlineStr">
        <is>
          <t>SHOPEE: TIKTOK: LAZADA: WEBSITE BÁN HÀNG: https://meta.vn/</t>
        </is>
      </c>
      <c r="H1135" s="3" t="inlineStr">
        <is>
          <t>TK-200</t>
        </is>
      </c>
      <c r="I1135" s="4" t="inlineStr">
        <is>
          <t>Thước kẹp cơ TK-200</t>
        </is>
      </c>
      <c r="J1135" s="3" t="inlineStr">
        <is>
          <t>Cái</t>
        </is>
      </c>
      <c r="K1135" s="5" t="n">
        <v>286000</v>
      </c>
      <c r="L1135" s="5" t="n">
        <v>338000</v>
      </c>
      <c r="M1135" s="6" t="n">
        <v>415000</v>
      </c>
      <c r="N1135" s="5" t="n"/>
      <c r="O1135" s="5">
        <f>IF(AND(ISNUMBER(N1135),ISNUMBER(M1135)),N1135-M1135,"")</f>
        <v/>
      </c>
      <c r="P1135" s="7">
        <f>IF(AND(ISNUMBER(N1135),ISNUMBER(M1135),M1135&gt;0),(N1135-M1135)/M1135,"")</f>
        <v/>
      </c>
      <c r="Q1135" s="3">
        <f>IF(P1135="","",IF(P1135&lt;-0.02,"🔴 Bán phá giá sàn",IF(P1135&gt;0.05,"🔵 Bán cao hơn","🟢 Đúng giá sàn TMĐT")))</f>
        <v/>
      </c>
      <c r="R1135" s="3" t="n"/>
      <c r="S1135" s="4" t="n"/>
      <c r="T1135" s="4" t="n"/>
    </row>
    <row r="1136">
      <c r="A1136" s="3" t="n">
        <v>1135</v>
      </c>
      <c r="B1136" s="3" t="inlineStr">
        <is>
          <t>DL009</t>
        </is>
      </c>
      <c r="C1136" s="4" t="inlineStr">
        <is>
          <t>META</t>
        </is>
      </c>
      <c r="D1136" s="3" t="inlineStr">
        <is>
          <t>HN</t>
        </is>
      </c>
      <c r="E1136" s="3" t="inlineStr">
        <is>
          <t>ĐIỆP</t>
        </is>
      </c>
      <c r="F1136" s="3" t="inlineStr">
        <is>
          <t>Website bán hàng</t>
        </is>
      </c>
      <c r="G1136" s="4" t="inlineStr">
        <is>
          <t>SHOPEE: TIKTOK: LAZADA: WEBSITE BÁN HÀNG: https://meta.vn/</t>
        </is>
      </c>
      <c r="H1136" s="3" t="inlineStr"/>
      <c r="I1136" s="4" t="inlineStr">
        <is>
          <t>Túi đựng máy khoan</t>
        </is>
      </c>
      <c r="J1136" s="3" t="inlineStr">
        <is>
          <t>Cái</t>
        </is>
      </c>
      <c r="K1136" s="5" t="n">
        <v>269000</v>
      </c>
      <c r="L1136" s="5" t="n">
        <v>317000</v>
      </c>
      <c r="M1136" s="6" t="n">
        <v>390000</v>
      </c>
      <c r="N1136" s="5" t="n"/>
      <c r="O1136" s="5">
        <f>IF(AND(ISNUMBER(N1136),ISNUMBER(M1136)),N1136-M1136,"")</f>
        <v/>
      </c>
      <c r="P1136" s="7">
        <f>IF(AND(ISNUMBER(N1136),ISNUMBER(M1136),M1136&gt;0),(N1136-M1136)/M1136,"")</f>
        <v/>
      </c>
      <c r="Q1136" s="3">
        <f>IF(P1136="","",IF(P1136&lt;-0.02,"🔴 Bán phá giá sàn",IF(P1136&gt;0.05,"🔵 Bán cao hơn","🟢 Đúng giá sàn TMĐT")))</f>
        <v/>
      </c>
      <c r="R1136" s="3" t="n"/>
      <c r="S1136" s="4" t="n"/>
      <c r="T1136" s="4" t="n"/>
    </row>
    <row r="1137">
      <c r="A1137" s="3" t="n">
        <v>1136</v>
      </c>
      <c r="B1137" s="3" t="inlineStr">
        <is>
          <t>DL010</t>
        </is>
      </c>
      <c r="C1137" s="4" t="inlineStr">
        <is>
          <t>Trang Huề( CuBờm TV)</t>
        </is>
      </c>
      <c r="D1137" s="3" t="inlineStr">
        <is>
          <t>HN</t>
        </is>
      </c>
      <c r="E1137" s="3" t="inlineStr">
        <is>
          <t>ĐIỆP</t>
        </is>
      </c>
      <c r="F1137" s="3" t="inlineStr">
        <is>
          <t>Tiktok, Shopee</t>
        </is>
      </c>
      <c r="G1137" s="4" t="inlineStr">
        <is>
          <t>SHOPEE: https://vn.shp.ee/m4gdctc3?fromSource=copy_link&amp;smtt=0.0.9 TIKTOK: https://vt.tiktok.com/ZS9UMHDPyXN53-XKjnc/ LAZADA: WEBSITE BÁN HÀNG:</t>
        </is>
      </c>
      <c r="H1137" s="3" t="inlineStr">
        <is>
          <t>K12000</t>
        </is>
      </c>
      <c r="I1137" s="4" t="inlineStr">
        <is>
          <t>Bộ bơm lốp, kích bình đa năng K12000</t>
        </is>
      </c>
      <c r="J1137" s="3" t="inlineStr">
        <is>
          <t>Cái</t>
        </is>
      </c>
      <c r="K1137" s="5" t="n">
        <v>269000</v>
      </c>
      <c r="L1137" s="5" t="n">
        <v>317000</v>
      </c>
      <c r="M1137" s="6" t="n">
        <v>390000</v>
      </c>
      <c r="N1137" s="5" t="n"/>
      <c r="O1137" s="5">
        <f>IF(AND(ISNUMBER(N1137),ISNUMBER(M1137)),N1137-M1137,"")</f>
        <v/>
      </c>
      <c r="P1137" s="7">
        <f>IF(AND(ISNUMBER(N1137),ISNUMBER(M1137),M1137&gt;0),(N1137-M1137)/M1137,"")</f>
        <v/>
      </c>
      <c r="Q1137" s="3">
        <f>IF(P1137="","",IF(P1137&lt;-0.02,"🔴 Bán phá giá sàn",IF(P1137&gt;0.05,"🔵 Bán cao hơn","🟢 Đúng giá sàn TMĐT")))</f>
        <v/>
      </c>
      <c r="R1137" s="3" t="n"/>
      <c r="S1137" s="4" t="n"/>
      <c r="T1137" s="4" t="n"/>
    </row>
    <row r="1138">
      <c r="A1138" s="3" t="n">
        <v>1137</v>
      </c>
      <c r="B1138" s="3" t="inlineStr">
        <is>
          <t>DL010</t>
        </is>
      </c>
      <c r="C1138" s="4" t="inlineStr">
        <is>
          <t>Trang Huề( CuBờm TV)</t>
        </is>
      </c>
      <c r="D1138" s="3" t="inlineStr">
        <is>
          <t>HN</t>
        </is>
      </c>
      <c r="E1138" s="3" t="inlineStr">
        <is>
          <t>ĐIỆP</t>
        </is>
      </c>
      <c r="F1138" s="3" t="inlineStr">
        <is>
          <t>Tiktok, Shopee</t>
        </is>
      </c>
      <c r="G1138" s="4" t="inlineStr">
        <is>
          <t>SHOPEE: https://vn.shp.ee/m4gdctc3?fromSource=copy_link&amp;smtt=0.0.9 TIKTOK: https://vt.tiktok.com/ZS9UMHDPyXN53-XKjnc/ LAZADA: WEBSITE BÁN HÀNG:</t>
        </is>
      </c>
      <c r="H1138" s="3" t="inlineStr"/>
      <c r="I1138" s="4" t="inlineStr">
        <is>
          <t>Bộ chuyển đổi chân pin KingBlue</t>
        </is>
      </c>
      <c r="J1138" s="3" t="inlineStr">
        <is>
          <t>Cái</t>
        </is>
      </c>
      <c r="K1138" s="5" t="n">
        <v>269000</v>
      </c>
      <c r="L1138" s="5" t="n">
        <v>317000</v>
      </c>
      <c r="M1138" s="6" t="n">
        <v>390000</v>
      </c>
      <c r="N1138" s="5" t="n"/>
      <c r="O1138" s="5">
        <f>IF(AND(ISNUMBER(N1138),ISNUMBER(M1138)),N1138-M1138,"")</f>
        <v/>
      </c>
      <c r="P1138" s="7">
        <f>IF(AND(ISNUMBER(N1138),ISNUMBER(M1138),M1138&gt;0),(N1138-M1138)/M1138,"")</f>
        <v/>
      </c>
      <c r="Q1138" s="3">
        <f>IF(P1138="","",IF(P1138&lt;-0.02,"🔴 Bán phá giá sàn",IF(P1138&gt;0.05,"🔵 Bán cao hơn","🟢 Đúng giá sàn TMĐT")))</f>
        <v/>
      </c>
      <c r="R1138" s="3" t="n"/>
      <c r="S1138" s="4" t="n"/>
      <c r="T1138" s="4" t="n"/>
    </row>
    <row r="1139">
      <c r="A1139" s="3" t="n">
        <v>1138</v>
      </c>
      <c r="B1139" s="3" t="inlineStr">
        <is>
          <t>DL010</t>
        </is>
      </c>
      <c r="C1139" s="4" t="inlineStr">
        <is>
          <t>Trang Huề( CuBờm TV)</t>
        </is>
      </c>
      <c r="D1139" s="3" t="inlineStr">
        <is>
          <t>HN</t>
        </is>
      </c>
      <c r="E1139" s="3" t="inlineStr">
        <is>
          <t>ĐIỆP</t>
        </is>
      </c>
      <c r="F1139" s="3" t="inlineStr">
        <is>
          <t>Tiktok, Shopee</t>
        </is>
      </c>
      <c r="G1139" s="4" t="inlineStr">
        <is>
          <t>SHOPEE: https://vn.shp.ee/m4gdctc3?fromSource=copy_link&amp;smtt=0.0.9 TIKTOK: https://vt.tiktok.com/ZS9UMHDPyXN53-XKjnc/ LAZADA: WEBSITE BÁN HÀNG:</t>
        </is>
      </c>
      <c r="H1139" s="3" t="inlineStr">
        <is>
          <t>KBYT6</t>
        </is>
      </c>
      <c r="I1139" s="4" t="inlineStr">
        <is>
          <t>Bộ lấy ốc gãy KingBlue KBYT6</t>
        </is>
      </c>
      <c r="J1139" s="3" t="inlineStr">
        <is>
          <t>Bộ</t>
        </is>
      </c>
      <c r="K1139" s="5" t="n">
        <v>68000</v>
      </c>
      <c r="L1139" s="5" t="n">
        <v>80000</v>
      </c>
      <c r="M1139" s="6" t="n">
        <v>99000</v>
      </c>
      <c r="N1139" s="5" t="n"/>
      <c r="O1139" s="5">
        <f>IF(AND(ISNUMBER(N1139),ISNUMBER(M1139)),N1139-M1139,"")</f>
        <v/>
      </c>
      <c r="P1139" s="7">
        <f>IF(AND(ISNUMBER(N1139),ISNUMBER(M1139),M1139&gt;0),(N1139-M1139)/M1139,"")</f>
        <v/>
      </c>
      <c r="Q1139" s="3">
        <f>IF(P1139="","",IF(P1139&lt;-0.02,"🔴 Bán phá giá sàn",IF(P1139&gt;0.05,"🔵 Bán cao hơn","🟢 Đúng giá sàn TMĐT")))</f>
        <v/>
      </c>
      <c r="R1139" s="3" t="n"/>
      <c r="S1139" s="4" t="n"/>
      <c r="T1139" s="4" t="n"/>
    </row>
    <row r="1140">
      <c r="A1140" s="3" t="n">
        <v>1139</v>
      </c>
      <c r="B1140" s="3" t="inlineStr">
        <is>
          <t>DL010</t>
        </is>
      </c>
      <c r="C1140" s="4" t="inlineStr">
        <is>
          <t>Trang Huề( CuBờm TV)</t>
        </is>
      </c>
      <c r="D1140" s="3" t="inlineStr">
        <is>
          <t>HN</t>
        </is>
      </c>
      <c r="E1140" s="3" t="inlineStr">
        <is>
          <t>ĐIỆP</t>
        </is>
      </c>
      <c r="F1140" s="3" t="inlineStr">
        <is>
          <t>Tiktok, Shopee</t>
        </is>
      </c>
      <c r="G1140" s="4" t="inlineStr">
        <is>
          <t>SHOPEE: https://vn.shp.ee/m4gdctc3?fromSource=copy_link&amp;smtt=0.0.9 TIKTOK: https://vt.tiktok.com/ZS9UMHDPyXN53-XKjnc/ LAZADA: WEBSITE BÁN HÀNG:</t>
        </is>
      </c>
      <c r="H1140" s="3" t="inlineStr">
        <is>
          <t>KL-008</t>
        </is>
      </c>
      <c r="I1140" s="4" t="inlineStr">
        <is>
          <t>Bộ lục giác gập KL-008</t>
        </is>
      </c>
      <c r="J1140" s="3" t="inlineStr">
        <is>
          <t>Cái</t>
        </is>
      </c>
      <c r="K1140" s="5" t="n">
        <v>269000</v>
      </c>
      <c r="L1140" s="5" t="n">
        <v>317000</v>
      </c>
      <c r="M1140" s="6" t="n">
        <v>390000</v>
      </c>
      <c r="N1140" s="5" t="n"/>
      <c r="O1140" s="5">
        <f>IF(AND(ISNUMBER(N1140),ISNUMBER(M1140)),N1140-M1140,"")</f>
        <v/>
      </c>
      <c r="P1140" s="7">
        <f>IF(AND(ISNUMBER(N1140),ISNUMBER(M1140),M1140&gt;0),(N1140-M1140)/M1140,"")</f>
        <v/>
      </c>
      <c r="Q1140" s="3">
        <f>IF(P1140="","",IF(P1140&lt;-0.02,"🔴 Bán phá giá sàn",IF(P1140&gt;0.05,"🔵 Bán cao hơn","🟢 Đúng giá sàn TMĐT")))</f>
        <v/>
      </c>
      <c r="R1140" s="3" t="n"/>
      <c r="S1140" s="4" t="n"/>
      <c r="T1140" s="4" t="n"/>
    </row>
    <row r="1141">
      <c r="A1141" s="3" t="n">
        <v>1140</v>
      </c>
      <c r="B1141" s="3" t="inlineStr">
        <is>
          <t>DL010</t>
        </is>
      </c>
      <c r="C1141" s="4" t="inlineStr">
        <is>
          <t>Trang Huề( CuBờm TV)</t>
        </is>
      </c>
      <c r="D1141" s="3" t="inlineStr">
        <is>
          <t>HN</t>
        </is>
      </c>
      <c r="E1141" s="3" t="inlineStr">
        <is>
          <t>ĐIỆP</t>
        </is>
      </c>
      <c r="F1141" s="3" t="inlineStr">
        <is>
          <t>Tiktok, Shopee</t>
        </is>
      </c>
      <c r="G1141" s="4" t="inlineStr">
        <is>
          <t>SHOPEE: https://vn.shp.ee/m4gdctc3?fromSource=copy_link&amp;smtt=0.0.9 TIKTOK: https://vt.tiktok.com/ZS9UMHDPyXN53-XKjnc/ LAZADA: WEBSITE BÁN HÀNG:</t>
        </is>
      </c>
      <c r="H1141" s="3" t="inlineStr">
        <is>
          <t>KL7-09</t>
        </is>
      </c>
      <c r="I1141" s="4" t="inlineStr">
        <is>
          <t>Bộ lục giác KL7-09 ( đầu bi)</t>
        </is>
      </c>
      <c r="J1141" s="3" t="inlineStr">
        <is>
          <t>Cái</t>
        </is>
      </c>
      <c r="K1141" s="5" t="n">
        <v>269000</v>
      </c>
      <c r="L1141" s="5" t="n">
        <v>317000</v>
      </c>
      <c r="M1141" s="6" t="n">
        <v>390000</v>
      </c>
      <c r="N1141" s="5" t="n"/>
      <c r="O1141" s="5">
        <f>IF(AND(ISNUMBER(N1141),ISNUMBER(M1141)),N1141-M1141,"")</f>
        <v/>
      </c>
      <c r="P1141" s="7">
        <f>IF(AND(ISNUMBER(N1141),ISNUMBER(M1141),M1141&gt;0),(N1141-M1141)/M1141,"")</f>
        <v/>
      </c>
      <c r="Q1141" s="3">
        <f>IF(P1141="","",IF(P1141&lt;-0.02,"🔴 Bán phá giá sàn",IF(P1141&gt;0.05,"🔵 Bán cao hơn","🟢 Đúng giá sàn TMĐT")))</f>
        <v/>
      </c>
      <c r="R1141" s="3" t="n"/>
      <c r="S1141" s="4" t="n"/>
      <c r="T1141" s="4" t="n"/>
    </row>
    <row r="1142">
      <c r="A1142" s="3" t="n">
        <v>1141</v>
      </c>
      <c r="B1142" s="3" t="inlineStr">
        <is>
          <t>DL010</t>
        </is>
      </c>
      <c r="C1142" s="4" t="inlineStr">
        <is>
          <t>Trang Huề( CuBờm TV)</t>
        </is>
      </c>
      <c r="D1142" s="3" t="inlineStr">
        <is>
          <t>HN</t>
        </is>
      </c>
      <c r="E1142" s="3" t="inlineStr">
        <is>
          <t>ĐIỆP</t>
        </is>
      </c>
      <c r="F1142" s="3" t="inlineStr">
        <is>
          <t>Tiktok, Shopee</t>
        </is>
      </c>
      <c r="G1142" s="4" t="inlineStr">
        <is>
          <t>SHOPEE: https://vn.shp.ee/m4gdctc3?fromSource=copy_link&amp;smtt=0.0.9 TIKTOK: https://vt.tiktok.com/ZS9UMHDPyXN53-XKjnc/ LAZADA: WEBSITE BÁN HÀNG:</t>
        </is>
      </c>
      <c r="H1142" s="3" t="inlineStr">
        <is>
          <t>KL9-09</t>
        </is>
      </c>
      <c r="I1142" s="4" t="inlineStr">
        <is>
          <t>Bộ lục giác KL9-09 (đầu hoa thị)</t>
        </is>
      </c>
      <c r="J1142" s="3" t="inlineStr">
        <is>
          <t>Cái</t>
        </is>
      </c>
      <c r="K1142" s="5" t="n">
        <v>269000</v>
      </c>
      <c r="L1142" s="5" t="n">
        <v>317000</v>
      </c>
      <c r="M1142" s="6" t="n">
        <v>390000</v>
      </c>
      <c r="N1142" s="5" t="n"/>
      <c r="O1142" s="5">
        <f>IF(AND(ISNUMBER(N1142),ISNUMBER(M1142)),N1142-M1142,"")</f>
        <v/>
      </c>
      <c r="P1142" s="7">
        <f>IF(AND(ISNUMBER(N1142),ISNUMBER(M1142),M1142&gt;0),(N1142-M1142)/M1142,"")</f>
        <v/>
      </c>
      <c r="Q1142" s="3">
        <f>IF(P1142="","",IF(P1142&lt;-0.02,"🔴 Bán phá giá sàn",IF(P1142&gt;0.05,"🔵 Bán cao hơn","🟢 Đúng giá sàn TMĐT")))</f>
        <v/>
      </c>
      <c r="R1142" s="3" t="n"/>
      <c r="S1142" s="4" t="n"/>
      <c r="T1142" s="4" t="n"/>
    </row>
    <row r="1143">
      <c r="A1143" s="3" t="n">
        <v>1142</v>
      </c>
      <c r="B1143" s="3" t="inlineStr">
        <is>
          <t>DL010</t>
        </is>
      </c>
      <c r="C1143" s="4" t="inlineStr">
        <is>
          <t>Trang Huề( CuBờm TV)</t>
        </is>
      </c>
      <c r="D1143" s="3" t="inlineStr">
        <is>
          <t>HN</t>
        </is>
      </c>
      <c r="E1143" s="3" t="inlineStr">
        <is>
          <t>ĐIỆP</t>
        </is>
      </c>
      <c r="F1143" s="3" t="inlineStr">
        <is>
          <t>Tiktok, Shopee</t>
        </is>
      </c>
      <c r="G1143" s="4" t="inlineStr">
        <is>
          <t>SHOPEE: https://vn.shp.ee/m4gdctc3?fromSource=copy_link&amp;smtt=0.0.9 TIKTOK: https://vt.tiktok.com/ZS9UMHDPyXN53-XKjnc/ LAZADA: WEBSITE BÁN HÀNG:</t>
        </is>
      </c>
      <c r="H1143" s="3" t="inlineStr">
        <is>
          <t>KB-05X</t>
        </is>
      </c>
      <c r="I1143" s="4" t="inlineStr">
        <is>
          <t>Chân máy laser KB-05X</t>
        </is>
      </c>
      <c r="J1143" s="3" t="inlineStr">
        <is>
          <t>Cái</t>
        </is>
      </c>
      <c r="K1143" s="5" t="n">
        <v>1350000</v>
      </c>
      <c r="L1143" s="5" t="n">
        <v>1510000</v>
      </c>
      <c r="M1143" s="6" t="n">
        <v>1760000</v>
      </c>
      <c r="N1143" s="5" t="n"/>
      <c r="O1143" s="5">
        <f>IF(AND(ISNUMBER(N1143),ISNUMBER(M1143)),N1143-M1143,"")</f>
        <v/>
      </c>
      <c r="P1143" s="7">
        <f>IF(AND(ISNUMBER(N1143),ISNUMBER(M1143),M1143&gt;0),(N1143-M1143)/M1143,"")</f>
        <v/>
      </c>
      <c r="Q1143" s="3">
        <f>IF(P1143="","",IF(P1143&lt;-0.02,"🔴 Bán phá giá sàn",IF(P1143&gt;0.05,"🔵 Bán cao hơn","🟢 Đúng giá sàn TMĐT")))</f>
        <v/>
      </c>
      <c r="R1143" s="3" t="n"/>
      <c r="S1143" s="4" t="n"/>
      <c r="T1143" s="4" t="n"/>
    </row>
    <row r="1144">
      <c r="A1144" s="3" t="n">
        <v>1143</v>
      </c>
      <c r="B1144" s="3" t="inlineStr">
        <is>
          <t>DL010</t>
        </is>
      </c>
      <c r="C1144" s="4" t="inlineStr">
        <is>
          <t>Trang Huề( CuBờm TV)</t>
        </is>
      </c>
      <c r="D1144" s="3" t="inlineStr">
        <is>
          <t>HN</t>
        </is>
      </c>
      <c r="E1144" s="3" t="inlineStr">
        <is>
          <t>ĐIỆP</t>
        </is>
      </c>
      <c r="F1144" s="3" t="inlineStr">
        <is>
          <t>Tiktok, Shopee</t>
        </is>
      </c>
      <c r="G1144" s="4" t="inlineStr">
        <is>
          <t>SHOPEE: https://vn.shp.ee/m4gdctc3?fromSource=copy_link&amp;smtt=0.0.9 TIKTOK: https://vt.tiktok.com/ZS9UMHDPyXN53-XKjnc/ LAZADA: WEBSITE BÁN HÀNG:</t>
        </is>
      </c>
      <c r="H1144" s="3" t="inlineStr">
        <is>
          <t>SDST-M22</t>
        </is>
      </c>
      <c r="I1144" s="4" t="inlineStr">
        <is>
          <t>Chuôi khoan rút lõi gài SDST-M22</t>
        </is>
      </c>
      <c r="J1144" s="3" t="inlineStr">
        <is>
          <t>Cái</t>
        </is>
      </c>
      <c r="K1144" s="5" t="n">
        <v>24000</v>
      </c>
      <c r="L1144" s="5" t="n">
        <v>30000</v>
      </c>
      <c r="M1144" s="6" t="n">
        <v>38000</v>
      </c>
      <c r="N1144" s="5" t="n"/>
      <c r="O1144" s="5">
        <f>IF(AND(ISNUMBER(N1144),ISNUMBER(M1144)),N1144-M1144,"")</f>
        <v/>
      </c>
      <c r="P1144" s="7">
        <f>IF(AND(ISNUMBER(N1144),ISNUMBER(M1144),M1144&gt;0),(N1144-M1144)/M1144,"")</f>
        <v/>
      </c>
      <c r="Q1144" s="3">
        <f>IF(P1144="","",IF(P1144&lt;-0.02,"🔴 Bán phá giá sàn",IF(P1144&gt;0.05,"🔵 Bán cao hơn","🟢 Đúng giá sàn TMĐT")))</f>
        <v/>
      </c>
      <c r="R1144" s="3" t="n"/>
      <c r="S1144" s="4" t="n"/>
      <c r="T1144" s="4" t="n"/>
    </row>
    <row r="1145">
      <c r="A1145" s="3" t="n">
        <v>1144</v>
      </c>
      <c r="B1145" s="3" t="inlineStr">
        <is>
          <t>DL010</t>
        </is>
      </c>
      <c r="C1145" s="4" t="inlineStr">
        <is>
          <t>Trang Huề( CuBờm TV)</t>
        </is>
      </c>
      <c r="D1145" s="3" t="inlineStr">
        <is>
          <t>HN</t>
        </is>
      </c>
      <c r="E1145" s="3" t="inlineStr">
        <is>
          <t>ĐIỆP</t>
        </is>
      </c>
      <c r="F1145" s="3" t="inlineStr">
        <is>
          <t>Tiktok, Shopee</t>
        </is>
      </c>
      <c r="G1145" s="4" t="inlineStr">
        <is>
          <t>SHOPEE: https://vn.shp.ee/m4gdctc3?fromSource=copy_link&amp;smtt=0.0.9 TIKTOK: https://vt.tiktok.com/ZS9UMHDPyXN53-XKjnc/ LAZADA: WEBSITE BÁN HÀNG:</t>
        </is>
      </c>
      <c r="H1145" s="3" t="inlineStr">
        <is>
          <t>DLG-M22</t>
        </is>
      </c>
      <c r="I1145" s="4" t="inlineStr">
        <is>
          <t>Chuôi khoan rút lõi lục giác DLG-M22</t>
        </is>
      </c>
      <c r="J1145" s="3" t="inlineStr">
        <is>
          <t>Cái</t>
        </is>
      </c>
      <c r="K1145" s="5" t="n">
        <v>24000</v>
      </c>
      <c r="L1145" s="5" t="n">
        <v>30000</v>
      </c>
      <c r="M1145" s="6" t="n">
        <v>38000</v>
      </c>
      <c r="N1145" s="5" t="n"/>
      <c r="O1145" s="5">
        <f>IF(AND(ISNUMBER(N1145),ISNUMBER(M1145)),N1145-M1145,"")</f>
        <v/>
      </c>
      <c r="P1145" s="7">
        <f>IF(AND(ISNUMBER(N1145),ISNUMBER(M1145),M1145&gt;0),(N1145-M1145)/M1145,"")</f>
        <v/>
      </c>
      <c r="Q1145" s="3">
        <f>IF(P1145="","",IF(P1145&lt;-0.02,"🔴 Bán phá giá sàn",IF(P1145&gt;0.05,"🔵 Bán cao hơn","🟢 Đúng giá sàn TMĐT")))</f>
        <v/>
      </c>
      <c r="R1145" s="3" t="n"/>
      <c r="S1145" s="4" t="n"/>
      <c r="T1145" s="4" t="n"/>
    </row>
    <row r="1146">
      <c r="A1146" s="3" t="n">
        <v>1145</v>
      </c>
      <c r="B1146" s="3" t="inlineStr">
        <is>
          <t>DL010</t>
        </is>
      </c>
      <c r="C1146" s="4" t="inlineStr">
        <is>
          <t>Trang Huề( CuBờm TV)</t>
        </is>
      </c>
      <c r="D1146" s="3" t="inlineStr">
        <is>
          <t>HN</t>
        </is>
      </c>
      <c r="E1146" s="3" t="inlineStr">
        <is>
          <t>ĐIỆP</t>
        </is>
      </c>
      <c r="F1146" s="3" t="inlineStr">
        <is>
          <t>Tiktok, Shopee</t>
        </is>
      </c>
      <c r="G1146" s="4" t="inlineStr">
        <is>
          <t>SHOPEE: https://vn.shp.ee/m4gdctc3?fromSource=copy_link&amp;smtt=0.0.9 TIKTOK: https://vt.tiktok.com/ZS9UMHDPyXN53-XKjnc/ LAZADA: WEBSITE BÁN HÀNG:</t>
        </is>
      </c>
      <c r="H1146" s="3" t="inlineStr">
        <is>
          <t>D1-107x1.2</t>
        </is>
      </c>
      <c r="I1146" s="4" t="inlineStr">
        <is>
          <t>Đá cắt sắt, inox KingBlue D1-107x1.2 xanh (Hộp sắt)</t>
        </is>
      </c>
      <c r="J1146" s="3" t="inlineStr">
        <is>
          <t>Cái</t>
        </is>
      </c>
      <c r="K1146" s="5" t="n">
        <v>4000</v>
      </c>
      <c r="L1146" s="5" t="n">
        <v>5000</v>
      </c>
      <c r="M1146" s="6" t="n">
        <v>6500</v>
      </c>
      <c r="N1146" s="5" t="n"/>
      <c r="O1146" s="5">
        <f>IF(AND(ISNUMBER(N1146),ISNUMBER(M1146)),N1146-M1146,"")</f>
        <v/>
      </c>
      <c r="P1146" s="7">
        <f>IF(AND(ISNUMBER(N1146),ISNUMBER(M1146),M1146&gt;0),(N1146-M1146)/M1146,"")</f>
        <v/>
      </c>
      <c r="Q1146" s="3">
        <f>IF(P1146="","",IF(P1146&lt;-0.02,"🔴 Bán phá giá sàn",IF(P1146&gt;0.05,"🔵 Bán cao hơn","🟢 Đúng giá sàn TMĐT")))</f>
        <v/>
      </c>
      <c r="R1146" s="3" t="n"/>
      <c r="S1146" s="4" t="n"/>
      <c r="T1146" s="4" t="n"/>
    </row>
    <row r="1147">
      <c r="A1147" s="3" t="n">
        <v>1146</v>
      </c>
      <c r="B1147" s="3" t="inlineStr">
        <is>
          <t>DL010</t>
        </is>
      </c>
      <c r="C1147" s="4" t="inlineStr">
        <is>
          <t>Trang Huề( CuBờm TV)</t>
        </is>
      </c>
      <c r="D1147" s="3" t="inlineStr">
        <is>
          <t>HN</t>
        </is>
      </c>
      <c r="E1147" s="3" t="inlineStr">
        <is>
          <t>ĐIỆP</t>
        </is>
      </c>
      <c r="F1147" s="3" t="inlineStr">
        <is>
          <t>Tiktok, Shopee</t>
        </is>
      </c>
      <c r="G1147" s="4" t="inlineStr">
        <is>
          <t>SHOPEE: https://vn.shp.ee/m4gdctc3?fromSource=copy_link&amp;smtt=0.0.9 TIKTOK: https://vt.tiktok.com/ZS9UMHDPyXN53-XKjnc/ LAZADA: WEBSITE BÁN HÀNG:</t>
        </is>
      </c>
      <c r="H1147" s="3" t="inlineStr">
        <is>
          <t>D1-125x1.6</t>
        </is>
      </c>
      <c r="I1147" s="4" t="inlineStr">
        <is>
          <t>Đá cắt sắt, inox Kingblue D1-125x1.6 xanh</t>
        </is>
      </c>
      <c r="J1147" s="3" t="inlineStr">
        <is>
          <t>Cái</t>
        </is>
      </c>
      <c r="K1147" s="5" t="n">
        <v>8300</v>
      </c>
      <c r="L1147" s="5" t="n">
        <v>10400</v>
      </c>
      <c r="M1147" s="6" t="n">
        <v>13500</v>
      </c>
      <c r="N1147" s="5" t="n"/>
      <c r="O1147" s="5">
        <f>IF(AND(ISNUMBER(N1147),ISNUMBER(M1147)),N1147-M1147,"")</f>
        <v/>
      </c>
      <c r="P1147" s="7">
        <f>IF(AND(ISNUMBER(N1147),ISNUMBER(M1147),M1147&gt;0),(N1147-M1147)/M1147,"")</f>
        <v/>
      </c>
      <c r="Q1147" s="3">
        <f>IF(P1147="","",IF(P1147&lt;-0.02,"🔴 Bán phá giá sàn",IF(P1147&gt;0.05,"🔵 Bán cao hơn","🟢 Đúng giá sàn TMĐT")))</f>
        <v/>
      </c>
      <c r="R1147" s="3" t="n"/>
      <c r="S1147" s="4" t="n"/>
      <c r="T1147" s="4" t="n"/>
    </row>
    <row r="1148">
      <c r="A1148" s="3" t="n">
        <v>1147</v>
      </c>
      <c r="B1148" s="3" t="inlineStr">
        <is>
          <t>DL010</t>
        </is>
      </c>
      <c r="C1148" s="4" t="inlineStr">
        <is>
          <t>Trang Huề( CuBờm TV)</t>
        </is>
      </c>
      <c r="D1148" s="3" t="inlineStr">
        <is>
          <t>HN</t>
        </is>
      </c>
      <c r="E1148" s="3" t="inlineStr">
        <is>
          <t>ĐIỆP</t>
        </is>
      </c>
      <c r="F1148" s="3" t="inlineStr">
        <is>
          <t>Tiktok, Shopee</t>
        </is>
      </c>
      <c r="G1148" s="4" t="inlineStr">
        <is>
          <t>SHOPEE: https://vn.shp.ee/m4gdctc3?fromSource=copy_link&amp;smtt=0.0.9 TIKTOK: https://vt.tiktok.com/ZS9UMHDPyXN53-XKjnc/ LAZADA: WEBSITE BÁN HÀNG:</t>
        </is>
      </c>
      <c r="H1148" s="3" t="inlineStr">
        <is>
          <t>D3-107x1.2</t>
        </is>
      </c>
      <c r="I1148" s="4" t="inlineStr">
        <is>
          <t>Đá cắt sắt, inox KingBlue D3-107x1.2 xanh ( hộp sắt)</t>
        </is>
      </c>
      <c r="J1148" s="3" t="inlineStr">
        <is>
          <t>Viên</t>
        </is>
      </c>
      <c r="K1148" s="5" t="n">
        <v>4600</v>
      </c>
      <c r="L1148" s="5" t="n">
        <v>5800</v>
      </c>
      <c r="M1148" s="6" t="n">
        <v>7500</v>
      </c>
      <c r="N1148" s="5" t="n"/>
      <c r="O1148" s="5">
        <f>IF(AND(ISNUMBER(N1148),ISNUMBER(M1148)),N1148-M1148,"")</f>
        <v/>
      </c>
      <c r="P1148" s="7">
        <f>IF(AND(ISNUMBER(N1148),ISNUMBER(M1148),M1148&gt;0),(N1148-M1148)/M1148,"")</f>
        <v/>
      </c>
      <c r="Q1148" s="3">
        <f>IF(P1148="","",IF(P1148&lt;-0.02,"🔴 Bán phá giá sàn",IF(P1148&gt;0.05,"🔵 Bán cao hơn","🟢 Đúng giá sàn TMĐT")))</f>
        <v/>
      </c>
      <c r="R1148" s="3" t="n"/>
      <c r="S1148" s="4" t="n"/>
      <c r="T1148" s="4" t="n"/>
    </row>
    <row r="1149">
      <c r="A1149" s="3" t="n">
        <v>1148</v>
      </c>
      <c r="B1149" s="3" t="inlineStr">
        <is>
          <t>DL010</t>
        </is>
      </c>
      <c r="C1149" s="4" t="inlineStr">
        <is>
          <t>Trang Huề( CuBờm TV)</t>
        </is>
      </c>
      <c r="D1149" s="3" t="inlineStr">
        <is>
          <t>HN</t>
        </is>
      </c>
      <c r="E1149" s="3" t="inlineStr">
        <is>
          <t>ĐIỆP</t>
        </is>
      </c>
      <c r="F1149" s="3" t="inlineStr">
        <is>
          <t>Tiktok, Shopee</t>
        </is>
      </c>
      <c r="G1149" s="4" t="inlineStr">
        <is>
          <t>SHOPEE: https://vn.shp.ee/m4gdctc3?fromSource=copy_link&amp;smtt=0.0.9 TIKTOK: https://vt.tiktok.com/ZS9UMHDPyXN53-XKjnc/ LAZADA: WEBSITE BÁN HÀNG:</t>
        </is>
      </c>
      <c r="H1149" s="3" t="inlineStr">
        <is>
          <t>D3-350x3.0</t>
        </is>
      </c>
      <c r="I1149" s="4" t="inlineStr">
        <is>
          <t>Đá cắt sắt, inox KingBlue D3-350x3.0 S</t>
        </is>
      </c>
      <c r="J1149" s="3" t="inlineStr">
        <is>
          <t>Viên</t>
        </is>
      </c>
      <c r="K1149" s="5" t="n">
        <v>45000</v>
      </c>
      <c r="L1149" s="5" t="n">
        <v>53000</v>
      </c>
      <c r="M1149" s="6" t="n">
        <v>65000</v>
      </c>
      <c r="N1149" s="5" t="n"/>
      <c r="O1149" s="5">
        <f>IF(AND(ISNUMBER(N1149),ISNUMBER(M1149)),N1149-M1149,"")</f>
        <v/>
      </c>
      <c r="P1149" s="7">
        <f>IF(AND(ISNUMBER(N1149),ISNUMBER(M1149),M1149&gt;0),(N1149-M1149)/M1149,"")</f>
        <v/>
      </c>
      <c r="Q1149" s="3">
        <f>IF(P1149="","",IF(P1149&lt;-0.02,"🔴 Bán phá giá sàn",IF(P1149&gt;0.05,"🔵 Bán cao hơn","🟢 Đúng giá sàn TMĐT")))</f>
        <v/>
      </c>
      <c r="R1149" s="3" t="n"/>
      <c r="S1149" s="4" t="n"/>
      <c r="T1149" s="4" t="n"/>
    </row>
    <row r="1150">
      <c r="A1150" s="3" t="n">
        <v>1149</v>
      </c>
      <c r="B1150" s="3" t="inlineStr">
        <is>
          <t>DL010</t>
        </is>
      </c>
      <c r="C1150" s="4" t="inlineStr">
        <is>
          <t>Trang Huề( CuBờm TV)</t>
        </is>
      </c>
      <c r="D1150" s="3" t="inlineStr">
        <is>
          <t>HN</t>
        </is>
      </c>
      <c r="E1150" s="3" t="inlineStr">
        <is>
          <t>ĐIỆP</t>
        </is>
      </c>
      <c r="F1150" s="3" t="inlineStr">
        <is>
          <t>Tiktok, Shopee</t>
        </is>
      </c>
      <c r="G1150" s="4" t="inlineStr">
        <is>
          <t>SHOPEE: https://vn.shp.ee/m4gdctc3?fromSource=copy_link&amp;smtt=0.0.9 TIKTOK: https://vt.tiktok.com/ZS9UMHDPyXN53-XKjnc/ LAZADA: WEBSITE BÁN HÀNG:</t>
        </is>
      </c>
      <c r="H1150" s="3" t="inlineStr">
        <is>
          <t>D4-107x1.2</t>
        </is>
      </c>
      <c r="I1150" s="4" t="inlineStr">
        <is>
          <t>Đá cắt sắt, inox Kingblue D4-107x1.2 đỏ</t>
        </is>
      </c>
      <c r="J1150" s="3" t="inlineStr">
        <is>
          <t>Viên</t>
        </is>
      </c>
      <c r="K1150" s="5" t="n">
        <v>4200</v>
      </c>
      <c r="L1150" s="5" t="n">
        <v>5300</v>
      </c>
      <c r="M1150" s="6" t="n">
        <v>6900</v>
      </c>
      <c r="N1150" s="5" t="n"/>
      <c r="O1150" s="5">
        <f>IF(AND(ISNUMBER(N1150),ISNUMBER(M1150)),N1150-M1150,"")</f>
        <v/>
      </c>
      <c r="P1150" s="7">
        <f>IF(AND(ISNUMBER(N1150),ISNUMBER(M1150),M1150&gt;0),(N1150-M1150)/M1150,"")</f>
        <v/>
      </c>
      <c r="Q1150" s="3">
        <f>IF(P1150="","",IF(P1150&lt;-0.02,"🔴 Bán phá giá sàn",IF(P1150&gt;0.05,"🔵 Bán cao hơn","🟢 Đúng giá sàn TMĐT")))</f>
        <v/>
      </c>
      <c r="R1150" s="3" t="n"/>
      <c r="S1150" s="4" t="n"/>
      <c r="T1150" s="4" t="n"/>
    </row>
    <row r="1151">
      <c r="A1151" s="3" t="n">
        <v>1150</v>
      </c>
      <c r="B1151" s="3" t="inlineStr">
        <is>
          <t>DL010</t>
        </is>
      </c>
      <c r="C1151" s="4" t="inlineStr">
        <is>
          <t>Trang Huề( CuBờm TV)</t>
        </is>
      </c>
      <c r="D1151" s="3" t="inlineStr">
        <is>
          <t>HN</t>
        </is>
      </c>
      <c r="E1151" s="3" t="inlineStr">
        <is>
          <t>ĐIỆP</t>
        </is>
      </c>
      <c r="F1151" s="3" t="inlineStr">
        <is>
          <t>Tiktok, Shopee</t>
        </is>
      </c>
      <c r="G1151" s="4" t="inlineStr">
        <is>
          <t>SHOPEE: https://vn.shp.ee/m4gdctc3?fromSource=copy_link&amp;smtt=0.0.9 TIKTOK: https://vt.tiktok.com/ZS9UMHDPyXN53-XKjnc/ LAZADA: WEBSITE BÁN HÀNG:</t>
        </is>
      </c>
      <c r="H1151" s="3" t="inlineStr">
        <is>
          <t>D3-103x2.8</t>
        </is>
      </c>
      <c r="I1151" s="4" t="inlineStr">
        <is>
          <t>Đá mài sắt, inox KingBlue D3-103x2.8</t>
        </is>
      </c>
      <c r="J1151" s="3" t="inlineStr">
        <is>
          <t>Cái</t>
        </is>
      </c>
      <c r="K1151" s="5" t="n">
        <v>9100</v>
      </c>
      <c r="L1151" s="5" t="n">
        <v>11300</v>
      </c>
      <c r="M1151" s="6" t="n">
        <v>14500</v>
      </c>
      <c r="N1151" s="5" t="n"/>
      <c r="O1151" s="5">
        <f>IF(AND(ISNUMBER(N1151),ISNUMBER(M1151)),N1151-M1151,"")</f>
        <v/>
      </c>
      <c r="P1151" s="7">
        <f>IF(AND(ISNUMBER(N1151),ISNUMBER(M1151),M1151&gt;0),(N1151-M1151)/M1151,"")</f>
        <v/>
      </c>
      <c r="Q1151" s="3">
        <f>IF(P1151="","",IF(P1151&lt;-0.02,"🔴 Bán phá giá sàn",IF(P1151&gt;0.05,"🔵 Bán cao hơn","🟢 Đúng giá sàn TMĐT")))</f>
        <v/>
      </c>
      <c r="R1151" s="3" t="n"/>
      <c r="S1151" s="4" t="n"/>
      <c r="T1151" s="4" t="n"/>
    </row>
    <row r="1152">
      <c r="A1152" s="3" t="n">
        <v>1151</v>
      </c>
      <c r="B1152" s="3" t="inlineStr">
        <is>
          <t>DL010</t>
        </is>
      </c>
      <c r="C1152" s="4" t="inlineStr">
        <is>
          <t>Trang Huề( CuBờm TV)</t>
        </is>
      </c>
      <c r="D1152" s="3" t="inlineStr">
        <is>
          <t>HN</t>
        </is>
      </c>
      <c r="E1152" s="3" t="inlineStr">
        <is>
          <t>ĐIỆP</t>
        </is>
      </c>
      <c r="F1152" s="3" t="inlineStr">
        <is>
          <t>Tiktok, Shopee</t>
        </is>
      </c>
      <c r="G1152" s="4" t="inlineStr">
        <is>
          <t>SHOPEE: https://vn.shp.ee/m4gdctc3?fromSource=copy_link&amp;smtt=0.0.9 TIKTOK: https://vt.tiktok.com/ZS9UMHDPyXN53-XKjnc/ LAZADA: WEBSITE BÁN HÀNG:</t>
        </is>
      </c>
      <c r="H1152" s="3" t="inlineStr">
        <is>
          <t>D3-125x6.0</t>
        </is>
      </c>
      <c r="I1152" s="4" t="inlineStr">
        <is>
          <t>Đá mài sắt, inox Kingblue D3-125x6.0</t>
        </is>
      </c>
      <c r="J1152" s="3" t="inlineStr">
        <is>
          <t>Cái</t>
        </is>
      </c>
      <c r="K1152" s="5" t="n">
        <v>20000</v>
      </c>
      <c r="L1152" s="5" t="n">
        <v>25000</v>
      </c>
      <c r="M1152" s="6" t="n">
        <v>32000</v>
      </c>
      <c r="N1152" s="5" t="n"/>
      <c r="O1152" s="5">
        <f>IF(AND(ISNUMBER(N1152),ISNUMBER(M1152)),N1152-M1152,"")</f>
        <v/>
      </c>
      <c r="P1152" s="7">
        <f>IF(AND(ISNUMBER(N1152),ISNUMBER(M1152),M1152&gt;0),(N1152-M1152)/M1152,"")</f>
        <v/>
      </c>
      <c r="Q1152" s="3">
        <f>IF(P1152="","",IF(P1152&lt;-0.02,"🔴 Bán phá giá sàn",IF(P1152&gt;0.05,"🔵 Bán cao hơn","🟢 Đúng giá sàn TMĐT")))</f>
        <v/>
      </c>
      <c r="R1152" s="3" t="n"/>
      <c r="S1152" s="4" t="n"/>
      <c r="T1152" s="4" t="n"/>
    </row>
    <row r="1153">
      <c r="A1153" s="3" t="n">
        <v>1152</v>
      </c>
      <c r="B1153" s="3" t="inlineStr">
        <is>
          <t>DL010</t>
        </is>
      </c>
      <c r="C1153" s="4" t="inlineStr">
        <is>
          <t>Trang Huề( CuBờm TV)</t>
        </is>
      </c>
      <c r="D1153" s="3" t="inlineStr">
        <is>
          <t>HN</t>
        </is>
      </c>
      <c r="E1153" s="3" t="inlineStr">
        <is>
          <t>ĐIỆP</t>
        </is>
      </c>
      <c r="F1153" s="3" t="inlineStr">
        <is>
          <t>Tiktok, Shopee</t>
        </is>
      </c>
      <c r="G1153" s="4" t="inlineStr">
        <is>
          <t>SHOPEE: https://vn.shp.ee/m4gdctc3?fromSource=copy_link&amp;smtt=0.0.9 TIKTOK: https://vt.tiktok.com/ZS9UMHDPyXN53-XKjnc/ LAZADA: WEBSITE BÁN HÀNG:</t>
        </is>
      </c>
      <c r="H1153" s="3" t="inlineStr">
        <is>
          <t>D3-100x6.0mm</t>
        </is>
      </c>
      <c r="I1153" s="4" t="inlineStr">
        <is>
          <t>Đá mài sắt,inox KingBlue D3-100x6.0mm</t>
        </is>
      </c>
      <c r="J1153" s="3" t="inlineStr">
        <is>
          <t>Cái</t>
        </is>
      </c>
      <c r="K1153" s="5" t="n">
        <v>269000</v>
      </c>
      <c r="L1153" s="5" t="n">
        <v>317000</v>
      </c>
      <c r="M1153" s="6" t="n">
        <v>390000</v>
      </c>
      <c r="N1153" s="5" t="n"/>
      <c r="O1153" s="5">
        <f>IF(AND(ISNUMBER(N1153),ISNUMBER(M1153)),N1153-M1153,"")</f>
        <v/>
      </c>
      <c r="P1153" s="7">
        <f>IF(AND(ISNUMBER(N1153),ISNUMBER(M1153),M1153&gt;0),(N1153-M1153)/M1153,"")</f>
        <v/>
      </c>
      <c r="Q1153" s="3">
        <f>IF(P1153="","",IF(P1153&lt;-0.02,"🔴 Bán phá giá sàn",IF(P1153&gt;0.05,"🔵 Bán cao hơn","🟢 Đúng giá sàn TMĐT")))</f>
        <v/>
      </c>
      <c r="R1153" s="3" t="n"/>
      <c r="S1153" s="4" t="n"/>
      <c r="T1153" s="4" t="n"/>
    </row>
    <row r="1154">
      <c r="A1154" s="3" t="n">
        <v>1153</v>
      </c>
      <c r="B1154" s="3" t="inlineStr">
        <is>
          <t>DL010</t>
        </is>
      </c>
      <c r="C1154" s="4" t="inlineStr">
        <is>
          <t>Trang Huề( CuBờm TV)</t>
        </is>
      </c>
      <c r="D1154" s="3" t="inlineStr">
        <is>
          <t>HN</t>
        </is>
      </c>
      <c r="E1154" s="3" t="inlineStr">
        <is>
          <t>ĐIỆP</t>
        </is>
      </c>
      <c r="F1154" s="3" t="inlineStr">
        <is>
          <t>Tiktok, Shopee</t>
        </is>
      </c>
      <c r="G1154" s="4" t="inlineStr">
        <is>
          <t>SHOPEE: https://vn.shp.ee/m4gdctc3?fromSource=copy_link&amp;smtt=0.0.9 TIKTOK: https://vt.tiktok.com/ZS9UMHDPyXN53-XKjnc/ LAZADA: WEBSITE BÁN HÀNG:</t>
        </is>
      </c>
      <c r="H1154" s="3" t="inlineStr">
        <is>
          <t>KPG-032</t>
        </is>
      </c>
      <c r="I1154" s="4" t="inlineStr">
        <is>
          <t>Dao cắt ống kim loại KPG-032</t>
        </is>
      </c>
      <c r="J1154" s="3" t="inlineStr">
        <is>
          <t>Cái</t>
        </is>
      </c>
      <c r="K1154" s="5" t="n">
        <v>259000</v>
      </c>
      <c r="L1154" s="5" t="n">
        <v>306000</v>
      </c>
      <c r="M1154" s="6" t="n">
        <v>376000</v>
      </c>
      <c r="N1154" s="5" t="n"/>
      <c r="O1154" s="5">
        <f>IF(AND(ISNUMBER(N1154),ISNUMBER(M1154)),N1154-M1154,"")</f>
        <v/>
      </c>
      <c r="P1154" s="7">
        <f>IF(AND(ISNUMBER(N1154),ISNUMBER(M1154),M1154&gt;0),(N1154-M1154)/M1154,"")</f>
        <v/>
      </c>
      <c r="Q1154" s="3">
        <f>IF(P1154="","",IF(P1154&lt;-0.02,"🔴 Bán phá giá sàn",IF(P1154&gt;0.05,"🔵 Bán cao hơn","🟢 Đúng giá sàn TMĐT")))</f>
        <v/>
      </c>
      <c r="R1154" s="3" t="n"/>
      <c r="S1154" s="4" t="n"/>
      <c r="T1154" s="4" t="n"/>
    </row>
    <row r="1155">
      <c r="A1155" s="3" t="n">
        <v>1154</v>
      </c>
      <c r="B1155" s="3" t="inlineStr">
        <is>
          <t>DL010</t>
        </is>
      </c>
      <c r="C1155" s="4" t="inlineStr">
        <is>
          <t>Trang Huề( CuBờm TV)</t>
        </is>
      </c>
      <c r="D1155" s="3" t="inlineStr">
        <is>
          <t>HN</t>
        </is>
      </c>
      <c r="E1155" s="3" t="inlineStr">
        <is>
          <t>ĐIỆP</t>
        </is>
      </c>
      <c r="F1155" s="3" t="inlineStr">
        <is>
          <t>Tiktok, Shopee</t>
        </is>
      </c>
      <c r="G1155" s="4" t="inlineStr">
        <is>
          <t>SHOPEE: https://vn.shp.ee/m4gdctc3?fromSource=copy_link&amp;smtt=0.0.9 TIKTOK: https://vt.tiktok.com/ZS9UMHDPyXN53-XKjnc/ LAZADA: WEBSITE BÁN HÀNG:</t>
        </is>
      </c>
      <c r="H1155" s="3" t="inlineStr">
        <is>
          <t>KJH-05</t>
        </is>
      </c>
      <c r="I1155" s="4" t="inlineStr">
        <is>
          <t>Dao rọc cáp đa năng KJH-05</t>
        </is>
      </c>
      <c r="J1155" s="3" t="inlineStr">
        <is>
          <t>Cái</t>
        </is>
      </c>
      <c r="K1155" s="5" t="n">
        <v>119000</v>
      </c>
      <c r="L1155" s="5" t="n">
        <v>141000</v>
      </c>
      <c r="M1155" s="6" t="n">
        <v>173000</v>
      </c>
      <c r="N1155" s="5" t="n"/>
      <c r="O1155" s="5">
        <f>IF(AND(ISNUMBER(N1155),ISNUMBER(M1155)),N1155-M1155,"")</f>
        <v/>
      </c>
      <c r="P1155" s="7">
        <f>IF(AND(ISNUMBER(N1155),ISNUMBER(M1155),M1155&gt;0),(N1155-M1155)/M1155,"")</f>
        <v/>
      </c>
      <c r="Q1155" s="3">
        <f>IF(P1155="","",IF(P1155&lt;-0.02,"🔴 Bán phá giá sàn",IF(P1155&gt;0.05,"🔵 Bán cao hơn","🟢 Đúng giá sàn TMĐT")))</f>
        <v/>
      </c>
      <c r="R1155" s="3" t="n"/>
      <c r="S1155" s="4" t="n"/>
      <c r="T1155" s="4" t="n"/>
    </row>
    <row r="1156">
      <c r="A1156" s="3" t="n">
        <v>1155</v>
      </c>
      <c r="B1156" s="3" t="inlineStr">
        <is>
          <t>DL010</t>
        </is>
      </c>
      <c r="C1156" s="4" t="inlineStr">
        <is>
          <t>Trang Huề( CuBờm TV)</t>
        </is>
      </c>
      <c r="D1156" s="3" t="inlineStr">
        <is>
          <t>HN</t>
        </is>
      </c>
      <c r="E1156" s="3" t="inlineStr">
        <is>
          <t>ĐIỆP</t>
        </is>
      </c>
      <c r="F1156" s="3" t="inlineStr">
        <is>
          <t>Tiktok, Shopee</t>
        </is>
      </c>
      <c r="G1156" s="4" t="inlineStr">
        <is>
          <t>SHOPEE: https://vn.shp.ee/m4gdctc3?fromSource=copy_link&amp;smtt=0.0.9 TIKTOK: https://vt.tiktok.com/ZS9UMHDPyXN53-XKjnc/ LAZADA: WEBSITE BÁN HÀNG:</t>
        </is>
      </c>
      <c r="H1156" s="3" t="inlineStr">
        <is>
          <t>CM08</t>
        </is>
      </c>
      <c r="I1156" s="4" t="inlineStr">
        <is>
          <t>Đầu chụp bulon KingBlue CM08</t>
        </is>
      </c>
      <c r="J1156" s="3" t="inlineStr">
        <is>
          <t>Hộp</t>
        </is>
      </c>
      <c r="K1156" s="5" t="n">
        <v>154000</v>
      </c>
      <c r="L1156" s="5" t="n">
        <v>194000</v>
      </c>
      <c r="M1156" s="6" t="n">
        <v>254000</v>
      </c>
      <c r="N1156" s="5" t="n"/>
      <c r="O1156" s="5">
        <f>IF(AND(ISNUMBER(N1156),ISNUMBER(M1156)),N1156-M1156,"")</f>
        <v/>
      </c>
      <c r="P1156" s="7">
        <f>IF(AND(ISNUMBER(N1156),ISNUMBER(M1156),M1156&gt;0),(N1156-M1156)/M1156,"")</f>
        <v/>
      </c>
      <c r="Q1156" s="3">
        <f>IF(P1156="","",IF(P1156&lt;-0.02,"🔴 Bán phá giá sàn",IF(P1156&gt;0.05,"🔵 Bán cao hơn","🟢 Đúng giá sàn TMĐT")))</f>
        <v/>
      </c>
      <c r="R1156" s="3" t="n"/>
      <c r="S1156" s="4" t="n"/>
      <c r="T1156" s="4" t="n"/>
    </row>
    <row r="1157">
      <c r="A1157" s="3" t="n">
        <v>1156</v>
      </c>
      <c r="B1157" s="3" t="inlineStr">
        <is>
          <t>DL010</t>
        </is>
      </c>
      <c r="C1157" s="4" t="inlineStr">
        <is>
          <t>Trang Huề( CuBờm TV)</t>
        </is>
      </c>
      <c r="D1157" s="3" t="inlineStr">
        <is>
          <t>HN</t>
        </is>
      </c>
      <c r="E1157" s="3" t="inlineStr">
        <is>
          <t>ĐIỆP</t>
        </is>
      </c>
      <c r="F1157" s="3" t="inlineStr">
        <is>
          <t>Tiktok, Shopee</t>
        </is>
      </c>
      <c r="G1157" s="4" t="inlineStr">
        <is>
          <t>SHOPEE: https://vn.shp.ee/m4gdctc3?fromSource=copy_link&amp;smtt=0.0.9 TIKTOK: https://vt.tiktok.com/ZS9UMHDPyXN53-XKjnc/ LAZADA: WEBSITE BÁN HÀNG:</t>
        </is>
      </c>
      <c r="H1157" s="3" t="inlineStr">
        <is>
          <t>CM10</t>
        </is>
      </c>
      <c r="I1157" s="4" t="inlineStr">
        <is>
          <t>Đầu chụp bulon KingBlue CM10</t>
        </is>
      </c>
      <c r="J1157" s="3" t="inlineStr">
        <is>
          <t>Hộp</t>
        </is>
      </c>
      <c r="K1157" s="5" t="n">
        <v>176000</v>
      </c>
      <c r="L1157" s="5" t="n">
        <v>222000</v>
      </c>
      <c r="M1157" s="6" t="n">
        <v>290000</v>
      </c>
      <c r="N1157" s="5" t="n"/>
      <c r="O1157" s="5">
        <f>IF(AND(ISNUMBER(N1157),ISNUMBER(M1157)),N1157-M1157,"")</f>
        <v/>
      </c>
      <c r="P1157" s="7">
        <f>IF(AND(ISNUMBER(N1157),ISNUMBER(M1157),M1157&gt;0),(N1157-M1157)/M1157,"")</f>
        <v/>
      </c>
      <c r="Q1157" s="3">
        <f>IF(P1157="","",IF(P1157&lt;-0.02,"🔴 Bán phá giá sàn",IF(P1157&gt;0.05,"🔵 Bán cao hơn","🟢 Đúng giá sàn TMĐT")))</f>
        <v/>
      </c>
      <c r="R1157" s="3" t="n"/>
      <c r="S1157" s="4" t="n"/>
      <c r="T1157" s="4" t="n"/>
    </row>
    <row r="1158">
      <c r="A1158" s="3" t="n">
        <v>1157</v>
      </c>
      <c r="B1158" s="3" t="inlineStr">
        <is>
          <t>DL010</t>
        </is>
      </c>
      <c r="C1158" s="4" t="inlineStr">
        <is>
          <t>Trang Huề( CuBờm TV)</t>
        </is>
      </c>
      <c r="D1158" s="3" t="inlineStr">
        <is>
          <t>HN</t>
        </is>
      </c>
      <c r="E1158" s="3" t="inlineStr">
        <is>
          <t>ĐIỆP</t>
        </is>
      </c>
      <c r="F1158" s="3" t="inlineStr">
        <is>
          <t>Tiktok, Shopee</t>
        </is>
      </c>
      <c r="G1158" s="4" t="inlineStr">
        <is>
          <t>SHOPEE: https://vn.shp.ee/m4gdctc3?fromSource=copy_link&amp;smtt=0.0.9 TIKTOK: https://vt.tiktok.com/ZS9UMHDPyXN53-XKjnc/ LAZADA: WEBSITE BÁN HÀNG:</t>
        </is>
      </c>
      <c r="H1158" s="3" t="inlineStr">
        <is>
          <t>CM12</t>
        </is>
      </c>
      <c r="I1158" s="4" t="inlineStr">
        <is>
          <t>Đầu chụp bulon KingBlue CM12</t>
        </is>
      </c>
      <c r="J1158" s="3" t="inlineStr">
        <is>
          <t>Hộp</t>
        </is>
      </c>
      <c r="K1158" s="5" t="n">
        <v>99000</v>
      </c>
      <c r="L1158" s="5" t="n">
        <v>125000</v>
      </c>
      <c r="M1158" s="6" t="n">
        <v>163000</v>
      </c>
      <c r="N1158" s="5" t="n"/>
      <c r="O1158" s="5">
        <f>IF(AND(ISNUMBER(N1158),ISNUMBER(M1158)),N1158-M1158,"")</f>
        <v/>
      </c>
      <c r="P1158" s="7">
        <f>IF(AND(ISNUMBER(N1158),ISNUMBER(M1158),M1158&gt;0),(N1158-M1158)/M1158,"")</f>
        <v/>
      </c>
      <c r="Q1158" s="3">
        <f>IF(P1158="","",IF(P1158&lt;-0.02,"🔴 Bán phá giá sàn",IF(P1158&gt;0.05,"🔵 Bán cao hơn","🟢 Đúng giá sàn TMĐT")))</f>
        <v/>
      </c>
      <c r="R1158" s="3" t="n"/>
      <c r="S1158" s="4" t="n"/>
      <c r="T1158" s="4" t="n"/>
    </row>
    <row r="1159">
      <c r="A1159" s="3" t="n">
        <v>1158</v>
      </c>
      <c r="B1159" s="3" t="inlineStr">
        <is>
          <t>DL010</t>
        </is>
      </c>
      <c r="C1159" s="4" t="inlineStr">
        <is>
          <t>Trang Huề( CuBờm TV)</t>
        </is>
      </c>
      <c r="D1159" s="3" t="inlineStr">
        <is>
          <t>HN</t>
        </is>
      </c>
      <c r="E1159" s="3" t="inlineStr">
        <is>
          <t>ĐIỆP</t>
        </is>
      </c>
      <c r="F1159" s="3" t="inlineStr">
        <is>
          <t>Tiktok, Shopee</t>
        </is>
      </c>
      <c r="G1159" s="4" t="inlineStr">
        <is>
          <t>SHOPEE: https://vn.shp.ee/m4gdctc3?fromSource=copy_link&amp;smtt=0.0.9 TIKTOK: https://vt.tiktok.com/ZS9UMHDPyXN53-XKjnc/ LAZADA: WEBSITE BÁN HÀNG:</t>
        </is>
      </c>
      <c r="H1159" s="3" t="inlineStr">
        <is>
          <t>CM14</t>
        </is>
      </c>
      <c r="I1159" s="4" t="inlineStr">
        <is>
          <t>Đầu chụp bulon KingBlue CM14</t>
        </is>
      </c>
      <c r="J1159" s="3" t="inlineStr">
        <is>
          <t>Hộp</t>
        </is>
      </c>
      <c r="K1159" s="5" t="n">
        <v>105000</v>
      </c>
      <c r="L1159" s="5" t="n">
        <v>132000</v>
      </c>
      <c r="M1159" s="6" t="n">
        <v>173000</v>
      </c>
      <c r="N1159" s="5" t="n"/>
      <c r="O1159" s="5">
        <f>IF(AND(ISNUMBER(N1159),ISNUMBER(M1159)),N1159-M1159,"")</f>
        <v/>
      </c>
      <c r="P1159" s="7">
        <f>IF(AND(ISNUMBER(N1159),ISNUMBER(M1159),M1159&gt;0),(N1159-M1159)/M1159,"")</f>
        <v/>
      </c>
      <c r="Q1159" s="3">
        <f>IF(P1159="","",IF(P1159&lt;-0.02,"🔴 Bán phá giá sàn",IF(P1159&gt;0.05,"🔵 Bán cao hơn","🟢 Đúng giá sàn TMĐT")))</f>
        <v/>
      </c>
      <c r="R1159" s="3" t="n"/>
      <c r="S1159" s="4" t="n"/>
      <c r="T1159" s="4" t="n"/>
    </row>
    <row r="1160">
      <c r="A1160" s="3" t="n">
        <v>1159</v>
      </c>
      <c r="B1160" s="3" t="inlineStr">
        <is>
          <t>DL010</t>
        </is>
      </c>
      <c r="C1160" s="4" t="inlineStr">
        <is>
          <t>Trang Huề( CuBờm TV)</t>
        </is>
      </c>
      <c r="D1160" s="3" t="inlineStr">
        <is>
          <t>HN</t>
        </is>
      </c>
      <c r="E1160" s="3" t="inlineStr">
        <is>
          <t>ĐIỆP</t>
        </is>
      </c>
      <c r="F1160" s="3" t="inlineStr">
        <is>
          <t>Tiktok, Shopee</t>
        </is>
      </c>
      <c r="G1160" s="4" t="inlineStr">
        <is>
          <t>SHOPEE: https://vn.shp.ee/m4gdctc3?fromSource=copy_link&amp;smtt=0.0.9 TIKTOK: https://vt.tiktok.com/ZS9UMHDPyXN53-XKjnc/ LAZADA: WEBSITE BÁN HÀNG:</t>
        </is>
      </c>
      <c r="H1160" s="3" t="inlineStr">
        <is>
          <t>CM17</t>
        </is>
      </c>
      <c r="I1160" s="4" t="inlineStr">
        <is>
          <t>Đầu chụp bulon KingBlue CM17</t>
        </is>
      </c>
      <c r="J1160" s="3" t="inlineStr">
        <is>
          <t>Hộp</t>
        </is>
      </c>
      <c r="K1160" s="5" t="n">
        <v>110000</v>
      </c>
      <c r="L1160" s="5" t="n">
        <v>139000</v>
      </c>
      <c r="M1160" s="6" t="n">
        <v>182000</v>
      </c>
      <c r="N1160" s="5" t="n"/>
      <c r="O1160" s="5">
        <f>IF(AND(ISNUMBER(N1160),ISNUMBER(M1160)),N1160-M1160,"")</f>
        <v/>
      </c>
      <c r="P1160" s="7">
        <f>IF(AND(ISNUMBER(N1160),ISNUMBER(M1160),M1160&gt;0),(N1160-M1160)/M1160,"")</f>
        <v/>
      </c>
      <c r="Q1160" s="3">
        <f>IF(P1160="","",IF(P1160&lt;-0.02,"🔴 Bán phá giá sàn",IF(P1160&gt;0.05,"🔵 Bán cao hơn","🟢 Đúng giá sàn TMĐT")))</f>
        <v/>
      </c>
      <c r="R1160" s="3" t="n"/>
      <c r="S1160" s="4" t="n"/>
      <c r="T1160" s="4" t="n"/>
    </row>
    <row r="1161">
      <c r="A1161" s="3" t="n">
        <v>1160</v>
      </c>
      <c r="B1161" s="3" t="inlineStr">
        <is>
          <t>DL010</t>
        </is>
      </c>
      <c r="C1161" s="4" t="inlineStr">
        <is>
          <t>Trang Huề( CuBờm TV)</t>
        </is>
      </c>
      <c r="D1161" s="3" t="inlineStr">
        <is>
          <t>HN</t>
        </is>
      </c>
      <c r="E1161" s="3" t="inlineStr">
        <is>
          <t>ĐIỆP</t>
        </is>
      </c>
      <c r="F1161" s="3" t="inlineStr">
        <is>
          <t>Tiktok, Shopee</t>
        </is>
      </c>
      <c r="G1161" s="4" t="inlineStr">
        <is>
          <t>SHOPEE: https://vn.shp.ee/m4gdctc3?fromSource=copy_link&amp;smtt=0.0.9 TIKTOK: https://vt.tiktok.com/ZS9UMHDPyXN53-XKjnc/ LAZADA: WEBSITE BÁN HÀNG:</t>
        </is>
      </c>
      <c r="H1161" s="3" t="inlineStr">
        <is>
          <t>CM19</t>
        </is>
      </c>
      <c r="I1161" s="4" t="inlineStr">
        <is>
          <t>Đầu chụp bulon KingBlue CM19</t>
        </is>
      </c>
      <c r="J1161" s="3" t="inlineStr">
        <is>
          <t>Hộp</t>
        </is>
      </c>
      <c r="K1161" s="5" t="n">
        <v>86000</v>
      </c>
      <c r="L1161" s="5" t="n">
        <v>108000</v>
      </c>
      <c r="M1161" s="6" t="n">
        <v>142000</v>
      </c>
      <c r="N1161" s="5" t="n"/>
      <c r="O1161" s="5">
        <f>IF(AND(ISNUMBER(N1161),ISNUMBER(M1161)),N1161-M1161,"")</f>
        <v/>
      </c>
      <c r="P1161" s="7">
        <f>IF(AND(ISNUMBER(N1161),ISNUMBER(M1161),M1161&gt;0),(N1161-M1161)/M1161,"")</f>
        <v/>
      </c>
      <c r="Q1161" s="3">
        <f>IF(P1161="","",IF(P1161&lt;-0.02,"🔴 Bán phá giá sàn",IF(P1161&gt;0.05,"🔵 Bán cao hơn","🟢 Đúng giá sàn TMĐT")))</f>
        <v/>
      </c>
      <c r="R1161" s="3" t="n"/>
      <c r="S1161" s="4" t="n"/>
      <c r="T1161" s="4" t="n"/>
    </row>
    <row r="1162">
      <c r="A1162" s="3" t="n">
        <v>1161</v>
      </c>
      <c r="B1162" s="3" t="inlineStr">
        <is>
          <t>DL010</t>
        </is>
      </c>
      <c r="C1162" s="4" t="inlineStr">
        <is>
          <t>Trang Huề( CuBờm TV)</t>
        </is>
      </c>
      <c r="D1162" s="3" t="inlineStr">
        <is>
          <t>HN</t>
        </is>
      </c>
      <c r="E1162" s="3" t="inlineStr">
        <is>
          <t>ĐIỆP</t>
        </is>
      </c>
      <c r="F1162" s="3" t="inlineStr">
        <is>
          <t>Tiktok, Shopee</t>
        </is>
      </c>
      <c r="G1162" s="4" t="inlineStr">
        <is>
          <t>SHOPEE: https://vn.shp.ee/m4gdctc3?fromSource=copy_link&amp;smtt=0.0.9 TIKTOK: https://vt.tiktok.com/ZS9UMHDPyXN53-XKjnc/ LAZADA: WEBSITE BÁN HÀNG:</t>
        </is>
      </c>
      <c r="H1162" s="3" t="inlineStr">
        <is>
          <t>KBA-I1800</t>
        </is>
      </c>
      <c r="I1162" s="4" t="inlineStr">
        <is>
          <t>Dây bố thép 10m - Phụ kiện máy rửa xe KBA-I1800</t>
        </is>
      </c>
      <c r="J1162" s="3" t="inlineStr">
        <is>
          <t>Cái</t>
        </is>
      </c>
      <c r="K1162" s="5" t="n">
        <v>269000</v>
      </c>
      <c r="L1162" s="5" t="n">
        <v>317000</v>
      </c>
      <c r="M1162" s="6" t="n">
        <v>390000</v>
      </c>
      <c r="N1162" s="5" t="n"/>
      <c r="O1162" s="5">
        <f>IF(AND(ISNUMBER(N1162),ISNUMBER(M1162)),N1162-M1162,"")</f>
        <v/>
      </c>
      <c r="P1162" s="7">
        <f>IF(AND(ISNUMBER(N1162),ISNUMBER(M1162),M1162&gt;0),(N1162-M1162)/M1162,"")</f>
        <v/>
      </c>
      <c r="Q1162" s="3">
        <f>IF(P1162="","",IF(P1162&lt;-0.02,"🔴 Bán phá giá sàn",IF(P1162&gt;0.05,"🔵 Bán cao hơn","🟢 Đúng giá sàn TMĐT")))</f>
        <v/>
      </c>
      <c r="R1162" s="3" t="n"/>
      <c r="S1162" s="4" t="n"/>
      <c r="T1162" s="4" t="n"/>
    </row>
    <row r="1163">
      <c r="A1163" s="3" t="n">
        <v>1162</v>
      </c>
      <c r="B1163" s="3" t="inlineStr">
        <is>
          <t>DL010</t>
        </is>
      </c>
      <c r="C1163" s="4" t="inlineStr">
        <is>
          <t>Trang Huề( CuBờm TV)</t>
        </is>
      </c>
      <c r="D1163" s="3" t="inlineStr">
        <is>
          <t>HN</t>
        </is>
      </c>
      <c r="E1163" s="3" t="inlineStr">
        <is>
          <t>ĐIỆP</t>
        </is>
      </c>
      <c r="F1163" s="3" t="inlineStr">
        <is>
          <t>Tiktok, Shopee</t>
        </is>
      </c>
      <c r="G1163" s="4" t="inlineStr">
        <is>
          <t>SHOPEE: https://vn.shp.ee/m4gdctc3?fromSource=copy_link&amp;smtt=0.0.9 TIKTOK: https://vt.tiktok.com/ZS9UMHDPyXN53-XKjnc/ LAZADA: WEBSITE BÁN HÀNG:</t>
        </is>
      </c>
      <c r="H1163" s="3" t="inlineStr">
        <is>
          <t>KB-1301</t>
        </is>
      </c>
      <c r="I1163" s="4" t="inlineStr">
        <is>
          <t>Dụng cụ vát mép (ba via) ống đồng KingBlue, KB-1301</t>
        </is>
      </c>
      <c r="J1163" s="3" t="inlineStr">
        <is>
          <t>Cái</t>
        </is>
      </c>
      <c r="K1163" s="5" t="n">
        <v>135000</v>
      </c>
      <c r="L1163" s="5" t="n">
        <v>159000</v>
      </c>
      <c r="M1163" s="6" t="n">
        <v>196000</v>
      </c>
      <c r="N1163" s="5" t="n"/>
      <c r="O1163" s="5">
        <f>IF(AND(ISNUMBER(N1163),ISNUMBER(M1163)),N1163-M1163,"")</f>
        <v/>
      </c>
      <c r="P1163" s="7">
        <f>IF(AND(ISNUMBER(N1163),ISNUMBER(M1163),M1163&gt;0),(N1163-M1163)/M1163,"")</f>
        <v/>
      </c>
      <c r="Q1163" s="3">
        <f>IF(P1163="","",IF(P1163&lt;-0.02,"🔴 Bán phá giá sàn",IF(P1163&gt;0.05,"🔵 Bán cao hơn","🟢 Đúng giá sàn TMĐT")))</f>
        <v/>
      </c>
      <c r="R1163" s="3" t="n"/>
      <c r="S1163" s="4" t="n"/>
      <c r="T1163" s="4" t="n"/>
    </row>
    <row r="1164">
      <c r="A1164" s="3" t="n">
        <v>1163</v>
      </c>
      <c r="B1164" s="3" t="inlineStr">
        <is>
          <t>DL010</t>
        </is>
      </c>
      <c r="C1164" s="4" t="inlineStr">
        <is>
          <t>Trang Huề( CuBờm TV)</t>
        </is>
      </c>
      <c r="D1164" s="3" t="inlineStr">
        <is>
          <t>HN</t>
        </is>
      </c>
      <c r="E1164" s="3" t="inlineStr">
        <is>
          <t>ĐIỆP</t>
        </is>
      </c>
      <c r="F1164" s="3" t="inlineStr">
        <is>
          <t>Tiktok, Shopee</t>
        </is>
      </c>
      <c r="G1164" s="4" t="inlineStr">
        <is>
          <t>SHOPEE: https://vn.shp.ee/m4gdctc3?fromSource=copy_link&amp;smtt=0.0.9 TIKTOK: https://vt.tiktok.com/ZS9UMHDPyXN53-XKjnc/ LAZADA: WEBSITE BÁN HÀNG:</t>
        </is>
      </c>
      <c r="H1164" s="3" t="inlineStr">
        <is>
          <t>HKE-924</t>
        </is>
      </c>
      <c r="I1164" s="4" t="inlineStr">
        <is>
          <t>Hít gạch điện tử HKE-924</t>
        </is>
      </c>
      <c r="J1164" s="3" t="inlineStr">
        <is>
          <t>Cái</t>
        </is>
      </c>
      <c r="K1164" s="5" t="n">
        <v>680000</v>
      </c>
      <c r="L1164" s="5" t="n">
        <v>789000</v>
      </c>
      <c r="M1164" s="6" t="n">
        <v>952000</v>
      </c>
      <c r="N1164" s="5" t="n"/>
      <c r="O1164" s="5">
        <f>IF(AND(ISNUMBER(N1164),ISNUMBER(M1164)),N1164-M1164,"")</f>
        <v/>
      </c>
      <c r="P1164" s="7">
        <f>IF(AND(ISNUMBER(N1164),ISNUMBER(M1164),M1164&gt;0),(N1164-M1164)/M1164,"")</f>
        <v/>
      </c>
      <c r="Q1164" s="3">
        <f>IF(P1164="","",IF(P1164&lt;-0.02,"🔴 Bán phá giá sàn",IF(P1164&gt;0.05,"🔵 Bán cao hơn","🟢 Đúng giá sàn TMĐT")))</f>
        <v/>
      </c>
      <c r="R1164" s="3" t="n"/>
      <c r="S1164" s="4" t="n"/>
      <c r="T1164" s="4" t="n"/>
    </row>
    <row r="1165">
      <c r="A1165" s="3" t="n">
        <v>1164</v>
      </c>
      <c r="B1165" s="3" t="inlineStr">
        <is>
          <t>DL010</t>
        </is>
      </c>
      <c r="C1165" s="4" t="inlineStr">
        <is>
          <t>Trang Huề( CuBờm TV)</t>
        </is>
      </c>
      <c r="D1165" s="3" t="inlineStr">
        <is>
          <t>HN</t>
        </is>
      </c>
      <c r="E1165" s="3" t="inlineStr">
        <is>
          <t>ĐIỆP</t>
        </is>
      </c>
      <c r="F1165" s="3" t="inlineStr">
        <is>
          <t>Tiktok, Shopee</t>
        </is>
      </c>
      <c r="G1165" s="4" t="inlineStr">
        <is>
          <t>SHOPEE: https://vn.shp.ee/m4gdctc3?fromSource=copy_link&amp;smtt=0.0.9 TIKTOK: https://vt.tiktok.com/ZS9UMHDPyXN53-XKjnc/ LAZADA: WEBSITE BÁN HÀNG:</t>
        </is>
      </c>
      <c r="H1165" s="3" t="inlineStr"/>
      <c r="I1165" s="4" t="inlineStr">
        <is>
          <t>KỆ HÀNG</t>
        </is>
      </c>
      <c r="J1165" s="3" t="inlineStr">
        <is>
          <t>Cái</t>
        </is>
      </c>
      <c r="K1165" s="5" t="n">
        <v>269000</v>
      </c>
      <c r="L1165" s="5" t="n">
        <v>317000</v>
      </c>
      <c r="M1165" s="6" t="n">
        <v>390000</v>
      </c>
      <c r="N1165" s="5" t="n"/>
      <c r="O1165" s="5">
        <f>IF(AND(ISNUMBER(N1165),ISNUMBER(M1165)),N1165-M1165,"")</f>
        <v/>
      </c>
      <c r="P1165" s="7">
        <f>IF(AND(ISNUMBER(N1165),ISNUMBER(M1165),M1165&gt;0),(N1165-M1165)/M1165,"")</f>
        <v/>
      </c>
      <c r="Q1165" s="3">
        <f>IF(P1165="","",IF(P1165&lt;-0.02,"🔴 Bán phá giá sàn",IF(P1165&gt;0.05,"🔵 Bán cao hơn","🟢 Đúng giá sàn TMĐT")))</f>
        <v/>
      </c>
      <c r="R1165" s="3" t="n"/>
      <c r="S1165" s="4" t="n"/>
      <c r="T1165" s="4" t="n"/>
    </row>
    <row r="1166">
      <c r="A1166" s="3" t="n">
        <v>1165</v>
      </c>
      <c r="B1166" s="3" t="inlineStr">
        <is>
          <t>DL010</t>
        </is>
      </c>
      <c r="C1166" s="4" t="inlineStr">
        <is>
          <t>Trang Huề( CuBờm TV)</t>
        </is>
      </c>
      <c r="D1166" s="3" t="inlineStr">
        <is>
          <t>HN</t>
        </is>
      </c>
      <c r="E1166" s="3" t="inlineStr">
        <is>
          <t>ĐIỆP</t>
        </is>
      </c>
      <c r="F1166" s="3" t="inlineStr">
        <is>
          <t>Tiktok, Shopee</t>
        </is>
      </c>
      <c r="G1166" s="4" t="inlineStr">
        <is>
          <t>SHOPEE: https://vn.shp.ee/m4gdctc3?fromSource=copy_link&amp;smtt=0.0.9 TIKTOK: https://vt.tiktok.com/ZS9UMHDPyXN53-XKjnc/ LAZADA: WEBSITE BÁN HÀNG:</t>
        </is>
      </c>
      <c r="H1166" s="3" t="inlineStr">
        <is>
          <t>KPC-164</t>
        </is>
      </c>
      <c r="I1166" s="4" t="inlineStr">
        <is>
          <t>Kéo cắt ống KPC-164</t>
        </is>
      </c>
      <c r="J1166" s="3" t="inlineStr">
        <is>
          <t>Cái</t>
        </is>
      </c>
      <c r="K1166" s="5" t="n">
        <v>262000</v>
      </c>
      <c r="L1166" s="5" t="n">
        <v>309000</v>
      </c>
      <c r="M1166" s="6" t="n">
        <v>380000</v>
      </c>
      <c r="N1166" s="5" t="n"/>
      <c r="O1166" s="5">
        <f>IF(AND(ISNUMBER(N1166),ISNUMBER(M1166)),N1166-M1166,"")</f>
        <v/>
      </c>
      <c r="P1166" s="7">
        <f>IF(AND(ISNUMBER(N1166),ISNUMBER(M1166),M1166&gt;0),(N1166-M1166)/M1166,"")</f>
        <v/>
      </c>
      <c r="Q1166" s="3">
        <f>IF(P1166="","",IF(P1166&lt;-0.02,"🔴 Bán phá giá sàn",IF(P1166&gt;0.05,"🔵 Bán cao hơn","🟢 Đúng giá sàn TMĐT")))</f>
        <v/>
      </c>
      <c r="R1166" s="3" t="n"/>
      <c r="S1166" s="4" t="n"/>
      <c r="T1166" s="4" t="n"/>
    </row>
    <row r="1167">
      <c r="A1167" s="3" t="n">
        <v>1166</v>
      </c>
      <c r="B1167" s="3" t="inlineStr">
        <is>
          <t>DL010</t>
        </is>
      </c>
      <c r="C1167" s="4" t="inlineStr">
        <is>
          <t>Trang Huề( CuBờm TV)</t>
        </is>
      </c>
      <c r="D1167" s="3" t="inlineStr">
        <is>
          <t>HN</t>
        </is>
      </c>
      <c r="E1167" s="3" t="inlineStr">
        <is>
          <t>ĐIỆP</t>
        </is>
      </c>
      <c r="F1167" s="3" t="inlineStr">
        <is>
          <t>Tiktok, Shopee</t>
        </is>
      </c>
      <c r="G1167" s="4" t="inlineStr">
        <is>
          <t>SHOPEE: https://vn.shp.ee/m4gdctc3?fromSource=copy_link&amp;smtt=0.0.9 TIKTOK: https://vt.tiktok.com/ZS9UMHDPyXN53-XKjnc/ LAZADA: WEBSITE BÁN HÀNG:</t>
        </is>
      </c>
      <c r="H1167" s="3" t="inlineStr">
        <is>
          <t>KRLK-63250</t>
        </is>
      </c>
      <c r="I1167" s="4" t="inlineStr">
        <is>
          <t>Khoan rút lõi bê tông khô KRLK-63*250</t>
        </is>
      </c>
      <c r="J1167" s="3" t="inlineStr">
        <is>
          <t>Cái</t>
        </is>
      </c>
      <c r="K1167" s="5" t="n">
        <v>303000</v>
      </c>
      <c r="L1167" s="5" t="n">
        <v>364000</v>
      </c>
      <c r="M1167" s="6" t="n">
        <v>455000</v>
      </c>
      <c r="N1167" s="5" t="n"/>
      <c r="O1167" s="5">
        <f>IF(AND(ISNUMBER(N1167),ISNUMBER(M1167)),N1167-M1167,"")</f>
        <v/>
      </c>
      <c r="P1167" s="7">
        <f>IF(AND(ISNUMBER(N1167),ISNUMBER(M1167),M1167&gt;0),(N1167-M1167)/M1167,"")</f>
        <v/>
      </c>
      <c r="Q1167" s="3">
        <f>IF(P1167="","",IF(P1167&lt;-0.02,"🔴 Bán phá giá sàn",IF(P1167&gt;0.05,"🔵 Bán cao hơn","🟢 Đúng giá sàn TMĐT")))</f>
        <v/>
      </c>
      <c r="R1167" s="3" t="n"/>
      <c r="S1167" s="4" t="n"/>
      <c r="T1167" s="4" t="n"/>
    </row>
    <row r="1168">
      <c r="A1168" s="3" t="n">
        <v>1167</v>
      </c>
      <c r="B1168" s="3" t="inlineStr">
        <is>
          <t>DL010</t>
        </is>
      </c>
      <c r="C1168" s="4" t="inlineStr">
        <is>
          <t>Trang Huề( CuBờm TV)</t>
        </is>
      </c>
      <c r="D1168" s="3" t="inlineStr">
        <is>
          <t>HN</t>
        </is>
      </c>
      <c r="E1168" s="3" t="inlineStr">
        <is>
          <t>ĐIỆP</t>
        </is>
      </c>
      <c r="F1168" s="3" t="inlineStr">
        <is>
          <t>Tiktok, Shopee</t>
        </is>
      </c>
      <c r="G1168" s="4" t="inlineStr">
        <is>
          <t>SHOPEE: https://vn.shp.ee/m4gdctc3?fromSource=copy_link&amp;smtt=0.0.9 TIKTOK: https://vt.tiktok.com/ZS9UMHDPyXN53-XKjnc/ LAZADA: WEBSITE BÁN HÀNG:</t>
        </is>
      </c>
      <c r="H1168" s="3" t="inlineStr">
        <is>
          <t>KRLK-27370</t>
        </is>
      </c>
      <c r="I1168" s="4" t="inlineStr">
        <is>
          <t>Khoan rút lõi bê tông nước + khô KRLK-27*370</t>
        </is>
      </c>
      <c r="J1168" s="3" t="inlineStr">
        <is>
          <t>Cái</t>
        </is>
      </c>
      <c r="K1168" s="5" t="n">
        <v>145000</v>
      </c>
      <c r="L1168" s="5" t="n">
        <v>174000</v>
      </c>
      <c r="M1168" s="6" t="n">
        <v>218000</v>
      </c>
      <c r="N1168" s="5" t="n"/>
      <c r="O1168" s="5">
        <f>IF(AND(ISNUMBER(N1168),ISNUMBER(M1168)),N1168-M1168,"")</f>
        <v/>
      </c>
      <c r="P1168" s="7">
        <f>IF(AND(ISNUMBER(N1168),ISNUMBER(M1168),M1168&gt;0),(N1168-M1168)/M1168,"")</f>
        <v/>
      </c>
      <c r="Q1168" s="3">
        <f>IF(P1168="","",IF(P1168&lt;-0.02,"🔴 Bán phá giá sàn",IF(P1168&gt;0.05,"🔵 Bán cao hơn","🟢 Đúng giá sàn TMĐT")))</f>
        <v/>
      </c>
      <c r="R1168" s="3" t="n"/>
      <c r="S1168" s="4" t="n"/>
      <c r="T1168" s="4" t="n"/>
    </row>
    <row r="1169">
      <c r="A1169" s="3" t="n">
        <v>1168</v>
      </c>
      <c r="B1169" s="3" t="inlineStr">
        <is>
          <t>DL010</t>
        </is>
      </c>
      <c r="C1169" s="4" t="inlineStr">
        <is>
          <t>Trang Huề( CuBờm TV)</t>
        </is>
      </c>
      <c r="D1169" s="3" t="inlineStr">
        <is>
          <t>HN</t>
        </is>
      </c>
      <c r="E1169" s="3" t="inlineStr">
        <is>
          <t>ĐIỆP</t>
        </is>
      </c>
      <c r="F1169" s="3" t="inlineStr">
        <is>
          <t>Tiktok, Shopee</t>
        </is>
      </c>
      <c r="G1169" s="4" t="inlineStr">
        <is>
          <t>SHOPEE: https://vn.shp.ee/m4gdctc3?fromSource=copy_link&amp;smtt=0.0.9 TIKTOK: https://vt.tiktok.com/ZS9UMHDPyXN53-XKjnc/ LAZADA: WEBSITE BÁN HÀNG:</t>
        </is>
      </c>
      <c r="H1169" s="3" t="inlineStr">
        <is>
          <t>KRLK-32370</t>
        </is>
      </c>
      <c r="I1169" s="4" t="inlineStr">
        <is>
          <t>Khoan rút lõi bê tông nước + khô KRLK-32*370</t>
        </is>
      </c>
      <c r="J1169" s="3" t="inlineStr">
        <is>
          <t>Cái</t>
        </is>
      </c>
      <c r="K1169" s="5" t="n">
        <v>154000</v>
      </c>
      <c r="L1169" s="5" t="n">
        <v>185000</v>
      </c>
      <c r="M1169" s="6" t="n">
        <v>231000</v>
      </c>
      <c r="N1169" s="5" t="n"/>
      <c r="O1169" s="5">
        <f>IF(AND(ISNUMBER(N1169),ISNUMBER(M1169)),N1169-M1169,"")</f>
        <v/>
      </c>
      <c r="P1169" s="7">
        <f>IF(AND(ISNUMBER(N1169),ISNUMBER(M1169),M1169&gt;0),(N1169-M1169)/M1169,"")</f>
        <v/>
      </c>
      <c r="Q1169" s="3">
        <f>IF(P1169="","",IF(P1169&lt;-0.02,"🔴 Bán phá giá sàn",IF(P1169&gt;0.05,"🔵 Bán cao hơn","🟢 Đúng giá sàn TMĐT")))</f>
        <v/>
      </c>
      <c r="R1169" s="3" t="n"/>
      <c r="S1169" s="4" t="n"/>
      <c r="T1169" s="4" t="n"/>
    </row>
    <row r="1170">
      <c r="A1170" s="3" t="n">
        <v>1169</v>
      </c>
      <c r="B1170" s="3" t="inlineStr">
        <is>
          <t>DL010</t>
        </is>
      </c>
      <c r="C1170" s="4" t="inlineStr">
        <is>
          <t>Trang Huề( CuBờm TV)</t>
        </is>
      </c>
      <c r="D1170" s="3" t="inlineStr">
        <is>
          <t>HN</t>
        </is>
      </c>
      <c r="E1170" s="3" t="inlineStr">
        <is>
          <t>ĐIỆP</t>
        </is>
      </c>
      <c r="F1170" s="3" t="inlineStr">
        <is>
          <t>Tiktok, Shopee</t>
        </is>
      </c>
      <c r="G1170" s="4" t="inlineStr">
        <is>
          <t>SHOPEE: https://vn.shp.ee/m4gdctc3?fromSource=copy_link&amp;smtt=0.0.9 TIKTOK: https://vt.tiktok.com/ZS9UMHDPyXN53-XKjnc/ LAZADA: WEBSITE BÁN HÀNG:</t>
        </is>
      </c>
      <c r="H1170" s="3" t="inlineStr">
        <is>
          <t>KRLK-36370</t>
        </is>
      </c>
      <c r="I1170" s="4" t="inlineStr">
        <is>
          <t>Khoan rút lõi bê tông nước + khô KRLK-36*370</t>
        </is>
      </c>
      <c r="J1170" s="3" t="inlineStr">
        <is>
          <t>Cái</t>
        </is>
      </c>
      <c r="K1170" s="5" t="n">
        <v>173000</v>
      </c>
      <c r="L1170" s="5" t="n">
        <v>208000</v>
      </c>
      <c r="M1170" s="6" t="n">
        <v>260000</v>
      </c>
      <c r="N1170" s="5" t="n"/>
      <c r="O1170" s="5">
        <f>IF(AND(ISNUMBER(N1170),ISNUMBER(M1170)),N1170-M1170,"")</f>
        <v/>
      </c>
      <c r="P1170" s="7">
        <f>IF(AND(ISNUMBER(N1170),ISNUMBER(M1170),M1170&gt;0),(N1170-M1170)/M1170,"")</f>
        <v/>
      </c>
      <c r="Q1170" s="3">
        <f>IF(P1170="","",IF(P1170&lt;-0.02,"🔴 Bán phá giá sàn",IF(P1170&gt;0.05,"🔵 Bán cao hơn","🟢 Đúng giá sàn TMĐT")))</f>
        <v/>
      </c>
      <c r="R1170" s="3" t="n"/>
      <c r="S1170" s="4" t="n"/>
      <c r="T1170" s="4" t="n"/>
    </row>
    <row r="1171">
      <c r="A1171" s="3" t="n">
        <v>1170</v>
      </c>
      <c r="B1171" s="3" t="inlineStr">
        <is>
          <t>DL010</t>
        </is>
      </c>
      <c r="C1171" s="4" t="inlineStr">
        <is>
          <t>Trang Huề( CuBờm TV)</t>
        </is>
      </c>
      <c r="D1171" s="3" t="inlineStr">
        <is>
          <t>HN</t>
        </is>
      </c>
      <c r="E1171" s="3" t="inlineStr">
        <is>
          <t>ĐIỆP</t>
        </is>
      </c>
      <c r="F1171" s="3" t="inlineStr">
        <is>
          <t>Tiktok, Shopee</t>
        </is>
      </c>
      <c r="G1171" s="4" t="inlineStr">
        <is>
          <t>SHOPEE: https://vn.shp.ee/m4gdctc3?fromSource=copy_link&amp;smtt=0.0.9 TIKTOK: https://vt.tiktok.com/ZS9UMHDPyXN53-XKjnc/ LAZADA: WEBSITE BÁN HÀNG:</t>
        </is>
      </c>
      <c r="H1171" s="3" t="inlineStr">
        <is>
          <t>KRLK-56370</t>
        </is>
      </c>
      <c r="I1171" s="4" t="inlineStr">
        <is>
          <t>Khoan rút lõi bê tông nước + khô KRLK-56*370</t>
        </is>
      </c>
      <c r="J1171" s="3" t="inlineStr">
        <is>
          <t>Cái</t>
        </is>
      </c>
      <c r="K1171" s="5" t="n">
        <v>244000</v>
      </c>
      <c r="L1171" s="5" t="n">
        <v>293000</v>
      </c>
      <c r="M1171" s="6" t="n">
        <v>366000</v>
      </c>
      <c r="N1171" s="5" t="n"/>
      <c r="O1171" s="5">
        <f>IF(AND(ISNUMBER(N1171),ISNUMBER(M1171)),N1171-M1171,"")</f>
        <v/>
      </c>
      <c r="P1171" s="7">
        <f>IF(AND(ISNUMBER(N1171),ISNUMBER(M1171),M1171&gt;0),(N1171-M1171)/M1171,"")</f>
        <v/>
      </c>
      <c r="Q1171" s="3">
        <f>IF(P1171="","",IF(P1171&lt;-0.02,"🔴 Bán phá giá sàn",IF(P1171&gt;0.05,"🔵 Bán cao hơn","🟢 Đúng giá sàn TMĐT")))</f>
        <v/>
      </c>
      <c r="R1171" s="3" t="n"/>
      <c r="S1171" s="4" t="n"/>
      <c r="T1171" s="4" t="n"/>
    </row>
    <row r="1172">
      <c r="A1172" s="3" t="n">
        <v>1171</v>
      </c>
      <c r="B1172" s="3" t="inlineStr">
        <is>
          <t>DL010</t>
        </is>
      </c>
      <c r="C1172" s="4" t="inlineStr">
        <is>
          <t>Trang Huề( CuBờm TV)</t>
        </is>
      </c>
      <c r="D1172" s="3" t="inlineStr">
        <is>
          <t>HN</t>
        </is>
      </c>
      <c r="E1172" s="3" t="inlineStr">
        <is>
          <t>ĐIỆP</t>
        </is>
      </c>
      <c r="F1172" s="3" t="inlineStr">
        <is>
          <t>Tiktok, Shopee</t>
        </is>
      </c>
      <c r="G1172" s="4" t="inlineStr">
        <is>
          <t>SHOPEE: https://vn.shp.ee/m4gdctc3?fromSource=copy_link&amp;smtt=0.0.9 TIKTOK: https://vt.tiktok.com/ZS9UMHDPyXN53-XKjnc/ LAZADA: WEBSITE BÁN HÀNG:</t>
        </is>
      </c>
      <c r="H1172" s="3" t="inlineStr">
        <is>
          <t>KRLK-63370</t>
        </is>
      </c>
      <c r="I1172" s="4" t="inlineStr">
        <is>
          <t>Khoan rút lõi bê tông nước + khô KRLK-63*370</t>
        </is>
      </c>
      <c r="J1172" s="3" t="inlineStr">
        <is>
          <t>Cái</t>
        </is>
      </c>
      <c r="K1172" s="5" t="n">
        <v>282000</v>
      </c>
      <c r="L1172" s="5" t="n">
        <v>338000</v>
      </c>
      <c r="M1172" s="6" t="n">
        <v>423000</v>
      </c>
      <c r="N1172" s="5" t="n"/>
      <c r="O1172" s="5">
        <f>IF(AND(ISNUMBER(N1172),ISNUMBER(M1172)),N1172-M1172,"")</f>
        <v/>
      </c>
      <c r="P1172" s="7">
        <f>IF(AND(ISNUMBER(N1172),ISNUMBER(M1172),M1172&gt;0),(N1172-M1172)/M1172,"")</f>
        <v/>
      </c>
      <c r="Q1172" s="3">
        <f>IF(P1172="","",IF(P1172&lt;-0.02,"🔴 Bán phá giá sàn",IF(P1172&gt;0.05,"🔵 Bán cao hơn","🟢 Đúng giá sàn TMĐT")))</f>
        <v/>
      </c>
      <c r="R1172" s="3" t="n"/>
      <c r="S1172" s="4" t="n"/>
      <c r="T1172" s="4" t="n"/>
    </row>
    <row r="1173">
      <c r="A1173" s="3" t="n">
        <v>1172</v>
      </c>
      <c r="B1173" s="3" t="inlineStr">
        <is>
          <t>DL010</t>
        </is>
      </c>
      <c r="C1173" s="4" t="inlineStr">
        <is>
          <t>Trang Huề( CuBờm TV)</t>
        </is>
      </c>
      <c r="D1173" s="3" t="inlineStr">
        <is>
          <t>HN</t>
        </is>
      </c>
      <c r="E1173" s="3" t="inlineStr">
        <is>
          <t>ĐIỆP</t>
        </is>
      </c>
      <c r="F1173" s="3" t="inlineStr">
        <is>
          <t>Tiktok, Shopee</t>
        </is>
      </c>
      <c r="G1173" s="4" t="inlineStr">
        <is>
          <t>SHOPEE: https://vn.shp.ee/m4gdctc3?fromSource=copy_link&amp;smtt=0.0.9 TIKTOK: https://vt.tiktok.com/ZS9UMHDPyXN53-XKjnc/ LAZADA: WEBSITE BÁN HÀNG:</t>
        </is>
      </c>
      <c r="H1173" s="3" t="inlineStr">
        <is>
          <t>KRL-89370</t>
        </is>
      </c>
      <c r="I1173" s="4" t="inlineStr">
        <is>
          <t>Khoan rút lõi bê tông nước KRL-89*370</t>
        </is>
      </c>
      <c r="J1173" s="3" t="inlineStr">
        <is>
          <t>Cái</t>
        </is>
      </c>
      <c r="K1173" s="5" t="n">
        <v>474000</v>
      </c>
      <c r="L1173" s="5" t="n">
        <v>569000</v>
      </c>
      <c r="M1173" s="6" t="n">
        <v>711000</v>
      </c>
      <c r="N1173" s="5" t="n"/>
      <c r="O1173" s="5">
        <f>IF(AND(ISNUMBER(N1173),ISNUMBER(M1173)),N1173-M1173,"")</f>
        <v/>
      </c>
      <c r="P1173" s="7">
        <f>IF(AND(ISNUMBER(N1173),ISNUMBER(M1173),M1173&gt;0),(N1173-M1173)/M1173,"")</f>
        <v/>
      </c>
      <c r="Q1173" s="3">
        <f>IF(P1173="","",IF(P1173&lt;-0.02,"🔴 Bán phá giá sàn",IF(P1173&gt;0.05,"🔵 Bán cao hơn","🟢 Đúng giá sàn TMĐT")))</f>
        <v/>
      </c>
      <c r="R1173" s="3" t="n"/>
      <c r="S1173" s="4" t="n"/>
      <c r="T1173" s="4" t="n"/>
    </row>
    <row r="1174">
      <c r="A1174" s="3" t="n">
        <v>1173</v>
      </c>
      <c r="B1174" s="3" t="inlineStr">
        <is>
          <t>DL010</t>
        </is>
      </c>
      <c r="C1174" s="4" t="inlineStr">
        <is>
          <t>Trang Huề( CuBờm TV)</t>
        </is>
      </c>
      <c r="D1174" s="3" t="inlineStr">
        <is>
          <t>HN</t>
        </is>
      </c>
      <c r="E1174" s="3" t="inlineStr">
        <is>
          <t>ĐIỆP</t>
        </is>
      </c>
      <c r="F1174" s="3" t="inlineStr">
        <is>
          <t>Tiktok, Shopee</t>
        </is>
      </c>
      <c r="G1174" s="4" t="inlineStr">
        <is>
          <t>SHOPEE: https://vn.shp.ee/m4gdctc3?fromSource=copy_link&amp;smtt=0.0.9 TIKTOK: https://vt.tiktok.com/ZS9UMHDPyXN53-XKjnc/ LAZADA: WEBSITE BÁN HÀNG:</t>
        </is>
      </c>
      <c r="H1174" s="3" t="inlineStr">
        <is>
          <t>KC3-09</t>
        </is>
      </c>
      <c r="I1174" s="4" t="inlineStr">
        <is>
          <t>Kìm cắt đa năng KC3-09</t>
        </is>
      </c>
      <c r="J1174" s="3" t="inlineStr">
        <is>
          <t>Cái</t>
        </is>
      </c>
      <c r="K1174" s="5" t="n">
        <v>269000</v>
      </c>
      <c r="L1174" s="5" t="n">
        <v>317000</v>
      </c>
      <c r="M1174" s="6" t="n">
        <v>390000</v>
      </c>
      <c r="N1174" s="5" t="n"/>
      <c r="O1174" s="5">
        <f>IF(AND(ISNUMBER(N1174),ISNUMBER(M1174)),N1174-M1174,"")</f>
        <v/>
      </c>
      <c r="P1174" s="7">
        <f>IF(AND(ISNUMBER(N1174),ISNUMBER(M1174),M1174&gt;0),(N1174-M1174)/M1174,"")</f>
        <v/>
      </c>
      <c r="Q1174" s="3">
        <f>IF(P1174="","",IF(P1174&lt;-0.02,"🔴 Bán phá giá sàn",IF(P1174&gt;0.05,"🔵 Bán cao hơn","🟢 Đúng giá sàn TMĐT")))</f>
        <v/>
      </c>
      <c r="R1174" s="3" t="n"/>
      <c r="S1174" s="4" t="n"/>
      <c r="T1174" s="4" t="n"/>
    </row>
    <row r="1175">
      <c r="A1175" s="3" t="n">
        <v>1174</v>
      </c>
      <c r="B1175" s="3" t="inlineStr">
        <is>
          <t>DL010</t>
        </is>
      </c>
      <c r="C1175" s="4" t="inlineStr">
        <is>
          <t>Trang Huề( CuBờm TV)</t>
        </is>
      </c>
      <c r="D1175" s="3" t="inlineStr">
        <is>
          <t>HN</t>
        </is>
      </c>
      <c r="E1175" s="3" t="inlineStr">
        <is>
          <t>ĐIỆP</t>
        </is>
      </c>
      <c r="F1175" s="3" t="inlineStr">
        <is>
          <t>Tiktok, Shopee</t>
        </is>
      </c>
      <c r="G1175" s="4" t="inlineStr">
        <is>
          <t>SHOPEE: https://vn.shp.ee/m4gdctc3?fromSource=copy_link&amp;smtt=0.0.9 TIKTOK: https://vt.tiktok.com/ZS9UMHDPyXN53-XKjnc/ LAZADA: WEBSITE BÁN HÀNG:</t>
        </is>
      </c>
      <c r="H1175" s="3" t="inlineStr">
        <is>
          <t>KS2-250</t>
        </is>
      </c>
      <c r="I1175" s="4" t="inlineStr">
        <is>
          <t>Kìm chết KS2-250</t>
        </is>
      </c>
      <c r="J1175" s="3" t="inlineStr">
        <is>
          <t>Cái</t>
        </is>
      </c>
      <c r="K1175" s="5" t="n">
        <v>149000</v>
      </c>
      <c r="L1175" s="5" t="n">
        <v>176000</v>
      </c>
      <c r="M1175" s="6" t="n">
        <v>216000</v>
      </c>
      <c r="N1175" s="5" t="n"/>
      <c r="O1175" s="5">
        <f>IF(AND(ISNUMBER(N1175),ISNUMBER(M1175)),N1175-M1175,"")</f>
        <v/>
      </c>
      <c r="P1175" s="7">
        <f>IF(AND(ISNUMBER(N1175),ISNUMBER(M1175),M1175&gt;0),(N1175-M1175)/M1175,"")</f>
        <v/>
      </c>
      <c r="Q1175" s="3">
        <f>IF(P1175="","",IF(P1175&lt;-0.02,"🔴 Bán phá giá sàn",IF(P1175&gt;0.05,"🔵 Bán cao hơn","🟢 Đúng giá sàn TMĐT")))</f>
        <v/>
      </c>
      <c r="R1175" s="3" t="n"/>
      <c r="S1175" s="4" t="n"/>
      <c r="T1175" s="4" t="n"/>
    </row>
    <row r="1176">
      <c r="A1176" s="3" t="n">
        <v>1175</v>
      </c>
      <c r="B1176" s="3" t="inlineStr">
        <is>
          <t>DL010</t>
        </is>
      </c>
      <c r="C1176" s="4" t="inlineStr">
        <is>
          <t>Trang Huề( CuBờm TV)</t>
        </is>
      </c>
      <c r="D1176" s="3" t="inlineStr">
        <is>
          <t>HN</t>
        </is>
      </c>
      <c r="E1176" s="3" t="inlineStr">
        <is>
          <t>ĐIỆP</t>
        </is>
      </c>
      <c r="F1176" s="3" t="inlineStr">
        <is>
          <t>Tiktok, Shopee</t>
        </is>
      </c>
      <c r="G1176" s="4" t="inlineStr">
        <is>
          <t>SHOPEE: https://vn.shp.ee/m4gdctc3?fromSource=copy_link&amp;smtt=0.0.9 TIKTOK: https://vt.tiktok.com/ZS9UMHDPyXN53-XKjnc/ LAZADA: WEBSITE BÁN HÀNG:</t>
        </is>
      </c>
      <c r="H1176" s="3" t="inlineStr">
        <is>
          <t>KC2-09</t>
        </is>
      </c>
      <c r="I1176" s="4" t="inlineStr">
        <is>
          <t>Kìm mỏ nhọn đa năng KC2-09</t>
        </is>
      </c>
      <c r="J1176" s="3" t="inlineStr">
        <is>
          <t>Cái</t>
        </is>
      </c>
      <c r="K1176" s="5" t="n">
        <v>127000</v>
      </c>
      <c r="L1176" s="5" t="n">
        <v>150000</v>
      </c>
      <c r="M1176" s="6" t="n">
        <v>184000</v>
      </c>
      <c r="N1176" s="5" t="n"/>
      <c r="O1176" s="5">
        <f>IF(AND(ISNUMBER(N1176),ISNUMBER(M1176)),N1176-M1176,"")</f>
        <v/>
      </c>
      <c r="P1176" s="7">
        <f>IF(AND(ISNUMBER(N1176),ISNUMBER(M1176),M1176&gt;0),(N1176-M1176)/M1176,"")</f>
        <v/>
      </c>
      <c r="Q1176" s="3">
        <f>IF(P1176="","",IF(P1176&lt;-0.02,"🔴 Bán phá giá sàn",IF(P1176&gt;0.05,"🔵 Bán cao hơn","🟢 Đúng giá sàn TMĐT")))</f>
        <v/>
      </c>
      <c r="R1176" s="3" t="n"/>
      <c r="S1176" s="4" t="n"/>
      <c r="T1176" s="4" t="n"/>
    </row>
    <row r="1177">
      <c r="A1177" s="3" t="n">
        <v>1176</v>
      </c>
      <c r="B1177" s="3" t="inlineStr">
        <is>
          <t>DL010</t>
        </is>
      </c>
      <c r="C1177" s="4" t="inlineStr">
        <is>
          <t>Trang Huề( CuBờm TV)</t>
        </is>
      </c>
      <c r="D1177" s="3" t="inlineStr">
        <is>
          <t>HN</t>
        </is>
      </c>
      <c r="E1177" s="3" t="inlineStr">
        <is>
          <t>ĐIỆP</t>
        </is>
      </c>
      <c r="F1177" s="3" t="inlineStr">
        <is>
          <t>Tiktok, Shopee</t>
        </is>
      </c>
      <c r="G1177" s="4" t="inlineStr">
        <is>
          <t>SHOPEE: https://vn.shp.ee/m4gdctc3?fromSource=copy_link&amp;smtt=0.0.9 TIKTOK: https://vt.tiktok.com/ZS9UMHDPyXN53-XKjnc/ LAZADA: WEBSITE BÁN HÀNG:</t>
        </is>
      </c>
      <c r="H1177" s="3" t="inlineStr">
        <is>
          <t>KC2-150</t>
        </is>
      </c>
      <c r="I1177" s="4" t="inlineStr">
        <is>
          <t>Kìm nhọn KC2-150</t>
        </is>
      </c>
      <c r="J1177" s="3" t="inlineStr">
        <is>
          <t>Cái</t>
        </is>
      </c>
      <c r="K1177" s="5" t="n">
        <v>91000</v>
      </c>
      <c r="L1177" s="5" t="n">
        <v>107000</v>
      </c>
      <c r="M1177" s="6" t="n">
        <v>132000</v>
      </c>
      <c r="N1177" s="5" t="n"/>
      <c r="O1177" s="5">
        <f>IF(AND(ISNUMBER(N1177),ISNUMBER(M1177)),N1177-M1177,"")</f>
        <v/>
      </c>
      <c r="P1177" s="7">
        <f>IF(AND(ISNUMBER(N1177),ISNUMBER(M1177),M1177&gt;0),(N1177-M1177)/M1177,"")</f>
        <v/>
      </c>
      <c r="Q1177" s="3">
        <f>IF(P1177="","",IF(P1177&lt;-0.02,"🔴 Bán phá giá sàn",IF(P1177&gt;0.05,"🔵 Bán cao hơn","🟢 Đúng giá sàn TMĐT")))</f>
        <v/>
      </c>
      <c r="R1177" s="3" t="n"/>
      <c r="S1177" s="4" t="n"/>
      <c r="T1177" s="4" t="n"/>
    </row>
    <row r="1178">
      <c r="A1178" s="3" t="n">
        <v>1177</v>
      </c>
      <c r="B1178" s="3" t="inlineStr">
        <is>
          <t>DL010</t>
        </is>
      </c>
      <c r="C1178" s="4" t="inlineStr">
        <is>
          <t>Trang Huề( CuBờm TV)</t>
        </is>
      </c>
      <c r="D1178" s="3" t="inlineStr">
        <is>
          <t>HN</t>
        </is>
      </c>
      <c r="E1178" s="3" t="inlineStr">
        <is>
          <t>ĐIỆP</t>
        </is>
      </c>
      <c r="F1178" s="3" t="inlineStr">
        <is>
          <t>Tiktok, Shopee</t>
        </is>
      </c>
      <c r="G1178" s="4" t="inlineStr">
        <is>
          <t>SHOPEE: https://vn.shp.ee/m4gdctc3?fromSource=copy_link&amp;smtt=0.0.9 TIKTOK: https://vt.tiktok.com/ZS9UMHDPyXN53-XKjnc/ LAZADA: WEBSITE BÁN HÀNG:</t>
        </is>
      </c>
      <c r="H1178" s="3" t="inlineStr">
        <is>
          <t>KND180</t>
        </is>
      </c>
      <c r="I1178" s="4" t="inlineStr">
        <is>
          <t>Kìm tuốt dây điện đa năng KND180</t>
        </is>
      </c>
      <c r="J1178" s="3" t="inlineStr">
        <is>
          <t>Cái</t>
        </is>
      </c>
      <c r="K1178" s="5" t="n">
        <v>127000</v>
      </c>
      <c r="L1178" s="5" t="n">
        <v>150000</v>
      </c>
      <c r="M1178" s="6" t="n">
        <v>184000</v>
      </c>
      <c r="N1178" s="5" t="n"/>
      <c r="O1178" s="5">
        <f>IF(AND(ISNUMBER(N1178),ISNUMBER(M1178)),N1178-M1178,"")</f>
        <v/>
      </c>
      <c r="P1178" s="7">
        <f>IF(AND(ISNUMBER(N1178),ISNUMBER(M1178),M1178&gt;0),(N1178-M1178)/M1178,"")</f>
        <v/>
      </c>
      <c r="Q1178" s="3">
        <f>IF(P1178="","",IF(P1178&lt;-0.02,"🔴 Bán phá giá sàn",IF(P1178&gt;0.05,"🔵 Bán cao hơn","🟢 Đúng giá sàn TMĐT")))</f>
        <v/>
      </c>
      <c r="R1178" s="3" t="n"/>
      <c r="S1178" s="4" t="n"/>
      <c r="T1178" s="4" t="n"/>
    </row>
    <row r="1179">
      <c r="A1179" s="3" t="n">
        <v>1178</v>
      </c>
      <c r="B1179" s="3" t="inlineStr">
        <is>
          <t>DL010</t>
        </is>
      </c>
      <c r="C1179" s="4" t="inlineStr">
        <is>
          <t>Trang Huề( CuBờm TV)</t>
        </is>
      </c>
      <c r="D1179" s="3" t="inlineStr">
        <is>
          <t>HN</t>
        </is>
      </c>
      <c r="E1179" s="3" t="inlineStr">
        <is>
          <t>ĐIỆP</t>
        </is>
      </c>
      <c r="F1179" s="3" t="inlineStr">
        <is>
          <t>Tiktok, Shopee</t>
        </is>
      </c>
      <c r="G1179" s="4" t="inlineStr">
        <is>
          <t>SHOPEE: https://vn.shp.ee/m4gdctc3?fromSource=copy_link&amp;smtt=0.0.9 TIKTOK: https://vt.tiktok.com/ZS9UMHDPyXN53-XKjnc/ LAZADA: WEBSITE BÁN HÀNG:</t>
        </is>
      </c>
      <c r="H1179" s="3" t="inlineStr">
        <is>
          <t>KND205</t>
        </is>
      </c>
      <c r="I1179" s="4" t="inlineStr">
        <is>
          <t>Kìm tuốt dây điện đa năng KND205</t>
        </is>
      </c>
      <c r="J1179" s="3" t="inlineStr">
        <is>
          <t>Cái</t>
        </is>
      </c>
      <c r="K1179" s="5" t="n">
        <v>160000</v>
      </c>
      <c r="L1179" s="5" t="n">
        <v>189000</v>
      </c>
      <c r="M1179" s="6" t="n">
        <v>232000</v>
      </c>
      <c r="N1179" s="5" t="n"/>
      <c r="O1179" s="5">
        <f>IF(AND(ISNUMBER(N1179),ISNUMBER(M1179)),N1179-M1179,"")</f>
        <v/>
      </c>
      <c r="P1179" s="7">
        <f>IF(AND(ISNUMBER(N1179),ISNUMBER(M1179),M1179&gt;0),(N1179-M1179)/M1179,"")</f>
        <v/>
      </c>
      <c r="Q1179" s="3">
        <f>IF(P1179="","",IF(P1179&lt;-0.02,"🔴 Bán phá giá sàn",IF(P1179&gt;0.05,"🔵 Bán cao hơn","🟢 Đúng giá sàn TMĐT")))</f>
        <v/>
      </c>
      <c r="R1179" s="3" t="n"/>
      <c r="S1179" s="4" t="n"/>
      <c r="T1179" s="4" t="n"/>
    </row>
    <row r="1180">
      <c r="A1180" s="3" t="n">
        <v>1179</v>
      </c>
      <c r="B1180" s="3" t="inlineStr">
        <is>
          <t>DL010</t>
        </is>
      </c>
      <c r="C1180" s="4" t="inlineStr">
        <is>
          <t>Trang Huề( CuBờm TV)</t>
        </is>
      </c>
      <c r="D1180" s="3" t="inlineStr">
        <is>
          <t>HN</t>
        </is>
      </c>
      <c r="E1180" s="3" t="inlineStr">
        <is>
          <t>ĐIỆP</t>
        </is>
      </c>
      <c r="F1180" s="3" t="inlineStr">
        <is>
          <t>Tiktok, Shopee</t>
        </is>
      </c>
      <c r="G1180" s="4" t="inlineStr">
        <is>
          <t>SHOPEE: https://vn.shp.ee/m4gdctc3?fromSource=copy_link&amp;smtt=0.0.9 TIKTOK: https://vt.tiktok.com/ZS9UMHDPyXN53-XKjnc/ LAZADA: WEBSITE BÁN HÀNG:</t>
        </is>
      </c>
      <c r="H1180" s="3" t="inlineStr">
        <is>
          <t>E3-105DN</t>
        </is>
      </c>
      <c r="I1180" s="4" t="inlineStr">
        <is>
          <t>Lưỡi cắt KingBlue E3-105DN</t>
        </is>
      </c>
      <c r="J1180" s="3" t="inlineStr">
        <is>
          <t>Cái</t>
        </is>
      </c>
      <c r="K1180" s="5" t="n">
        <v>70000</v>
      </c>
      <c r="L1180" s="5" t="n">
        <v>83000</v>
      </c>
      <c r="M1180" s="6" t="n">
        <v>102000</v>
      </c>
      <c r="N1180" s="5" t="n"/>
      <c r="O1180" s="5">
        <f>IF(AND(ISNUMBER(N1180),ISNUMBER(M1180)),N1180-M1180,"")</f>
        <v/>
      </c>
      <c r="P1180" s="7">
        <f>IF(AND(ISNUMBER(N1180),ISNUMBER(M1180),M1180&gt;0),(N1180-M1180)/M1180,"")</f>
        <v/>
      </c>
      <c r="Q1180" s="3">
        <f>IF(P1180="","",IF(P1180&lt;-0.02,"🔴 Bán phá giá sàn",IF(P1180&gt;0.05,"🔵 Bán cao hơn","🟢 Đúng giá sàn TMĐT")))</f>
        <v/>
      </c>
      <c r="R1180" s="3" t="n"/>
      <c r="S1180" s="4" t="n"/>
      <c r="T1180" s="4" t="n"/>
    </row>
    <row r="1181">
      <c r="A1181" s="3" t="n">
        <v>1180</v>
      </c>
      <c r="B1181" s="3" t="inlineStr">
        <is>
          <t>DL010</t>
        </is>
      </c>
      <c r="C1181" s="4" t="inlineStr">
        <is>
          <t>Trang Huề( CuBờm TV)</t>
        </is>
      </c>
      <c r="D1181" s="3" t="inlineStr">
        <is>
          <t>HN</t>
        </is>
      </c>
      <c r="E1181" s="3" t="inlineStr">
        <is>
          <t>ĐIỆP</t>
        </is>
      </c>
      <c r="F1181" s="3" t="inlineStr">
        <is>
          <t>Tiktok, Shopee</t>
        </is>
      </c>
      <c r="G1181" s="4" t="inlineStr">
        <is>
          <t>SHOPEE: https://vn.shp.ee/m4gdctc3?fromSource=copy_link&amp;smtt=0.0.9 TIKTOK: https://vt.tiktok.com/ZS9UMHDPyXN53-XKjnc/ LAZADA: WEBSITE BÁN HÀNG:</t>
        </is>
      </c>
      <c r="H1181" s="3" t="inlineStr">
        <is>
          <t>E3-125DN</t>
        </is>
      </c>
      <c r="I1181" s="4" t="inlineStr">
        <is>
          <t>Lưỡi cắt KingBlue E3-125DN</t>
        </is>
      </c>
      <c r="J1181" s="3" t="inlineStr">
        <is>
          <t>Cái</t>
        </is>
      </c>
      <c r="K1181" s="5" t="n">
        <v>88000</v>
      </c>
      <c r="L1181" s="5" t="n">
        <v>104000</v>
      </c>
      <c r="M1181" s="6" t="n">
        <v>128000</v>
      </c>
      <c r="N1181" s="5" t="n"/>
      <c r="O1181" s="5">
        <f>IF(AND(ISNUMBER(N1181),ISNUMBER(M1181)),N1181-M1181,"")</f>
        <v/>
      </c>
      <c r="P1181" s="7">
        <f>IF(AND(ISNUMBER(N1181),ISNUMBER(M1181),M1181&gt;0),(N1181-M1181)/M1181,"")</f>
        <v/>
      </c>
      <c r="Q1181" s="3">
        <f>IF(P1181="","",IF(P1181&lt;-0.02,"🔴 Bán phá giá sàn",IF(P1181&gt;0.05,"🔵 Bán cao hơn","🟢 Đúng giá sàn TMĐT")))</f>
        <v/>
      </c>
      <c r="R1181" s="3" t="n"/>
      <c r="S1181" s="4" t="n"/>
      <c r="T1181" s="4" t="n"/>
    </row>
    <row r="1182">
      <c r="A1182" s="3" t="n">
        <v>1181</v>
      </c>
      <c r="B1182" s="3" t="inlineStr">
        <is>
          <t>DL010</t>
        </is>
      </c>
      <c r="C1182" s="4" t="inlineStr">
        <is>
          <t>Trang Huề( CuBờm TV)</t>
        </is>
      </c>
      <c r="D1182" s="3" t="inlineStr">
        <is>
          <t>HN</t>
        </is>
      </c>
      <c r="E1182" s="3" t="inlineStr">
        <is>
          <t>ĐIỆP</t>
        </is>
      </c>
      <c r="F1182" s="3" t="inlineStr">
        <is>
          <t>Tiktok, Shopee</t>
        </is>
      </c>
      <c r="G1182" s="4" t="inlineStr">
        <is>
          <t>SHOPEE: https://vn.shp.ee/m4gdctc3?fromSource=copy_link&amp;smtt=0.0.9 TIKTOK: https://vt.tiktok.com/ZS9UMHDPyXN53-XKjnc/ LAZADA: WEBSITE BÁN HÀNG:</t>
        </is>
      </c>
      <c r="H1182" s="3" t="inlineStr">
        <is>
          <t>S3</t>
        </is>
      </c>
      <c r="I1182" s="4" t="inlineStr">
        <is>
          <t>Lưỡi cắt KingBlue S3 105DN (xanh dương) (NEW)</t>
        </is>
      </c>
      <c r="J1182" s="3" t="inlineStr">
        <is>
          <t>Cái</t>
        </is>
      </c>
      <c r="K1182" s="5" t="n">
        <v>263000</v>
      </c>
      <c r="L1182" s="5" t="n">
        <v>310000</v>
      </c>
      <c r="M1182" s="6" t="n">
        <v>381000</v>
      </c>
      <c r="N1182" s="5" t="n"/>
      <c r="O1182" s="5">
        <f>IF(AND(ISNUMBER(N1182),ISNUMBER(M1182)),N1182-M1182,"")</f>
        <v/>
      </c>
      <c r="P1182" s="7">
        <f>IF(AND(ISNUMBER(N1182),ISNUMBER(M1182),M1182&gt;0),(N1182-M1182)/M1182,"")</f>
        <v/>
      </c>
      <c r="Q1182" s="3">
        <f>IF(P1182="","",IF(P1182&lt;-0.02,"🔴 Bán phá giá sàn",IF(P1182&gt;0.05,"🔵 Bán cao hơn","🟢 Đúng giá sàn TMĐT")))</f>
        <v/>
      </c>
      <c r="R1182" s="3" t="n"/>
      <c r="S1182" s="4" t="n"/>
      <c r="T1182" s="4" t="n"/>
    </row>
    <row r="1183">
      <c r="A1183" s="3" t="n">
        <v>1182</v>
      </c>
      <c r="B1183" s="3" t="inlineStr">
        <is>
          <t>DL010</t>
        </is>
      </c>
      <c r="C1183" s="4" t="inlineStr">
        <is>
          <t>Trang Huề( CuBờm TV)</t>
        </is>
      </c>
      <c r="D1183" s="3" t="inlineStr">
        <is>
          <t>HN</t>
        </is>
      </c>
      <c r="E1183" s="3" t="inlineStr">
        <is>
          <t>ĐIỆP</t>
        </is>
      </c>
      <c r="F1183" s="3" t="inlineStr">
        <is>
          <t>Tiktok, Shopee</t>
        </is>
      </c>
      <c r="G1183" s="4" t="inlineStr">
        <is>
          <t>SHOPEE: https://vn.shp.ee/m4gdctc3?fromSource=copy_link&amp;smtt=0.0.9 TIKTOK: https://vt.tiktok.com/ZS9UMHDPyXN53-XKjnc/ LAZADA: WEBSITE BÁN HÀNG:</t>
        </is>
      </c>
      <c r="H1183" s="3" t="inlineStr">
        <is>
          <t>T1-114R</t>
        </is>
      </c>
      <c r="I1183" s="4" t="inlineStr">
        <is>
          <t>Lưỡi cắt Kingblue T1-114R</t>
        </is>
      </c>
      <c r="J1183" s="3" t="inlineStr">
        <is>
          <t>Cái</t>
        </is>
      </c>
      <c r="K1183" s="5" t="n">
        <v>61000</v>
      </c>
      <c r="L1183" s="5" t="n">
        <v>72000</v>
      </c>
      <c r="M1183" s="6" t="n">
        <v>89000</v>
      </c>
      <c r="N1183" s="5" t="n"/>
      <c r="O1183" s="5">
        <f>IF(AND(ISNUMBER(N1183),ISNUMBER(M1183)),N1183-M1183,"")</f>
        <v/>
      </c>
      <c r="P1183" s="7">
        <f>IF(AND(ISNUMBER(N1183),ISNUMBER(M1183),M1183&gt;0),(N1183-M1183)/M1183,"")</f>
        <v/>
      </c>
      <c r="Q1183" s="3">
        <f>IF(P1183="","",IF(P1183&lt;-0.02,"🔴 Bán phá giá sàn",IF(P1183&gt;0.05,"🔵 Bán cao hơn","🟢 Đúng giá sàn TMĐT")))</f>
        <v/>
      </c>
      <c r="R1183" s="3" t="n"/>
      <c r="S1183" s="4" t="n"/>
      <c r="T1183" s="4" t="n"/>
    </row>
    <row r="1184">
      <c r="A1184" s="3" t="n">
        <v>1183</v>
      </c>
      <c r="B1184" s="3" t="inlineStr">
        <is>
          <t>DL010</t>
        </is>
      </c>
      <c r="C1184" s="4" t="inlineStr">
        <is>
          <t>Trang Huề( CuBờm TV)</t>
        </is>
      </c>
      <c r="D1184" s="3" t="inlineStr">
        <is>
          <t>HN</t>
        </is>
      </c>
      <c r="E1184" s="3" t="inlineStr">
        <is>
          <t>ĐIỆP</t>
        </is>
      </c>
      <c r="F1184" s="3" t="inlineStr">
        <is>
          <t>Tiktok, Shopee</t>
        </is>
      </c>
      <c r="G1184" s="4" t="inlineStr">
        <is>
          <t>SHOPEE: https://vn.shp.ee/m4gdctc3?fromSource=copy_link&amp;smtt=0.0.9 TIKTOK: https://vt.tiktok.com/ZS9UMHDPyXN53-XKjnc/ LAZADA: WEBSITE BÁN HÀNG:</t>
        </is>
      </c>
      <c r="H1184" s="3" t="inlineStr">
        <is>
          <t>T1-125R</t>
        </is>
      </c>
      <c r="I1184" s="4" t="inlineStr">
        <is>
          <t>Lưỡi cắt Kingblue T1-125R</t>
        </is>
      </c>
      <c r="J1184" s="3" t="inlineStr">
        <is>
          <t>Cái</t>
        </is>
      </c>
      <c r="K1184" s="5" t="n">
        <v>83000</v>
      </c>
      <c r="L1184" s="5" t="n">
        <v>98000</v>
      </c>
      <c r="M1184" s="6" t="n">
        <v>120000</v>
      </c>
      <c r="N1184" s="5" t="n"/>
      <c r="O1184" s="5">
        <f>IF(AND(ISNUMBER(N1184),ISNUMBER(M1184)),N1184-M1184,"")</f>
        <v/>
      </c>
      <c r="P1184" s="7">
        <f>IF(AND(ISNUMBER(N1184),ISNUMBER(M1184),M1184&gt;0),(N1184-M1184)/M1184,"")</f>
        <v/>
      </c>
      <c r="Q1184" s="3">
        <f>IF(P1184="","",IF(P1184&lt;-0.02,"🔴 Bán phá giá sàn",IF(P1184&gt;0.05,"🔵 Bán cao hơn","🟢 Đúng giá sàn TMĐT")))</f>
        <v/>
      </c>
      <c r="R1184" s="3" t="n"/>
      <c r="S1184" s="4" t="n"/>
      <c r="T1184" s="4" t="n"/>
    </row>
    <row r="1185">
      <c r="A1185" s="3" t="n">
        <v>1184</v>
      </c>
      <c r="B1185" s="3" t="inlineStr">
        <is>
          <t>DL010</t>
        </is>
      </c>
      <c r="C1185" s="4" t="inlineStr">
        <is>
          <t>Trang Huề( CuBờm TV)</t>
        </is>
      </c>
      <c r="D1185" s="3" t="inlineStr">
        <is>
          <t>HN</t>
        </is>
      </c>
      <c r="E1185" s="3" t="inlineStr">
        <is>
          <t>ĐIỆP</t>
        </is>
      </c>
      <c r="F1185" s="3" t="inlineStr">
        <is>
          <t>Tiktok, Shopee</t>
        </is>
      </c>
      <c r="G1185" s="4" t="inlineStr">
        <is>
          <t>SHOPEE: https://vn.shp.ee/m4gdctc3?fromSource=copy_link&amp;smtt=0.0.9 TIKTOK: https://vt.tiktok.com/ZS9UMHDPyXN53-XKjnc/ LAZADA: WEBSITE BÁN HÀNG:</t>
        </is>
      </c>
      <c r="H1185" s="3" t="inlineStr">
        <is>
          <t>T1-150R</t>
        </is>
      </c>
      <c r="I1185" s="4" t="inlineStr">
        <is>
          <t>Lưỡi cắt Kingblue T1-150R</t>
        </is>
      </c>
      <c r="J1185" s="3" t="inlineStr">
        <is>
          <t>Cái</t>
        </is>
      </c>
      <c r="K1185" s="5" t="n">
        <v>117000</v>
      </c>
      <c r="L1185" s="5" t="n">
        <v>138000</v>
      </c>
      <c r="M1185" s="6" t="n">
        <v>170000</v>
      </c>
      <c r="N1185" s="5" t="n"/>
      <c r="O1185" s="5">
        <f>IF(AND(ISNUMBER(N1185),ISNUMBER(M1185)),N1185-M1185,"")</f>
        <v/>
      </c>
      <c r="P1185" s="7">
        <f>IF(AND(ISNUMBER(N1185),ISNUMBER(M1185),M1185&gt;0),(N1185-M1185)/M1185,"")</f>
        <v/>
      </c>
      <c r="Q1185" s="3">
        <f>IF(P1185="","",IF(P1185&lt;-0.02,"🔴 Bán phá giá sàn",IF(P1185&gt;0.05,"🔵 Bán cao hơn","🟢 Đúng giá sàn TMĐT")))</f>
        <v/>
      </c>
      <c r="R1185" s="3" t="n"/>
      <c r="S1185" s="4" t="n"/>
      <c r="T1185" s="4" t="n"/>
    </row>
    <row r="1186">
      <c r="A1186" s="3" t="n">
        <v>1185</v>
      </c>
      <c r="B1186" s="3" t="inlineStr">
        <is>
          <t>DL010</t>
        </is>
      </c>
      <c r="C1186" s="4" t="inlineStr">
        <is>
          <t>Trang Huề( CuBờm TV)</t>
        </is>
      </c>
      <c r="D1186" s="3" t="inlineStr">
        <is>
          <t>HN</t>
        </is>
      </c>
      <c r="E1186" s="3" t="inlineStr">
        <is>
          <t>ĐIỆP</t>
        </is>
      </c>
      <c r="F1186" s="3" t="inlineStr">
        <is>
          <t>Tiktok, Shopee</t>
        </is>
      </c>
      <c r="G1186" s="4" t="inlineStr">
        <is>
          <t>SHOPEE: https://vn.shp.ee/m4gdctc3?fromSource=copy_link&amp;smtt=0.0.9 TIKTOK: https://vt.tiktok.com/ZS9UMHDPyXN53-XKjnc/ LAZADA: WEBSITE BÁN HÀNG:</t>
        </is>
      </c>
      <c r="H1186" s="3" t="inlineStr">
        <is>
          <t>K1-185x32T</t>
        </is>
      </c>
      <c r="I1186" s="4" t="inlineStr">
        <is>
          <t>Lưỡi cưa kim loại KingBlue K1-185x32T (Cưa sắt)</t>
        </is>
      </c>
      <c r="J1186" s="3" t="inlineStr">
        <is>
          <t>Cái</t>
        </is>
      </c>
      <c r="K1186" s="5" t="n">
        <v>273000</v>
      </c>
      <c r="L1186" s="5" t="n">
        <v>322000</v>
      </c>
      <c r="M1186" s="6" t="n">
        <v>396000</v>
      </c>
      <c r="N1186" s="5" t="n"/>
      <c r="O1186" s="5">
        <f>IF(AND(ISNUMBER(N1186),ISNUMBER(M1186)),N1186-M1186,"")</f>
        <v/>
      </c>
      <c r="P1186" s="7">
        <f>IF(AND(ISNUMBER(N1186),ISNUMBER(M1186),M1186&gt;0),(N1186-M1186)/M1186,"")</f>
        <v/>
      </c>
      <c r="Q1186" s="3">
        <f>IF(P1186="","",IF(P1186&lt;-0.02,"🔴 Bán phá giá sàn",IF(P1186&gt;0.05,"🔵 Bán cao hơn","🟢 Đúng giá sàn TMĐT")))</f>
        <v/>
      </c>
      <c r="R1186" s="3" t="n"/>
      <c r="S1186" s="4" t="n"/>
      <c r="T1186" s="4" t="n"/>
    </row>
    <row r="1187">
      <c r="A1187" s="3" t="n">
        <v>1186</v>
      </c>
      <c r="B1187" s="3" t="inlineStr">
        <is>
          <t>DL010</t>
        </is>
      </c>
      <c r="C1187" s="4" t="inlineStr">
        <is>
          <t>Trang Huề( CuBờm TV)</t>
        </is>
      </c>
      <c r="D1187" s="3" t="inlineStr">
        <is>
          <t>HN</t>
        </is>
      </c>
      <c r="E1187" s="3" t="inlineStr">
        <is>
          <t>ĐIỆP</t>
        </is>
      </c>
      <c r="F1187" s="3" t="inlineStr">
        <is>
          <t>Tiktok, Shopee</t>
        </is>
      </c>
      <c r="G1187" s="4" t="inlineStr">
        <is>
          <t>SHOPEE: https://vn.shp.ee/m4gdctc3?fromSource=copy_link&amp;smtt=0.0.9 TIKTOK: https://vt.tiktok.com/ZS9UMHDPyXN53-XKjnc/ LAZADA: WEBSITE BÁN HÀNG:</t>
        </is>
      </c>
      <c r="H1187" s="3" t="inlineStr">
        <is>
          <t>X1-150x40T</t>
        </is>
      </c>
      <c r="I1187" s="4" t="inlineStr">
        <is>
          <t>Lưỡi cưa Kingblue X1-150x40T (Cưa gỗ)-NEW</t>
        </is>
      </c>
      <c r="J1187" s="3" t="inlineStr">
        <is>
          <t>Cái</t>
        </is>
      </c>
      <c r="K1187" s="5" t="n">
        <v>135000</v>
      </c>
      <c r="L1187" s="5" t="n">
        <v>159000</v>
      </c>
      <c r="M1187" s="6" t="n">
        <v>196000</v>
      </c>
      <c r="N1187" s="5" t="n"/>
      <c r="O1187" s="5">
        <f>IF(AND(ISNUMBER(N1187),ISNUMBER(M1187)),N1187-M1187,"")</f>
        <v/>
      </c>
      <c r="P1187" s="7">
        <f>IF(AND(ISNUMBER(N1187),ISNUMBER(M1187),M1187&gt;0),(N1187-M1187)/M1187,"")</f>
        <v/>
      </c>
      <c r="Q1187" s="3">
        <f>IF(P1187="","",IF(P1187&lt;-0.02,"🔴 Bán phá giá sàn",IF(P1187&gt;0.05,"🔵 Bán cao hơn","🟢 Đúng giá sàn TMĐT")))</f>
        <v/>
      </c>
      <c r="R1187" s="3" t="n"/>
      <c r="S1187" s="4" t="n"/>
      <c r="T1187" s="4" t="n"/>
    </row>
    <row r="1188">
      <c r="A1188" s="3" t="n">
        <v>1187</v>
      </c>
      <c r="B1188" s="3" t="inlineStr">
        <is>
          <t>DL010</t>
        </is>
      </c>
      <c r="C1188" s="4" t="inlineStr">
        <is>
          <t>Trang Huề( CuBờm TV)</t>
        </is>
      </c>
      <c r="D1188" s="3" t="inlineStr">
        <is>
          <t>HN</t>
        </is>
      </c>
      <c r="E1188" s="3" t="inlineStr">
        <is>
          <t>ĐIỆP</t>
        </is>
      </c>
      <c r="F1188" s="3" t="inlineStr">
        <is>
          <t>Tiktok, Shopee</t>
        </is>
      </c>
      <c r="G1188" s="4" t="inlineStr">
        <is>
          <t>SHOPEE: https://vn.shp.ee/m4gdctc3?fromSource=copy_link&amp;smtt=0.0.9 TIKTOK: https://vt.tiktok.com/ZS9UMHDPyXN53-XKjnc/ LAZADA: WEBSITE BÁN HÀNG:</t>
        </is>
      </c>
      <c r="H1188" s="3" t="inlineStr">
        <is>
          <t>X1-180x40T</t>
        </is>
      </c>
      <c r="I1188" s="4" t="inlineStr">
        <is>
          <t>Lưỡi cưa Kingblue X1-180x40T (Cưa gỗ)-NEW</t>
        </is>
      </c>
      <c r="J1188" s="3" t="inlineStr">
        <is>
          <t>Cái</t>
        </is>
      </c>
      <c r="K1188" s="5" t="n">
        <v>190000</v>
      </c>
      <c r="L1188" s="5" t="n">
        <v>224000</v>
      </c>
      <c r="M1188" s="6" t="n">
        <v>276000</v>
      </c>
      <c r="N1188" s="5" t="n"/>
      <c r="O1188" s="5">
        <f>IF(AND(ISNUMBER(N1188),ISNUMBER(M1188)),N1188-M1188,"")</f>
        <v/>
      </c>
      <c r="P1188" s="7">
        <f>IF(AND(ISNUMBER(N1188),ISNUMBER(M1188),M1188&gt;0),(N1188-M1188)/M1188,"")</f>
        <v/>
      </c>
      <c r="Q1188" s="3">
        <f>IF(P1188="","",IF(P1188&lt;-0.02,"🔴 Bán phá giá sàn",IF(P1188&gt;0.05,"🔵 Bán cao hơn","🟢 Đúng giá sàn TMĐT")))</f>
        <v/>
      </c>
      <c r="R1188" s="3" t="n"/>
      <c r="S1188" s="4" t="n"/>
      <c r="T1188" s="4" t="n"/>
    </row>
    <row r="1189">
      <c r="A1189" s="3" t="n">
        <v>1188</v>
      </c>
      <c r="B1189" s="3" t="inlineStr">
        <is>
          <t>DL010</t>
        </is>
      </c>
      <c r="C1189" s="4" t="inlineStr">
        <is>
          <t>Trang Huề( CuBờm TV)</t>
        </is>
      </c>
      <c r="D1189" s="3" t="inlineStr">
        <is>
          <t>HN</t>
        </is>
      </c>
      <c r="E1189" s="3" t="inlineStr">
        <is>
          <t>ĐIỆP</t>
        </is>
      </c>
      <c r="F1189" s="3" t="inlineStr">
        <is>
          <t>Tiktok, Shopee</t>
        </is>
      </c>
      <c r="G1189" s="4" t="inlineStr">
        <is>
          <t>SHOPEE: https://vn.shp.ee/m4gdctc3?fromSource=copy_link&amp;smtt=0.0.9 TIKTOK: https://vt.tiktok.com/ZS9UMHDPyXN53-XKjnc/ LAZADA: WEBSITE BÁN HÀNG:</t>
        </is>
      </c>
      <c r="H1189" s="3" t="inlineStr">
        <is>
          <t>X1-300x40T</t>
        </is>
      </c>
      <c r="I1189" s="4" t="inlineStr">
        <is>
          <t>Lưỡi cưa Kingblue X1-300x40T (Cưa gỗ)-NEW</t>
        </is>
      </c>
      <c r="J1189" s="3" t="inlineStr">
        <is>
          <t>Cái</t>
        </is>
      </c>
      <c r="K1189" s="5" t="n">
        <v>557000</v>
      </c>
      <c r="L1189" s="5" t="n">
        <v>657000</v>
      </c>
      <c r="M1189" s="6" t="n">
        <v>808000</v>
      </c>
      <c r="N1189" s="5" t="n"/>
      <c r="O1189" s="5">
        <f>IF(AND(ISNUMBER(N1189),ISNUMBER(M1189)),N1189-M1189,"")</f>
        <v/>
      </c>
      <c r="P1189" s="7">
        <f>IF(AND(ISNUMBER(N1189),ISNUMBER(M1189),M1189&gt;0),(N1189-M1189)/M1189,"")</f>
        <v/>
      </c>
      <c r="Q1189" s="3">
        <f>IF(P1189="","",IF(P1189&lt;-0.02,"🔴 Bán phá giá sàn",IF(P1189&gt;0.05,"🔵 Bán cao hơn","🟢 Đúng giá sàn TMĐT")))</f>
        <v/>
      </c>
      <c r="R1189" s="3" t="n"/>
      <c r="S1189" s="4" t="n"/>
      <c r="T1189" s="4" t="n"/>
    </row>
    <row r="1190">
      <c r="A1190" s="3" t="n">
        <v>1189</v>
      </c>
      <c r="B1190" s="3" t="inlineStr">
        <is>
          <t>DL010</t>
        </is>
      </c>
      <c r="C1190" s="4" t="inlineStr">
        <is>
          <t>Trang Huề( CuBờm TV)</t>
        </is>
      </c>
      <c r="D1190" s="3" t="inlineStr">
        <is>
          <t>HN</t>
        </is>
      </c>
      <c r="E1190" s="3" t="inlineStr">
        <is>
          <t>ĐIỆP</t>
        </is>
      </c>
      <c r="F1190" s="3" t="inlineStr">
        <is>
          <t>Tiktok, Shopee</t>
        </is>
      </c>
      <c r="G1190" s="4" t="inlineStr">
        <is>
          <t>SHOPEE: https://vn.shp.ee/m4gdctc3?fromSource=copy_link&amp;smtt=0.0.9 TIKTOK: https://vt.tiktok.com/ZS9UMHDPyXN53-XKjnc/ LAZADA: WEBSITE BÁN HÀNG:</t>
        </is>
      </c>
      <c r="H1190" s="3" t="inlineStr">
        <is>
          <t>XS-110x30T</t>
        </is>
      </c>
      <c r="I1190" s="4" t="inlineStr">
        <is>
          <t>Lưỡi cưa Kingblue XS-110x30T (Cưa gỗ)-NEW</t>
        </is>
      </c>
      <c r="J1190" s="3" t="inlineStr">
        <is>
          <t>Cái</t>
        </is>
      </c>
      <c r="K1190" s="5" t="n">
        <v>72000</v>
      </c>
      <c r="L1190" s="5" t="n">
        <v>85000</v>
      </c>
      <c r="M1190" s="6" t="n">
        <v>104000</v>
      </c>
      <c r="N1190" s="5" t="n"/>
      <c r="O1190" s="5">
        <f>IF(AND(ISNUMBER(N1190),ISNUMBER(M1190)),N1190-M1190,"")</f>
        <v/>
      </c>
      <c r="P1190" s="7">
        <f>IF(AND(ISNUMBER(N1190),ISNUMBER(M1190),M1190&gt;0),(N1190-M1190)/M1190,"")</f>
        <v/>
      </c>
      <c r="Q1190" s="3">
        <f>IF(P1190="","",IF(P1190&lt;-0.02,"🔴 Bán phá giá sàn",IF(P1190&gt;0.05,"🔵 Bán cao hơn","🟢 Đúng giá sàn TMĐT")))</f>
        <v/>
      </c>
      <c r="R1190" s="3" t="n"/>
      <c r="S1190" s="4" t="n"/>
      <c r="T1190" s="4" t="n"/>
    </row>
    <row r="1191">
      <c r="A1191" s="3" t="n">
        <v>1190</v>
      </c>
      <c r="B1191" s="3" t="inlineStr">
        <is>
          <t>DL010</t>
        </is>
      </c>
      <c r="C1191" s="4" t="inlineStr">
        <is>
          <t>Trang Huề( CuBờm TV)</t>
        </is>
      </c>
      <c r="D1191" s="3" t="inlineStr">
        <is>
          <t>HN</t>
        </is>
      </c>
      <c r="E1191" s="3" t="inlineStr">
        <is>
          <t>ĐIỆP</t>
        </is>
      </c>
      <c r="F1191" s="3" t="inlineStr">
        <is>
          <t>Tiktok, Shopee</t>
        </is>
      </c>
      <c r="G1191" s="4" t="inlineStr">
        <is>
          <t>SHOPEE: https://vn.shp.ee/m4gdctc3?fromSource=copy_link&amp;smtt=0.0.9 TIKTOK: https://vt.tiktok.com/ZS9UMHDPyXN53-XKjnc/ LAZADA: WEBSITE BÁN HÀNG:</t>
        </is>
      </c>
      <c r="H1191" s="3" t="inlineStr">
        <is>
          <t>XS-125x40T</t>
        </is>
      </c>
      <c r="I1191" s="4" t="inlineStr">
        <is>
          <t>Lưỡi cưa Kingblue XS-125x40T (Cưa gỗ)</t>
        </is>
      </c>
      <c r="J1191" s="3" t="inlineStr">
        <is>
          <t>Cái</t>
        </is>
      </c>
      <c r="K1191" s="5" t="n">
        <v>77000</v>
      </c>
      <c r="L1191" s="5" t="n">
        <v>91000</v>
      </c>
      <c r="M1191" s="6" t="n">
        <v>112000</v>
      </c>
      <c r="N1191" s="5" t="n"/>
      <c r="O1191" s="5">
        <f>IF(AND(ISNUMBER(N1191),ISNUMBER(M1191)),N1191-M1191,"")</f>
        <v/>
      </c>
      <c r="P1191" s="7">
        <f>IF(AND(ISNUMBER(N1191),ISNUMBER(M1191),M1191&gt;0),(N1191-M1191)/M1191,"")</f>
        <v/>
      </c>
      <c r="Q1191" s="3">
        <f>IF(P1191="","",IF(P1191&lt;-0.02,"🔴 Bán phá giá sàn",IF(P1191&gt;0.05,"🔵 Bán cao hơn","🟢 Đúng giá sàn TMĐT")))</f>
        <v/>
      </c>
      <c r="R1191" s="3" t="n"/>
      <c r="S1191" s="4" t="n"/>
      <c r="T1191" s="4" t="n"/>
    </row>
    <row r="1192">
      <c r="A1192" s="3" t="n">
        <v>1191</v>
      </c>
      <c r="B1192" s="3" t="inlineStr">
        <is>
          <t>DL010</t>
        </is>
      </c>
      <c r="C1192" s="4" t="inlineStr">
        <is>
          <t>Trang Huề( CuBờm TV)</t>
        </is>
      </c>
      <c r="D1192" s="3" t="inlineStr">
        <is>
          <t>HN</t>
        </is>
      </c>
      <c r="E1192" s="3" t="inlineStr">
        <is>
          <t>ĐIỆP</t>
        </is>
      </c>
      <c r="F1192" s="3" t="inlineStr">
        <is>
          <t>Tiktok, Shopee</t>
        </is>
      </c>
      <c r="G1192" s="4" t="inlineStr">
        <is>
          <t>SHOPEE: https://vn.shp.ee/m4gdctc3?fromSource=copy_link&amp;smtt=0.0.9 TIKTOK: https://vt.tiktok.com/ZS9UMHDPyXN53-XKjnc/ LAZADA: WEBSITE BÁN HÀNG:</t>
        </is>
      </c>
      <c r="H1192" s="3" t="inlineStr">
        <is>
          <t>K18VFS</t>
        </is>
      </c>
      <c r="I1192" s="4" t="inlineStr">
        <is>
          <t>Máy Bắn Vít 18V K18VFS</t>
        </is>
      </c>
      <c r="J1192" s="3" t="inlineStr">
        <is>
          <t>Cái</t>
        </is>
      </c>
      <c r="K1192" s="5" t="n">
        <v>1540000</v>
      </c>
      <c r="L1192" s="5" t="n">
        <v>1690000</v>
      </c>
      <c r="M1192" s="6" t="n">
        <v>1930000</v>
      </c>
      <c r="N1192" s="5" t="n"/>
      <c r="O1192" s="5">
        <f>IF(AND(ISNUMBER(N1192),ISNUMBER(M1192)),N1192-M1192,"")</f>
        <v/>
      </c>
      <c r="P1192" s="7">
        <f>IF(AND(ISNUMBER(N1192),ISNUMBER(M1192),M1192&gt;0),(N1192-M1192)/M1192,"")</f>
        <v/>
      </c>
      <c r="Q1192" s="3">
        <f>IF(P1192="","",IF(P1192&lt;-0.02,"🔴 Bán phá giá sàn",IF(P1192&gt;0.05,"🔵 Bán cao hơn","🟢 Đúng giá sàn TMĐT")))</f>
        <v/>
      </c>
      <c r="R1192" s="3" t="n"/>
      <c r="S1192" s="4" t="n"/>
      <c r="T1192" s="4" t="n"/>
    </row>
    <row r="1193">
      <c r="A1193" s="3" t="n">
        <v>1192</v>
      </c>
      <c r="B1193" s="3" t="inlineStr">
        <is>
          <t>DL010</t>
        </is>
      </c>
      <c r="C1193" s="4" t="inlineStr">
        <is>
          <t>Trang Huề( CuBờm TV)</t>
        </is>
      </c>
      <c r="D1193" s="3" t="inlineStr">
        <is>
          <t>HN</t>
        </is>
      </c>
      <c r="E1193" s="3" t="inlineStr">
        <is>
          <t>ĐIỆP</t>
        </is>
      </c>
      <c r="F1193" s="3" t="inlineStr">
        <is>
          <t>Tiktok, Shopee</t>
        </is>
      </c>
      <c r="G1193" s="4" t="inlineStr">
        <is>
          <t>SHOPEE: https://vn.shp.ee/m4gdctc3?fromSource=copy_link&amp;smtt=0.0.9 TIKTOK: https://vt.tiktok.com/ZS9UMHDPyXN53-XKjnc/ LAZADA: WEBSITE BÁN HÀNG:</t>
        </is>
      </c>
      <c r="H1193" s="3" t="inlineStr">
        <is>
          <t>KB-02XS</t>
        </is>
      </c>
      <c r="I1193" s="4" t="inlineStr">
        <is>
          <t>Máy cân bằng KB-02XS</t>
        </is>
      </c>
      <c r="J1193" s="3" t="inlineStr">
        <is>
          <t>Cái</t>
        </is>
      </c>
      <c r="K1193" s="5" t="n">
        <v>269000</v>
      </c>
      <c r="L1193" s="5" t="n">
        <v>317000</v>
      </c>
      <c r="M1193" s="6" t="n">
        <v>390000</v>
      </c>
      <c r="N1193" s="5" t="n"/>
      <c r="O1193" s="5">
        <f>IF(AND(ISNUMBER(N1193),ISNUMBER(M1193)),N1193-M1193,"")</f>
        <v/>
      </c>
      <c r="P1193" s="7">
        <f>IF(AND(ISNUMBER(N1193),ISNUMBER(M1193),M1193&gt;0),(N1193-M1193)/M1193,"")</f>
        <v/>
      </c>
      <c r="Q1193" s="3">
        <f>IF(P1193="","",IF(P1193&lt;-0.02,"🔴 Bán phá giá sàn",IF(P1193&gt;0.05,"🔵 Bán cao hơn","🟢 Đúng giá sàn TMĐT")))</f>
        <v/>
      </c>
      <c r="R1193" s="3" t="n"/>
      <c r="S1193" s="4" t="n"/>
      <c r="T1193" s="4" t="n"/>
    </row>
    <row r="1194">
      <c r="A1194" s="3" t="n">
        <v>1193</v>
      </c>
      <c r="B1194" s="3" t="inlineStr">
        <is>
          <t>DL010</t>
        </is>
      </c>
      <c r="C1194" s="4" t="inlineStr">
        <is>
          <t>Trang Huề( CuBờm TV)</t>
        </is>
      </c>
      <c r="D1194" s="3" t="inlineStr">
        <is>
          <t>HN</t>
        </is>
      </c>
      <c r="E1194" s="3" t="inlineStr">
        <is>
          <t>ĐIỆP</t>
        </is>
      </c>
      <c r="F1194" s="3" t="inlineStr">
        <is>
          <t>Tiktok, Shopee</t>
        </is>
      </c>
      <c r="G1194" s="4" t="inlineStr">
        <is>
          <t>SHOPEE: https://vn.shp.ee/m4gdctc3?fromSource=copy_link&amp;smtt=0.0.9 TIKTOK: https://vt.tiktok.com/ZS9UMHDPyXN53-XKjnc/ LAZADA: WEBSITE BÁN HÀNG:</t>
        </is>
      </c>
      <c r="H1194" s="3" t="inlineStr">
        <is>
          <t>KB-05XS</t>
        </is>
      </c>
      <c r="I1194" s="4" t="inlineStr">
        <is>
          <t>Máy cân bằng KB-05XS</t>
        </is>
      </c>
      <c r="J1194" s="3" t="inlineStr">
        <is>
          <t>Cái</t>
        </is>
      </c>
      <c r="K1194" s="5" t="n">
        <v>2090000</v>
      </c>
      <c r="L1194" s="5" t="n">
        <v>2340000</v>
      </c>
      <c r="M1194" s="6" t="n">
        <v>2720000</v>
      </c>
      <c r="N1194" s="5" t="n"/>
      <c r="O1194" s="5">
        <f>IF(AND(ISNUMBER(N1194),ISNUMBER(M1194)),N1194-M1194,"")</f>
        <v/>
      </c>
      <c r="P1194" s="7">
        <f>IF(AND(ISNUMBER(N1194),ISNUMBER(M1194),M1194&gt;0),(N1194-M1194)/M1194,"")</f>
        <v/>
      </c>
      <c r="Q1194" s="3">
        <f>IF(P1194="","",IF(P1194&lt;-0.02,"🔴 Bán phá giá sàn",IF(P1194&gt;0.05,"🔵 Bán cao hơn","🟢 Đúng giá sàn TMĐT")))</f>
        <v/>
      </c>
      <c r="R1194" s="3" t="n"/>
      <c r="S1194" s="4" t="n"/>
      <c r="T1194" s="4" t="n"/>
    </row>
    <row r="1195">
      <c r="A1195" s="3" t="n">
        <v>1194</v>
      </c>
      <c r="B1195" s="3" t="inlineStr">
        <is>
          <t>DL010</t>
        </is>
      </c>
      <c r="C1195" s="4" t="inlineStr">
        <is>
          <t>Trang Huề( CuBờm TV)</t>
        </is>
      </c>
      <c r="D1195" s="3" t="inlineStr">
        <is>
          <t>HN</t>
        </is>
      </c>
      <c r="E1195" s="3" t="inlineStr">
        <is>
          <t>ĐIỆP</t>
        </is>
      </c>
      <c r="F1195" s="3" t="inlineStr">
        <is>
          <t>Tiktok, Shopee</t>
        </is>
      </c>
      <c r="G1195" s="4" t="inlineStr">
        <is>
          <t>SHOPEE: https://vn.shp.ee/m4gdctc3?fromSource=copy_link&amp;smtt=0.0.9 TIKTOK: https://vt.tiktok.com/ZS9UMHDPyXN53-XKjnc/ LAZADA: WEBSITE BÁN HÀNG:</t>
        </is>
      </c>
      <c r="H1195" s="3" t="inlineStr">
        <is>
          <t>KB-2.5CFM</t>
        </is>
      </c>
      <c r="I1195" s="4" t="inlineStr">
        <is>
          <t>Máy hút chân không dùng pin KingBlue KB-2.5CFM</t>
        </is>
      </c>
      <c r="J1195" s="3" t="inlineStr">
        <is>
          <t>Cái</t>
        </is>
      </c>
      <c r="K1195" s="5" t="n">
        <v>269000</v>
      </c>
      <c r="L1195" s="5" t="n">
        <v>317000</v>
      </c>
      <c r="M1195" s="6" t="n">
        <v>390000</v>
      </c>
      <c r="N1195" s="5" t="n"/>
      <c r="O1195" s="5">
        <f>IF(AND(ISNUMBER(N1195),ISNUMBER(M1195)),N1195-M1195,"")</f>
        <v/>
      </c>
      <c r="P1195" s="7">
        <f>IF(AND(ISNUMBER(N1195),ISNUMBER(M1195),M1195&gt;0),(N1195-M1195)/M1195,"")</f>
        <v/>
      </c>
      <c r="Q1195" s="3">
        <f>IF(P1195="","",IF(P1195&lt;-0.02,"🔴 Bán phá giá sàn",IF(P1195&gt;0.05,"🔵 Bán cao hơn","🟢 Đúng giá sàn TMĐT")))</f>
        <v/>
      </c>
      <c r="R1195" s="3" t="n"/>
      <c r="S1195" s="4" t="n"/>
      <c r="T1195" s="4" t="n"/>
    </row>
    <row r="1196">
      <c r="A1196" s="3" t="n">
        <v>1195</v>
      </c>
      <c r="B1196" s="3" t="inlineStr">
        <is>
          <t>DL010</t>
        </is>
      </c>
      <c r="C1196" s="4" t="inlineStr">
        <is>
          <t>Trang Huề( CuBờm TV)</t>
        </is>
      </c>
      <c r="D1196" s="3" t="inlineStr">
        <is>
          <t>HN</t>
        </is>
      </c>
      <c r="E1196" s="3" t="inlineStr">
        <is>
          <t>ĐIỆP</t>
        </is>
      </c>
      <c r="F1196" s="3" t="inlineStr">
        <is>
          <t>Tiktok, Shopee</t>
        </is>
      </c>
      <c r="G1196" s="4" t="inlineStr">
        <is>
          <t>SHOPEE: https://vn.shp.ee/m4gdctc3?fromSource=copy_link&amp;smtt=0.0.9 TIKTOK: https://vt.tiktok.com/ZS9UMHDPyXN53-XKjnc/ LAZADA: WEBSITE BÁN HÀNG:</t>
        </is>
      </c>
      <c r="H1196" s="3" t="inlineStr">
        <is>
          <t>K18QES</t>
        </is>
      </c>
      <c r="I1196" s="4" t="inlineStr">
        <is>
          <t>Máy Khoan 3 Chức Năng 18V K18QES</t>
        </is>
      </c>
      <c r="J1196" s="3" t="inlineStr">
        <is>
          <t>Cái</t>
        </is>
      </c>
      <c r="K1196" s="5" t="n">
        <v>2380000</v>
      </c>
      <c r="L1196" s="5" t="n">
        <v>2610000</v>
      </c>
      <c r="M1196" s="6" t="n">
        <v>2970000</v>
      </c>
      <c r="N1196" s="5" t="n"/>
      <c r="O1196" s="5">
        <f>IF(AND(ISNUMBER(N1196),ISNUMBER(M1196)),N1196-M1196,"")</f>
        <v/>
      </c>
      <c r="P1196" s="7">
        <f>IF(AND(ISNUMBER(N1196),ISNUMBER(M1196),M1196&gt;0),(N1196-M1196)/M1196,"")</f>
        <v/>
      </c>
      <c r="Q1196" s="3">
        <f>IF(P1196="","",IF(P1196&lt;-0.02,"🔴 Bán phá giá sàn",IF(P1196&gt;0.05,"🔵 Bán cao hơn","🟢 Đúng giá sàn TMĐT")))</f>
        <v/>
      </c>
      <c r="R1196" s="3" t="n"/>
      <c r="S1196" s="4" t="n"/>
      <c r="T1196" s="4" t="n"/>
    </row>
    <row r="1197">
      <c r="A1197" s="3" t="n">
        <v>1196</v>
      </c>
      <c r="B1197" s="3" t="inlineStr">
        <is>
          <t>DL010</t>
        </is>
      </c>
      <c r="C1197" s="4" t="inlineStr">
        <is>
          <t>Trang Huề( CuBờm TV)</t>
        </is>
      </c>
      <c r="D1197" s="3" t="inlineStr">
        <is>
          <t>HN</t>
        </is>
      </c>
      <c r="E1197" s="3" t="inlineStr">
        <is>
          <t>ĐIỆP</t>
        </is>
      </c>
      <c r="F1197" s="3" t="inlineStr">
        <is>
          <t>Tiktok, Shopee</t>
        </is>
      </c>
      <c r="G1197" s="4" t="inlineStr">
        <is>
          <t>SHOPEE: https://vn.shp.ee/m4gdctc3?fromSource=copy_link&amp;smtt=0.0.9 TIKTOK: https://vt.tiktok.com/ZS9UMHDPyXN53-XKjnc/ LAZADA: WEBSITE BÁN HÀNG:</t>
        </is>
      </c>
      <c r="H1197" s="3" t="inlineStr">
        <is>
          <t>K18QFS</t>
        </is>
      </c>
      <c r="I1197" s="4" t="inlineStr">
        <is>
          <t>Máy khoan bê tông 18V K18QFS</t>
        </is>
      </c>
      <c r="J1197" s="3" t="inlineStr">
        <is>
          <t>Cái</t>
        </is>
      </c>
      <c r="K1197" s="5" t="n">
        <v>2110000</v>
      </c>
      <c r="L1197" s="5" t="n">
        <v>2320000</v>
      </c>
      <c r="M1197" s="6" t="n">
        <v>2640000</v>
      </c>
      <c r="N1197" s="5" t="n"/>
      <c r="O1197" s="5">
        <f>IF(AND(ISNUMBER(N1197),ISNUMBER(M1197)),N1197-M1197,"")</f>
        <v/>
      </c>
      <c r="P1197" s="7">
        <f>IF(AND(ISNUMBER(N1197),ISNUMBER(M1197),M1197&gt;0),(N1197-M1197)/M1197,"")</f>
        <v/>
      </c>
      <c r="Q1197" s="3">
        <f>IF(P1197="","",IF(P1197&lt;-0.02,"🔴 Bán phá giá sàn",IF(P1197&gt;0.05,"🔵 Bán cao hơn","🟢 Đúng giá sàn TMĐT")))</f>
        <v/>
      </c>
      <c r="R1197" s="3" t="n"/>
      <c r="S1197" s="4" t="n"/>
      <c r="T1197" s="4" t="n"/>
    </row>
    <row r="1198">
      <c r="A1198" s="3" t="n">
        <v>1197</v>
      </c>
      <c r="B1198" s="3" t="inlineStr">
        <is>
          <t>DL010</t>
        </is>
      </c>
      <c r="C1198" s="4" t="inlineStr">
        <is>
          <t>Trang Huề( CuBờm TV)</t>
        </is>
      </c>
      <c r="D1198" s="3" t="inlineStr">
        <is>
          <t>HN</t>
        </is>
      </c>
      <c r="E1198" s="3" t="inlineStr">
        <is>
          <t>ĐIỆP</t>
        </is>
      </c>
      <c r="F1198" s="3" t="inlineStr">
        <is>
          <t>Tiktok, Shopee</t>
        </is>
      </c>
      <c r="G1198" s="4" t="inlineStr">
        <is>
          <t>SHOPEE: https://vn.shp.ee/m4gdctc3?fromSource=copy_link&amp;smtt=0.0.9 TIKTOK: https://vt.tiktok.com/ZS9UMHDPyXN53-XKjnc/ LAZADA: WEBSITE BÁN HÀNG:</t>
        </is>
      </c>
      <c r="H1198" s="3" t="inlineStr">
        <is>
          <t>K18MGS</t>
        </is>
      </c>
      <c r="I1198" s="4" t="inlineStr">
        <is>
          <t>Máy Mài Góc 18V K18MGS</t>
        </is>
      </c>
      <c r="J1198" s="3" t="inlineStr">
        <is>
          <t>Cái</t>
        </is>
      </c>
      <c r="K1198" s="5" t="n">
        <v>1340000</v>
      </c>
      <c r="L1198" s="5" t="n">
        <v>1480000</v>
      </c>
      <c r="M1198" s="6" t="n">
        <v>1680000</v>
      </c>
      <c r="N1198" s="5" t="n"/>
      <c r="O1198" s="5">
        <f>IF(AND(ISNUMBER(N1198),ISNUMBER(M1198)),N1198-M1198,"")</f>
        <v/>
      </c>
      <c r="P1198" s="7">
        <f>IF(AND(ISNUMBER(N1198),ISNUMBER(M1198),M1198&gt;0),(N1198-M1198)/M1198,"")</f>
        <v/>
      </c>
      <c r="Q1198" s="3">
        <f>IF(P1198="","",IF(P1198&lt;-0.02,"🔴 Bán phá giá sàn",IF(P1198&gt;0.05,"🔵 Bán cao hơn","🟢 Đúng giá sàn TMĐT")))</f>
        <v/>
      </c>
      <c r="R1198" s="3" t="n"/>
      <c r="S1198" s="4" t="n"/>
      <c r="T1198" s="4" t="n"/>
    </row>
    <row r="1199">
      <c r="A1199" s="3" t="n">
        <v>1198</v>
      </c>
      <c r="B1199" s="3" t="inlineStr">
        <is>
          <t>DL010</t>
        </is>
      </c>
      <c r="C1199" s="4" t="inlineStr">
        <is>
          <t>Trang Huề( CuBờm TV)</t>
        </is>
      </c>
      <c r="D1199" s="3" t="inlineStr">
        <is>
          <t>HN</t>
        </is>
      </c>
      <c r="E1199" s="3" t="inlineStr">
        <is>
          <t>ĐIỆP</t>
        </is>
      </c>
      <c r="F1199" s="3" t="inlineStr">
        <is>
          <t>Tiktok, Shopee</t>
        </is>
      </c>
      <c r="G1199" s="4" t="inlineStr">
        <is>
          <t>SHOPEE: https://vn.shp.ee/m4gdctc3?fromSource=copy_link&amp;smtt=0.0.9 TIKTOK: https://vt.tiktok.com/ZS9UMHDPyXN53-XKjnc/ LAZADA: WEBSITE BÁN HÀNG:</t>
        </is>
      </c>
      <c r="H1199" s="3" t="inlineStr">
        <is>
          <t>KBA-I1500</t>
        </is>
      </c>
      <c r="I1199" s="4" t="inlineStr">
        <is>
          <t>Máy rửa xe KBA-I1500</t>
        </is>
      </c>
      <c r="J1199" s="3" t="inlineStr">
        <is>
          <t>Cái</t>
        </is>
      </c>
      <c r="K1199" s="5" t="n">
        <v>2050000</v>
      </c>
      <c r="L1199" s="5" t="n">
        <v>2300000</v>
      </c>
      <c r="M1199" s="6" t="n">
        <v>2670000</v>
      </c>
      <c r="N1199" s="5" t="n"/>
      <c r="O1199" s="5">
        <f>IF(AND(ISNUMBER(N1199),ISNUMBER(M1199)),N1199-M1199,"")</f>
        <v/>
      </c>
      <c r="P1199" s="7">
        <f>IF(AND(ISNUMBER(N1199),ISNUMBER(M1199),M1199&gt;0),(N1199-M1199)/M1199,"")</f>
        <v/>
      </c>
      <c r="Q1199" s="3">
        <f>IF(P1199="","",IF(P1199&lt;-0.02,"🔴 Bán phá giá sàn",IF(P1199&gt;0.05,"🔵 Bán cao hơn","🟢 Đúng giá sàn TMĐT")))</f>
        <v/>
      </c>
      <c r="R1199" s="3" t="n"/>
      <c r="S1199" s="4" t="n"/>
      <c r="T1199" s="4" t="n"/>
    </row>
    <row r="1200">
      <c r="A1200" s="3" t="n">
        <v>1199</v>
      </c>
      <c r="B1200" s="3" t="inlineStr">
        <is>
          <t>DL010</t>
        </is>
      </c>
      <c r="C1200" s="4" t="inlineStr">
        <is>
          <t>Trang Huề( CuBờm TV)</t>
        </is>
      </c>
      <c r="D1200" s="3" t="inlineStr">
        <is>
          <t>HN</t>
        </is>
      </c>
      <c r="E1200" s="3" t="inlineStr">
        <is>
          <t>ĐIỆP</t>
        </is>
      </c>
      <c r="F1200" s="3" t="inlineStr">
        <is>
          <t>Tiktok, Shopee</t>
        </is>
      </c>
      <c r="G1200" s="4" t="inlineStr">
        <is>
          <t>SHOPEE: https://vn.shp.ee/m4gdctc3?fromSource=copy_link&amp;smtt=0.0.9 TIKTOK: https://vt.tiktok.com/ZS9UMHDPyXN53-XKjnc/ LAZADA: WEBSITE BÁN HÀNG:</t>
        </is>
      </c>
      <c r="H1200" s="3" t="inlineStr">
        <is>
          <t>KBC-I1800</t>
        </is>
      </c>
      <c r="I1200" s="4" t="inlineStr">
        <is>
          <t>Máy rửa xe KBC-I1800</t>
        </is>
      </c>
      <c r="J1200" s="3" t="inlineStr">
        <is>
          <t>Cái</t>
        </is>
      </c>
      <c r="K1200" s="5" t="n">
        <v>3120000</v>
      </c>
      <c r="L1200" s="5" t="n">
        <v>3490000</v>
      </c>
      <c r="M1200" s="6" t="n">
        <v>4060000</v>
      </c>
      <c r="N1200" s="5" t="n"/>
      <c r="O1200" s="5">
        <f>IF(AND(ISNUMBER(N1200),ISNUMBER(M1200)),N1200-M1200,"")</f>
        <v/>
      </c>
      <c r="P1200" s="7">
        <f>IF(AND(ISNUMBER(N1200),ISNUMBER(M1200),M1200&gt;0),(N1200-M1200)/M1200,"")</f>
        <v/>
      </c>
      <c r="Q1200" s="3">
        <f>IF(P1200="","",IF(P1200&lt;-0.02,"🔴 Bán phá giá sàn",IF(P1200&gt;0.05,"🔵 Bán cao hơn","🟢 Đúng giá sàn TMĐT")))</f>
        <v/>
      </c>
      <c r="R1200" s="3" t="n"/>
      <c r="S1200" s="4" t="n"/>
      <c r="T1200" s="4" t="n"/>
    </row>
    <row r="1201">
      <c r="A1201" s="3" t="n">
        <v>1200</v>
      </c>
      <c r="B1201" s="3" t="inlineStr">
        <is>
          <t>DL010</t>
        </is>
      </c>
      <c r="C1201" s="4" t="inlineStr">
        <is>
          <t>Trang Huề( CuBờm TV)</t>
        </is>
      </c>
      <c r="D1201" s="3" t="inlineStr">
        <is>
          <t>HN</t>
        </is>
      </c>
      <c r="E1201" s="3" t="inlineStr">
        <is>
          <t>ĐIỆP</t>
        </is>
      </c>
      <c r="F1201" s="3" t="inlineStr">
        <is>
          <t>Tiktok, Shopee</t>
        </is>
      </c>
      <c r="G1201" s="4" t="inlineStr">
        <is>
          <t>SHOPEE: https://vn.shp.ee/m4gdctc3?fromSource=copy_link&amp;smtt=0.0.9 TIKTOK: https://vt.tiktok.com/ZS9UMHDPyXN53-XKjnc/ LAZADA: WEBSITE BÁN HÀNG:</t>
        </is>
      </c>
      <c r="H1201" s="3" t="inlineStr">
        <is>
          <t>K18SVS</t>
        </is>
      </c>
      <c r="I1201" s="4" t="inlineStr">
        <is>
          <t>Máy siết Bulon 18V 2in1 K18SVS</t>
        </is>
      </c>
      <c r="J1201" s="3" t="inlineStr">
        <is>
          <t>Cái</t>
        </is>
      </c>
      <c r="K1201" s="5" t="n">
        <v>1630000</v>
      </c>
      <c r="L1201" s="5" t="n">
        <v>1790000</v>
      </c>
      <c r="M1201" s="6" t="n">
        <v>2040000</v>
      </c>
      <c r="N1201" s="5" t="n"/>
      <c r="O1201" s="5">
        <f>IF(AND(ISNUMBER(N1201),ISNUMBER(M1201)),N1201-M1201,"")</f>
        <v/>
      </c>
      <c r="P1201" s="7">
        <f>IF(AND(ISNUMBER(N1201),ISNUMBER(M1201),M1201&gt;0),(N1201-M1201)/M1201,"")</f>
        <v/>
      </c>
      <c r="Q1201" s="3">
        <f>IF(P1201="","",IF(P1201&lt;-0.02,"🔴 Bán phá giá sàn",IF(P1201&gt;0.05,"🔵 Bán cao hơn","🟢 Đúng giá sàn TMĐT")))</f>
        <v/>
      </c>
      <c r="R1201" s="3" t="n"/>
      <c r="S1201" s="4" t="n"/>
      <c r="T1201" s="4" t="n"/>
    </row>
    <row r="1202">
      <c r="A1202" s="3" t="n">
        <v>1201</v>
      </c>
      <c r="B1202" s="3" t="inlineStr">
        <is>
          <t>DL010</t>
        </is>
      </c>
      <c r="C1202" s="4" t="inlineStr">
        <is>
          <t>Trang Huề( CuBờm TV)</t>
        </is>
      </c>
      <c r="D1202" s="3" t="inlineStr">
        <is>
          <t>HN</t>
        </is>
      </c>
      <c r="E1202" s="3" t="inlineStr">
        <is>
          <t>ĐIỆP</t>
        </is>
      </c>
      <c r="F1202" s="3" t="inlineStr">
        <is>
          <t>Tiktok, Shopee</t>
        </is>
      </c>
      <c r="G1202" s="4" t="inlineStr">
        <is>
          <t>SHOPEE: https://vn.shp.ee/m4gdctc3?fromSource=copy_link&amp;smtt=0.0.9 TIKTOK: https://vt.tiktok.com/ZS9UMHDPyXN53-XKjnc/ LAZADA: WEBSITE BÁN HÀNG:</t>
        </is>
      </c>
      <c r="H1202" s="3" t="inlineStr">
        <is>
          <t>K18SFS</t>
        </is>
      </c>
      <c r="I1202" s="4" t="inlineStr">
        <is>
          <t>Máy siết bulong 18V K18SFS</t>
        </is>
      </c>
      <c r="J1202" s="3" t="inlineStr">
        <is>
          <t>Cái</t>
        </is>
      </c>
      <c r="K1202" s="5" t="n">
        <v>2620000</v>
      </c>
      <c r="L1202" s="5" t="n">
        <v>2880000</v>
      </c>
      <c r="M1202" s="6" t="n">
        <v>3270000</v>
      </c>
      <c r="N1202" s="5" t="n"/>
      <c r="O1202" s="5">
        <f>IF(AND(ISNUMBER(N1202),ISNUMBER(M1202)),N1202-M1202,"")</f>
        <v/>
      </c>
      <c r="P1202" s="7">
        <f>IF(AND(ISNUMBER(N1202),ISNUMBER(M1202),M1202&gt;0),(N1202-M1202)/M1202,"")</f>
        <v/>
      </c>
      <c r="Q1202" s="3">
        <f>IF(P1202="","",IF(P1202&lt;-0.02,"🔴 Bán phá giá sàn",IF(P1202&gt;0.05,"🔵 Bán cao hơn","🟢 Đúng giá sàn TMĐT")))</f>
        <v/>
      </c>
      <c r="R1202" s="3" t="n"/>
      <c r="S1202" s="4" t="n"/>
      <c r="T1202" s="4" t="n"/>
    </row>
    <row r="1203">
      <c r="A1203" s="3" t="n">
        <v>1202</v>
      </c>
      <c r="B1203" s="3" t="inlineStr">
        <is>
          <t>DL010</t>
        </is>
      </c>
      <c r="C1203" s="4" t="inlineStr">
        <is>
          <t>Trang Huề( CuBờm TV)</t>
        </is>
      </c>
      <c r="D1203" s="3" t="inlineStr">
        <is>
          <t>HN</t>
        </is>
      </c>
      <c r="E1203" s="3" t="inlineStr">
        <is>
          <t>ĐIỆP</t>
        </is>
      </c>
      <c r="F1203" s="3" t="inlineStr">
        <is>
          <t>Tiktok, Shopee</t>
        </is>
      </c>
      <c r="G1203" s="4" t="inlineStr">
        <is>
          <t>SHOPEE: https://vn.shp.ee/m4gdctc3?fromSource=copy_link&amp;smtt=0.0.9 TIKTOK: https://vt.tiktok.com/ZS9UMHDPyXN53-XKjnc/ LAZADA: WEBSITE BÁN HÀNG:</t>
        </is>
      </c>
      <c r="H1203" s="3" t="inlineStr">
        <is>
          <t>K18PLS</t>
        </is>
      </c>
      <c r="I1203" s="4" t="inlineStr">
        <is>
          <t>Máy thổi phản lực 18V K18PLS</t>
        </is>
      </c>
      <c r="J1203" s="3" t="inlineStr">
        <is>
          <t>Cái</t>
        </is>
      </c>
      <c r="K1203" s="5" t="n">
        <v>990000</v>
      </c>
      <c r="L1203" s="5" t="n">
        <v>1090000</v>
      </c>
      <c r="M1203" s="6" t="n">
        <v>1240000</v>
      </c>
      <c r="N1203" s="5" t="n"/>
      <c r="O1203" s="5">
        <f>IF(AND(ISNUMBER(N1203),ISNUMBER(M1203)),N1203-M1203,"")</f>
        <v/>
      </c>
      <c r="P1203" s="7">
        <f>IF(AND(ISNUMBER(N1203),ISNUMBER(M1203),M1203&gt;0),(N1203-M1203)/M1203,"")</f>
        <v/>
      </c>
      <c r="Q1203" s="3">
        <f>IF(P1203="","",IF(P1203&lt;-0.02,"🔴 Bán phá giá sàn",IF(P1203&gt;0.05,"🔵 Bán cao hơn","🟢 Đúng giá sàn TMĐT")))</f>
        <v/>
      </c>
      <c r="R1203" s="3" t="n"/>
      <c r="S1203" s="4" t="n"/>
      <c r="T1203" s="4" t="n"/>
    </row>
    <row r="1204">
      <c r="A1204" s="3" t="n">
        <v>1203</v>
      </c>
      <c r="B1204" s="3" t="inlineStr">
        <is>
          <t>DL010</t>
        </is>
      </c>
      <c r="C1204" s="4" t="inlineStr">
        <is>
          <t>Trang Huề( CuBờm TV)</t>
        </is>
      </c>
      <c r="D1204" s="3" t="inlineStr">
        <is>
          <t>HN</t>
        </is>
      </c>
      <c r="E1204" s="3" t="inlineStr">
        <is>
          <t>ĐIỆP</t>
        </is>
      </c>
      <c r="F1204" s="3" t="inlineStr">
        <is>
          <t>Tiktok, Shopee</t>
        </is>
      </c>
      <c r="G1204" s="4" t="inlineStr">
        <is>
          <t>SHOPEE: https://vn.shp.ee/m4gdctc3?fromSource=copy_link&amp;smtt=0.0.9 TIKTOK: https://vt.tiktok.com/ZS9UMHDPyXN53-XKjnc/ LAZADA: WEBSITE BÁN HÀNG:</t>
        </is>
      </c>
      <c r="H1204" s="3" t="inlineStr">
        <is>
          <t>KD1-250</t>
        </is>
      </c>
      <c r="I1204" s="4" t="inlineStr">
        <is>
          <t>Mỏ lết KD1-250</t>
        </is>
      </c>
      <c r="J1204" s="3" t="inlineStr">
        <is>
          <t>Cái</t>
        </is>
      </c>
      <c r="K1204" s="5" t="n">
        <v>121000</v>
      </c>
      <c r="L1204" s="5" t="n">
        <v>143000</v>
      </c>
      <c r="M1204" s="6" t="n">
        <v>176000</v>
      </c>
      <c r="N1204" s="5" t="n"/>
      <c r="O1204" s="5">
        <f>IF(AND(ISNUMBER(N1204),ISNUMBER(M1204)),N1204-M1204,"")</f>
        <v/>
      </c>
      <c r="P1204" s="7">
        <f>IF(AND(ISNUMBER(N1204),ISNUMBER(M1204),M1204&gt;0),(N1204-M1204)/M1204,"")</f>
        <v/>
      </c>
      <c r="Q1204" s="3">
        <f>IF(P1204="","",IF(P1204&lt;-0.02,"🔴 Bán phá giá sàn",IF(P1204&gt;0.05,"🔵 Bán cao hơn","🟢 Đúng giá sàn TMĐT")))</f>
        <v/>
      </c>
      <c r="R1204" s="3" t="n"/>
      <c r="S1204" s="4" t="n"/>
      <c r="T1204" s="4" t="n"/>
    </row>
    <row r="1205">
      <c r="A1205" s="3" t="n">
        <v>1204</v>
      </c>
      <c r="B1205" s="3" t="inlineStr">
        <is>
          <t>DL010</t>
        </is>
      </c>
      <c r="C1205" s="4" t="inlineStr">
        <is>
          <t>Trang Huề( CuBờm TV)</t>
        </is>
      </c>
      <c r="D1205" s="3" t="inlineStr">
        <is>
          <t>HN</t>
        </is>
      </c>
      <c r="E1205" s="3" t="inlineStr">
        <is>
          <t>ĐIỆP</t>
        </is>
      </c>
      <c r="F1205" s="3" t="inlineStr">
        <is>
          <t>Tiktok, Shopee</t>
        </is>
      </c>
      <c r="G1205" s="4" t="inlineStr">
        <is>
          <t>SHOPEE: https://vn.shp.ee/m4gdctc3?fromSource=copy_link&amp;smtt=0.0.9 TIKTOK: https://vt.tiktok.com/ZS9UMHDPyXN53-XKjnc/ LAZADA: WEBSITE BÁN HÀNG:</t>
        </is>
      </c>
      <c r="H1205" s="3" t="inlineStr">
        <is>
          <t>KD1-300</t>
        </is>
      </c>
      <c r="I1205" s="4" t="inlineStr">
        <is>
          <t>Mỏ lết KD1-300</t>
        </is>
      </c>
      <c r="J1205" s="3" t="inlineStr">
        <is>
          <t>Cái</t>
        </is>
      </c>
      <c r="K1205" s="5" t="n">
        <v>165000</v>
      </c>
      <c r="L1205" s="5" t="n">
        <v>195000</v>
      </c>
      <c r="M1205" s="6" t="n">
        <v>239000</v>
      </c>
      <c r="N1205" s="5" t="n"/>
      <c r="O1205" s="5">
        <f>IF(AND(ISNUMBER(N1205),ISNUMBER(M1205)),N1205-M1205,"")</f>
        <v/>
      </c>
      <c r="P1205" s="7">
        <f>IF(AND(ISNUMBER(N1205),ISNUMBER(M1205),M1205&gt;0),(N1205-M1205)/M1205,"")</f>
        <v/>
      </c>
      <c r="Q1205" s="3">
        <f>IF(P1205="","",IF(P1205&lt;-0.02,"🔴 Bán phá giá sàn",IF(P1205&gt;0.05,"🔵 Bán cao hơn","🟢 Đúng giá sàn TMĐT")))</f>
        <v/>
      </c>
      <c r="R1205" s="3" t="n"/>
      <c r="S1205" s="4" t="n"/>
      <c r="T1205" s="4" t="n"/>
    </row>
    <row r="1206">
      <c r="A1206" s="3" t="n">
        <v>1205</v>
      </c>
      <c r="B1206" s="3" t="inlineStr">
        <is>
          <t>DL010</t>
        </is>
      </c>
      <c r="C1206" s="4" t="inlineStr">
        <is>
          <t>Trang Huề( CuBờm TV)</t>
        </is>
      </c>
      <c r="D1206" s="3" t="inlineStr">
        <is>
          <t>HN</t>
        </is>
      </c>
      <c r="E1206" s="3" t="inlineStr">
        <is>
          <t>ĐIỆP</t>
        </is>
      </c>
      <c r="F1206" s="3" t="inlineStr">
        <is>
          <t>Tiktok, Shopee</t>
        </is>
      </c>
      <c r="G1206" s="4" t="inlineStr">
        <is>
          <t>SHOPEE: https://vn.shp.ee/m4gdctc3?fromSource=copy_link&amp;smtt=0.0.9 TIKTOK: https://vt.tiktok.com/ZS9UMHDPyXN53-XKjnc/ LAZADA: WEBSITE BÁN HÀNG:</t>
        </is>
      </c>
      <c r="H1206" s="3" t="inlineStr">
        <is>
          <t>V100R</t>
        </is>
      </c>
      <c r="I1206" s="4" t="inlineStr">
        <is>
          <t>Mũi bắn vít chống trượt KingBlue V100R</t>
        </is>
      </c>
      <c r="J1206" s="3" t="inlineStr">
        <is>
          <t>Vỉ</t>
        </is>
      </c>
      <c r="K1206" s="5" t="n">
        <v>29000</v>
      </c>
      <c r="L1206" s="5" t="n">
        <v>37000</v>
      </c>
      <c r="M1206" s="6" t="n">
        <v>48000</v>
      </c>
      <c r="N1206" s="5" t="n"/>
      <c r="O1206" s="5">
        <f>IF(AND(ISNUMBER(N1206),ISNUMBER(M1206)),N1206-M1206,"")</f>
        <v/>
      </c>
      <c r="P1206" s="7">
        <f>IF(AND(ISNUMBER(N1206),ISNUMBER(M1206),M1206&gt;0),(N1206-M1206)/M1206,"")</f>
        <v/>
      </c>
      <c r="Q1206" s="3">
        <f>IF(P1206="","",IF(P1206&lt;-0.02,"🔴 Bán phá giá sàn",IF(P1206&gt;0.05,"🔵 Bán cao hơn","🟢 Đúng giá sàn TMĐT")))</f>
        <v/>
      </c>
      <c r="R1206" s="3" t="n"/>
      <c r="S1206" s="4" t="n"/>
      <c r="T1206" s="4" t="n"/>
    </row>
    <row r="1207">
      <c r="A1207" s="3" t="n">
        <v>1206</v>
      </c>
      <c r="B1207" s="3" t="inlineStr">
        <is>
          <t>DL010</t>
        </is>
      </c>
      <c r="C1207" s="4" t="inlineStr">
        <is>
          <t>Trang Huề( CuBờm TV)</t>
        </is>
      </c>
      <c r="D1207" s="3" t="inlineStr">
        <is>
          <t>HN</t>
        </is>
      </c>
      <c r="E1207" s="3" t="inlineStr">
        <is>
          <t>ĐIỆP</t>
        </is>
      </c>
      <c r="F1207" s="3" t="inlineStr">
        <is>
          <t>Tiktok, Shopee</t>
        </is>
      </c>
      <c r="G1207" s="4" t="inlineStr">
        <is>
          <t>SHOPEE: https://vn.shp.ee/m4gdctc3?fromSource=copy_link&amp;smtt=0.0.9 TIKTOK: https://vt.tiktok.com/ZS9UMHDPyXN53-XKjnc/ LAZADA: WEBSITE BÁN HÀNG:</t>
        </is>
      </c>
      <c r="H1207" s="3" t="inlineStr">
        <is>
          <t>V150R</t>
        </is>
      </c>
      <c r="I1207" s="4" t="inlineStr">
        <is>
          <t>Mũi bắn vít chống trượt KingBlue V150R</t>
        </is>
      </c>
      <c r="J1207" s="3" t="inlineStr">
        <is>
          <t>Vỉ</t>
        </is>
      </c>
      <c r="K1207" s="5" t="n">
        <v>40000</v>
      </c>
      <c r="L1207" s="5" t="n">
        <v>50000</v>
      </c>
      <c r="M1207" s="6" t="n">
        <v>66000</v>
      </c>
      <c r="N1207" s="5" t="n"/>
      <c r="O1207" s="5">
        <f>IF(AND(ISNUMBER(N1207),ISNUMBER(M1207)),N1207-M1207,"")</f>
        <v/>
      </c>
      <c r="P1207" s="7">
        <f>IF(AND(ISNUMBER(N1207),ISNUMBER(M1207),M1207&gt;0),(N1207-M1207)/M1207,"")</f>
        <v/>
      </c>
      <c r="Q1207" s="3">
        <f>IF(P1207="","",IF(P1207&lt;-0.02,"🔴 Bán phá giá sàn",IF(P1207&gt;0.05,"🔵 Bán cao hơn","🟢 Đúng giá sàn TMĐT")))</f>
        <v/>
      </c>
      <c r="R1207" s="3" t="n"/>
      <c r="S1207" s="4" t="n"/>
      <c r="T1207" s="4" t="n"/>
    </row>
    <row r="1208">
      <c r="A1208" s="3" t="n">
        <v>1207</v>
      </c>
      <c r="B1208" s="3" t="inlineStr">
        <is>
          <t>DL010</t>
        </is>
      </c>
      <c r="C1208" s="4" t="inlineStr">
        <is>
          <t>Trang Huề( CuBờm TV)</t>
        </is>
      </c>
      <c r="D1208" s="3" t="inlineStr">
        <is>
          <t>HN</t>
        </is>
      </c>
      <c r="E1208" s="3" t="inlineStr">
        <is>
          <t>ĐIỆP</t>
        </is>
      </c>
      <c r="F1208" s="3" t="inlineStr">
        <is>
          <t>Tiktok, Shopee</t>
        </is>
      </c>
      <c r="G1208" s="4" t="inlineStr">
        <is>
          <t>SHOPEE: https://vn.shp.ee/m4gdctc3?fromSource=copy_link&amp;smtt=0.0.9 TIKTOK: https://vt.tiktok.com/ZS9UMHDPyXN53-XKjnc/ LAZADA: WEBSITE BÁN HÀNG:</t>
        </is>
      </c>
      <c r="H1208" s="3" t="inlineStr">
        <is>
          <t>V65R</t>
        </is>
      </c>
      <c r="I1208" s="4" t="inlineStr">
        <is>
          <t>Mũi bắn vít chống trượt KingBlue V65R</t>
        </is>
      </c>
      <c r="J1208" s="3" t="inlineStr">
        <is>
          <t>Vỉ</t>
        </is>
      </c>
      <c r="K1208" s="5" t="n">
        <v>20000</v>
      </c>
      <c r="L1208" s="5" t="n">
        <v>25000</v>
      </c>
      <c r="M1208" s="6" t="n">
        <v>33000</v>
      </c>
      <c r="N1208" s="5" t="n"/>
      <c r="O1208" s="5">
        <f>IF(AND(ISNUMBER(N1208),ISNUMBER(M1208)),N1208-M1208,"")</f>
        <v/>
      </c>
      <c r="P1208" s="7">
        <f>IF(AND(ISNUMBER(N1208),ISNUMBER(M1208),M1208&gt;0),(N1208-M1208)/M1208,"")</f>
        <v/>
      </c>
      <c r="Q1208" s="3">
        <f>IF(P1208="","",IF(P1208&lt;-0.02,"🔴 Bán phá giá sàn",IF(P1208&gt;0.05,"🔵 Bán cao hơn","🟢 Đúng giá sàn TMĐT")))</f>
        <v/>
      </c>
      <c r="R1208" s="3" t="n"/>
      <c r="S1208" s="4" t="n"/>
      <c r="T1208" s="4" t="n"/>
    </row>
    <row r="1209">
      <c r="A1209" s="3" t="n">
        <v>1208</v>
      </c>
      <c r="B1209" s="3" t="inlineStr">
        <is>
          <t>DL010</t>
        </is>
      </c>
      <c r="C1209" s="4" t="inlineStr">
        <is>
          <t>Trang Huề( CuBờm TV)</t>
        </is>
      </c>
      <c r="D1209" s="3" t="inlineStr">
        <is>
          <t>HN</t>
        </is>
      </c>
      <c r="E1209" s="3" t="inlineStr">
        <is>
          <t>ĐIỆP</t>
        </is>
      </c>
      <c r="F1209" s="3" t="inlineStr">
        <is>
          <t>Tiktok, Shopee</t>
        </is>
      </c>
      <c r="G1209" s="4" t="inlineStr">
        <is>
          <t>SHOPEE: https://vn.shp.ee/m4gdctc3?fromSource=copy_link&amp;smtt=0.0.9 TIKTOK: https://vt.tiktok.com/ZS9UMHDPyXN53-XKjnc/ LAZADA: WEBSITE BÁN HÀNG:</t>
        </is>
      </c>
      <c r="H1209" s="3" t="inlineStr">
        <is>
          <t>V100S</t>
        </is>
      </c>
      <c r="I1209" s="4" t="inlineStr">
        <is>
          <t>Mũi bắn vít PH2 V100S</t>
        </is>
      </c>
      <c r="J1209" s="3" t="inlineStr">
        <is>
          <t>Vỉ</t>
        </is>
      </c>
      <c r="K1209" s="5" t="n">
        <v>44000</v>
      </c>
      <c r="L1209" s="5" t="n">
        <v>56000</v>
      </c>
      <c r="M1209" s="6" t="n">
        <v>73000</v>
      </c>
      <c r="N1209" s="5" t="n"/>
      <c r="O1209" s="5">
        <f>IF(AND(ISNUMBER(N1209),ISNUMBER(M1209)),N1209-M1209,"")</f>
        <v/>
      </c>
      <c r="P1209" s="7">
        <f>IF(AND(ISNUMBER(N1209),ISNUMBER(M1209),M1209&gt;0),(N1209-M1209)/M1209,"")</f>
        <v/>
      </c>
      <c r="Q1209" s="3">
        <f>IF(P1209="","",IF(P1209&lt;-0.02,"🔴 Bán phá giá sàn",IF(P1209&gt;0.05,"🔵 Bán cao hơn","🟢 Đúng giá sàn TMĐT")))</f>
        <v/>
      </c>
      <c r="R1209" s="3" t="n"/>
      <c r="S1209" s="4" t="n"/>
      <c r="T1209" s="4" t="n"/>
    </row>
    <row r="1210">
      <c r="A1210" s="3" t="n">
        <v>1209</v>
      </c>
      <c r="B1210" s="3" t="inlineStr">
        <is>
          <t>DL010</t>
        </is>
      </c>
      <c r="C1210" s="4" t="inlineStr">
        <is>
          <t>Trang Huề( CuBờm TV)</t>
        </is>
      </c>
      <c r="D1210" s="3" t="inlineStr">
        <is>
          <t>HN</t>
        </is>
      </c>
      <c r="E1210" s="3" t="inlineStr">
        <is>
          <t>ĐIỆP</t>
        </is>
      </c>
      <c r="F1210" s="3" t="inlineStr">
        <is>
          <t>Tiktok, Shopee</t>
        </is>
      </c>
      <c r="G1210" s="4" t="inlineStr">
        <is>
          <t>SHOPEE: https://vn.shp.ee/m4gdctc3?fromSource=copy_link&amp;smtt=0.0.9 TIKTOK: https://vt.tiktok.com/ZS9UMHDPyXN53-XKjnc/ LAZADA: WEBSITE BÁN HÀNG:</t>
        </is>
      </c>
      <c r="H1210" s="3" t="inlineStr">
        <is>
          <t>V150S</t>
        </is>
      </c>
      <c r="I1210" s="4" t="inlineStr">
        <is>
          <t>Mũi bắn vít PH2 V150S</t>
        </is>
      </c>
      <c r="J1210" s="3" t="inlineStr">
        <is>
          <t>Vỉ</t>
        </is>
      </c>
      <c r="K1210" s="5" t="n">
        <v>54000</v>
      </c>
      <c r="L1210" s="5" t="n">
        <v>68000</v>
      </c>
      <c r="M1210" s="6" t="n">
        <v>89000</v>
      </c>
      <c r="N1210" s="5" t="n"/>
      <c r="O1210" s="5">
        <f>IF(AND(ISNUMBER(N1210),ISNUMBER(M1210)),N1210-M1210,"")</f>
        <v/>
      </c>
      <c r="P1210" s="7">
        <f>IF(AND(ISNUMBER(N1210),ISNUMBER(M1210),M1210&gt;0),(N1210-M1210)/M1210,"")</f>
        <v/>
      </c>
      <c r="Q1210" s="3">
        <f>IF(P1210="","",IF(P1210&lt;-0.02,"🔴 Bán phá giá sàn",IF(P1210&gt;0.05,"🔵 Bán cao hơn","🟢 Đúng giá sàn TMĐT")))</f>
        <v/>
      </c>
      <c r="R1210" s="3" t="n"/>
      <c r="S1210" s="4" t="n"/>
      <c r="T1210" s="4" t="n"/>
    </row>
    <row r="1211">
      <c r="A1211" s="3" t="n">
        <v>1210</v>
      </c>
      <c r="B1211" s="3" t="inlineStr">
        <is>
          <t>DL010</t>
        </is>
      </c>
      <c r="C1211" s="4" t="inlineStr">
        <is>
          <t>Trang Huề( CuBờm TV)</t>
        </is>
      </c>
      <c r="D1211" s="3" t="inlineStr">
        <is>
          <t>HN</t>
        </is>
      </c>
      <c r="E1211" s="3" t="inlineStr">
        <is>
          <t>ĐIỆP</t>
        </is>
      </c>
      <c r="F1211" s="3" t="inlineStr">
        <is>
          <t>Tiktok, Shopee</t>
        </is>
      </c>
      <c r="G1211" s="4" t="inlineStr">
        <is>
          <t>SHOPEE: https://vn.shp.ee/m4gdctc3?fromSource=copy_link&amp;smtt=0.0.9 TIKTOK: https://vt.tiktok.com/ZS9UMHDPyXN53-XKjnc/ LAZADA: WEBSITE BÁN HÀNG:</t>
        </is>
      </c>
      <c r="H1211" s="3" t="inlineStr">
        <is>
          <t>V50S</t>
        </is>
      </c>
      <c r="I1211" s="4" t="inlineStr">
        <is>
          <t>Mũi bắn vít PH2 V50S</t>
        </is>
      </c>
      <c r="J1211" s="3" t="inlineStr">
        <is>
          <t>Vỉ</t>
        </is>
      </c>
      <c r="K1211" s="5" t="n">
        <v>28000</v>
      </c>
      <c r="L1211" s="5" t="n">
        <v>36000</v>
      </c>
      <c r="M1211" s="6" t="n">
        <v>48000</v>
      </c>
      <c r="N1211" s="5" t="n"/>
      <c r="O1211" s="5">
        <f>IF(AND(ISNUMBER(N1211),ISNUMBER(M1211)),N1211-M1211,"")</f>
        <v/>
      </c>
      <c r="P1211" s="7">
        <f>IF(AND(ISNUMBER(N1211),ISNUMBER(M1211),M1211&gt;0),(N1211-M1211)/M1211,"")</f>
        <v/>
      </c>
      <c r="Q1211" s="3">
        <f>IF(P1211="","",IF(P1211&lt;-0.02,"🔴 Bán phá giá sàn",IF(P1211&gt;0.05,"🔵 Bán cao hơn","🟢 Đúng giá sàn TMĐT")))</f>
        <v/>
      </c>
      <c r="R1211" s="3" t="n"/>
      <c r="S1211" s="4" t="n"/>
      <c r="T1211" s="4" t="n"/>
    </row>
    <row r="1212">
      <c r="A1212" s="3" t="n">
        <v>1211</v>
      </c>
      <c r="B1212" s="3" t="inlineStr">
        <is>
          <t>DL010</t>
        </is>
      </c>
      <c r="C1212" s="4" t="inlineStr">
        <is>
          <t>Trang Huề( CuBờm TV)</t>
        </is>
      </c>
      <c r="D1212" s="3" t="inlineStr">
        <is>
          <t>HN</t>
        </is>
      </c>
      <c r="E1212" s="3" t="inlineStr">
        <is>
          <t>ĐIỆP</t>
        </is>
      </c>
      <c r="F1212" s="3" t="inlineStr">
        <is>
          <t>Tiktok, Shopee</t>
        </is>
      </c>
      <c r="G1212" s="4" t="inlineStr">
        <is>
          <t>SHOPEE: https://vn.shp.ee/m4gdctc3?fromSource=copy_link&amp;smtt=0.0.9 TIKTOK: https://vt.tiktok.com/ZS9UMHDPyXN53-XKjnc/ LAZADA: WEBSITE BÁN HÀNG:</t>
        </is>
      </c>
      <c r="H1212" s="3" t="inlineStr"/>
      <c r="I1212" s="4" t="inlineStr">
        <is>
          <t>Mũi định tâm chuôi dài NEW</t>
        </is>
      </c>
      <c r="J1212" s="3" t="inlineStr">
        <is>
          <t>Cái</t>
        </is>
      </c>
      <c r="K1212" s="5" t="n">
        <v>269000</v>
      </c>
      <c r="L1212" s="5" t="n">
        <v>317000</v>
      </c>
      <c r="M1212" s="6" t="n">
        <v>390000</v>
      </c>
      <c r="N1212" s="5" t="n"/>
      <c r="O1212" s="5">
        <f>IF(AND(ISNUMBER(N1212),ISNUMBER(M1212)),N1212-M1212,"")</f>
        <v/>
      </c>
      <c r="P1212" s="7">
        <f>IF(AND(ISNUMBER(N1212),ISNUMBER(M1212),M1212&gt;0),(N1212-M1212)/M1212,"")</f>
        <v/>
      </c>
      <c r="Q1212" s="3">
        <f>IF(P1212="","",IF(P1212&lt;-0.02,"🔴 Bán phá giá sàn",IF(P1212&gt;0.05,"🔵 Bán cao hơn","🟢 Đúng giá sàn TMĐT")))</f>
        <v/>
      </c>
      <c r="R1212" s="3" t="n"/>
      <c r="S1212" s="4" t="n"/>
      <c r="T1212" s="4" t="n"/>
    </row>
    <row r="1213">
      <c r="A1213" s="3" t="n">
        <v>1212</v>
      </c>
      <c r="B1213" s="3" t="inlineStr">
        <is>
          <t>DL010</t>
        </is>
      </c>
      <c r="C1213" s="4" t="inlineStr">
        <is>
          <t>Trang Huề( CuBờm TV)</t>
        </is>
      </c>
      <c r="D1213" s="3" t="inlineStr">
        <is>
          <t>HN</t>
        </is>
      </c>
      <c r="E1213" s="3" t="inlineStr">
        <is>
          <t>ĐIỆP</t>
        </is>
      </c>
      <c r="F1213" s="3" t="inlineStr">
        <is>
          <t>Tiktok, Shopee</t>
        </is>
      </c>
      <c r="G1213" s="4" t="inlineStr">
        <is>
          <t>SHOPEE: https://vn.shp.ee/m4gdctc3?fromSource=copy_link&amp;smtt=0.0.9 TIKTOK: https://vt.tiktok.com/ZS9UMHDPyXN53-XKjnc/ LAZADA: WEBSITE BÁN HÀNG:</t>
        </is>
      </c>
      <c r="H1213" s="3" t="inlineStr"/>
      <c r="I1213" s="4" t="inlineStr">
        <is>
          <t>Mũi định tâm chuôi ngắn kẹp</t>
        </is>
      </c>
      <c r="J1213" s="3" t="inlineStr">
        <is>
          <t>Cái</t>
        </is>
      </c>
      <c r="K1213" s="5" t="n">
        <v>269000</v>
      </c>
      <c r="L1213" s="5" t="n">
        <v>317000</v>
      </c>
      <c r="M1213" s="6" t="n">
        <v>390000</v>
      </c>
      <c r="N1213" s="5" t="n"/>
      <c r="O1213" s="5">
        <f>IF(AND(ISNUMBER(N1213),ISNUMBER(M1213)),N1213-M1213,"")</f>
        <v/>
      </c>
      <c r="P1213" s="7">
        <f>IF(AND(ISNUMBER(N1213),ISNUMBER(M1213),M1213&gt;0),(N1213-M1213)/M1213,"")</f>
        <v/>
      </c>
      <c r="Q1213" s="3">
        <f>IF(P1213="","",IF(P1213&lt;-0.02,"🔴 Bán phá giá sàn",IF(P1213&gt;0.05,"🔵 Bán cao hơn","🟢 Đúng giá sàn TMĐT")))</f>
        <v/>
      </c>
      <c r="R1213" s="3" t="n"/>
      <c r="S1213" s="4" t="n"/>
      <c r="T1213" s="4" t="n"/>
    </row>
    <row r="1214">
      <c r="A1214" s="3" t="n">
        <v>1213</v>
      </c>
      <c r="B1214" s="3" t="inlineStr">
        <is>
          <t>DL010</t>
        </is>
      </c>
      <c r="C1214" s="4" t="inlineStr">
        <is>
          <t>Trang Huề( CuBờm TV)</t>
        </is>
      </c>
      <c r="D1214" s="3" t="inlineStr">
        <is>
          <t>HN</t>
        </is>
      </c>
      <c r="E1214" s="3" t="inlineStr">
        <is>
          <t>ĐIỆP</t>
        </is>
      </c>
      <c r="F1214" s="3" t="inlineStr">
        <is>
          <t>Tiktok, Shopee</t>
        </is>
      </c>
      <c r="G1214" s="4" t="inlineStr">
        <is>
          <t>SHOPEE: https://vn.shp.ee/m4gdctc3?fromSource=copy_link&amp;smtt=0.0.9 TIKTOK: https://vt.tiktok.com/ZS9UMHDPyXN53-XKjnc/ LAZADA: WEBSITE BÁN HÀNG:</t>
        </is>
      </c>
      <c r="H1214" s="3" t="inlineStr"/>
      <c r="I1214" s="4" t="inlineStr">
        <is>
          <t>Mũi đục bê tông KBVd-14*250*22</t>
        </is>
      </c>
      <c r="J1214" s="3" t="inlineStr">
        <is>
          <t>Cái</t>
        </is>
      </c>
      <c r="K1214" s="5" t="n">
        <v>269000</v>
      </c>
      <c r="L1214" s="5" t="n">
        <v>317000</v>
      </c>
      <c r="M1214" s="6" t="n">
        <v>390000</v>
      </c>
      <c r="N1214" s="5" t="n"/>
      <c r="O1214" s="5">
        <f>IF(AND(ISNUMBER(N1214),ISNUMBER(M1214)),N1214-M1214,"")</f>
        <v/>
      </c>
      <c r="P1214" s="7">
        <f>IF(AND(ISNUMBER(N1214),ISNUMBER(M1214),M1214&gt;0),(N1214-M1214)/M1214,"")</f>
        <v/>
      </c>
      <c r="Q1214" s="3">
        <f>IF(P1214="","",IF(P1214&lt;-0.02,"🔴 Bán phá giá sàn",IF(P1214&gt;0.05,"🔵 Bán cao hơn","🟢 Đúng giá sàn TMĐT")))</f>
        <v/>
      </c>
      <c r="R1214" s="3" t="n"/>
      <c r="S1214" s="4" t="n"/>
      <c r="T1214" s="4" t="n"/>
    </row>
    <row r="1215">
      <c r="A1215" s="3" t="n">
        <v>1214</v>
      </c>
      <c r="B1215" s="3" t="inlineStr">
        <is>
          <t>DL010</t>
        </is>
      </c>
      <c r="C1215" s="4" t="inlineStr">
        <is>
          <t>Trang Huề( CuBờm TV)</t>
        </is>
      </c>
      <c r="D1215" s="3" t="inlineStr">
        <is>
          <t>HN</t>
        </is>
      </c>
      <c r="E1215" s="3" t="inlineStr">
        <is>
          <t>ĐIỆP</t>
        </is>
      </c>
      <c r="F1215" s="3" t="inlineStr">
        <is>
          <t>Tiktok, Shopee</t>
        </is>
      </c>
      <c r="G1215" s="4" t="inlineStr">
        <is>
          <t>SHOPEE: https://vn.shp.ee/m4gdctc3?fromSource=copy_link&amp;smtt=0.0.9 TIKTOK: https://vt.tiktok.com/ZS9UMHDPyXN53-XKjnc/ LAZADA: WEBSITE BÁN HÀNG:</t>
        </is>
      </c>
      <c r="H1215" s="3" t="inlineStr"/>
      <c r="I1215" s="4" t="inlineStr">
        <is>
          <t>Mũi đục bê tông KBVd-17*280*25</t>
        </is>
      </c>
      <c r="J1215" s="3" t="inlineStr">
        <is>
          <t>Cái</t>
        </is>
      </c>
      <c r="K1215" s="5" t="n">
        <v>269000</v>
      </c>
      <c r="L1215" s="5" t="n">
        <v>317000</v>
      </c>
      <c r="M1215" s="6" t="n">
        <v>390000</v>
      </c>
      <c r="N1215" s="5" t="n"/>
      <c r="O1215" s="5">
        <f>IF(AND(ISNUMBER(N1215),ISNUMBER(M1215)),N1215-M1215,"")</f>
        <v/>
      </c>
      <c r="P1215" s="7">
        <f>IF(AND(ISNUMBER(N1215),ISNUMBER(M1215),M1215&gt;0),(N1215-M1215)/M1215,"")</f>
        <v/>
      </c>
      <c r="Q1215" s="3">
        <f>IF(P1215="","",IF(P1215&lt;-0.02,"🔴 Bán phá giá sàn",IF(P1215&gt;0.05,"🔵 Bán cao hơn","🟢 Đúng giá sàn TMĐT")))</f>
        <v/>
      </c>
      <c r="R1215" s="3" t="n"/>
      <c r="S1215" s="4" t="n"/>
      <c r="T1215" s="4" t="n"/>
    </row>
    <row r="1216">
      <c r="A1216" s="3" t="n">
        <v>1215</v>
      </c>
      <c r="B1216" s="3" t="inlineStr">
        <is>
          <t>DL010</t>
        </is>
      </c>
      <c r="C1216" s="4" t="inlineStr">
        <is>
          <t>Trang Huề( CuBờm TV)</t>
        </is>
      </c>
      <c r="D1216" s="3" t="inlineStr">
        <is>
          <t>HN</t>
        </is>
      </c>
      <c r="E1216" s="3" t="inlineStr">
        <is>
          <t>ĐIỆP</t>
        </is>
      </c>
      <c r="F1216" s="3" t="inlineStr">
        <is>
          <t>Tiktok, Shopee</t>
        </is>
      </c>
      <c r="G1216" s="4" t="inlineStr">
        <is>
          <t>SHOPEE: https://vn.shp.ee/m4gdctc3?fromSource=copy_link&amp;smtt=0.0.9 TIKTOK: https://vt.tiktok.com/ZS9UMHDPyXN53-XKjnc/ LAZADA: WEBSITE BÁN HÀNG:</t>
        </is>
      </c>
      <c r="H1216" s="3" t="inlineStr"/>
      <c r="I1216" s="4" t="inlineStr">
        <is>
          <t>Mũi đục bê tông KBVn 30*420</t>
        </is>
      </c>
      <c r="J1216" s="3" t="inlineStr">
        <is>
          <t>Cái</t>
        </is>
      </c>
      <c r="K1216" s="5" t="n">
        <v>269000</v>
      </c>
      <c r="L1216" s="5" t="n">
        <v>317000</v>
      </c>
      <c r="M1216" s="6" t="n">
        <v>390000</v>
      </c>
      <c r="N1216" s="5" t="n"/>
      <c r="O1216" s="5">
        <f>IF(AND(ISNUMBER(N1216),ISNUMBER(M1216)),N1216-M1216,"")</f>
        <v/>
      </c>
      <c r="P1216" s="7">
        <f>IF(AND(ISNUMBER(N1216),ISNUMBER(M1216),M1216&gt;0),(N1216-M1216)/M1216,"")</f>
        <v/>
      </c>
      <c r="Q1216" s="3">
        <f>IF(P1216="","",IF(P1216&lt;-0.02,"🔴 Bán phá giá sàn",IF(P1216&gt;0.05,"🔵 Bán cao hơn","🟢 Đúng giá sàn TMĐT")))</f>
        <v/>
      </c>
      <c r="R1216" s="3" t="n"/>
      <c r="S1216" s="4" t="n"/>
      <c r="T1216" s="4" t="n"/>
    </row>
    <row r="1217">
      <c r="A1217" s="3" t="n">
        <v>1216</v>
      </c>
      <c r="B1217" s="3" t="inlineStr">
        <is>
          <t>DL010</t>
        </is>
      </c>
      <c r="C1217" s="4" t="inlineStr">
        <is>
          <t>Trang Huề( CuBờm TV)</t>
        </is>
      </c>
      <c r="D1217" s="3" t="inlineStr">
        <is>
          <t>HN</t>
        </is>
      </c>
      <c r="E1217" s="3" t="inlineStr">
        <is>
          <t>ĐIỆP</t>
        </is>
      </c>
      <c r="F1217" s="3" t="inlineStr">
        <is>
          <t>Tiktok, Shopee</t>
        </is>
      </c>
      <c r="G1217" s="4" t="inlineStr">
        <is>
          <t>SHOPEE: https://vn.shp.ee/m4gdctc3?fromSource=copy_link&amp;smtt=0.0.9 TIKTOK: https://vt.tiktok.com/ZS9UMHDPyXN53-XKjnc/ LAZADA: WEBSITE BÁN HÀNG:</t>
        </is>
      </c>
      <c r="H1217" s="3" t="inlineStr"/>
      <c r="I1217" s="4" t="inlineStr">
        <is>
          <t>Mũi đục bê tông KBVn-14*250</t>
        </is>
      </c>
      <c r="J1217" s="3" t="inlineStr">
        <is>
          <t>Cái</t>
        </is>
      </c>
      <c r="K1217" s="5" t="n">
        <v>269000</v>
      </c>
      <c r="L1217" s="5" t="n">
        <v>317000</v>
      </c>
      <c r="M1217" s="6" t="n">
        <v>390000</v>
      </c>
      <c r="N1217" s="5" t="n"/>
      <c r="O1217" s="5">
        <f>IF(AND(ISNUMBER(N1217),ISNUMBER(M1217)),N1217-M1217,"")</f>
        <v/>
      </c>
      <c r="P1217" s="7">
        <f>IF(AND(ISNUMBER(N1217),ISNUMBER(M1217),M1217&gt;0),(N1217-M1217)/M1217,"")</f>
        <v/>
      </c>
      <c r="Q1217" s="3">
        <f>IF(P1217="","",IF(P1217&lt;-0.02,"🔴 Bán phá giá sàn",IF(P1217&gt;0.05,"🔵 Bán cao hơn","🟢 Đúng giá sàn TMĐT")))</f>
        <v/>
      </c>
      <c r="R1217" s="3" t="n"/>
      <c r="S1217" s="4" t="n"/>
      <c r="T1217" s="4" t="n"/>
    </row>
    <row r="1218">
      <c r="A1218" s="3" t="n">
        <v>1217</v>
      </c>
      <c r="B1218" s="3" t="inlineStr">
        <is>
          <t>DL010</t>
        </is>
      </c>
      <c r="C1218" s="4" t="inlineStr">
        <is>
          <t>Trang Huề( CuBờm TV)</t>
        </is>
      </c>
      <c r="D1218" s="3" t="inlineStr">
        <is>
          <t>HN</t>
        </is>
      </c>
      <c r="E1218" s="3" t="inlineStr">
        <is>
          <t>ĐIỆP</t>
        </is>
      </c>
      <c r="F1218" s="3" t="inlineStr">
        <is>
          <t>Tiktok, Shopee</t>
        </is>
      </c>
      <c r="G1218" s="4" t="inlineStr">
        <is>
          <t>SHOPEE: https://vn.shp.ee/m4gdctc3?fromSource=copy_link&amp;smtt=0.0.9 TIKTOK: https://vt.tiktok.com/ZS9UMHDPyXN53-XKjnc/ LAZADA: WEBSITE BÁN HÀNG:</t>
        </is>
      </c>
      <c r="H1218" s="3" t="inlineStr"/>
      <c r="I1218" s="4" t="inlineStr">
        <is>
          <t>Mũi đục bê tông KBVn-17*280</t>
        </is>
      </c>
      <c r="J1218" s="3" t="inlineStr">
        <is>
          <t>Cái</t>
        </is>
      </c>
      <c r="K1218" s="5" t="n">
        <v>269000</v>
      </c>
      <c r="L1218" s="5" t="n">
        <v>317000</v>
      </c>
      <c r="M1218" s="6" t="n">
        <v>390000</v>
      </c>
      <c r="N1218" s="5" t="n"/>
      <c r="O1218" s="5">
        <f>IF(AND(ISNUMBER(N1218),ISNUMBER(M1218)),N1218-M1218,"")</f>
        <v/>
      </c>
      <c r="P1218" s="7">
        <f>IF(AND(ISNUMBER(N1218),ISNUMBER(M1218),M1218&gt;0),(N1218-M1218)/M1218,"")</f>
        <v/>
      </c>
      <c r="Q1218" s="3">
        <f>IF(P1218="","",IF(P1218&lt;-0.02,"🔴 Bán phá giá sàn",IF(P1218&gt;0.05,"🔵 Bán cao hơn","🟢 Đúng giá sàn TMĐT")))</f>
        <v/>
      </c>
      <c r="R1218" s="3" t="n"/>
      <c r="S1218" s="4" t="n"/>
      <c r="T1218" s="4" t="n"/>
    </row>
    <row r="1219">
      <c r="A1219" s="3" t="n">
        <v>1218</v>
      </c>
      <c r="B1219" s="3" t="inlineStr">
        <is>
          <t>DL010</t>
        </is>
      </c>
      <c r="C1219" s="4" t="inlineStr">
        <is>
          <t>Trang Huề( CuBờm TV)</t>
        </is>
      </c>
      <c r="D1219" s="3" t="inlineStr">
        <is>
          <t>HN</t>
        </is>
      </c>
      <c r="E1219" s="3" t="inlineStr">
        <is>
          <t>ĐIỆP</t>
        </is>
      </c>
      <c r="F1219" s="3" t="inlineStr">
        <is>
          <t>Tiktok, Shopee</t>
        </is>
      </c>
      <c r="G1219" s="4" t="inlineStr">
        <is>
          <t>SHOPEE: https://vn.shp.ee/m4gdctc3?fromSource=copy_link&amp;smtt=0.0.9 TIKTOK: https://vt.tiktok.com/ZS9UMHDPyXN53-XKjnc/ LAZADA: WEBSITE BÁN HÀNG:</t>
        </is>
      </c>
      <c r="H1219" s="3" t="inlineStr">
        <is>
          <t>KBL4-06160</t>
        </is>
      </c>
      <c r="I1219" s="4" t="inlineStr">
        <is>
          <t>Mũi khoan bê tông 4 cạnh KBL4-06*160</t>
        </is>
      </c>
      <c r="J1219" s="3" t="inlineStr">
        <is>
          <t>Cái</t>
        </is>
      </c>
      <c r="K1219" s="5" t="n">
        <v>24000</v>
      </c>
      <c r="L1219" s="5" t="n">
        <v>29000</v>
      </c>
      <c r="M1219" s="6" t="n">
        <v>37000</v>
      </c>
      <c r="N1219" s="5" t="n"/>
      <c r="O1219" s="5">
        <f>IF(AND(ISNUMBER(N1219),ISNUMBER(M1219)),N1219-M1219,"")</f>
        <v/>
      </c>
      <c r="P1219" s="7">
        <f>IF(AND(ISNUMBER(N1219),ISNUMBER(M1219),M1219&gt;0),(N1219-M1219)/M1219,"")</f>
        <v/>
      </c>
      <c r="Q1219" s="3">
        <f>IF(P1219="","",IF(P1219&lt;-0.02,"🔴 Bán phá giá sàn",IF(P1219&gt;0.05,"🔵 Bán cao hơn","🟢 Đúng giá sàn TMĐT")))</f>
        <v/>
      </c>
      <c r="R1219" s="3" t="n"/>
      <c r="S1219" s="4" t="n"/>
      <c r="T1219" s="4" t="n"/>
    </row>
    <row r="1220">
      <c r="A1220" s="3" t="n">
        <v>1219</v>
      </c>
      <c r="B1220" s="3" t="inlineStr">
        <is>
          <t>DL010</t>
        </is>
      </c>
      <c r="C1220" s="4" t="inlineStr">
        <is>
          <t>Trang Huề( CuBờm TV)</t>
        </is>
      </c>
      <c r="D1220" s="3" t="inlineStr">
        <is>
          <t>HN</t>
        </is>
      </c>
      <c r="E1220" s="3" t="inlineStr">
        <is>
          <t>ĐIỆP</t>
        </is>
      </c>
      <c r="F1220" s="3" t="inlineStr">
        <is>
          <t>Tiktok, Shopee</t>
        </is>
      </c>
      <c r="G1220" s="4" t="inlineStr">
        <is>
          <t>SHOPEE: https://vn.shp.ee/m4gdctc3?fromSource=copy_link&amp;smtt=0.0.9 TIKTOK: https://vt.tiktok.com/ZS9UMHDPyXN53-XKjnc/ LAZADA: WEBSITE BÁN HÀNG:</t>
        </is>
      </c>
      <c r="H1220" s="3" t="inlineStr">
        <is>
          <t>KBL4-08160</t>
        </is>
      </c>
      <c r="I1220" s="4" t="inlineStr">
        <is>
          <t>Mũi khoan bê tông 4 cạnh KBL4-08*160</t>
        </is>
      </c>
      <c r="J1220" s="3" t="inlineStr">
        <is>
          <t>Cái</t>
        </is>
      </c>
      <c r="K1220" s="5" t="n">
        <v>27000</v>
      </c>
      <c r="L1220" s="5" t="n">
        <v>33000</v>
      </c>
      <c r="M1220" s="6" t="n">
        <v>42000</v>
      </c>
      <c r="N1220" s="5" t="n"/>
      <c r="O1220" s="5">
        <f>IF(AND(ISNUMBER(N1220),ISNUMBER(M1220)),N1220-M1220,"")</f>
        <v/>
      </c>
      <c r="P1220" s="7">
        <f>IF(AND(ISNUMBER(N1220),ISNUMBER(M1220),M1220&gt;0),(N1220-M1220)/M1220,"")</f>
        <v/>
      </c>
      <c r="Q1220" s="3">
        <f>IF(P1220="","",IF(P1220&lt;-0.02,"🔴 Bán phá giá sàn",IF(P1220&gt;0.05,"🔵 Bán cao hơn","🟢 Đúng giá sàn TMĐT")))</f>
        <v/>
      </c>
      <c r="R1220" s="3" t="n"/>
      <c r="S1220" s="4" t="n"/>
      <c r="T1220" s="4" t="n"/>
    </row>
    <row r="1221">
      <c r="A1221" s="3" t="n">
        <v>1220</v>
      </c>
      <c r="B1221" s="3" t="inlineStr">
        <is>
          <t>DL010</t>
        </is>
      </c>
      <c r="C1221" s="4" t="inlineStr">
        <is>
          <t>Trang Huề( CuBờm TV)</t>
        </is>
      </c>
      <c r="D1221" s="3" t="inlineStr">
        <is>
          <t>HN</t>
        </is>
      </c>
      <c r="E1221" s="3" t="inlineStr">
        <is>
          <t>ĐIỆP</t>
        </is>
      </c>
      <c r="F1221" s="3" t="inlineStr">
        <is>
          <t>Tiktok, Shopee</t>
        </is>
      </c>
      <c r="G1221" s="4" t="inlineStr">
        <is>
          <t>SHOPEE: https://vn.shp.ee/m4gdctc3?fromSource=copy_link&amp;smtt=0.0.9 TIKTOK: https://vt.tiktok.com/ZS9UMHDPyXN53-XKjnc/ LAZADA: WEBSITE BÁN HÀNG:</t>
        </is>
      </c>
      <c r="H1221" s="3" t="inlineStr">
        <is>
          <t>KBL4-10160</t>
        </is>
      </c>
      <c r="I1221" s="4" t="inlineStr">
        <is>
          <t>Mũi khoan bê tông 4 cạnh KBL4-10*160</t>
        </is>
      </c>
      <c r="J1221" s="3" t="inlineStr">
        <is>
          <t>Cái</t>
        </is>
      </c>
      <c r="K1221" s="5" t="n">
        <v>30000</v>
      </c>
      <c r="L1221" s="5" t="n">
        <v>37000</v>
      </c>
      <c r="M1221" s="6" t="n">
        <v>47000</v>
      </c>
      <c r="N1221" s="5" t="n"/>
      <c r="O1221" s="5">
        <f>IF(AND(ISNUMBER(N1221),ISNUMBER(M1221)),N1221-M1221,"")</f>
        <v/>
      </c>
      <c r="P1221" s="7">
        <f>IF(AND(ISNUMBER(N1221),ISNUMBER(M1221),M1221&gt;0),(N1221-M1221)/M1221,"")</f>
        <v/>
      </c>
      <c r="Q1221" s="3">
        <f>IF(P1221="","",IF(P1221&lt;-0.02,"🔴 Bán phá giá sàn",IF(P1221&gt;0.05,"🔵 Bán cao hơn","🟢 Đúng giá sàn TMĐT")))</f>
        <v/>
      </c>
      <c r="R1221" s="3" t="n"/>
      <c r="S1221" s="4" t="n"/>
      <c r="T1221" s="4" t="n"/>
    </row>
    <row r="1222">
      <c r="A1222" s="3" t="n">
        <v>1221</v>
      </c>
      <c r="B1222" s="3" t="inlineStr">
        <is>
          <t>DL010</t>
        </is>
      </c>
      <c r="C1222" s="4" t="inlineStr">
        <is>
          <t>Trang Huề( CuBờm TV)</t>
        </is>
      </c>
      <c r="D1222" s="3" t="inlineStr">
        <is>
          <t>HN</t>
        </is>
      </c>
      <c r="E1222" s="3" t="inlineStr">
        <is>
          <t>ĐIỆP</t>
        </is>
      </c>
      <c r="F1222" s="3" t="inlineStr">
        <is>
          <t>Tiktok, Shopee</t>
        </is>
      </c>
      <c r="G1222" s="4" t="inlineStr">
        <is>
          <t>SHOPEE: https://vn.shp.ee/m4gdctc3?fromSource=copy_link&amp;smtt=0.0.9 TIKTOK: https://vt.tiktok.com/ZS9UMHDPyXN53-XKjnc/ LAZADA: WEBSITE BÁN HÀNG:</t>
        </is>
      </c>
      <c r="H1222" s="3" t="inlineStr">
        <is>
          <t>KBL4-12160</t>
        </is>
      </c>
      <c r="I1222" s="4" t="inlineStr">
        <is>
          <t>Mũi khoan bê tông 4 cạnh KBL4-12*160</t>
        </is>
      </c>
      <c r="J1222" s="3" t="inlineStr">
        <is>
          <t>Cái</t>
        </is>
      </c>
      <c r="K1222" s="5" t="n">
        <v>33000</v>
      </c>
      <c r="L1222" s="5" t="n">
        <v>40000</v>
      </c>
      <c r="M1222" s="6" t="n">
        <v>51000</v>
      </c>
      <c r="N1222" s="5" t="n"/>
      <c r="O1222" s="5">
        <f>IF(AND(ISNUMBER(N1222),ISNUMBER(M1222)),N1222-M1222,"")</f>
        <v/>
      </c>
      <c r="P1222" s="7">
        <f>IF(AND(ISNUMBER(N1222),ISNUMBER(M1222),M1222&gt;0),(N1222-M1222)/M1222,"")</f>
        <v/>
      </c>
      <c r="Q1222" s="3">
        <f>IF(P1222="","",IF(P1222&lt;-0.02,"🔴 Bán phá giá sàn",IF(P1222&gt;0.05,"🔵 Bán cao hơn","🟢 Đúng giá sàn TMĐT")))</f>
        <v/>
      </c>
      <c r="R1222" s="3" t="n"/>
      <c r="S1222" s="4" t="n"/>
      <c r="T1222" s="4" t="n"/>
    </row>
    <row r="1223">
      <c r="A1223" s="3" t="n">
        <v>1222</v>
      </c>
      <c r="B1223" s="3" t="inlineStr">
        <is>
          <t>DL010</t>
        </is>
      </c>
      <c r="C1223" s="4" t="inlineStr">
        <is>
          <t>Trang Huề( CuBờm TV)</t>
        </is>
      </c>
      <c r="D1223" s="3" t="inlineStr">
        <is>
          <t>HN</t>
        </is>
      </c>
      <c r="E1223" s="3" t="inlineStr">
        <is>
          <t>ĐIỆP</t>
        </is>
      </c>
      <c r="F1223" s="3" t="inlineStr">
        <is>
          <t>Tiktok, Shopee</t>
        </is>
      </c>
      <c r="G1223" s="4" t="inlineStr">
        <is>
          <t>SHOPEE: https://vn.shp.ee/m4gdctc3?fromSource=copy_link&amp;smtt=0.0.9 TIKTOK: https://vt.tiktok.com/ZS9UMHDPyXN53-XKjnc/ LAZADA: WEBSITE BÁN HÀNG:</t>
        </is>
      </c>
      <c r="H1223" s="3" t="inlineStr">
        <is>
          <t>KBL2-06110</t>
        </is>
      </c>
      <c r="I1223" s="4" t="inlineStr">
        <is>
          <t>Mũi khoan bê tông gài 2 cạnh KBL2-06*110</t>
        </is>
      </c>
      <c r="J1223" s="3" t="inlineStr">
        <is>
          <t>Cái</t>
        </is>
      </c>
      <c r="K1223" s="5" t="n">
        <v>20000</v>
      </c>
      <c r="L1223" s="5" t="n">
        <v>24000</v>
      </c>
      <c r="M1223" s="6" t="n">
        <v>31000</v>
      </c>
      <c r="N1223" s="5" t="n"/>
      <c r="O1223" s="5">
        <f>IF(AND(ISNUMBER(N1223),ISNUMBER(M1223)),N1223-M1223,"")</f>
        <v/>
      </c>
      <c r="P1223" s="7">
        <f>IF(AND(ISNUMBER(N1223),ISNUMBER(M1223),M1223&gt;0),(N1223-M1223)/M1223,"")</f>
        <v/>
      </c>
      <c r="Q1223" s="3">
        <f>IF(P1223="","",IF(P1223&lt;-0.02,"🔴 Bán phá giá sàn",IF(P1223&gt;0.05,"🔵 Bán cao hơn","🟢 Đúng giá sàn TMĐT")))</f>
        <v/>
      </c>
      <c r="R1223" s="3" t="n"/>
      <c r="S1223" s="4" t="n"/>
      <c r="T1223" s="4" t="n"/>
    </row>
    <row r="1224">
      <c r="A1224" s="3" t="n">
        <v>1223</v>
      </c>
      <c r="B1224" s="3" t="inlineStr">
        <is>
          <t>DL010</t>
        </is>
      </c>
      <c r="C1224" s="4" t="inlineStr">
        <is>
          <t>Trang Huề( CuBờm TV)</t>
        </is>
      </c>
      <c r="D1224" s="3" t="inlineStr">
        <is>
          <t>HN</t>
        </is>
      </c>
      <c r="E1224" s="3" t="inlineStr">
        <is>
          <t>ĐIỆP</t>
        </is>
      </c>
      <c r="F1224" s="3" t="inlineStr">
        <is>
          <t>Tiktok, Shopee</t>
        </is>
      </c>
      <c r="G1224" s="4" t="inlineStr">
        <is>
          <t>SHOPEE: https://vn.shp.ee/m4gdctc3?fromSource=copy_link&amp;smtt=0.0.9 TIKTOK: https://vt.tiktok.com/ZS9UMHDPyXN53-XKjnc/ LAZADA: WEBSITE BÁN HÀNG:</t>
        </is>
      </c>
      <c r="H1224" s="3" t="inlineStr">
        <is>
          <t>KBL2-08110</t>
        </is>
      </c>
      <c r="I1224" s="4" t="inlineStr">
        <is>
          <t>Mũi khoan bê tông gài 2 cạnh KBL2-08*110</t>
        </is>
      </c>
      <c r="J1224" s="3" t="inlineStr">
        <is>
          <t>Cái</t>
        </is>
      </c>
      <c r="K1224" s="5" t="n">
        <v>22000</v>
      </c>
      <c r="L1224" s="5" t="n">
        <v>27000</v>
      </c>
      <c r="M1224" s="6" t="n">
        <v>34000</v>
      </c>
      <c r="N1224" s="5" t="n"/>
      <c r="O1224" s="5">
        <f>IF(AND(ISNUMBER(N1224),ISNUMBER(M1224)),N1224-M1224,"")</f>
        <v/>
      </c>
      <c r="P1224" s="7">
        <f>IF(AND(ISNUMBER(N1224),ISNUMBER(M1224),M1224&gt;0),(N1224-M1224)/M1224,"")</f>
        <v/>
      </c>
      <c r="Q1224" s="3">
        <f>IF(P1224="","",IF(P1224&lt;-0.02,"🔴 Bán phá giá sàn",IF(P1224&gt;0.05,"🔵 Bán cao hơn","🟢 Đúng giá sàn TMĐT")))</f>
        <v/>
      </c>
      <c r="R1224" s="3" t="n"/>
      <c r="S1224" s="4" t="n"/>
      <c r="T1224" s="4" t="n"/>
    </row>
    <row r="1225">
      <c r="A1225" s="3" t="n">
        <v>1224</v>
      </c>
      <c r="B1225" s="3" t="inlineStr">
        <is>
          <t>DL010</t>
        </is>
      </c>
      <c r="C1225" s="4" t="inlineStr">
        <is>
          <t>Trang Huề( CuBờm TV)</t>
        </is>
      </c>
      <c r="D1225" s="3" t="inlineStr">
        <is>
          <t>HN</t>
        </is>
      </c>
      <c r="E1225" s="3" t="inlineStr">
        <is>
          <t>ĐIỆP</t>
        </is>
      </c>
      <c r="F1225" s="3" t="inlineStr">
        <is>
          <t>Tiktok, Shopee</t>
        </is>
      </c>
      <c r="G1225" s="4" t="inlineStr">
        <is>
          <t>SHOPEE: https://vn.shp.ee/m4gdctc3?fromSource=copy_link&amp;smtt=0.0.9 TIKTOK: https://vt.tiktok.com/ZS9UMHDPyXN53-XKjnc/ LAZADA: WEBSITE BÁN HÀNG:</t>
        </is>
      </c>
      <c r="H1225" s="3" t="inlineStr">
        <is>
          <t>KBL2-10160</t>
        </is>
      </c>
      <c r="I1225" s="4" t="inlineStr">
        <is>
          <t>Mũi khoan bê tông gài 2 cạnh KBL2-10*160</t>
        </is>
      </c>
      <c r="J1225" s="3" t="inlineStr">
        <is>
          <t>Cái</t>
        </is>
      </c>
      <c r="K1225" s="5" t="n">
        <v>25000</v>
      </c>
      <c r="L1225" s="5" t="n">
        <v>31000</v>
      </c>
      <c r="M1225" s="6" t="n">
        <v>39000</v>
      </c>
      <c r="N1225" s="5" t="n"/>
      <c r="O1225" s="5">
        <f>IF(AND(ISNUMBER(N1225),ISNUMBER(M1225)),N1225-M1225,"")</f>
        <v/>
      </c>
      <c r="P1225" s="7">
        <f>IF(AND(ISNUMBER(N1225),ISNUMBER(M1225),M1225&gt;0),(N1225-M1225)/M1225,"")</f>
        <v/>
      </c>
      <c r="Q1225" s="3">
        <f>IF(P1225="","",IF(P1225&lt;-0.02,"🔴 Bán phá giá sàn",IF(P1225&gt;0.05,"🔵 Bán cao hơn","🟢 Đúng giá sàn TMĐT")))</f>
        <v/>
      </c>
      <c r="R1225" s="3" t="n"/>
      <c r="S1225" s="4" t="n"/>
      <c r="T1225" s="4" t="n"/>
    </row>
    <row r="1226">
      <c r="A1226" s="3" t="n">
        <v>1225</v>
      </c>
      <c r="B1226" s="3" t="inlineStr">
        <is>
          <t>DL010</t>
        </is>
      </c>
      <c r="C1226" s="4" t="inlineStr">
        <is>
          <t>Trang Huề( CuBờm TV)</t>
        </is>
      </c>
      <c r="D1226" s="3" t="inlineStr">
        <is>
          <t>HN</t>
        </is>
      </c>
      <c r="E1226" s="3" t="inlineStr">
        <is>
          <t>ĐIỆP</t>
        </is>
      </c>
      <c r="F1226" s="3" t="inlineStr">
        <is>
          <t>Tiktok, Shopee</t>
        </is>
      </c>
      <c r="G1226" s="4" t="inlineStr">
        <is>
          <t>SHOPEE: https://vn.shp.ee/m4gdctc3?fromSource=copy_link&amp;smtt=0.0.9 TIKTOK: https://vt.tiktok.com/ZS9UMHDPyXN53-XKjnc/ LAZADA: WEBSITE BÁN HÀNG:</t>
        </is>
      </c>
      <c r="H1226" s="3" t="inlineStr">
        <is>
          <t>KBL2-12160</t>
        </is>
      </c>
      <c r="I1226" s="4" t="inlineStr">
        <is>
          <t>Mũi khoan bê tông gài 2 cạnh KBL2-12*160</t>
        </is>
      </c>
      <c r="J1226" s="3" t="inlineStr">
        <is>
          <t>Cái</t>
        </is>
      </c>
      <c r="K1226" s="5" t="n">
        <v>28000</v>
      </c>
      <c r="L1226" s="5" t="n">
        <v>34000</v>
      </c>
      <c r="M1226" s="6" t="n">
        <v>43000</v>
      </c>
      <c r="N1226" s="5" t="n"/>
      <c r="O1226" s="5">
        <f>IF(AND(ISNUMBER(N1226),ISNUMBER(M1226)),N1226-M1226,"")</f>
        <v/>
      </c>
      <c r="P1226" s="7">
        <f>IF(AND(ISNUMBER(N1226),ISNUMBER(M1226),M1226&gt;0),(N1226-M1226)/M1226,"")</f>
        <v/>
      </c>
      <c r="Q1226" s="3">
        <f>IF(P1226="","",IF(P1226&lt;-0.02,"🔴 Bán phá giá sàn",IF(P1226&gt;0.05,"🔵 Bán cao hơn","🟢 Đúng giá sàn TMĐT")))</f>
        <v/>
      </c>
      <c r="R1226" s="3" t="n"/>
      <c r="S1226" s="4" t="n"/>
      <c r="T1226" s="4" t="n"/>
    </row>
    <row r="1227">
      <c r="A1227" s="3" t="n">
        <v>1226</v>
      </c>
      <c r="B1227" s="3" t="inlineStr">
        <is>
          <t>DL010</t>
        </is>
      </c>
      <c r="C1227" s="4" t="inlineStr">
        <is>
          <t>Trang Huề( CuBờm TV)</t>
        </is>
      </c>
      <c r="D1227" s="3" t="inlineStr">
        <is>
          <t>HN</t>
        </is>
      </c>
      <c r="E1227" s="3" t="inlineStr">
        <is>
          <t>ĐIỆP</t>
        </is>
      </c>
      <c r="F1227" s="3" t="inlineStr">
        <is>
          <t>Tiktok, Shopee</t>
        </is>
      </c>
      <c r="G1227" s="4" t="inlineStr">
        <is>
          <t>SHOPEE: https://vn.shp.ee/m4gdctc3?fromSource=copy_link&amp;smtt=0.0.9 TIKTOK: https://vt.tiktok.com/ZS9UMHDPyXN53-XKjnc/ LAZADA: WEBSITE BÁN HÀNG:</t>
        </is>
      </c>
      <c r="H1227" s="3" t="inlineStr">
        <is>
          <t>KBL4-14160</t>
        </is>
      </c>
      <c r="I1227" s="4" t="inlineStr">
        <is>
          <t>Mũi khoan bê tông gài 4 cạnh KBL4-14*160</t>
        </is>
      </c>
      <c r="J1227" s="3" t="inlineStr">
        <is>
          <t>Cái</t>
        </is>
      </c>
      <c r="K1227" s="5" t="n">
        <v>51000</v>
      </c>
      <c r="L1227" s="5" t="n">
        <v>62000</v>
      </c>
      <c r="M1227" s="6" t="n">
        <v>79000</v>
      </c>
      <c r="N1227" s="5" t="n"/>
      <c r="O1227" s="5">
        <f>IF(AND(ISNUMBER(N1227),ISNUMBER(M1227)),N1227-M1227,"")</f>
        <v/>
      </c>
      <c r="P1227" s="7">
        <f>IF(AND(ISNUMBER(N1227),ISNUMBER(M1227),M1227&gt;0),(N1227-M1227)/M1227,"")</f>
        <v/>
      </c>
      <c r="Q1227" s="3">
        <f>IF(P1227="","",IF(P1227&lt;-0.02,"🔴 Bán phá giá sàn",IF(P1227&gt;0.05,"🔵 Bán cao hơn","🟢 Đúng giá sàn TMĐT")))</f>
        <v/>
      </c>
      <c r="R1227" s="3" t="n"/>
      <c r="S1227" s="4" t="n"/>
      <c r="T1227" s="4" t="n"/>
    </row>
    <row r="1228">
      <c r="A1228" s="3" t="n">
        <v>1227</v>
      </c>
      <c r="B1228" s="3" t="inlineStr">
        <is>
          <t>DL010</t>
        </is>
      </c>
      <c r="C1228" s="4" t="inlineStr">
        <is>
          <t>Trang Huề( CuBờm TV)</t>
        </is>
      </c>
      <c r="D1228" s="3" t="inlineStr">
        <is>
          <t>HN</t>
        </is>
      </c>
      <c r="E1228" s="3" t="inlineStr">
        <is>
          <t>ĐIỆP</t>
        </is>
      </c>
      <c r="F1228" s="3" t="inlineStr">
        <is>
          <t>Tiktok, Shopee</t>
        </is>
      </c>
      <c r="G1228" s="4" t="inlineStr">
        <is>
          <t>SHOPEE: https://vn.shp.ee/m4gdctc3?fromSource=copy_link&amp;smtt=0.0.9 TIKTOK: https://vt.tiktok.com/ZS9UMHDPyXN53-XKjnc/ LAZADA: WEBSITE BÁN HÀNG:</t>
        </is>
      </c>
      <c r="H1228" s="3" t="inlineStr">
        <is>
          <t>KBL4-16160</t>
        </is>
      </c>
      <c r="I1228" s="4" t="inlineStr">
        <is>
          <t>Mũi khoan bê tông gài 4 cạnh KBL4-16*160</t>
        </is>
      </c>
      <c r="J1228" s="3" t="inlineStr">
        <is>
          <t>Cái</t>
        </is>
      </c>
      <c r="K1228" s="5" t="n">
        <v>59000</v>
      </c>
      <c r="L1228" s="5" t="n">
        <v>72000</v>
      </c>
      <c r="M1228" s="6" t="n">
        <v>92000</v>
      </c>
      <c r="N1228" s="5" t="n"/>
      <c r="O1228" s="5">
        <f>IF(AND(ISNUMBER(N1228),ISNUMBER(M1228)),N1228-M1228,"")</f>
        <v/>
      </c>
      <c r="P1228" s="7">
        <f>IF(AND(ISNUMBER(N1228),ISNUMBER(M1228),M1228&gt;0),(N1228-M1228)/M1228,"")</f>
        <v/>
      </c>
      <c r="Q1228" s="3">
        <f>IF(P1228="","",IF(P1228&lt;-0.02,"🔴 Bán phá giá sàn",IF(P1228&gt;0.05,"🔵 Bán cao hơn","🟢 Đúng giá sàn TMĐT")))</f>
        <v/>
      </c>
      <c r="R1228" s="3" t="n"/>
      <c r="S1228" s="4" t="n"/>
      <c r="T1228" s="4" t="n"/>
    </row>
    <row r="1229">
      <c r="A1229" s="3" t="n">
        <v>1228</v>
      </c>
      <c r="B1229" s="3" t="inlineStr">
        <is>
          <t>DL010</t>
        </is>
      </c>
      <c r="C1229" s="4" t="inlineStr">
        <is>
          <t>Trang Huề( CuBờm TV)</t>
        </is>
      </c>
      <c r="D1229" s="3" t="inlineStr">
        <is>
          <t>HN</t>
        </is>
      </c>
      <c r="E1229" s="3" t="inlineStr">
        <is>
          <t>ĐIỆP</t>
        </is>
      </c>
      <c r="F1229" s="3" t="inlineStr">
        <is>
          <t>Tiktok, Shopee</t>
        </is>
      </c>
      <c r="G1229" s="4" t="inlineStr">
        <is>
          <t>SHOPEE: https://vn.shp.ee/m4gdctc3?fromSource=copy_link&amp;smtt=0.0.9 TIKTOK: https://vt.tiktok.com/ZS9UMHDPyXN53-XKjnc/ LAZADA: WEBSITE BÁN HÀNG:</t>
        </is>
      </c>
      <c r="H1229" s="3" t="inlineStr">
        <is>
          <t>KBL2-3.290</t>
        </is>
      </c>
      <c r="I1229" s="4" t="inlineStr">
        <is>
          <t>Mũi khoan bê tông không tắc kê KBL2-3.2*90</t>
        </is>
      </c>
      <c r="J1229" s="3" t="inlineStr">
        <is>
          <t>Cái</t>
        </is>
      </c>
      <c r="K1229" s="5" t="n">
        <v>23000</v>
      </c>
      <c r="L1229" s="5" t="n">
        <v>29000</v>
      </c>
      <c r="M1229" s="6" t="n">
        <v>38000</v>
      </c>
      <c r="N1229" s="5" t="n"/>
      <c r="O1229" s="5">
        <f>IF(AND(ISNUMBER(N1229),ISNUMBER(M1229)),N1229-M1229,"")</f>
        <v/>
      </c>
      <c r="P1229" s="7">
        <f>IF(AND(ISNUMBER(N1229),ISNUMBER(M1229),M1229&gt;0),(N1229-M1229)/M1229,"")</f>
        <v/>
      </c>
      <c r="Q1229" s="3">
        <f>IF(P1229="","",IF(P1229&lt;-0.02,"🔴 Bán phá giá sàn",IF(P1229&gt;0.05,"🔵 Bán cao hơn","🟢 Đúng giá sàn TMĐT")))</f>
        <v/>
      </c>
      <c r="R1229" s="3" t="n"/>
      <c r="S1229" s="4" t="n"/>
      <c r="T1229" s="4" t="n"/>
    </row>
    <row r="1230">
      <c r="A1230" s="3" t="n">
        <v>1229</v>
      </c>
      <c r="B1230" s="3" t="inlineStr">
        <is>
          <t>DL010</t>
        </is>
      </c>
      <c r="C1230" s="4" t="inlineStr">
        <is>
          <t>Trang Huề( CuBờm TV)</t>
        </is>
      </c>
      <c r="D1230" s="3" t="inlineStr">
        <is>
          <t>HN</t>
        </is>
      </c>
      <c r="E1230" s="3" t="inlineStr">
        <is>
          <t>ĐIỆP</t>
        </is>
      </c>
      <c r="F1230" s="3" t="inlineStr">
        <is>
          <t>Tiktok, Shopee</t>
        </is>
      </c>
      <c r="G1230" s="4" t="inlineStr">
        <is>
          <t>SHOPEE: https://vn.shp.ee/m4gdctc3?fromSource=copy_link&amp;smtt=0.0.9 TIKTOK: https://vt.tiktok.com/ZS9UMHDPyXN53-XKjnc/ LAZADA: WEBSITE BÁN HÀNG:</t>
        </is>
      </c>
      <c r="H1230" s="3" t="inlineStr">
        <is>
          <t>KBL2-3.5110</t>
        </is>
      </c>
      <c r="I1230" s="4" t="inlineStr">
        <is>
          <t>Mũi khoan bê tông không tắc kê KBL2-3.5*110</t>
        </is>
      </c>
      <c r="J1230" s="3" t="inlineStr">
        <is>
          <t>Cái</t>
        </is>
      </c>
      <c r="K1230" s="5" t="n">
        <v>23000</v>
      </c>
      <c r="L1230" s="5" t="n">
        <v>29000</v>
      </c>
      <c r="M1230" s="6" t="n">
        <v>38000</v>
      </c>
      <c r="N1230" s="5" t="n"/>
      <c r="O1230" s="5">
        <f>IF(AND(ISNUMBER(N1230),ISNUMBER(M1230)),N1230-M1230,"")</f>
        <v/>
      </c>
      <c r="P1230" s="7">
        <f>IF(AND(ISNUMBER(N1230),ISNUMBER(M1230),M1230&gt;0),(N1230-M1230)/M1230,"")</f>
        <v/>
      </c>
      <c r="Q1230" s="3">
        <f>IF(P1230="","",IF(P1230&lt;-0.02,"🔴 Bán phá giá sàn",IF(P1230&gt;0.05,"🔵 Bán cao hơn","🟢 Đúng giá sàn TMĐT")))</f>
        <v/>
      </c>
      <c r="R1230" s="3" t="n"/>
      <c r="S1230" s="4" t="n"/>
      <c r="T1230" s="4" t="n"/>
    </row>
    <row r="1231">
      <c r="A1231" s="3" t="n">
        <v>1230</v>
      </c>
      <c r="B1231" s="3" t="inlineStr">
        <is>
          <t>DL010</t>
        </is>
      </c>
      <c r="C1231" s="4" t="inlineStr">
        <is>
          <t>Trang Huề( CuBờm TV)</t>
        </is>
      </c>
      <c r="D1231" s="3" t="inlineStr">
        <is>
          <t>HN</t>
        </is>
      </c>
      <c r="E1231" s="3" t="inlineStr">
        <is>
          <t>ĐIỆP</t>
        </is>
      </c>
      <c r="F1231" s="3" t="inlineStr">
        <is>
          <t>Tiktok, Shopee</t>
        </is>
      </c>
      <c r="G1231" s="4" t="inlineStr">
        <is>
          <t>SHOPEE: https://vn.shp.ee/m4gdctc3?fromSource=copy_link&amp;smtt=0.0.9 TIKTOK: https://vt.tiktok.com/ZS9UMHDPyXN53-XKjnc/ LAZADA: WEBSITE BÁN HÀNG:</t>
        </is>
      </c>
      <c r="H1231" s="3" t="inlineStr">
        <is>
          <t>KBL2-4.2110</t>
        </is>
      </c>
      <c r="I1231" s="4" t="inlineStr">
        <is>
          <t>Mũi khoan bê tông không tắc kê KBL2-4.2*110</t>
        </is>
      </c>
      <c r="J1231" s="3" t="inlineStr">
        <is>
          <t>Cái</t>
        </is>
      </c>
      <c r="K1231" s="5" t="n">
        <v>23000</v>
      </c>
      <c r="L1231" s="5" t="n">
        <v>29000</v>
      </c>
      <c r="M1231" s="6" t="n">
        <v>38000</v>
      </c>
      <c r="N1231" s="5" t="n"/>
      <c r="O1231" s="5">
        <f>IF(AND(ISNUMBER(N1231),ISNUMBER(M1231)),N1231-M1231,"")</f>
        <v/>
      </c>
      <c r="P1231" s="7">
        <f>IF(AND(ISNUMBER(N1231),ISNUMBER(M1231),M1231&gt;0),(N1231-M1231)/M1231,"")</f>
        <v/>
      </c>
      <c r="Q1231" s="3">
        <f>IF(P1231="","",IF(P1231&lt;-0.02,"🔴 Bán phá giá sàn",IF(P1231&gt;0.05,"🔵 Bán cao hơn","🟢 Đúng giá sàn TMĐT")))</f>
        <v/>
      </c>
      <c r="R1231" s="3" t="n"/>
      <c r="S1231" s="4" t="n"/>
      <c r="T1231" s="4" t="n"/>
    </row>
    <row r="1232">
      <c r="A1232" s="3" t="n">
        <v>1231</v>
      </c>
      <c r="B1232" s="3" t="inlineStr">
        <is>
          <t>DL010</t>
        </is>
      </c>
      <c r="C1232" s="4" t="inlineStr">
        <is>
          <t>Trang Huề( CuBờm TV)</t>
        </is>
      </c>
      <c r="D1232" s="3" t="inlineStr">
        <is>
          <t>HN</t>
        </is>
      </c>
      <c r="E1232" s="3" t="inlineStr">
        <is>
          <t>ĐIỆP</t>
        </is>
      </c>
      <c r="F1232" s="3" t="inlineStr">
        <is>
          <t>Tiktok, Shopee</t>
        </is>
      </c>
      <c r="G1232" s="4" t="inlineStr">
        <is>
          <t>SHOPEE: https://vn.shp.ee/m4gdctc3?fromSource=copy_link&amp;smtt=0.0.9 TIKTOK: https://vt.tiktok.com/ZS9UMHDPyXN53-XKjnc/ LAZADA: WEBSITE BÁN HÀNG:</t>
        </is>
      </c>
      <c r="H1232" s="3" t="inlineStr">
        <is>
          <t>KBK-21</t>
        </is>
      </c>
      <c r="I1232" s="4" t="inlineStr">
        <is>
          <t>Mũi khoan đá KBK-21</t>
        </is>
      </c>
      <c r="J1232" s="3" t="inlineStr">
        <is>
          <t>Cái</t>
        </is>
      </c>
      <c r="K1232" s="5" t="n">
        <v>64000</v>
      </c>
      <c r="L1232" s="5" t="n">
        <v>79000</v>
      </c>
      <c r="M1232" s="6" t="n">
        <v>102000</v>
      </c>
      <c r="N1232" s="5" t="n"/>
      <c r="O1232" s="5">
        <f>IF(AND(ISNUMBER(N1232),ISNUMBER(M1232)),N1232-M1232,"")</f>
        <v/>
      </c>
      <c r="P1232" s="7">
        <f>IF(AND(ISNUMBER(N1232),ISNUMBER(M1232),M1232&gt;0),(N1232-M1232)/M1232,"")</f>
        <v/>
      </c>
      <c r="Q1232" s="3">
        <f>IF(P1232="","",IF(P1232&lt;-0.02,"🔴 Bán phá giá sàn",IF(P1232&gt;0.05,"🔵 Bán cao hơn","🟢 Đúng giá sàn TMĐT")))</f>
        <v/>
      </c>
      <c r="R1232" s="3" t="n"/>
      <c r="S1232" s="4" t="n"/>
      <c r="T1232" s="4" t="n"/>
    </row>
    <row r="1233">
      <c r="A1233" s="3" t="n">
        <v>1232</v>
      </c>
      <c r="B1233" s="3" t="inlineStr">
        <is>
          <t>DL010</t>
        </is>
      </c>
      <c r="C1233" s="4" t="inlineStr">
        <is>
          <t>Trang Huề( CuBờm TV)</t>
        </is>
      </c>
      <c r="D1233" s="3" t="inlineStr">
        <is>
          <t>HN</t>
        </is>
      </c>
      <c r="E1233" s="3" t="inlineStr">
        <is>
          <t>ĐIỆP</t>
        </is>
      </c>
      <c r="F1233" s="3" t="inlineStr">
        <is>
          <t>Tiktok, Shopee</t>
        </is>
      </c>
      <c r="G1233" s="4" t="inlineStr">
        <is>
          <t>SHOPEE: https://vn.shp.ee/m4gdctc3?fromSource=copy_link&amp;smtt=0.0.9 TIKTOK: https://vt.tiktok.com/ZS9UMHDPyXN53-XKjnc/ LAZADA: WEBSITE BÁN HÀNG:</t>
        </is>
      </c>
      <c r="H1233" s="3" t="inlineStr">
        <is>
          <t>KBK-27</t>
        </is>
      </c>
      <c r="I1233" s="4" t="inlineStr">
        <is>
          <t>Mũi khoan đá KBK-27</t>
        </is>
      </c>
      <c r="J1233" s="3" t="inlineStr">
        <is>
          <t>Cái</t>
        </is>
      </c>
      <c r="K1233" s="5" t="n">
        <v>84000</v>
      </c>
      <c r="L1233" s="5" t="n">
        <v>104000</v>
      </c>
      <c r="M1233" s="6" t="n">
        <v>134000</v>
      </c>
      <c r="N1233" s="5" t="n"/>
      <c r="O1233" s="5">
        <f>IF(AND(ISNUMBER(N1233),ISNUMBER(M1233)),N1233-M1233,"")</f>
        <v/>
      </c>
      <c r="P1233" s="7">
        <f>IF(AND(ISNUMBER(N1233),ISNUMBER(M1233),M1233&gt;0),(N1233-M1233)/M1233,"")</f>
        <v/>
      </c>
      <c r="Q1233" s="3">
        <f>IF(P1233="","",IF(P1233&lt;-0.02,"🔴 Bán phá giá sàn",IF(P1233&gt;0.05,"🔵 Bán cao hơn","🟢 Đúng giá sàn TMĐT")))</f>
        <v/>
      </c>
      <c r="R1233" s="3" t="n"/>
      <c r="S1233" s="4" t="n"/>
      <c r="T1233" s="4" t="n"/>
    </row>
    <row r="1234">
      <c r="A1234" s="3" t="n">
        <v>1233</v>
      </c>
      <c r="B1234" s="3" t="inlineStr">
        <is>
          <t>DL010</t>
        </is>
      </c>
      <c r="C1234" s="4" t="inlineStr">
        <is>
          <t>Trang Huề( CuBờm TV)</t>
        </is>
      </c>
      <c r="D1234" s="3" t="inlineStr">
        <is>
          <t>HN</t>
        </is>
      </c>
      <c r="E1234" s="3" t="inlineStr">
        <is>
          <t>ĐIỆP</t>
        </is>
      </c>
      <c r="F1234" s="3" t="inlineStr">
        <is>
          <t>Tiktok, Shopee</t>
        </is>
      </c>
      <c r="G1234" s="4" t="inlineStr">
        <is>
          <t>SHOPEE: https://vn.shp.ee/m4gdctc3?fromSource=copy_link&amp;smtt=0.0.9 TIKTOK: https://vt.tiktok.com/ZS9UMHDPyXN53-XKjnc/ LAZADA: WEBSITE BÁN HÀNG:</t>
        </is>
      </c>
      <c r="H1234" s="3" t="inlineStr">
        <is>
          <t>KBH2F-0695</t>
        </is>
      </c>
      <c r="I1234" s="4" t="inlineStr">
        <is>
          <t>Mũi khoan ĐN lục giác 2 cạnh KBH2F-06*95</t>
        </is>
      </c>
      <c r="J1234" s="3" t="inlineStr">
        <is>
          <t>Cái</t>
        </is>
      </c>
      <c r="K1234" s="5" t="n">
        <v>26000</v>
      </c>
      <c r="L1234" s="5" t="n">
        <v>32000</v>
      </c>
      <c r="M1234" s="6" t="n">
        <v>42000</v>
      </c>
      <c r="N1234" s="5" t="n"/>
      <c r="O1234" s="5">
        <f>IF(AND(ISNUMBER(N1234),ISNUMBER(M1234)),N1234-M1234,"")</f>
        <v/>
      </c>
      <c r="P1234" s="7">
        <f>IF(AND(ISNUMBER(N1234),ISNUMBER(M1234),M1234&gt;0),(N1234-M1234)/M1234,"")</f>
        <v/>
      </c>
      <c r="Q1234" s="3">
        <f>IF(P1234="","",IF(P1234&lt;-0.02,"🔴 Bán phá giá sàn",IF(P1234&gt;0.05,"🔵 Bán cao hơn","🟢 Đúng giá sàn TMĐT")))</f>
        <v/>
      </c>
      <c r="R1234" s="3" t="n"/>
      <c r="S1234" s="4" t="n"/>
      <c r="T1234" s="4" t="n"/>
    </row>
    <row r="1235">
      <c r="A1235" s="3" t="n">
        <v>1234</v>
      </c>
      <c r="B1235" s="3" t="inlineStr">
        <is>
          <t>DL010</t>
        </is>
      </c>
      <c r="C1235" s="4" t="inlineStr">
        <is>
          <t>Trang Huề( CuBờm TV)</t>
        </is>
      </c>
      <c r="D1235" s="3" t="inlineStr">
        <is>
          <t>HN</t>
        </is>
      </c>
      <c r="E1235" s="3" t="inlineStr">
        <is>
          <t>ĐIỆP</t>
        </is>
      </c>
      <c r="F1235" s="3" t="inlineStr">
        <is>
          <t>Tiktok, Shopee</t>
        </is>
      </c>
      <c r="G1235" s="4" t="inlineStr">
        <is>
          <t>SHOPEE: https://vn.shp.ee/m4gdctc3?fromSource=copy_link&amp;smtt=0.0.9 TIKTOK: https://vt.tiktok.com/ZS9UMHDPyXN53-XKjnc/ LAZADA: WEBSITE BÁN HÀNG:</t>
        </is>
      </c>
      <c r="H1235" s="3" t="inlineStr">
        <is>
          <t>KBH2F-0895</t>
        </is>
      </c>
      <c r="I1235" s="4" t="inlineStr">
        <is>
          <t>Mũi khoan ĐN lục giác 2 cạnh KBH2F-08*95</t>
        </is>
      </c>
      <c r="J1235" s="3" t="inlineStr">
        <is>
          <t>Cái</t>
        </is>
      </c>
      <c r="K1235" s="5" t="n">
        <v>33000</v>
      </c>
      <c r="L1235" s="5" t="n">
        <v>41000</v>
      </c>
      <c r="M1235" s="6" t="n">
        <v>53000</v>
      </c>
      <c r="N1235" s="5" t="n"/>
      <c r="O1235" s="5">
        <f>IF(AND(ISNUMBER(N1235),ISNUMBER(M1235)),N1235-M1235,"")</f>
        <v/>
      </c>
      <c r="P1235" s="7">
        <f>IF(AND(ISNUMBER(N1235),ISNUMBER(M1235),M1235&gt;0),(N1235-M1235)/M1235,"")</f>
        <v/>
      </c>
      <c r="Q1235" s="3">
        <f>IF(P1235="","",IF(P1235&lt;-0.02,"🔴 Bán phá giá sàn",IF(P1235&gt;0.05,"🔵 Bán cao hơn","🟢 Đúng giá sàn TMĐT")))</f>
        <v/>
      </c>
      <c r="R1235" s="3" t="n"/>
      <c r="S1235" s="4" t="n"/>
      <c r="T1235" s="4" t="n"/>
    </row>
    <row r="1236">
      <c r="A1236" s="3" t="n">
        <v>1235</v>
      </c>
      <c r="B1236" s="3" t="inlineStr">
        <is>
          <t>DL010</t>
        </is>
      </c>
      <c r="C1236" s="4" t="inlineStr">
        <is>
          <t>Trang Huề( CuBờm TV)</t>
        </is>
      </c>
      <c r="D1236" s="3" t="inlineStr">
        <is>
          <t>HN</t>
        </is>
      </c>
      <c r="E1236" s="3" t="inlineStr">
        <is>
          <t>ĐIỆP</t>
        </is>
      </c>
      <c r="F1236" s="3" t="inlineStr">
        <is>
          <t>Tiktok, Shopee</t>
        </is>
      </c>
      <c r="G1236" s="4" t="inlineStr">
        <is>
          <t>SHOPEE: https://vn.shp.ee/m4gdctc3?fromSource=copy_link&amp;smtt=0.0.9 TIKTOK: https://vt.tiktok.com/ZS9UMHDPyXN53-XKjnc/ LAZADA: WEBSITE BÁN HÀNG:</t>
        </is>
      </c>
      <c r="H1236" s="3" t="inlineStr">
        <is>
          <t>KBH2F-1095</t>
        </is>
      </c>
      <c r="I1236" s="4" t="inlineStr">
        <is>
          <t>Mũi khoan ĐN lục giác 2 cạnh KBH2F-10*95</t>
        </is>
      </c>
      <c r="J1236" s="3" t="inlineStr">
        <is>
          <t>Cái</t>
        </is>
      </c>
      <c r="K1236" s="5" t="n">
        <v>42000</v>
      </c>
      <c r="L1236" s="5" t="n">
        <v>52000</v>
      </c>
      <c r="M1236" s="6" t="n">
        <v>67000</v>
      </c>
      <c r="N1236" s="5" t="n"/>
      <c r="O1236" s="5">
        <f>IF(AND(ISNUMBER(N1236),ISNUMBER(M1236)),N1236-M1236,"")</f>
        <v/>
      </c>
      <c r="P1236" s="7">
        <f>IF(AND(ISNUMBER(N1236),ISNUMBER(M1236),M1236&gt;0),(N1236-M1236)/M1236,"")</f>
        <v/>
      </c>
      <c r="Q1236" s="3">
        <f>IF(P1236="","",IF(P1236&lt;-0.02,"🔴 Bán phá giá sàn",IF(P1236&gt;0.05,"🔵 Bán cao hơn","🟢 Đúng giá sàn TMĐT")))</f>
        <v/>
      </c>
      <c r="R1236" s="3" t="n"/>
      <c r="S1236" s="4" t="n"/>
      <c r="T1236" s="4" t="n"/>
    </row>
    <row r="1237">
      <c r="A1237" s="3" t="n">
        <v>1236</v>
      </c>
      <c r="B1237" s="3" t="inlineStr">
        <is>
          <t>DL010</t>
        </is>
      </c>
      <c r="C1237" s="4" t="inlineStr">
        <is>
          <t>Trang Huề( CuBờm TV)</t>
        </is>
      </c>
      <c r="D1237" s="3" t="inlineStr">
        <is>
          <t>HN</t>
        </is>
      </c>
      <c r="E1237" s="3" t="inlineStr">
        <is>
          <t>ĐIỆP</t>
        </is>
      </c>
      <c r="F1237" s="3" t="inlineStr">
        <is>
          <t>Tiktok, Shopee</t>
        </is>
      </c>
      <c r="G1237" s="4" t="inlineStr">
        <is>
          <t>SHOPEE: https://vn.shp.ee/m4gdctc3?fromSource=copy_link&amp;smtt=0.0.9 TIKTOK: https://vt.tiktok.com/ZS9UMHDPyXN53-XKjnc/ LAZADA: WEBSITE BÁN HÀNG:</t>
        </is>
      </c>
      <c r="H1237" s="3" t="inlineStr">
        <is>
          <t>KBH2F-1295</t>
        </is>
      </c>
      <c r="I1237" s="4" t="inlineStr">
        <is>
          <t>Mũi khoan ĐN lục giác 2 cạnh KBH2F-12*95</t>
        </is>
      </c>
      <c r="J1237" s="3" t="inlineStr">
        <is>
          <t>Cái</t>
        </is>
      </c>
      <c r="K1237" s="5" t="n">
        <v>53000</v>
      </c>
      <c r="L1237" s="5" t="n">
        <v>66000</v>
      </c>
      <c r="M1237" s="6" t="n">
        <v>85000</v>
      </c>
      <c r="N1237" s="5" t="n"/>
      <c r="O1237" s="5">
        <f>IF(AND(ISNUMBER(N1237),ISNUMBER(M1237)),N1237-M1237,"")</f>
        <v/>
      </c>
      <c r="P1237" s="7">
        <f>IF(AND(ISNUMBER(N1237),ISNUMBER(M1237),M1237&gt;0),(N1237-M1237)/M1237,"")</f>
        <v/>
      </c>
      <c r="Q1237" s="3">
        <f>IF(P1237="","",IF(P1237&lt;-0.02,"🔴 Bán phá giá sàn",IF(P1237&gt;0.05,"🔵 Bán cao hơn","🟢 Đúng giá sàn TMĐT")))</f>
        <v/>
      </c>
      <c r="R1237" s="3" t="n"/>
      <c r="S1237" s="4" t="n"/>
      <c r="T1237" s="4" t="n"/>
    </row>
    <row r="1238">
      <c r="A1238" s="3" t="n">
        <v>1237</v>
      </c>
      <c r="B1238" s="3" t="inlineStr">
        <is>
          <t>DL010</t>
        </is>
      </c>
      <c r="C1238" s="4" t="inlineStr">
        <is>
          <t>Trang Huề( CuBờm TV)</t>
        </is>
      </c>
      <c r="D1238" s="3" t="inlineStr">
        <is>
          <t>HN</t>
        </is>
      </c>
      <c r="E1238" s="3" t="inlineStr">
        <is>
          <t>ĐIỆP</t>
        </is>
      </c>
      <c r="F1238" s="3" t="inlineStr">
        <is>
          <t>Tiktok, Shopee</t>
        </is>
      </c>
      <c r="G1238" s="4" t="inlineStr">
        <is>
          <t>SHOPEE: https://vn.shp.ee/m4gdctc3?fromSource=copy_link&amp;smtt=0.0.9 TIKTOK: https://vt.tiktok.com/ZS9UMHDPyXN53-XKjnc/ LAZADA: WEBSITE BÁN HÀNG:</t>
        </is>
      </c>
      <c r="H1238" s="3" t="inlineStr">
        <is>
          <t>KBH4S-06100</t>
        </is>
      </c>
      <c r="I1238" s="4" t="inlineStr">
        <is>
          <t>Mũi khoan ĐN lục giác 4 cạnh KBH4S-06*100</t>
        </is>
      </c>
      <c r="J1238" s="3" t="inlineStr">
        <is>
          <t>Cái</t>
        </is>
      </c>
      <c r="K1238" s="5" t="n">
        <v>41000</v>
      </c>
      <c r="L1238" s="5" t="n">
        <v>51000</v>
      </c>
      <c r="M1238" s="6" t="n">
        <v>65000</v>
      </c>
      <c r="N1238" s="5" t="n"/>
      <c r="O1238" s="5">
        <f>IF(AND(ISNUMBER(N1238),ISNUMBER(M1238)),N1238-M1238,"")</f>
        <v/>
      </c>
      <c r="P1238" s="7">
        <f>IF(AND(ISNUMBER(N1238),ISNUMBER(M1238),M1238&gt;0),(N1238-M1238)/M1238,"")</f>
        <v/>
      </c>
      <c r="Q1238" s="3">
        <f>IF(P1238="","",IF(P1238&lt;-0.02,"🔴 Bán phá giá sàn",IF(P1238&gt;0.05,"🔵 Bán cao hơn","🟢 Đúng giá sàn TMĐT")))</f>
        <v/>
      </c>
      <c r="R1238" s="3" t="n"/>
      <c r="S1238" s="4" t="n"/>
      <c r="T1238" s="4" t="n"/>
    </row>
    <row r="1239">
      <c r="A1239" s="3" t="n">
        <v>1238</v>
      </c>
      <c r="B1239" s="3" t="inlineStr">
        <is>
          <t>DL010</t>
        </is>
      </c>
      <c r="C1239" s="4" t="inlineStr">
        <is>
          <t>Trang Huề( CuBờm TV)</t>
        </is>
      </c>
      <c r="D1239" s="3" t="inlineStr">
        <is>
          <t>HN</t>
        </is>
      </c>
      <c r="E1239" s="3" t="inlineStr">
        <is>
          <t>ĐIỆP</t>
        </is>
      </c>
      <c r="F1239" s="3" t="inlineStr">
        <is>
          <t>Tiktok, Shopee</t>
        </is>
      </c>
      <c r="G1239" s="4" t="inlineStr">
        <is>
          <t>SHOPEE: https://vn.shp.ee/m4gdctc3?fromSource=copy_link&amp;smtt=0.0.9 TIKTOK: https://vt.tiktok.com/ZS9UMHDPyXN53-XKjnc/ LAZADA: WEBSITE BÁN HÀNG:</t>
        </is>
      </c>
      <c r="H1239" s="3" t="inlineStr">
        <is>
          <t>KBH4S-08117</t>
        </is>
      </c>
      <c r="I1239" s="4" t="inlineStr">
        <is>
          <t>Mũi khoan ĐN lục giác 4 cạnh KBH4S-08*117</t>
        </is>
      </c>
      <c r="J1239" s="3" t="inlineStr">
        <is>
          <t>Cái</t>
        </is>
      </c>
      <c r="K1239" s="5" t="n">
        <v>32000</v>
      </c>
      <c r="L1239" s="5" t="n">
        <v>40000</v>
      </c>
      <c r="M1239" s="6" t="n">
        <v>51000</v>
      </c>
      <c r="N1239" s="5" t="n"/>
      <c r="O1239" s="5">
        <f>IF(AND(ISNUMBER(N1239),ISNUMBER(M1239)),N1239-M1239,"")</f>
        <v/>
      </c>
      <c r="P1239" s="7">
        <f>IF(AND(ISNUMBER(N1239),ISNUMBER(M1239),M1239&gt;0),(N1239-M1239)/M1239,"")</f>
        <v/>
      </c>
      <c r="Q1239" s="3">
        <f>IF(P1239="","",IF(P1239&lt;-0.02,"🔴 Bán phá giá sàn",IF(P1239&gt;0.05,"🔵 Bán cao hơn","🟢 Đúng giá sàn TMĐT")))</f>
        <v/>
      </c>
      <c r="R1239" s="3" t="n"/>
      <c r="S1239" s="4" t="n"/>
      <c r="T1239" s="4" t="n"/>
    </row>
    <row r="1240">
      <c r="A1240" s="3" t="n">
        <v>1239</v>
      </c>
      <c r="B1240" s="3" t="inlineStr">
        <is>
          <t>DL010</t>
        </is>
      </c>
      <c r="C1240" s="4" t="inlineStr">
        <is>
          <t>Trang Huề( CuBờm TV)</t>
        </is>
      </c>
      <c r="D1240" s="3" t="inlineStr">
        <is>
          <t>HN</t>
        </is>
      </c>
      <c r="E1240" s="3" t="inlineStr">
        <is>
          <t>ĐIỆP</t>
        </is>
      </c>
      <c r="F1240" s="3" t="inlineStr">
        <is>
          <t>Tiktok, Shopee</t>
        </is>
      </c>
      <c r="G1240" s="4" t="inlineStr">
        <is>
          <t>SHOPEE: https://vn.shp.ee/m4gdctc3?fromSource=copy_link&amp;smtt=0.0.9 TIKTOK: https://vt.tiktok.com/ZS9UMHDPyXN53-XKjnc/ LAZADA: WEBSITE BÁN HÀNG:</t>
        </is>
      </c>
      <c r="H1240" s="3" t="inlineStr">
        <is>
          <t>KBH4S-10123</t>
        </is>
      </c>
      <c r="I1240" s="4" t="inlineStr">
        <is>
          <t>Mũi khoan ĐN lục giác 4 cạnh KBH4S-10*123</t>
        </is>
      </c>
      <c r="J1240" s="3" t="inlineStr">
        <is>
          <t>Cái</t>
        </is>
      </c>
      <c r="K1240" s="5" t="n">
        <v>40000</v>
      </c>
      <c r="L1240" s="5" t="n">
        <v>50000</v>
      </c>
      <c r="M1240" s="6" t="n">
        <v>64000</v>
      </c>
      <c r="N1240" s="5" t="n"/>
      <c r="O1240" s="5">
        <f>IF(AND(ISNUMBER(N1240),ISNUMBER(M1240)),N1240-M1240,"")</f>
        <v/>
      </c>
      <c r="P1240" s="7">
        <f>IF(AND(ISNUMBER(N1240),ISNUMBER(M1240),M1240&gt;0),(N1240-M1240)/M1240,"")</f>
        <v/>
      </c>
      <c r="Q1240" s="3">
        <f>IF(P1240="","",IF(P1240&lt;-0.02,"🔴 Bán phá giá sàn",IF(P1240&gt;0.05,"🔵 Bán cao hơn","🟢 Đúng giá sàn TMĐT")))</f>
        <v/>
      </c>
      <c r="R1240" s="3" t="n"/>
      <c r="S1240" s="4" t="n"/>
      <c r="T1240" s="4" t="n"/>
    </row>
    <row r="1241">
      <c r="A1241" s="3" t="n">
        <v>1240</v>
      </c>
      <c r="B1241" s="3" t="inlineStr">
        <is>
          <t>DL010</t>
        </is>
      </c>
      <c r="C1241" s="4" t="inlineStr">
        <is>
          <t>Trang Huề( CuBờm TV)</t>
        </is>
      </c>
      <c r="D1241" s="3" t="inlineStr">
        <is>
          <t>HN</t>
        </is>
      </c>
      <c r="E1241" s="3" t="inlineStr">
        <is>
          <t>ĐIỆP</t>
        </is>
      </c>
      <c r="F1241" s="3" t="inlineStr">
        <is>
          <t>Tiktok, Shopee</t>
        </is>
      </c>
      <c r="G1241" s="4" t="inlineStr">
        <is>
          <t>SHOPEE: https://vn.shp.ee/m4gdctc3?fromSource=copy_link&amp;smtt=0.0.9 TIKTOK: https://vt.tiktok.com/ZS9UMHDPyXN53-XKjnc/ LAZADA: WEBSITE BÁN HÀNG:</t>
        </is>
      </c>
      <c r="H1241" s="3" t="inlineStr">
        <is>
          <t>KBH4S-12123</t>
        </is>
      </c>
      <c r="I1241" s="4" t="inlineStr">
        <is>
          <t>Mũi khoan ĐN lục giác 4 cạnh KBH4S-12*123</t>
        </is>
      </c>
      <c r="J1241" s="3" t="inlineStr">
        <is>
          <t>Cái</t>
        </is>
      </c>
      <c r="K1241" s="5" t="n">
        <v>48000</v>
      </c>
      <c r="L1241" s="5" t="n">
        <v>60000</v>
      </c>
      <c r="M1241" s="6" t="n">
        <v>77000</v>
      </c>
      <c r="N1241" s="5" t="n"/>
      <c r="O1241" s="5">
        <f>IF(AND(ISNUMBER(N1241),ISNUMBER(M1241)),N1241-M1241,"")</f>
        <v/>
      </c>
      <c r="P1241" s="7">
        <f>IF(AND(ISNUMBER(N1241),ISNUMBER(M1241),M1241&gt;0),(N1241-M1241)/M1241,"")</f>
        <v/>
      </c>
      <c r="Q1241" s="3">
        <f>IF(P1241="","",IF(P1241&lt;-0.02,"🔴 Bán phá giá sàn",IF(P1241&gt;0.05,"🔵 Bán cao hơn","🟢 Đúng giá sàn TMĐT")))</f>
        <v/>
      </c>
      <c r="R1241" s="3" t="n"/>
      <c r="S1241" s="4" t="n"/>
      <c r="T1241" s="4" t="n"/>
    </row>
    <row r="1242">
      <c r="A1242" s="3" t="n">
        <v>1241</v>
      </c>
      <c r="B1242" s="3" t="inlineStr">
        <is>
          <t>DL010</t>
        </is>
      </c>
      <c r="C1242" s="4" t="inlineStr">
        <is>
          <t>Trang Huề( CuBờm TV)</t>
        </is>
      </c>
      <c r="D1242" s="3" t="inlineStr">
        <is>
          <t>HN</t>
        </is>
      </c>
      <c r="E1242" s="3" t="inlineStr">
        <is>
          <t>ĐIỆP</t>
        </is>
      </c>
      <c r="F1242" s="3" t="inlineStr">
        <is>
          <t>Tiktok, Shopee</t>
        </is>
      </c>
      <c r="G1242" s="4" t="inlineStr">
        <is>
          <t>SHOPEE: https://vn.shp.ee/m4gdctc3?fromSource=copy_link&amp;smtt=0.0.9 TIKTOK: https://vt.tiktok.com/ZS9UMHDPyXN53-XKjnc/ LAZADA: WEBSITE BÁN HÀNG:</t>
        </is>
      </c>
      <c r="H1242" s="3" t="inlineStr">
        <is>
          <t>KRS-27155</t>
        </is>
      </c>
      <c r="I1242" s="4" t="inlineStr">
        <is>
          <t>Mũi khoan rút lõi khô KRS-27*155</t>
        </is>
      </c>
      <c r="J1242" s="3" t="inlineStr">
        <is>
          <t>Cái</t>
        </is>
      </c>
      <c r="K1242" s="5" t="n">
        <v>269000</v>
      </c>
      <c r="L1242" s="5" t="n">
        <v>317000</v>
      </c>
      <c r="M1242" s="6" t="n">
        <v>390000</v>
      </c>
      <c r="N1242" s="5" t="n"/>
      <c r="O1242" s="5">
        <f>IF(AND(ISNUMBER(N1242),ISNUMBER(M1242)),N1242-M1242,"")</f>
        <v/>
      </c>
      <c r="P1242" s="7">
        <f>IF(AND(ISNUMBER(N1242),ISNUMBER(M1242),M1242&gt;0),(N1242-M1242)/M1242,"")</f>
        <v/>
      </c>
      <c r="Q1242" s="3">
        <f>IF(P1242="","",IF(P1242&lt;-0.02,"🔴 Bán phá giá sàn",IF(P1242&gt;0.05,"🔵 Bán cao hơn","🟢 Đúng giá sàn TMĐT")))</f>
        <v/>
      </c>
      <c r="R1242" s="3" t="n"/>
      <c r="S1242" s="4" t="n"/>
      <c r="T1242" s="4" t="n"/>
    </row>
    <row r="1243">
      <c r="A1243" s="3" t="n">
        <v>1242</v>
      </c>
      <c r="B1243" s="3" t="inlineStr">
        <is>
          <t>DL010</t>
        </is>
      </c>
      <c r="C1243" s="4" t="inlineStr">
        <is>
          <t>Trang Huề( CuBờm TV)</t>
        </is>
      </c>
      <c r="D1243" s="3" t="inlineStr">
        <is>
          <t>HN</t>
        </is>
      </c>
      <c r="E1243" s="3" t="inlineStr">
        <is>
          <t>ĐIỆP</t>
        </is>
      </c>
      <c r="F1243" s="3" t="inlineStr">
        <is>
          <t>Tiktok, Shopee</t>
        </is>
      </c>
      <c r="G1243" s="4" t="inlineStr">
        <is>
          <t>SHOPEE: https://vn.shp.ee/m4gdctc3?fromSource=copy_link&amp;smtt=0.0.9 TIKTOK: https://vt.tiktok.com/ZS9UMHDPyXN53-XKjnc/ LAZADA: WEBSITE BÁN HÀNG:</t>
        </is>
      </c>
      <c r="H1243" s="3" t="inlineStr">
        <is>
          <t>KRS-55155</t>
        </is>
      </c>
      <c r="I1243" s="4" t="inlineStr">
        <is>
          <t>Mũi khoan rút lõi khô KRS-55*155 (new)</t>
        </is>
      </c>
      <c r="J1243" s="3" t="inlineStr">
        <is>
          <t>Cái</t>
        </is>
      </c>
      <c r="K1243" s="5" t="n">
        <v>1190000</v>
      </c>
      <c r="L1243" s="5" t="n">
        <v>1380000</v>
      </c>
      <c r="M1243" s="6" t="n">
        <v>1666000</v>
      </c>
      <c r="N1243" s="5" t="n"/>
      <c r="O1243" s="5">
        <f>IF(AND(ISNUMBER(N1243),ISNUMBER(M1243)),N1243-M1243,"")</f>
        <v/>
      </c>
      <c r="P1243" s="7">
        <f>IF(AND(ISNUMBER(N1243),ISNUMBER(M1243),M1243&gt;0),(N1243-M1243)/M1243,"")</f>
        <v/>
      </c>
      <c r="Q1243" s="3">
        <f>IF(P1243="","",IF(P1243&lt;-0.02,"🔴 Bán phá giá sàn",IF(P1243&gt;0.05,"🔵 Bán cao hơn","🟢 Đúng giá sàn TMĐT")))</f>
        <v/>
      </c>
      <c r="R1243" s="3" t="n"/>
      <c r="S1243" s="4" t="n"/>
      <c r="T1243" s="4" t="n"/>
    </row>
    <row r="1244">
      <c r="A1244" s="3" t="n">
        <v>1243</v>
      </c>
      <c r="B1244" s="3" t="inlineStr">
        <is>
          <t>DL010</t>
        </is>
      </c>
      <c r="C1244" s="4" t="inlineStr">
        <is>
          <t>Trang Huề( CuBờm TV)</t>
        </is>
      </c>
      <c r="D1244" s="3" t="inlineStr">
        <is>
          <t>HN</t>
        </is>
      </c>
      <c r="E1244" s="3" t="inlineStr">
        <is>
          <t>ĐIỆP</t>
        </is>
      </c>
      <c r="F1244" s="3" t="inlineStr">
        <is>
          <t>Tiktok, Shopee</t>
        </is>
      </c>
      <c r="G1244" s="4" t="inlineStr">
        <is>
          <t>SHOPEE: https://vn.shp.ee/m4gdctc3?fromSource=copy_link&amp;smtt=0.0.9 TIKTOK: https://vt.tiktok.com/ZS9UMHDPyXN53-XKjnc/ LAZADA: WEBSITE BÁN HÀNG:</t>
        </is>
      </c>
      <c r="H1244" s="3" t="inlineStr">
        <is>
          <t>KRS-60155</t>
        </is>
      </c>
      <c r="I1244" s="4" t="inlineStr">
        <is>
          <t>Mũi khoan rút lõi khô KRS-60*155 (New)</t>
        </is>
      </c>
      <c r="J1244" s="3" t="inlineStr">
        <is>
          <t>Cái</t>
        </is>
      </c>
      <c r="K1244" s="5" t="n">
        <v>1290000</v>
      </c>
      <c r="L1244" s="5" t="n">
        <v>1496000</v>
      </c>
      <c r="M1244" s="6" t="n">
        <v>1806000</v>
      </c>
      <c r="N1244" s="5" t="n"/>
      <c r="O1244" s="5">
        <f>IF(AND(ISNUMBER(N1244),ISNUMBER(M1244)),N1244-M1244,"")</f>
        <v/>
      </c>
      <c r="P1244" s="7">
        <f>IF(AND(ISNUMBER(N1244),ISNUMBER(M1244),M1244&gt;0),(N1244-M1244)/M1244,"")</f>
        <v/>
      </c>
      <c r="Q1244" s="3">
        <f>IF(P1244="","",IF(P1244&lt;-0.02,"🔴 Bán phá giá sàn",IF(P1244&gt;0.05,"🔵 Bán cao hơn","🟢 Đúng giá sàn TMĐT")))</f>
        <v/>
      </c>
      <c r="R1244" s="3" t="n"/>
      <c r="S1244" s="4" t="n"/>
      <c r="T1244" s="4" t="n"/>
    </row>
    <row r="1245">
      <c r="A1245" s="3" t="n">
        <v>1244</v>
      </c>
      <c r="B1245" s="3" t="inlineStr">
        <is>
          <t>DL010</t>
        </is>
      </c>
      <c r="C1245" s="4" t="inlineStr">
        <is>
          <t>Trang Huề( CuBờm TV)</t>
        </is>
      </c>
      <c r="D1245" s="3" t="inlineStr">
        <is>
          <t>HN</t>
        </is>
      </c>
      <c r="E1245" s="3" t="inlineStr">
        <is>
          <t>ĐIỆP</t>
        </is>
      </c>
      <c r="F1245" s="3" t="inlineStr">
        <is>
          <t>Tiktok, Shopee</t>
        </is>
      </c>
      <c r="G1245" s="4" t="inlineStr">
        <is>
          <t>SHOPEE: https://vn.shp.ee/m4gdctc3?fromSource=copy_link&amp;smtt=0.0.9 TIKTOK: https://vt.tiktok.com/ZS9UMHDPyXN53-XKjnc/ LAZADA: WEBSITE BÁN HÀNG:</t>
        </is>
      </c>
      <c r="H1245" s="3" t="inlineStr"/>
      <c r="I1245" s="4" t="inlineStr">
        <is>
          <t>Mũi khoan tường không tắc kê KBLJ - 03.2*100</t>
        </is>
      </c>
      <c r="J1245" s="3" t="inlineStr">
        <is>
          <t>Cái</t>
        </is>
      </c>
      <c r="K1245" s="5" t="n">
        <v>269000</v>
      </c>
      <c r="L1245" s="5" t="n">
        <v>317000</v>
      </c>
      <c r="M1245" s="6" t="n">
        <v>390000</v>
      </c>
      <c r="N1245" s="5" t="n"/>
      <c r="O1245" s="5">
        <f>IF(AND(ISNUMBER(N1245),ISNUMBER(M1245)),N1245-M1245,"")</f>
        <v/>
      </c>
      <c r="P1245" s="7">
        <f>IF(AND(ISNUMBER(N1245),ISNUMBER(M1245),M1245&gt;0),(N1245-M1245)/M1245,"")</f>
        <v/>
      </c>
      <c r="Q1245" s="3">
        <f>IF(P1245="","",IF(P1245&lt;-0.02,"🔴 Bán phá giá sàn",IF(P1245&gt;0.05,"🔵 Bán cao hơn","🟢 Đúng giá sàn TMĐT")))</f>
        <v/>
      </c>
      <c r="R1245" s="3" t="n"/>
      <c r="S1245" s="4" t="n"/>
      <c r="T1245" s="4" t="n"/>
    </row>
    <row r="1246">
      <c r="A1246" s="3" t="n">
        <v>1245</v>
      </c>
      <c r="B1246" s="3" t="inlineStr">
        <is>
          <t>DL010</t>
        </is>
      </c>
      <c r="C1246" s="4" t="inlineStr">
        <is>
          <t>Trang Huề( CuBờm TV)</t>
        </is>
      </c>
      <c r="D1246" s="3" t="inlineStr">
        <is>
          <t>HN</t>
        </is>
      </c>
      <c r="E1246" s="3" t="inlineStr">
        <is>
          <t>ĐIỆP</t>
        </is>
      </c>
      <c r="F1246" s="3" t="inlineStr">
        <is>
          <t>Tiktok, Shopee</t>
        </is>
      </c>
      <c r="G1246" s="4" t="inlineStr">
        <is>
          <t>SHOPEE: https://vn.shp.ee/m4gdctc3?fromSource=copy_link&amp;smtt=0.0.9 TIKTOK: https://vt.tiktok.com/ZS9UMHDPyXN53-XKjnc/ LAZADA: WEBSITE BÁN HÀNG:</t>
        </is>
      </c>
      <c r="H1246" s="3" t="inlineStr"/>
      <c r="I1246" s="4" t="inlineStr">
        <is>
          <t>Mũi khoan tường không tắc kê KBLJ - 03.5*100</t>
        </is>
      </c>
      <c r="J1246" s="3" t="inlineStr">
        <is>
          <t>Cái</t>
        </is>
      </c>
      <c r="K1246" s="5" t="n">
        <v>269000</v>
      </c>
      <c r="L1246" s="5" t="n">
        <v>317000</v>
      </c>
      <c r="M1246" s="6" t="n">
        <v>390000</v>
      </c>
      <c r="N1246" s="5" t="n"/>
      <c r="O1246" s="5">
        <f>IF(AND(ISNUMBER(N1246),ISNUMBER(M1246)),N1246-M1246,"")</f>
        <v/>
      </c>
      <c r="P1246" s="7">
        <f>IF(AND(ISNUMBER(N1246),ISNUMBER(M1246),M1246&gt;0),(N1246-M1246)/M1246,"")</f>
        <v/>
      </c>
      <c r="Q1246" s="3">
        <f>IF(P1246="","",IF(P1246&lt;-0.02,"🔴 Bán phá giá sàn",IF(P1246&gt;0.05,"🔵 Bán cao hơn","🟢 Đúng giá sàn TMĐT")))</f>
        <v/>
      </c>
      <c r="R1246" s="3" t="n"/>
      <c r="S1246" s="4" t="n"/>
      <c r="T1246" s="4" t="n"/>
    </row>
    <row r="1247">
      <c r="A1247" s="3" t="n">
        <v>1246</v>
      </c>
      <c r="B1247" s="3" t="inlineStr">
        <is>
          <t>DL010</t>
        </is>
      </c>
      <c r="C1247" s="4" t="inlineStr">
        <is>
          <t>Trang Huề( CuBờm TV)</t>
        </is>
      </c>
      <c r="D1247" s="3" t="inlineStr">
        <is>
          <t>HN</t>
        </is>
      </c>
      <c r="E1247" s="3" t="inlineStr">
        <is>
          <t>ĐIỆP</t>
        </is>
      </c>
      <c r="F1247" s="3" t="inlineStr">
        <is>
          <t>Tiktok, Shopee</t>
        </is>
      </c>
      <c r="G1247" s="4" t="inlineStr">
        <is>
          <t>SHOPEE: https://vn.shp.ee/m4gdctc3?fromSource=copy_link&amp;smtt=0.0.9 TIKTOK: https://vt.tiktok.com/ZS9UMHDPyXN53-XKjnc/ LAZADA: WEBSITE BÁN HÀNG:</t>
        </is>
      </c>
      <c r="H1247" s="3" t="inlineStr"/>
      <c r="I1247" s="4" t="inlineStr">
        <is>
          <t>Mũi khoan tường không tắc kê KBLJ - 04.2*100</t>
        </is>
      </c>
      <c r="J1247" s="3" t="inlineStr">
        <is>
          <t>Cái</t>
        </is>
      </c>
      <c r="K1247" s="5" t="n">
        <v>269000</v>
      </c>
      <c r="L1247" s="5" t="n">
        <v>317000</v>
      </c>
      <c r="M1247" s="6" t="n">
        <v>390000</v>
      </c>
      <c r="N1247" s="5" t="n"/>
      <c r="O1247" s="5">
        <f>IF(AND(ISNUMBER(N1247),ISNUMBER(M1247)),N1247-M1247,"")</f>
        <v/>
      </c>
      <c r="P1247" s="7">
        <f>IF(AND(ISNUMBER(N1247),ISNUMBER(M1247),M1247&gt;0),(N1247-M1247)/M1247,"")</f>
        <v/>
      </c>
      <c r="Q1247" s="3">
        <f>IF(P1247="","",IF(P1247&lt;-0.02,"🔴 Bán phá giá sàn",IF(P1247&gt;0.05,"🔵 Bán cao hơn","🟢 Đúng giá sàn TMĐT")))</f>
        <v/>
      </c>
      <c r="R1247" s="3" t="n"/>
      <c r="S1247" s="4" t="n"/>
      <c r="T1247" s="4" t="n"/>
    </row>
    <row r="1248">
      <c r="A1248" s="3" t="n">
        <v>1247</v>
      </c>
      <c r="B1248" s="3" t="inlineStr">
        <is>
          <t>DL010</t>
        </is>
      </c>
      <c r="C1248" s="4" t="inlineStr">
        <is>
          <t>Trang Huề( CuBờm TV)</t>
        </is>
      </c>
      <c r="D1248" s="3" t="inlineStr">
        <is>
          <t>HN</t>
        </is>
      </c>
      <c r="E1248" s="3" t="inlineStr">
        <is>
          <t>ĐIỆP</t>
        </is>
      </c>
      <c r="F1248" s="3" t="inlineStr">
        <is>
          <t>Tiktok, Shopee</t>
        </is>
      </c>
      <c r="G1248" s="4" t="inlineStr">
        <is>
          <t>SHOPEE: https://vn.shp.ee/m4gdctc3?fromSource=copy_link&amp;smtt=0.0.9 TIKTOK: https://vt.tiktok.com/ZS9UMHDPyXN53-XKjnc/ LAZADA: WEBSITE BÁN HÀNG:</t>
        </is>
      </c>
      <c r="H1248" s="3" t="inlineStr">
        <is>
          <t>KBL4-12350</t>
        </is>
      </c>
      <c r="I1248" s="4" t="inlineStr">
        <is>
          <t>Mũi khoan xuyên tường 4 cạnh KBL4-12*350</t>
        </is>
      </c>
      <c r="J1248" s="3" t="inlineStr">
        <is>
          <t>Cái</t>
        </is>
      </c>
      <c r="K1248" s="5" t="n">
        <v>89000</v>
      </c>
      <c r="L1248" s="5" t="n">
        <v>109000</v>
      </c>
      <c r="M1248" s="6" t="n">
        <v>138000</v>
      </c>
      <c r="N1248" s="5" t="n"/>
      <c r="O1248" s="5">
        <f>IF(AND(ISNUMBER(N1248),ISNUMBER(M1248)),N1248-M1248,"")</f>
        <v/>
      </c>
      <c r="P1248" s="7">
        <f>IF(AND(ISNUMBER(N1248),ISNUMBER(M1248),M1248&gt;0),(N1248-M1248)/M1248,"")</f>
        <v/>
      </c>
      <c r="Q1248" s="3">
        <f>IF(P1248="","",IF(P1248&lt;-0.02,"🔴 Bán phá giá sàn",IF(P1248&gt;0.05,"🔵 Bán cao hơn","🟢 Đúng giá sàn TMĐT")))</f>
        <v/>
      </c>
      <c r="R1248" s="3" t="n"/>
      <c r="S1248" s="4" t="n"/>
      <c r="T1248" s="4" t="n"/>
    </row>
    <row r="1249">
      <c r="A1249" s="3" t="n">
        <v>1248</v>
      </c>
      <c r="B1249" s="3" t="inlineStr">
        <is>
          <t>DL010</t>
        </is>
      </c>
      <c r="C1249" s="4" t="inlineStr">
        <is>
          <t>Trang Huề( CuBờm TV)</t>
        </is>
      </c>
      <c r="D1249" s="3" t="inlineStr">
        <is>
          <t>HN</t>
        </is>
      </c>
      <c r="E1249" s="3" t="inlineStr">
        <is>
          <t>ĐIỆP</t>
        </is>
      </c>
      <c r="F1249" s="3" t="inlineStr">
        <is>
          <t>Tiktok, Shopee</t>
        </is>
      </c>
      <c r="G1249" s="4" t="inlineStr">
        <is>
          <t>SHOPEE: https://vn.shp.ee/m4gdctc3?fromSource=copy_link&amp;smtt=0.0.9 TIKTOK: https://vt.tiktok.com/ZS9UMHDPyXN53-XKjnc/ LAZADA: WEBSITE BÁN HÀNG:</t>
        </is>
      </c>
      <c r="H1249" s="3" t="inlineStr">
        <is>
          <t>KBL4-14350</t>
        </is>
      </c>
      <c r="I1249" s="4" t="inlineStr">
        <is>
          <t>Mũi khoan xuyên tường 4 cạnh KBL4-14*350</t>
        </is>
      </c>
      <c r="J1249" s="3" t="inlineStr">
        <is>
          <t>Cái</t>
        </is>
      </c>
      <c r="K1249" s="5" t="n">
        <v>105000</v>
      </c>
      <c r="L1249" s="5" t="n">
        <v>128000</v>
      </c>
      <c r="M1249" s="6" t="n">
        <v>163000</v>
      </c>
      <c r="N1249" s="5" t="n"/>
      <c r="O1249" s="5">
        <f>IF(AND(ISNUMBER(N1249),ISNUMBER(M1249)),N1249-M1249,"")</f>
        <v/>
      </c>
      <c r="P1249" s="7">
        <f>IF(AND(ISNUMBER(N1249),ISNUMBER(M1249),M1249&gt;0),(N1249-M1249)/M1249,"")</f>
        <v/>
      </c>
      <c r="Q1249" s="3">
        <f>IF(P1249="","",IF(P1249&lt;-0.02,"🔴 Bán phá giá sàn",IF(P1249&gt;0.05,"🔵 Bán cao hơn","🟢 Đúng giá sàn TMĐT")))</f>
        <v/>
      </c>
      <c r="R1249" s="3" t="n"/>
      <c r="S1249" s="4" t="n"/>
      <c r="T1249" s="4" t="n"/>
    </row>
    <row r="1250">
      <c r="A1250" s="3" t="n">
        <v>1249</v>
      </c>
      <c r="B1250" s="3" t="inlineStr">
        <is>
          <t>DL010</t>
        </is>
      </c>
      <c r="C1250" s="4" t="inlineStr">
        <is>
          <t>Trang Huề( CuBờm TV)</t>
        </is>
      </c>
      <c r="D1250" s="3" t="inlineStr">
        <is>
          <t>HN</t>
        </is>
      </c>
      <c r="E1250" s="3" t="inlineStr">
        <is>
          <t>ĐIỆP</t>
        </is>
      </c>
      <c r="F1250" s="3" t="inlineStr">
        <is>
          <t>Tiktok, Shopee</t>
        </is>
      </c>
      <c r="G1250" s="4" t="inlineStr">
        <is>
          <t>SHOPEE: https://vn.shp.ee/m4gdctc3?fromSource=copy_link&amp;smtt=0.0.9 TIKTOK: https://vt.tiktok.com/ZS9UMHDPyXN53-XKjnc/ LAZADA: WEBSITE BÁN HÀNG:</t>
        </is>
      </c>
      <c r="H1250" s="3" t="inlineStr">
        <is>
          <t>KBL4-16350</t>
        </is>
      </c>
      <c r="I1250" s="4" t="inlineStr">
        <is>
          <t>Mũi khoan xuyên tường 4 cạnh KBL4-16*350</t>
        </is>
      </c>
      <c r="J1250" s="3" t="inlineStr">
        <is>
          <t>Cái</t>
        </is>
      </c>
      <c r="K1250" s="5" t="n">
        <v>126000</v>
      </c>
      <c r="L1250" s="5" t="n">
        <v>154000</v>
      </c>
      <c r="M1250" s="6" t="n">
        <v>195000</v>
      </c>
      <c r="N1250" s="5" t="n"/>
      <c r="O1250" s="5">
        <f>IF(AND(ISNUMBER(N1250),ISNUMBER(M1250)),N1250-M1250,"")</f>
        <v/>
      </c>
      <c r="P1250" s="7">
        <f>IF(AND(ISNUMBER(N1250),ISNUMBER(M1250),M1250&gt;0),(N1250-M1250)/M1250,"")</f>
        <v/>
      </c>
      <c r="Q1250" s="3">
        <f>IF(P1250="","",IF(P1250&lt;-0.02,"🔴 Bán phá giá sàn",IF(P1250&gt;0.05,"🔵 Bán cao hơn","🟢 Đúng giá sàn TMĐT")))</f>
        <v/>
      </c>
      <c r="R1250" s="3" t="n"/>
      <c r="S1250" s="4" t="n"/>
      <c r="T1250" s="4" t="n"/>
    </row>
    <row r="1251">
      <c r="A1251" s="3" t="n">
        <v>1250</v>
      </c>
      <c r="B1251" s="3" t="inlineStr">
        <is>
          <t>DL010</t>
        </is>
      </c>
      <c r="C1251" s="4" t="inlineStr">
        <is>
          <t>Trang Huề( CuBờm TV)</t>
        </is>
      </c>
      <c r="D1251" s="3" t="inlineStr">
        <is>
          <t>HN</t>
        </is>
      </c>
      <c r="E1251" s="3" t="inlineStr">
        <is>
          <t>ĐIỆP</t>
        </is>
      </c>
      <c r="F1251" s="3" t="inlineStr">
        <is>
          <t>Tiktok, Shopee</t>
        </is>
      </c>
      <c r="G1251" s="4" t="inlineStr">
        <is>
          <t>SHOPEE: https://vn.shp.ee/m4gdctc3?fromSource=copy_link&amp;smtt=0.0.9 TIKTOK: https://vt.tiktok.com/ZS9UMHDPyXN53-XKjnc/ LAZADA: WEBSITE BÁN HÀNG:</t>
        </is>
      </c>
      <c r="H1251" s="3" t="inlineStr">
        <is>
          <t>KB-1304</t>
        </is>
      </c>
      <c r="I1251" s="4" t="inlineStr">
        <is>
          <t>Mũi nong ống đồng KingBlue KB-1304</t>
        </is>
      </c>
      <c r="J1251" s="3" t="inlineStr">
        <is>
          <t>Cái</t>
        </is>
      </c>
      <c r="K1251" s="5" t="n">
        <v>215000</v>
      </c>
      <c r="L1251" s="5" t="n">
        <v>254000</v>
      </c>
      <c r="M1251" s="6" t="n">
        <v>312000</v>
      </c>
      <c r="N1251" s="5" t="n"/>
      <c r="O1251" s="5">
        <f>IF(AND(ISNUMBER(N1251),ISNUMBER(M1251)),N1251-M1251,"")</f>
        <v/>
      </c>
      <c r="P1251" s="7">
        <f>IF(AND(ISNUMBER(N1251),ISNUMBER(M1251),M1251&gt;0),(N1251-M1251)/M1251,"")</f>
        <v/>
      </c>
      <c r="Q1251" s="3">
        <f>IF(P1251="","",IF(P1251&lt;-0.02,"🔴 Bán phá giá sàn",IF(P1251&gt;0.05,"🔵 Bán cao hơn","🟢 Đúng giá sàn TMĐT")))</f>
        <v/>
      </c>
      <c r="R1251" s="3" t="n"/>
      <c r="S1251" s="4" t="n"/>
      <c r="T1251" s="4" t="n"/>
    </row>
    <row r="1252">
      <c r="A1252" s="3" t="n">
        <v>1251</v>
      </c>
      <c r="B1252" s="3" t="inlineStr">
        <is>
          <t>DL010</t>
        </is>
      </c>
      <c r="C1252" s="4" t="inlineStr">
        <is>
          <t>Trang Huề( CuBờm TV)</t>
        </is>
      </c>
      <c r="D1252" s="3" t="inlineStr">
        <is>
          <t>HN</t>
        </is>
      </c>
      <c r="E1252" s="3" t="inlineStr">
        <is>
          <t>ĐIỆP</t>
        </is>
      </c>
      <c r="F1252" s="3" t="inlineStr">
        <is>
          <t>Tiktok, Shopee</t>
        </is>
      </c>
      <c r="G1252" s="4" t="inlineStr">
        <is>
          <t>SHOPEE: https://vn.shp.ee/m4gdctc3?fromSource=copy_link&amp;smtt=0.0.9 TIKTOK: https://vt.tiktok.com/ZS9UMHDPyXN53-XKjnc/ LAZADA: WEBSITE BÁN HÀNG:</t>
        </is>
      </c>
      <c r="H1252" s="3" t="inlineStr">
        <is>
          <t>KB848G</t>
        </is>
      </c>
      <c r="I1252" s="4" t="inlineStr">
        <is>
          <t>Siết tôn King Blue KB8*48G</t>
        </is>
      </c>
      <c r="J1252" s="3" t="inlineStr">
        <is>
          <t>Cái</t>
        </is>
      </c>
      <c r="K1252" s="5" t="n">
        <v>7500</v>
      </c>
      <c r="L1252" s="5" t="n">
        <v>10000</v>
      </c>
      <c r="M1252" s="6" t="n">
        <v>13000</v>
      </c>
      <c r="N1252" s="5" t="n"/>
      <c r="O1252" s="5">
        <f>IF(AND(ISNUMBER(N1252),ISNUMBER(M1252)),N1252-M1252,"")</f>
        <v/>
      </c>
      <c r="P1252" s="7">
        <f>IF(AND(ISNUMBER(N1252),ISNUMBER(M1252),M1252&gt;0),(N1252-M1252)/M1252,"")</f>
        <v/>
      </c>
      <c r="Q1252" s="3">
        <f>IF(P1252="","",IF(P1252&lt;-0.02,"🔴 Bán phá giá sàn",IF(P1252&gt;0.05,"🔵 Bán cao hơn","🟢 Đúng giá sàn TMĐT")))</f>
        <v/>
      </c>
      <c r="R1252" s="3" t="n"/>
      <c r="S1252" s="4" t="n"/>
      <c r="T1252" s="4" t="n"/>
    </row>
    <row r="1253">
      <c r="A1253" s="3" t="n">
        <v>1252</v>
      </c>
      <c r="B1253" s="3" t="inlineStr">
        <is>
          <t>DL010</t>
        </is>
      </c>
      <c r="C1253" s="4" t="inlineStr">
        <is>
          <t>Trang Huề( CuBờm TV)</t>
        </is>
      </c>
      <c r="D1253" s="3" t="inlineStr">
        <is>
          <t>HN</t>
        </is>
      </c>
      <c r="E1253" s="3" t="inlineStr">
        <is>
          <t>ĐIỆP</t>
        </is>
      </c>
      <c r="F1253" s="3" t="inlineStr">
        <is>
          <t>Tiktok, Shopee</t>
        </is>
      </c>
      <c r="G1253" s="4" t="inlineStr">
        <is>
          <t>SHOPEE: https://vn.shp.ee/m4gdctc3?fromSource=copy_link&amp;smtt=0.0.9 TIKTOK: https://vt.tiktok.com/ZS9UMHDPyXN53-XKjnc/ LAZADA: WEBSITE BÁN HÀNG:</t>
        </is>
      </c>
      <c r="H1253" s="3" t="inlineStr">
        <is>
          <t>ST08x42V</t>
        </is>
      </c>
      <c r="I1253" s="4" t="inlineStr">
        <is>
          <t>Siết tôn King Blue ST08x42V</t>
        </is>
      </c>
      <c r="J1253" s="3" t="inlineStr">
        <is>
          <t>Vỉ</t>
        </is>
      </c>
      <c r="K1253" s="5" t="n">
        <v>22000</v>
      </c>
      <c r="L1253" s="5" t="n">
        <v>28000</v>
      </c>
      <c r="M1253" s="6" t="n">
        <v>36000</v>
      </c>
      <c r="N1253" s="5" t="n"/>
      <c r="O1253" s="5">
        <f>IF(AND(ISNUMBER(N1253),ISNUMBER(M1253)),N1253-M1253,"")</f>
        <v/>
      </c>
      <c r="P1253" s="7">
        <f>IF(AND(ISNUMBER(N1253),ISNUMBER(M1253),M1253&gt;0),(N1253-M1253)/M1253,"")</f>
        <v/>
      </c>
      <c r="Q1253" s="3">
        <f>IF(P1253="","",IF(P1253&lt;-0.02,"🔴 Bán phá giá sàn",IF(P1253&gt;0.05,"🔵 Bán cao hơn","🟢 Đúng giá sàn TMĐT")))</f>
        <v/>
      </c>
      <c r="R1253" s="3" t="n"/>
      <c r="S1253" s="4" t="n"/>
      <c r="T1253" s="4" t="n"/>
    </row>
    <row r="1254">
      <c r="A1254" s="3" t="n">
        <v>1253</v>
      </c>
      <c r="B1254" s="3" t="inlineStr">
        <is>
          <t>DL010</t>
        </is>
      </c>
      <c r="C1254" s="4" t="inlineStr">
        <is>
          <t>Trang Huề( CuBờm TV)</t>
        </is>
      </c>
      <c r="D1254" s="3" t="inlineStr">
        <is>
          <t>HN</t>
        </is>
      </c>
      <c r="E1254" s="3" t="inlineStr">
        <is>
          <t>ĐIỆP</t>
        </is>
      </c>
      <c r="F1254" s="3" t="inlineStr">
        <is>
          <t>Tiktok, Shopee</t>
        </is>
      </c>
      <c r="G1254" s="4" t="inlineStr">
        <is>
          <t>SHOPEE: https://vn.shp.ee/m4gdctc3?fromSource=copy_link&amp;smtt=0.0.9 TIKTOK: https://vt.tiktok.com/ZS9UMHDPyXN53-XKjnc/ LAZADA: WEBSITE BÁN HÀNG:</t>
        </is>
      </c>
      <c r="H1254" s="3" t="inlineStr">
        <is>
          <t>KFF-73</t>
        </is>
      </c>
      <c r="I1254" s="4" t="inlineStr">
        <is>
          <t>Súng bắn đinh bê tông KFF-73</t>
        </is>
      </c>
      <c r="J1254" s="3" t="inlineStr">
        <is>
          <t>Cái</t>
        </is>
      </c>
      <c r="K1254" s="5" t="n">
        <v>660000</v>
      </c>
      <c r="L1254" s="5" t="n">
        <v>739000</v>
      </c>
      <c r="M1254" s="6" t="n">
        <v>858000</v>
      </c>
      <c r="N1254" s="5" t="n"/>
      <c r="O1254" s="5">
        <f>IF(AND(ISNUMBER(N1254),ISNUMBER(M1254)),N1254-M1254,"")</f>
        <v/>
      </c>
      <c r="P1254" s="7">
        <f>IF(AND(ISNUMBER(N1254),ISNUMBER(M1254),M1254&gt;0),(N1254-M1254)/M1254,"")</f>
        <v/>
      </c>
      <c r="Q1254" s="3">
        <f>IF(P1254="","",IF(P1254&lt;-0.02,"🔴 Bán phá giá sàn",IF(P1254&gt;0.05,"🔵 Bán cao hơn","🟢 Đúng giá sàn TMĐT")))</f>
        <v/>
      </c>
      <c r="R1254" s="3" t="n"/>
      <c r="S1254" s="4" t="n"/>
      <c r="T1254" s="4" t="n"/>
    </row>
    <row r="1255">
      <c r="A1255" s="3" t="n">
        <v>1254</v>
      </c>
      <c r="B1255" s="3" t="inlineStr">
        <is>
          <t>DL010</t>
        </is>
      </c>
      <c r="C1255" s="4" t="inlineStr">
        <is>
          <t>Trang Huề( CuBờm TV)</t>
        </is>
      </c>
      <c r="D1255" s="3" t="inlineStr">
        <is>
          <t>HN</t>
        </is>
      </c>
      <c r="E1255" s="3" t="inlineStr">
        <is>
          <t>ĐIỆP</t>
        </is>
      </c>
      <c r="F1255" s="3" t="inlineStr">
        <is>
          <t>Tiktok, Shopee</t>
        </is>
      </c>
      <c r="G1255" s="4" t="inlineStr">
        <is>
          <t>SHOPEE: https://vn.shp.ee/m4gdctc3?fromSource=copy_link&amp;smtt=0.0.9 TIKTOK: https://vt.tiktok.com/ZS9UMHDPyXN53-XKjnc/ LAZADA: WEBSITE BÁN HÀNG:</t>
        </is>
      </c>
      <c r="H1255" s="3" t="inlineStr">
        <is>
          <t>KBO-X0215</t>
        </is>
      </c>
      <c r="I1255" s="4" t="inlineStr">
        <is>
          <t>Súng Xịt Hơi KBO-X0215</t>
        </is>
      </c>
      <c r="J1255" s="3" t="inlineStr">
        <is>
          <t>Cái</t>
        </is>
      </c>
      <c r="K1255" s="5" t="n">
        <v>97000</v>
      </c>
      <c r="L1255" s="5" t="n">
        <v>115000</v>
      </c>
      <c r="M1255" s="6" t="n">
        <v>141000</v>
      </c>
      <c r="N1255" s="5" t="n"/>
      <c r="O1255" s="5">
        <f>IF(AND(ISNUMBER(N1255),ISNUMBER(M1255)),N1255-M1255,"")</f>
        <v/>
      </c>
      <c r="P1255" s="7">
        <f>IF(AND(ISNUMBER(N1255),ISNUMBER(M1255),M1255&gt;0),(N1255-M1255)/M1255,"")</f>
        <v/>
      </c>
      <c r="Q1255" s="3">
        <f>IF(P1255="","",IF(P1255&lt;-0.02,"🔴 Bán phá giá sàn",IF(P1255&gt;0.05,"🔵 Bán cao hơn","🟢 Đúng giá sàn TMĐT")))</f>
        <v/>
      </c>
      <c r="R1255" s="3" t="n"/>
      <c r="S1255" s="4" t="n"/>
      <c r="T1255" s="4" t="n"/>
    </row>
    <row r="1256">
      <c r="A1256" s="3" t="n">
        <v>1255</v>
      </c>
      <c r="B1256" s="3" t="inlineStr">
        <is>
          <t>DL010</t>
        </is>
      </c>
      <c r="C1256" s="4" t="inlineStr">
        <is>
          <t>Trang Huề( CuBờm TV)</t>
        </is>
      </c>
      <c r="D1256" s="3" t="inlineStr">
        <is>
          <t>HN</t>
        </is>
      </c>
      <c r="E1256" s="3" t="inlineStr">
        <is>
          <t>ĐIỆP</t>
        </is>
      </c>
      <c r="F1256" s="3" t="inlineStr">
        <is>
          <t>Tiktok, Shopee</t>
        </is>
      </c>
      <c r="G1256" s="4" t="inlineStr">
        <is>
          <t>SHOPEE: https://vn.shp.ee/m4gdctc3?fromSource=copy_link&amp;smtt=0.0.9 TIKTOK: https://vt.tiktok.com/ZS9UMHDPyXN53-XKjnc/ LAZADA: WEBSITE BÁN HÀNG:</t>
        </is>
      </c>
      <c r="H1256" s="3" t="inlineStr">
        <is>
          <t>KHD20</t>
        </is>
      </c>
      <c r="I1256" s="4" t="inlineStr">
        <is>
          <t>Thùng đựng đồ nghề KHD20</t>
        </is>
      </c>
      <c r="J1256" s="3" t="inlineStr">
        <is>
          <t>Cái</t>
        </is>
      </c>
      <c r="K1256" s="5" t="n">
        <v>396000</v>
      </c>
      <c r="L1256" s="5" t="n">
        <v>452000</v>
      </c>
      <c r="M1256" s="6" t="n">
        <v>535000</v>
      </c>
      <c r="N1256" s="5" t="n"/>
      <c r="O1256" s="5">
        <f>IF(AND(ISNUMBER(N1256),ISNUMBER(M1256)),N1256-M1256,"")</f>
        <v/>
      </c>
      <c r="P1256" s="7">
        <f>IF(AND(ISNUMBER(N1256),ISNUMBER(M1256),M1256&gt;0),(N1256-M1256)/M1256,"")</f>
        <v/>
      </c>
      <c r="Q1256" s="3">
        <f>IF(P1256="","",IF(P1256&lt;-0.02,"🔴 Bán phá giá sàn",IF(P1256&gt;0.05,"🔵 Bán cao hơn","🟢 Đúng giá sàn TMĐT")))</f>
        <v/>
      </c>
      <c r="R1256" s="3" t="n"/>
      <c r="S1256" s="4" t="n"/>
      <c r="T1256" s="4" t="n"/>
    </row>
    <row r="1257">
      <c r="A1257" s="3" t="n">
        <v>1256</v>
      </c>
      <c r="B1257" s="3" t="inlineStr">
        <is>
          <t>DL010</t>
        </is>
      </c>
      <c r="C1257" s="4" t="inlineStr">
        <is>
          <t>Trang Huề( CuBờm TV)</t>
        </is>
      </c>
      <c r="D1257" s="3" t="inlineStr">
        <is>
          <t>HN</t>
        </is>
      </c>
      <c r="E1257" s="3" t="inlineStr">
        <is>
          <t>ĐIỆP</t>
        </is>
      </c>
      <c r="F1257" s="3" t="inlineStr">
        <is>
          <t>Tiktok, Shopee</t>
        </is>
      </c>
      <c r="G1257" s="4" t="inlineStr">
        <is>
          <t>SHOPEE: https://vn.shp.ee/m4gdctc3?fromSource=copy_link&amp;smtt=0.0.9 TIKTOK: https://vt.tiktok.com/ZS9UMHDPyXN53-XKjnc/ LAZADA: WEBSITE BÁN HÀNG:</t>
        </is>
      </c>
      <c r="H1257" s="3" t="inlineStr">
        <is>
          <t>KHD4216</t>
        </is>
      </c>
      <c r="I1257" s="4" t="inlineStr">
        <is>
          <t>Thùng đựng đồ nghề KHD4216</t>
        </is>
      </c>
      <c r="J1257" s="3" t="inlineStr">
        <is>
          <t>Cái</t>
        </is>
      </c>
      <c r="K1257" s="5" t="n">
        <v>2065</v>
      </c>
      <c r="L1257" s="5" t="n">
        <v>484000</v>
      </c>
      <c r="M1257" s="6" t="n">
        <v>552000</v>
      </c>
      <c r="N1257" s="5" t="n"/>
      <c r="O1257" s="5">
        <f>IF(AND(ISNUMBER(N1257),ISNUMBER(M1257)),N1257-M1257,"")</f>
        <v/>
      </c>
      <c r="P1257" s="7">
        <f>IF(AND(ISNUMBER(N1257),ISNUMBER(M1257),M1257&gt;0),(N1257-M1257)/M1257,"")</f>
        <v/>
      </c>
      <c r="Q1257" s="3">
        <f>IF(P1257="","",IF(P1257&lt;-0.02,"🔴 Bán phá giá sàn",IF(P1257&gt;0.05,"🔵 Bán cao hơn","🟢 Đúng giá sàn TMĐT")))</f>
        <v/>
      </c>
      <c r="R1257" s="3" t="n"/>
      <c r="S1257" s="4" t="n"/>
      <c r="T1257" s="4" t="n"/>
    </row>
    <row r="1258">
      <c r="A1258" s="3" t="n">
        <v>1257</v>
      </c>
      <c r="B1258" s="3" t="inlineStr">
        <is>
          <t>DL010</t>
        </is>
      </c>
      <c r="C1258" s="4" t="inlineStr">
        <is>
          <t>Trang Huề( CuBờm TV)</t>
        </is>
      </c>
      <c r="D1258" s="3" t="inlineStr">
        <is>
          <t>HN</t>
        </is>
      </c>
      <c r="E1258" s="3" t="inlineStr">
        <is>
          <t>ĐIỆP</t>
        </is>
      </c>
      <c r="F1258" s="3" t="inlineStr">
        <is>
          <t>Tiktok, Shopee</t>
        </is>
      </c>
      <c r="G1258" s="4" t="inlineStr">
        <is>
          <t>SHOPEE: https://vn.shp.ee/m4gdctc3?fromSource=copy_link&amp;smtt=0.0.9 TIKTOK: https://vt.tiktok.com/ZS9UMHDPyXN53-XKjnc/ LAZADA: WEBSITE BÁN HÀNG:</t>
        </is>
      </c>
      <c r="H1258" s="3" t="inlineStr">
        <is>
          <t>KHD4233</t>
        </is>
      </c>
      <c r="I1258" s="4" t="inlineStr">
        <is>
          <t>Thùng đựng đồ nghề KHD4233</t>
        </is>
      </c>
      <c r="J1258" s="3" t="inlineStr">
        <is>
          <t>Cái</t>
        </is>
      </c>
      <c r="K1258" s="5" t="n">
        <v>269000</v>
      </c>
      <c r="L1258" s="5" t="n">
        <v>317000</v>
      </c>
      <c r="M1258" s="6" t="n">
        <v>390000</v>
      </c>
      <c r="N1258" s="5" t="n"/>
      <c r="O1258" s="5">
        <f>IF(AND(ISNUMBER(N1258),ISNUMBER(M1258)),N1258-M1258,"")</f>
        <v/>
      </c>
      <c r="P1258" s="7">
        <f>IF(AND(ISNUMBER(N1258),ISNUMBER(M1258),M1258&gt;0),(N1258-M1258)/M1258,"")</f>
        <v/>
      </c>
      <c r="Q1258" s="3">
        <f>IF(P1258="","",IF(P1258&lt;-0.02,"🔴 Bán phá giá sàn",IF(P1258&gt;0.05,"🔵 Bán cao hơn","🟢 Đúng giá sàn TMĐT")))</f>
        <v/>
      </c>
      <c r="R1258" s="3" t="n"/>
      <c r="S1258" s="4" t="n"/>
      <c r="T1258" s="4" t="n"/>
    </row>
    <row r="1259">
      <c r="A1259" s="3" t="n">
        <v>1258</v>
      </c>
      <c r="B1259" s="3" t="inlineStr">
        <is>
          <t>DL010</t>
        </is>
      </c>
      <c r="C1259" s="4" t="inlineStr">
        <is>
          <t>Trang Huề( CuBờm TV)</t>
        </is>
      </c>
      <c r="D1259" s="3" t="inlineStr">
        <is>
          <t>HN</t>
        </is>
      </c>
      <c r="E1259" s="3" t="inlineStr">
        <is>
          <t>ĐIỆP</t>
        </is>
      </c>
      <c r="F1259" s="3" t="inlineStr">
        <is>
          <t>Tiktok, Shopee</t>
        </is>
      </c>
      <c r="G1259" s="4" t="inlineStr">
        <is>
          <t>SHOPEE: https://vn.shp.ee/m4gdctc3?fromSource=copy_link&amp;smtt=0.0.9 TIKTOK: https://vt.tiktok.com/ZS9UMHDPyXN53-XKjnc/ LAZADA: WEBSITE BÁN HÀNG:</t>
        </is>
      </c>
      <c r="H1259" s="3" t="inlineStr">
        <is>
          <t>MC-50.25</t>
        </is>
      </c>
      <c r="I1259" s="4" t="inlineStr">
        <is>
          <t>Thước Cuộn MC-50.25</t>
        </is>
      </c>
      <c r="J1259" s="3" t="inlineStr">
        <is>
          <t>Cái</t>
        </is>
      </c>
      <c r="K1259" s="5" t="n">
        <v>59000</v>
      </c>
      <c r="L1259" s="5" t="n">
        <v>70000</v>
      </c>
      <c r="M1259" s="6" t="n">
        <v>86000</v>
      </c>
      <c r="N1259" s="5" t="n"/>
      <c r="O1259" s="5">
        <f>IF(AND(ISNUMBER(N1259),ISNUMBER(M1259)),N1259-M1259,"")</f>
        <v/>
      </c>
      <c r="P1259" s="7">
        <f>IF(AND(ISNUMBER(N1259),ISNUMBER(M1259),M1259&gt;0),(N1259-M1259)/M1259,"")</f>
        <v/>
      </c>
      <c r="Q1259" s="3">
        <f>IF(P1259="","",IF(P1259&lt;-0.02,"🔴 Bán phá giá sàn",IF(P1259&gt;0.05,"🔵 Bán cao hơn","🟢 Đúng giá sàn TMĐT")))</f>
        <v/>
      </c>
      <c r="R1259" s="3" t="n"/>
      <c r="S1259" s="4" t="n"/>
      <c r="T1259" s="4" t="n"/>
    </row>
    <row r="1260">
      <c r="A1260" s="3" t="n">
        <v>1259</v>
      </c>
      <c r="B1260" s="3" t="inlineStr">
        <is>
          <t>DL010</t>
        </is>
      </c>
      <c r="C1260" s="4" t="inlineStr">
        <is>
          <t>Trang Huề( CuBờm TV)</t>
        </is>
      </c>
      <c r="D1260" s="3" t="inlineStr">
        <is>
          <t>HN</t>
        </is>
      </c>
      <c r="E1260" s="3" t="inlineStr">
        <is>
          <t>ĐIỆP</t>
        </is>
      </c>
      <c r="F1260" s="3" t="inlineStr">
        <is>
          <t>Tiktok, Shopee</t>
        </is>
      </c>
      <c r="G1260" s="4" t="inlineStr">
        <is>
          <t>SHOPEE: https://vn.shp.ee/m4gdctc3?fromSource=copy_link&amp;smtt=0.0.9 TIKTOK: https://vt.tiktok.com/ZS9UMHDPyXN53-XKjnc/ LAZADA: WEBSITE BÁN HÀNG:</t>
        </is>
      </c>
      <c r="H1260" s="3" t="inlineStr">
        <is>
          <t>MD-50.25</t>
        </is>
      </c>
      <c r="I1260" s="4" t="inlineStr">
        <is>
          <t>Thước Cuộn tự hãm MD-50.25</t>
        </is>
      </c>
      <c r="J1260" s="3" t="inlineStr">
        <is>
          <t>Cái</t>
        </is>
      </c>
      <c r="K1260" s="5" t="n">
        <v>64000</v>
      </c>
      <c r="L1260" s="5" t="n">
        <v>76000</v>
      </c>
      <c r="M1260" s="6" t="n">
        <v>93000</v>
      </c>
      <c r="N1260" s="5" t="n"/>
      <c r="O1260" s="5">
        <f>IF(AND(ISNUMBER(N1260),ISNUMBER(M1260)),N1260-M1260,"")</f>
        <v/>
      </c>
      <c r="P1260" s="7">
        <f>IF(AND(ISNUMBER(N1260),ISNUMBER(M1260),M1260&gt;0),(N1260-M1260)/M1260,"")</f>
        <v/>
      </c>
      <c r="Q1260" s="3">
        <f>IF(P1260="","",IF(P1260&lt;-0.02,"🔴 Bán phá giá sàn",IF(P1260&gt;0.05,"🔵 Bán cao hơn","🟢 Đúng giá sàn TMĐT")))</f>
        <v/>
      </c>
      <c r="R1260" s="3" t="n"/>
      <c r="S1260" s="4" t="n"/>
      <c r="T1260" s="4" t="n"/>
    </row>
    <row r="1261">
      <c r="A1261" s="3" t="n">
        <v>1260</v>
      </c>
      <c r="B1261" s="3" t="inlineStr">
        <is>
          <t>DL010</t>
        </is>
      </c>
      <c r="C1261" s="4" t="inlineStr">
        <is>
          <t>Trang Huề( CuBờm TV)</t>
        </is>
      </c>
      <c r="D1261" s="3" t="inlineStr">
        <is>
          <t>HN</t>
        </is>
      </c>
      <c r="E1261" s="3" t="inlineStr">
        <is>
          <t>ĐIỆP</t>
        </is>
      </c>
      <c r="F1261" s="3" t="inlineStr">
        <is>
          <t>Tiktok, Shopee</t>
        </is>
      </c>
      <c r="G1261" s="4" t="inlineStr">
        <is>
          <t>SHOPEE: https://vn.shp.ee/m4gdctc3?fromSource=copy_link&amp;smtt=0.0.9 TIKTOK: https://vt.tiktok.com/ZS9UMHDPyXN53-XKjnc/ LAZADA: WEBSITE BÁN HÀNG:</t>
        </is>
      </c>
      <c r="H1261" s="3" t="inlineStr">
        <is>
          <t>KV1-6150</t>
        </is>
      </c>
      <c r="I1261" s="4" t="inlineStr">
        <is>
          <t>Tuốc nơ vít 2 đầu KV1-6*150</t>
        </is>
      </c>
      <c r="J1261" s="3" t="inlineStr">
        <is>
          <t>Cái</t>
        </is>
      </c>
      <c r="K1261" s="5" t="n">
        <v>25000</v>
      </c>
      <c r="L1261" s="5" t="n">
        <v>29000</v>
      </c>
      <c r="M1261" s="6" t="n">
        <v>36000</v>
      </c>
      <c r="N1261" s="5" t="n"/>
      <c r="O1261" s="5">
        <f>IF(AND(ISNUMBER(N1261),ISNUMBER(M1261)),N1261-M1261,"")</f>
        <v/>
      </c>
      <c r="P1261" s="7">
        <f>IF(AND(ISNUMBER(N1261),ISNUMBER(M1261),M1261&gt;0),(N1261-M1261)/M1261,"")</f>
        <v/>
      </c>
      <c r="Q1261" s="3">
        <f>IF(P1261="","",IF(P1261&lt;-0.02,"🔴 Bán phá giá sàn",IF(P1261&gt;0.05,"🔵 Bán cao hơn","🟢 Đúng giá sàn TMĐT")))</f>
        <v/>
      </c>
      <c r="R1261" s="3" t="n"/>
      <c r="S1261" s="4" t="n"/>
      <c r="T1261" s="4" t="n"/>
    </row>
    <row r="1262">
      <c r="A1262" s="3" t="n">
        <v>1261</v>
      </c>
      <c r="B1262" s="3" t="inlineStr">
        <is>
          <t>DL010</t>
        </is>
      </c>
      <c r="C1262" s="4" t="inlineStr">
        <is>
          <t>Trang Huề( CuBờm TV)</t>
        </is>
      </c>
      <c r="D1262" s="3" t="inlineStr">
        <is>
          <t>HN</t>
        </is>
      </c>
      <c r="E1262" s="3" t="inlineStr">
        <is>
          <t>ĐIỆP</t>
        </is>
      </c>
      <c r="F1262" s="3" t="inlineStr">
        <is>
          <t>Tiktok, Shopee</t>
        </is>
      </c>
      <c r="G1262" s="4" t="inlineStr">
        <is>
          <t>SHOPEE: https://vn.shp.ee/m4gdctc3?fromSource=copy_link&amp;smtt=0.0.9 TIKTOK: https://vt.tiktok.com/ZS9UMHDPyXN53-XKjnc/ LAZADA: WEBSITE BÁN HÀNG:</t>
        </is>
      </c>
      <c r="H1262" s="3" t="inlineStr">
        <is>
          <t>KV1-6200</t>
        </is>
      </c>
      <c r="I1262" s="4" t="inlineStr">
        <is>
          <t>Tuốc nơ vít 2 đầu KV1-6*200</t>
        </is>
      </c>
      <c r="J1262" s="3" t="inlineStr">
        <is>
          <t>Cái</t>
        </is>
      </c>
      <c r="K1262" s="5" t="n">
        <v>29000</v>
      </c>
      <c r="L1262" s="5" t="n">
        <v>34000</v>
      </c>
      <c r="M1262" s="6" t="n">
        <v>42000</v>
      </c>
      <c r="N1262" s="5" t="n"/>
      <c r="O1262" s="5">
        <f>IF(AND(ISNUMBER(N1262),ISNUMBER(M1262)),N1262-M1262,"")</f>
        <v/>
      </c>
      <c r="P1262" s="7">
        <f>IF(AND(ISNUMBER(N1262),ISNUMBER(M1262),M1262&gt;0),(N1262-M1262)/M1262,"")</f>
        <v/>
      </c>
      <c r="Q1262" s="3">
        <f>IF(P1262="","",IF(P1262&lt;-0.02,"🔴 Bán phá giá sàn",IF(P1262&gt;0.05,"🔵 Bán cao hơn","🟢 Đúng giá sàn TMĐT")))</f>
        <v/>
      </c>
      <c r="R1262" s="3" t="n"/>
      <c r="S1262" s="4" t="n"/>
      <c r="T1262" s="4" t="n"/>
    </row>
    <row r="1263">
      <c r="A1263" s="3" t="n">
        <v>1262</v>
      </c>
      <c r="B1263" s="3" t="inlineStr">
        <is>
          <t>DL010</t>
        </is>
      </c>
      <c r="C1263" s="4" t="inlineStr">
        <is>
          <t>Trang Huề( CuBờm TV)</t>
        </is>
      </c>
      <c r="D1263" s="3" t="inlineStr">
        <is>
          <t>HN</t>
        </is>
      </c>
      <c r="E1263" s="3" t="inlineStr">
        <is>
          <t>ĐIỆP</t>
        </is>
      </c>
      <c r="F1263" s="3" t="inlineStr">
        <is>
          <t>Tiktok, Shopee</t>
        </is>
      </c>
      <c r="G1263" s="4" t="inlineStr">
        <is>
          <t>SHOPEE: https://vn.shp.ee/m4gdctc3?fromSource=copy_link&amp;smtt=0.0.9 TIKTOK: https://vt.tiktok.com/ZS9UMHDPyXN53-XKjnc/ LAZADA: WEBSITE BÁN HÀNG:</t>
        </is>
      </c>
      <c r="H1263" s="3" t="inlineStr">
        <is>
          <t>KVS2-6150</t>
        </is>
      </c>
      <c r="I1263" s="4" t="inlineStr">
        <is>
          <t>Tuốc nơ vít 2 đầu KVS2-6*150</t>
        </is>
      </c>
      <c r="J1263" s="3" t="inlineStr">
        <is>
          <t>Cái</t>
        </is>
      </c>
      <c r="K1263" s="5" t="n">
        <v>37000</v>
      </c>
      <c r="L1263" s="5" t="n">
        <v>44000</v>
      </c>
      <c r="M1263" s="6" t="n">
        <v>54000</v>
      </c>
      <c r="N1263" s="5" t="n"/>
      <c r="O1263" s="5">
        <f>IF(AND(ISNUMBER(N1263),ISNUMBER(M1263)),N1263-M1263,"")</f>
        <v/>
      </c>
      <c r="P1263" s="7">
        <f>IF(AND(ISNUMBER(N1263),ISNUMBER(M1263),M1263&gt;0),(N1263-M1263)/M1263,"")</f>
        <v/>
      </c>
      <c r="Q1263" s="3">
        <f>IF(P1263="","",IF(P1263&lt;-0.02,"🔴 Bán phá giá sàn",IF(P1263&gt;0.05,"🔵 Bán cao hơn","🟢 Đúng giá sàn TMĐT")))</f>
        <v/>
      </c>
      <c r="R1263" s="3" t="n"/>
      <c r="S1263" s="4" t="n"/>
      <c r="T1263" s="4" t="n"/>
    </row>
    <row r="1264">
      <c r="A1264" s="3" t="n">
        <v>1263</v>
      </c>
      <c r="B1264" s="3" t="inlineStr">
        <is>
          <t>DL010</t>
        </is>
      </c>
      <c r="C1264" s="4" t="inlineStr">
        <is>
          <t>Trang Huề( CuBờm TV)</t>
        </is>
      </c>
      <c r="D1264" s="3" t="inlineStr">
        <is>
          <t>HN</t>
        </is>
      </c>
      <c r="E1264" s="3" t="inlineStr">
        <is>
          <t>ĐIỆP</t>
        </is>
      </c>
      <c r="F1264" s="3" t="inlineStr">
        <is>
          <t>Tiktok, Shopee</t>
        </is>
      </c>
      <c r="G1264" s="4" t="inlineStr">
        <is>
          <t>SHOPEE: https://vn.shp.ee/m4gdctc3?fromSource=copy_link&amp;smtt=0.0.9 TIKTOK: https://vt.tiktok.com/ZS9UMHDPyXN53-XKjnc/ LAZADA: WEBSITE BÁN HÀNG:</t>
        </is>
      </c>
      <c r="H1264" s="3" t="inlineStr">
        <is>
          <t>KVS2-6200</t>
        </is>
      </c>
      <c r="I1264" s="4" t="inlineStr">
        <is>
          <t>Tuốc nơ vít 2 đầu KVS2-6*200</t>
        </is>
      </c>
      <c r="J1264" s="3" t="inlineStr">
        <is>
          <t>Cái</t>
        </is>
      </c>
      <c r="K1264" s="5" t="n">
        <v>44000</v>
      </c>
      <c r="L1264" s="5" t="n">
        <v>52000</v>
      </c>
      <c r="M1264" s="6" t="n">
        <v>64000</v>
      </c>
      <c r="N1264" s="5" t="n"/>
      <c r="O1264" s="5">
        <f>IF(AND(ISNUMBER(N1264),ISNUMBER(M1264)),N1264-M1264,"")</f>
        <v/>
      </c>
      <c r="P1264" s="7">
        <f>IF(AND(ISNUMBER(N1264),ISNUMBER(M1264),M1264&gt;0),(N1264-M1264)/M1264,"")</f>
        <v/>
      </c>
      <c r="Q1264" s="3">
        <f>IF(P1264="","",IF(P1264&lt;-0.02,"🔴 Bán phá giá sàn",IF(P1264&gt;0.05,"🔵 Bán cao hơn","🟢 Đúng giá sàn TMĐT")))</f>
        <v/>
      </c>
      <c r="R1264" s="3" t="n"/>
      <c r="S1264" s="4" t="n"/>
      <c r="T1264" s="4" t="n"/>
    </row>
    <row r="1265">
      <c r="A1265" s="3" t="n">
        <v>1264</v>
      </c>
      <c r="B1265" s="3" t="inlineStr">
        <is>
          <t>DL010</t>
        </is>
      </c>
      <c r="C1265" s="4" t="inlineStr">
        <is>
          <t>Trang Huề( CuBờm TV)</t>
        </is>
      </c>
      <c r="D1265" s="3" t="inlineStr">
        <is>
          <t>HN</t>
        </is>
      </c>
      <c r="E1265" s="3" t="inlineStr">
        <is>
          <t>ĐIỆP</t>
        </is>
      </c>
      <c r="F1265" s="3" t="inlineStr">
        <is>
          <t>Tiktok, Shopee</t>
        </is>
      </c>
      <c r="G1265" s="4" t="inlineStr">
        <is>
          <t>SHOPEE: https://vn.shp.ee/m4gdctc3?fromSource=copy_link&amp;smtt=0.0.9 TIKTOK: https://vt.tiktok.com/ZS9UMHDPyXN53-XKjnc/ LAZADA: WEBSITE BÁN HÀNG:</t>
        </is>
      </c>
      <c r="H1265" s="3" t="inlineStr">
        <is>
          <t>KFJ-432</t>
        </is>
      </c>
      <c r="I1265" s="4" t="inlineStr">
        <is>
          <t>Vít bê tông không dùng tắc kê KFJ-432</t>
        </is>
      </c>
      <c r="J1265" s="3" t="inlineStr">
        <is>
          <t>Hộp</t>
        </is>
      </c>
      <c r="K1265" s="5" t="n">
        <v>81000</v>
      </c>
      <c r="L1265" s="5" t="n">
        <v>101000</v>
      </c>
      <c r="M1265" s="6" t="n">
        <v>130000</v>
      </c>
      <c r="N1265" s="5" t="n"/>
      <c r="O1265" s="5">
        <f>IF(AND(ISNUMBER(N1265),ISNUMBER(M1265)),N1265-M1265,"")</f>
        <v/>
      </c>
      <c r="P1265" s="7">
        <f>IF(AND(ISNUMBER(N1265),ISNUMBER(M1265),M1265&gt;0),(N1265-M1265)/M1265,"")</f>
        <v/>
      </c>
      <c r="Q1265" s="3">
        <f>IF(P1265="","",IF(P1265&lt;-0.02,"🔴 Bán phá giá sàn",IF(P1265&gt;0.05,"🔵 Bán cao hơn","🟢 Đúng giá sàn TMĐT")))</f>
        <v/>
      </c>
      <c r="R1265" s="3" t="n"/>
      <c r="S1265" s="4" t="n"/>
      <c r="T1265" s="4" t="n"/>
    </row>
    <row r="1266">
      <c r="A1266" s="3" t="n">
        <v>1265</v>
      </c>
      <c r="B1266" s="3" t="inlineStr">
        <is>
          <t>DL010</t>
        </is>
      </c>
      <c r="C1266" s="4" t="inlineStr">
        <is>
          <t>Trang Huề( CuBờm TV)</t>
        </is>
      </c>
      <c r="D1266" s="3" t="inlineStr">
        <is>
          <t>HN</t>
        </is>
      </c>
      <c r="E1266" s="3" t="inlineStr">
        <is>
          <t>ĐIỆP</t>
        </is>
      </c>
      <c r="F1266" s="3" t="inlineStr">
        <is>
          <t>Tiktok, Shopee</t>
        </is>
      </c>
      <c r="G1266" s="4" t="inlineStr">
        <is>
          <t>SHOPEE: https://vn.shp.ee/m4gdctc3?fromSource=copy_link&amp;smtt=0.0.9 TIKTOK: https://vt.tiktok.com/ZS9UMHDPyXN53-XKjnc/ LAZADA: WEBSITE BÁN HÀNG:</t>
        </is>
      </c>
      <c r="H1266" s="3" t="inlineStr">
        <is>
          <t>KFJ-438</t>
        </is>
      </c>
      <c r="I1266" s="4" t="inlineStr">
        <is>
          <t>Vít bê tông không dùng tắc kê KFJ-438</t>
        </is>
      </c>
      <c r="J1266" s="3" t="inlineStr">
        <is>
          <t>Hộp</t>
        </is>
      </c>
      <c r="K1266" s="5" t="n">
        <v>81000</v>
      </c>
      <c r="L1266" s="5" t="n">
        <v>101000</v>
      </c>
      <c r="M1266" s="6" t="n">
        <v>130000</v>
      </c>
      <c r="N1266" s="5" t="n"/>
      <c r="O1266" s="5">
        <f>IF(AND(ISNUMBER(N1266),ISNUMBER(M1266)),N1266-M1266,"")</f>
        <v/>
      </c>
      <c r="P1266" s="7">
        <f>IF(AND(ISNUMBER(N1266),ISNUMBER(M1266),M1266&gt;0),(N1266-M1266)/M1266,"")</f>
        <v/>
      </c>
      <c r="Q1266" s="3">
        <f>IF(P1266="","",IF(P1266&lt;-0.02,"🔴 Bán phá giá sàn",IF(P1266&gt;0.05,"🔵 Bán cao hơn","🟢 Đúng giá sàn TMĐT")))</f>
        <v/>
      </c>
      <c r="R1266" s="3" t="n"/>
      <c r="S1266" s="4" t="n"/>
      <c r="T1266" s="4" t="n"/>
    </row>
    <row r="1267">
      <c r="A1267" s="3" t="n">
        <v>1266</v>
      </c>
      <c r="B1267" s="3" t="inlineStr">
        <is>
          <t>DL010</t>
        </is>
      </c>
      <c r="C1267" s="4" t="inlineStr">
        <is>
          <t>Trang Huề( CuBờm TV)</t>
        </is>
      </c>
      <c r="D1267" s="3" t="inlineStr">
        <is>
          <t>HN</t>
        </is>
      </c>
      <c r="E1267" s="3" t="inlineStr">
        <is>
          <t>ĐIỆP</t>
        </is>
      </c>
      <c r="F1267" s="3" t="inlineStr">
        <is>
          <t>Tiktok, Shopee</t>
        </is>
      </c>
      <c r="G1267" s="4" t="inlineStr">
        <is>
          <t>SHOPEE: https://vn.shp.ee/m4gdctc3?fromSource=copy_link&amp;smtt=0.0.9 TIKTOK: https://vt.tiktok.com/ZS9UMHDPyXN53-XKjnc/ LAZADA: WEBSITE BÁN HÀNG:</t>
        </is>
      </c>
      <c r="H1267" s="3" t="inlineStr">
        <is>
          <t>KFJ-445</t>
        </is>
      </c>
      <c r="I1267" s="4" t="inlineStr">
        <is>
          <t>Vít bê tông không dùng tắc kê KFJ-445</t>
        </is>
      </c>
      <c r="J1267" s="3" t="inlineStr">
        <is>
          <t>Hộp</t>
        </is>
      </c>
      <c r="K1267" s="5" t="n">
        <v>81000</v>
      </c>
      <c r="L1267" s="5" t="n">
        <v>101000</v>
      </c>
      <c r="M1267" s="6" t="n">
        <v>130000</v>
      </c>
      <c r="N1267" s="5" t="n"/>
      <c r="O1267" s="5">
        <f>IF(AND(ISNUMBER(N1267),ISNUMBER(M1267)),N1267-M1267,"")</f>
        <v/>
      </c>
      <c r="P1267" s="7">
        <f>IF(AND(ISNUMBER(N1267),ISNUMBER(M1267),M1267&gt;0),(N1267-M1267)/M1267,"")</f>
        <v/>
      </c>
      <c r="Q1267" s="3">
        <f>IF(P1267="","",IF(P1267&lt;-0.02,"🔴 Bán phá giá sàn",IF(P1267&gt;0.05,"🔵 Bán cao hơn","🟢 Đúng giá sàn TMĐT")))</f>
        <v/>
      </c>
      <c r="R1267" s="3" t="n"/>
      <c r="S1267" s="4" t="n"/>
      <c r="T1267" s="4" t="n"/>
    </row>
    <row r="1268">
      <c r="A1268" s="3" t="n">
        <v>1267</v>
      </c>
      <c r="B1268" s="3" t="inlineStr">
        <is>
          <t>DL010</t>
        </is>
      </c>
      <c r="C1268" s="4" t="inlineStr">
        <is>
          <t>Trang Huề( CuBờm TV)</t>
        </is>
      </c>
      <c r="D1268" s="3" t="inlineStr">
        <is>
          <t>HN</t>
        </is>
      </c>
      <c r="E1268" s="3" t="inlineStr">
        <is>
          <t>ĐIỆP</t>
        </is>
      </c>
      <c r="F1268" s="3" t="inlineStr">
        <is>
          <t>Tiktok, Shopee</t>
        </is>
      </c>
      <c r="G1268" s="4" t="inlineStr">
        <is>
          <t>SHOPEE: https://vn.shp.ee/m4gdctc3?fromSource=copy_link&amp;smtt=0.0.9 TIKTOK: https://vt.tiktok.com/ZS9UMHDPyXN53-XKjnc/ LAZADA: WEBSITE BÁN HÀNG:</t>
        </is>
      </c>
      <c r="H1268" s="3" t="inlineStr">
        <is>
          <t>KFJ-535</t>
        </is>
      </c>
      <c r="I1268" s="4" t="inlineStr">
        <is>
          <t>Vít bê tông không dùng tắc kê KFJ-535</t>
        </is>
      </c>
      <c r="J1268" s="3" t="inlineStr">
        <is>
          <t>Hộp</t>
        </is>
      </c>
      <c r="K1268" s="5" t="n">
        <v>81000</v>
      </c>
      <c r="L1268" s="5" t="n">
        <v>101000</v>
      </c>
      <c r="M1268" s="6" t="n">
        <v>130000</v>
      </c>
      <c r="N1268" s="5" t="n"/>
      <c r="O1268" s="5">
        <f>IF(AND(ISNUMBER(N1268),ISNUMBER(M1268)),N1268-M1268,"")</f>
        <v/>
      </c>
      <c r="P1268" s="7">
        <f>IF(AND(ISNUMBER(N1268),ISNUMBER(M1268),M1268&gt;0),(N1268-M1268)/M1268,"")</f>
        <v/>
      </c>
      <c r="Q1268" s="3">
        <f>IF(P1268="","",IF(P1268&lt;-0.02,"🔴 Bán phá giá sàn",IF(P1268&gt;0.05,"🔵 Bán cao hơn","🟢 Đúng giá sàn TMĐT")))</f>
        <v/>
      </c>
      <c r="R1268" s="3" t="n"/>
      <c r="S1268" s="4" t="n"/>
      <c r="T1268" s="4" t="n"/>
    </row>
    <row r="1269">
      <c r="A1269" s="3" t="n">
        <v>1268</v>
      </c>
      <c r="B1269" s="3" t="inlineStr">
        <is>
          <t>DL010</t>
        </is>
      </c>
      <c r="C1269" s="4" t="inlineStr">
        <is>
          <t>Trang Huề( CuBờm TV)</t>
        </is>
      </c>
      <c r="D1269" s="3" t="inlineStr">
        <is>
          <t>HN</t>
        </is>
      </c>
      <c r="E1269" s="3" t="inlineStr">
        <is>
          <t>ĐIỆP</t>
        </is>
      </c>
      <c r="F1269" s="3" t="inlineStr">
        <is>
          <t>Tiktok, Shopee</t>
        </is>
      </c>
      <c r="G1269" s="4" t="inlineStr">
        <is>
          <t>SHOPEE: https://vn.shp.ee/m4gdctc3?fromSource=copy_link&amp;smtt=0.0.9 TIKTOK: https://vt.tiktok.com/ZS9UMHDPyXN53-XKjnc/ LAZADA: WEBSITE BÁN HÀNG:</t>
        </is>
      </c>
      <c r="H1269" s="3" t="inlineStr">
        <is>
          <t>KFJ-545</t>
        </is>
      </c>
      <c r="I1269" s="4" t="inlineStr">
        <is>
          <t>Vít bê tông không dùng tắc kê KFJ-545</t>
        </is>
      </c>
      <c r="J1269" s="3" t="inlineStr">
        <is>
          <t>Hộp</t>
        </is>
      </c>
      <c r="K1269" s="5" t="n">
        <v>81000</v>
      </c>
      <c r="L1269" s="5" t="n">
        <v>101000</v>
      </c>
      <c r="M1269" s="6" t="n">
        <v>130000</v>
      </c>
      <c r="N1269" s="5" t="n"/>
      <c r="O1269" s="5">
        <f>IF(AND(ISNUMBER(N1269),ISNUMBER(M1269)),N1269-M1269,"")</f>
        <v/>
      </c>
      <c r="P1269" s="7">
        <f>IF(AND(ISNUMBER(N1269),ISNUMBER(M1269),M1269&gt;0),(N1269-M1269)/M1269,"")</f>
        <v/>
      </c>
      <c r="Q1269" s="3">
        <f>IF(P1269="","",IF(P1269&lt;-0.02,"🔴 Bán phá giá sàn",IF(P1269&gt;0.05,"🔵 Bán cao hơn","🟢 Đúng giá sàn TMĐT")))</f>
        <v/>
      </c>
      <c r="R1269" s="3" t="n"/>
      <c r="S1269" s="4" t="n"/>
      <c r="T1269" s="4" t="n"/>
    </row>
    <row r="1270">
      <c r="A1270" s="3" t="n">
        <v>1269</v>
      </c>
      <c r="B1270" s="3" t="inlineStr">
        <is>
          <t>DL010</t>
        </is>
      </c>
      <c r="C1270" s="4" t="inlineStr">
        <is>
          <t>Trang Huề( CuBờm TV)</t>
        </is>
      </c>
      <c r="D1270" s="3" t="inlineStr">
        <is>
          <t>HN</t>
        </is>
      </c>
      <c r="E1270" s="3" t="inlineStr">
        <is>
          <t>ĐIỆP</t>
        </is>
      </c>
      <c r="F1270" s="3" t="inlineStr">
        <is>
          <t>Tiktok, Shopee</t>
        </is>
      </c>
      <c r="G1270" s="4" t="inlineStr">
        <is>
          <t>SHOPEE: https://vn.shp.ee/m4gdctc3?fromSource=copy_link&amp;smtt=0.0.9 TIKTOK: https://vt.tiktok.com/ZS9UMHDPyXN53-XKjnc/ LAZADA: WEBSITE BÁN HÀNG:</t>
        </is>
      </c>
      <c r="H1270" s="3" t="inlineStr">
        <is>
          <t>KB4x100S</t>
        </is>
      </c>
      <c r="I1270" s="4" t="inlineStr">
        <is>
          <t>Vít KingBlue KB4x100S</t>
        </is>
      </c>
      <c r="J1270" s="3" t="inlineStr">
        <is>
          <t>Cái</t>
        </is>
      </c>
      <c r="K1270" s="5" t="n">
        <v>15000</v>
      </c>
      <c r="L1270" s="5" t="n">
        <v>19000</v>
      </c>
      <c r="M1270" s="6" t="n">
        <v>25000</v>
      </c>
      <c r="N1270" s="5" t="n"/>
      <c r="O1270" s="5">
        <f>IF(AND(ISNUMBER(N1270),ISNUMBER(M1270)),N1270-M1270,"")</f>
        <v/>
      </c>
      <c r="P1270" s="7">
        <f>IF(AND(ISNUMBER(N1270),ISNUMBER(M1270),M1270&gt;0),(N1270-M1270)/M1270,"")</f>
        <v/>
      </c>
      <c r="Q1270" s="3">
        <f>IF(P1270="","",IF(P1270&lt;-0.02,"🔴 Bán phá giá sàn",IF(P1270&gt;0.05,"🔵 Bán cao hơn","🟢 Đúng giá sàn TMĐT")))</f>
        <v/>
      </c>
      <c r="R1270" s="3" t="n"/>
      <c r="S1270" s="4" t="n"/>
      <c r="T1270" s="4" t="n"/>
    </row>
    <row r="1271">
      <c r="A1271" s="3" t="n">
        <v>1270</v>
      </c>
      <c r="B1271" s="3" t="inlineStr">
        <is>
          <t>DL010</t>
        </is>
      </c>
      <c r="C1271" s="4" t="inlineStr">
        <is>
          <t>Trang Huề( CuBờm TV)</t>
        </is>
      </c>
      <c r="D1271" s="3" t="inlineStr">
        <is>
          <t>HN</t>
        </is>
      </c>
      <c r="E1271" s="3" t="inlineStr">
        <is>
          <t>ĐIỆP</t>
        </is>
      </c>
      <c r="F1271" s="3" t="inlineStr">
        <is>
          <t>Tiktok, Shopee</t>
        </is>
      </c>
      <c r="G1271" s="4" t="inlineStr">
        <is>
          <t>SHOPEE: https://vn.shp.ee/m4gdctc3?fromSource=copy_link&amp;smtt=0.0.9 TIKTOK: https://vt.tiktok.com/ZS9UMHDPyXN53-XKjnc/ LAZADA: WEBSITE BÁN HÀNG:</t>
        </is>
      </c>
      <c r="H1271" s="3" t="inlineStr">
        <is>
          <t>KB4x65</t>
        </is>
      </c>
      <c r="I1271" s="4" t="inlineStr">
        <is>
          <t>Vít KingBlue KB4x65</t>
        </is>
      </c>
      <c r="J1271" s="3" t="inlineStr">
        <is>
          <t>Cái</t>
        </is>
      </c>
      <c r="K1271" s="5" t="n">
        <v>7500</v>
      </c>
      <c r="L1271" s="5" t="n">
        <v>10000</v>
      </c>
      <c r="M1271" s="6" t="n">
        <v>12500</v>
      </c>
      <c r="N1271" s="5" t="n"/>
      <c r="O1271" s="5">
        <f>IF(AND(ISNUMBER(N1271),ISNUMBER(M1271)),N1271-M1271,"")</f>
        <v/>
      </c>
      <c r="P1271" s="7">
        <f>IF(AND(ISNUMBER(N1271),ISNUMBER(M1271),M1271&gt;0),(N1271-M1271)/M1271,"")</f>
        <v/>
      </c>
      <c r="Q1271" s="3">
        <f>IF(P1271="","",IF(P1271&lt;-0.02,"🔴 Bán phá giá sàn",IF(P1271&gt;0.05,"🔵 Bán cao hơn","🟢 Đúng giá sàn TMĐT")))</f>
        <v/>
      </c>
      <c r="R1271" s="3" t="n"/>
      <c r="S1271" s="4" t="n"/>
      <c r="T1271" s="4" t="n"/>
    </row>
    <row r="1272">
      <c r="A1272" s="3" t="n">
        <v>1271</v>
      </c>
      <c r="B1272" s="3" t="inlineStr">
        <is>
          <t>DL010</t>
        </is>
      </c>
      <c r="C1272" s="4" t="inlineStr">
        <is>
          <t>Trang Huề( CuBờm TV)</t>
        </is>
      </c>
      <c r="D1272" s="3" t="inlineStr">
        <is>
          <t>HN</t>
        </is>
      </c>
      <c r="E1272" s="3" t="inlineStr">
        <is>
          <t>ĐIỆP</t>
        </is>
      </c>
      <c r="F1272" s="3" t="inlineStr">
        <is>
          <t>Tiktok, Shopee</t>
        </is>
      </c>
      <c r="G1272" s="4" t="inlineStr">
        <is>
          <t>SHOPEE: https://vn.shp.ee/m4gdctc3?fromSource=copy_link&amp;smtt=0.0.9 TIKTOK: https://vt.tiktok.com/ZS9UMHDPyXN53-XKjnc/ LAZADA: WEBSITE BÁN HÀNG:</t>
        </is>
      </c>
      <c r="H1272" s="3" t="inlineStr">
        <is>
          <t>KB4x65S</t>
        </is>
      </c>
      <c r="I1272" s="4" t="inlineStr">
        <is>
          <t>Vít KingBlue KB4x65S</t>
        </is>
      </c>
      <c r="J1272" s="3" t="inlineStr">
        <is>
          <t>Cái</t>
        </is>
      </c>
      <c r="K1272" s="5" t="n">
        <v>11000</v>
      </c>
      <c r="L1272" s="5" t="n">
        <v>14000</v>
      </c>
      <c r="M1272" s="6" t="n">
        <v>18000</v>
      </c>
      <c r="N1272" s="5" t="n"/>
      <c r="O1272" s="5">
        <f>IF(AND(ISNUMBER(N1272),ISNUMBER(M1272)),N1272-M1272,"")</f>
        <v/>
      </c>
      <c r="P1272" s="7">
        <f>IF(AND(ISNUMBER(N1272),ISNUMBER(M1272),M1272&gt;0),(N1272-M1272)/M1272,"")</f>
        <v/>
      </c>
      <c r="Q1272" s="3">
        <f>IF(P1272="","",IF(P1272&lt;-0.02,"🔴 Bán phá giá sàn",IF(P1272&gt;0.05,"🔵 Bán cao hơn","🟢 Đúng giá sàn TMĐT")))</f>
        <v/>
      </c>
      <c r="R1272" s="3" t="n"/>
      <c r="S1272" s="4" t="n"/>
      <c r="T1272" s="4" t="n"/>
    </row>
    <row r="1273">
      <c r="A1273" s="3" t="n">
        <v>1272</v>
      </c>
      <c r="B1273" s="3" t="inlineStr">
        <is>
          <t>DL011</t>
        </is>
      </c>
      <c r="C1273" s="4" t="inlineStr">
        <is>
          <t>Điện máy Tây Hồ</t>
        </is>
      </c>
      <c r="D1273" s="3" t="inlineStr">
        <is>
          <t>HN</t>
        </is>
      </c>
      <c r="E1273" s="3" t="inlineStr">
        <is>
          <t>Lan</t>
        </is>
      </c>
      <c r="F1273" s="3" t="inlineStr">
        <is>
          <t>Tiktok, Shopee</t>
        </is>
      </c>
      <c r="G1273" s="4" t="inlineStr">
        <is>
          <t>SHOPEE: https://s.shopee.vn/3g4ShzXApa TIKTOK: https://www.tiktok.com/@dienmaytayho?_r=1&amp;_t=ZS-9AUNOcUDXom LAZADA: WEBSITE BÁN HÀNG:</t>
        </is>
      </c>
      <c r="H1273" s="3" t="inlineStr">
        <is>
          <t>KJH-04</t>
        </is>
      </c>
      <c r="I1273" s="4" t="inlineStr">
        <is>
          <t>Dao rọc cáp đa năng KJH-04</t>
        </is>
      </c>
      <c r="J1273" s="3" t="inlineStr">
        <is>
          <t>Cái</t>
        </is>
      </c>
      <c r="K1273" s="5" t="n">
        <v>121000</v>
      </c>
      <c r="L1273" s="5" t="n">
        <v>143000</v>
      </c>
      <c r="M1273" s="6" t="n">
        <v>176000</v>
      </c>
      <c r="N1273" s="5" t="n"/>
      <c r="O1273" s="5">
        <f>IF(AND(ISNUMBER(N1273),ISNUMBER(M1273)),N1273-M1273,"")</f>
        <v/>
      </c>
      <c r="P1273" s="7">
        <f>IF(AND(ISNUMBER(N1273),ISNUMBER(M1273),M1273&gt;0),(N1273-M1273)/M1273,"")</f>
        <v/>
      </c>
      <c r="Q1273" s="3">
        <f>IF(P1273="","",IF(P1273&lt;-0.02,"🔴 Bán phá giá sàn",IF(P1273&gt;0.05,"🔵 Bán cao hơn","🟢 Đúng giá sàn TMĐT")))</f>
        <v/>
      </c>
      <c r="R1273" s="3" t="n"/>
      <c r="S1273" s="4" t="n"/>
      <c r="T1273" s="4" t="n"/>
    </row>
    <row r="1274">
      <c r="A1274" s="3" t="n">
        <v>1273</v>
      </c>
      <c r="B1274" s="3" t="inlineStr">
        <is>
          <t>DL011</t>
        </is>
      </c>
      <c r="C1274" s="4" t="inlineStr">
        <is>
          <t>Điện máy Tây Hồ</t>
        </is>
      </c>
      <c r="D1274" s="3" t="inlineStr">
        <is>
          <t>HN</t>
        </is>
      </c>
      <c r="E1274" s="3" t="inlineStr">
        <is>
          <t>Lan</t>
        </is>
      </c>
      <c r="F1274" s="3" t="inlineStr">
        <is>
          <t>Tiktok, Shopee</t>
        </is>
      </c>
      <c r="G1274" s="4" t="inlineStr">
        <is>
          <t>SHOPEE: https://s.shopee.vn/3g4ShzXApa TIKTOK: https://www.tiktok.com/@dienmaytayho?_r=1&amp;_t=ZS-9AUNOcUDXom LAZADA: WEBSITE BÁN HÀNG:</t>
        </is>
      </c>
      <c r="H1274" s="3" t="inlineStr">
        <is>
          <t>KJH-06</t>
        </is>
      </c>
      <c r="I1274" s="4" t="inlineStr">
        <is>
          <t>Dao rọc cáp đa năng KJH-06</t>
        </is>
      </c>
      <c r="J1274" s="3" t="inlineStr">
        <is>
          <t>Cái</t>
        </is>
      </c>
      <c r="K1274" s="5" t="n">
        <v>171000</v>
      </c>
      <c r="L1274" s="5" t="n">
        <v>202000</v>
      </c>
      <c r="M1274" s="6" t="n">
        <v>248000</v>
      </c>
      <c r="N1274" s="5" t="n"/>
      <c r="O1274" s="5">
        <f>IF(AND(ISNUMBER(N1274),ISNUMBER(M1274)),N1274-M1274,"")</f>
        <v/>
      </c>
      <c r="P1274" s="7">
        <f>IF(AND(ISNUMBER(N1274),ISNUMBER(M1274),M1274&gt;0),(N1274-M1274)/M1274,"")</f>
        <v/>
      </c>
      <c r="Q1274" s="3">
        <f>IF(P1274="","",IF(P1274&lt;-0.02,"🔴 Bán phá giá sàn",IF(P1274&gt;0.05,"🔵 Bán cao hơn","🟢 Đúng giá sàn TMĐT")))</f>
        <v/>
      </c>
      <c r="R1274" s="3" t="n"/>
      <c r="S1274" s="4" t="n"/>
      <c r="T1274" s="4" t="n"/>
    </row>
    <row r="1275">
      <c r="A1275" s="3" t="n">
        <v>1274</v>
      </c>
      <c r="B1275" s="3" t="inlineStr">
        <is>
          <t>DL011</t>
        </is>
      </c>
      <c r="C1275" s="4" t="inlineStr">
        <is>
          <t>Điện máy Tây Hồ</t>
        </is>
      </c>
      <c r="D1275" s="3" t="inlineStr">
        <is>
          <t>HN</t>
        </is>
      </c>
      <c r="E1275" s="3" t="inlineStr">
        <is>
          <t>Lan</t>
        </is>
      </c>
      <c r="F1275" s="3" t="inlineStr">
        <is>
          <t>Tiktok, Shopee</t>
        </is>
      </c>
      <c r="G1275" s="4" t="inlineStr">
        <is>
          <t>SHOPEE: https://s.shopee.vn/3g4ShzXApa TIKTOK: https://www.tiktok.com/@dienmaytayho?_r=1&amp;_t=ZS-9AUNOcUDXom LAZADA: WEBSITE BÁN HÀNG:</t>
        </is>
      </c>
      <c r="H1275" s="3" t="inlineStr">
        <is>
          <t>CM13</t>
        </is>
      </c>
      <c r="I1275" s="4" t="inlineStr">
        <is>
          <t>Đầu chụp bulon KingBlue CM13</t>
        </is>
      </c>
      <c r="J1275" s="3" t="inlineStr">
        <is>
          <t>Hộp</t>
        </is>
      </c>
      <c r="K1275" s="5" t="n">
        <v>105000</v>
      </c>
      <c r="L1275" s="5" t="n">
        <v>132000</v>
      </c>
      <c r="M1275" s="6" t="n">
        <v>173000</v>
      </c>
      <c r="N1275" s="5" t="n"/>
      <c r="O1275" s="5">
        <f>IF(AND(ISNUMBER(N1275),ISNUMBER(M1275)),N1275-M1275,"")</f>
        <v/>
      </c>
      <c r="P1275" s="7">
        <f>IF(AND(ISNUMBER(N1275),ISNUMBER(M1275),M1275&gt;0),(N1275-M1275)/M1275,"")</f>
        <v/>
      </c>
      <c r="Q1275" s="3">
        <f>IF(P1275="","",IF(P1275&lt;-0.02,"🔴 Bán phá giá sàn",IF(P1275&gt;0.05,"🔵 Bán cao hơn","🟢 Đúng giá sàn TMĐT")))</f>
        <v/>
      </c>
      <c r="R1275" s="3" t="n"/>
      <c r="S1275" s="4" t="n"/>
      <c r="T1275" s="4" t="n"/>
    </row>
    <row r="1276">
      <c r="A1276" s="3" t="n">
        <v>1275</v>
      </c>
      <c r="B1276" s="3" t="inlineStr">
        <is>
          <t>DL011</t>
        </is>
      </c>
      <c r="C1276" s="4" t="inlineStr">
        <is>
          <t>Điện máy Tây Hồ</t>
        </is>
      </c>
      <c r="D1276" s="3" t="inlineStr">
        <is>
          <t>HN</t>
        </is>
      </c>
      <c r="E1276" s="3" t="inlineStr">
        <is>
          <t>Lan</t>
        </is>
      </c>
      <c r="F1276" s="3" t="inlineStr">
        <is>
          <t>Tiktok, Shopee</t>
        </is>
      </c>
      <c r="G1276" s="4" t="inlineStr">
        <is>
          <t>SHOPEE: https://s.shopee.vn/3g4ShzXApa TIKTOK: https://www.tiktok.com/@dienmaytayho?_r=1&amp;_t=ZS-9AUNOcUDXom LAZADA: WEBSITE BÁN HÀNG:</t>
        </is>
      </c>
      <c r="H1276" s="3" t="inlineStr">
        <is>
          <t>CM17</t>
        </is>
      </c>
      <c r="I1276" s="4" t="inlineStr">
        <is>
          <t>Đầu chụp bulon KingBlue CM17</t>
        </is>
      </c>
      <c r="J1276" s="3" t="inlineStr">
        <is>
          <t>Hộp</t>
        </is>
      </c>
      <c r="K1276" s="5" t="n">
        <v>110000</v>
      </c>
      <c r="L1276" s="5" t="n">
        <v>139000</v>
      </c>
      <c r="M1276" s="6" t="n">
        <v>182000</v>
      </c>
      <c r="N1276" s="5" t="n"/>
      <c r="O1276" s="5">
        <f>IF(AND(ISNUMBER(N1276),ISNUMBER(M1276)),N1276-M1276,"")</f>
        <v/>
      </c>
      <c r="P1276" s="7">
        <f>IF(AND(ISNUMBER(N1276),ISNUMBER(M1276),M1276&gt;0),(N1276-M1276)/M1276,"")</f>
        <v/>
      </c>
      <c r="Q1276" s="3">
        <f>IF(P1276="","",IF(P1276&lt;-0.02,"🔴 Bán phá giá sàn",IF(P1276&gt;0.05,"🔵 Bán cao hơn","🟢 Đúng giá sàn TMĐT")))</f>
        <v/>
      </c>
      <c r="R1276" s="3" t="n"/>
      <c r="S1276" s="4" t="n"/>
      <c r="T1276" s="4" t="n"/>
    </row>
    <row r="1277">
      <c r="A1277" s="3" t="n">
        <v>1276</v>
      </c>
      <c r="B1277" s="3" t="inlineStr">
        <is>
          <t>DL011</t>
        </is>
      </c>
      <c r="C1277" s="4" t="inlineStr">
        <is>
          <t>Điện máy Tây Hồ</t>
        </is>
      </c>
      <c r="D1277" s="3" t="inlineStr">
        <is>
          <t>HN</t>
        </is>
      </c>
      <c r="E1277" s="3" t="inlineStr">
        <is>
          <t>Lan</t>
        </is>
      </c>
      <c r="F1277" s="3" t="inlineStr">
        <is>
          <t>Tiktok, Shopee</t>
        </is>
      </c>
      <c r="G1277" s="4" t="inlineStr">
        <is>
          <t>SHOPEE: https://s.shopee.vn/3g4ShzXApa TIKTOK: https://www.tiktok.com/@dienmaytayho?_r=1&amp;_t=ZS-9AUNOcUDXom LAZADA: WEBSITE BÁN HÀNG:</t>
        </is>
      </c>
      <c r="H1277" s="3" t="inlineStr">
        <is>
          <t>KBY3-040CO</t>
        </is>
      </c>
      <c r="I1277" s="4" t="inlineStr">
        <is>
          <t>Khoan inox chuôi lục KBY3-040CO</t>
        </is>
      </c>
      <c r="J1277" s="3" t="inlineStr">
        <is>
          <t>Vỉ</t>
        </is>
      </c>
      <c r="K1277" s="5" t="n">
        <v>40000</v>
      </c>
      <c r="L1277" s="5" t="n">
        <v>50000</v>
      </c>
      <c r="M1277" s="6" t="n">
        <v>64000</v>
      </c>
      <c r="N1277" s="5" t="n"/>
      <c r="O1277" s="5">
        <f>IF(AND(ISNUMBER(N1277),ISNUMBER(M1277)),N1277-M1277,"")</f>
        <v/>
      </c>
      <c r="P1277" s="7">
        <f>IF(AND(ISNUMBER(N1277),ISNUMBER(M1277),M1277&gt;0),(N1277-M1277)/M1277,"")</f>
        <v/>
      </c>
      <c r="Q1277" s="3">
        <f>IF(P1277="","",IF(P1277&lt;-0.02,"🔴 Bán phá giá sàn",IF(P1277&gt;0.05,"🔵 Bán cao hơn","🟢 Đúng giá sàn TMĐT")))</f>
        <v/>
      </c>
      <c r="R1277" s="3" t="n"/>
      <c r="S1277" s="4" t="n"/>
      <c r="T1277" s="4" t="n"/>
    </row>
    <row r="1278">
      <c r="A1278" s="3" t="n">
        <v>1277</v>
      </c>
      <c r="B1278" s="3" t="inlineStr">
        <is>
          <t>DL011</t>
        </is>
      </c>
      <c r="C1278" s="4" t="inlineStr">
        <is>
          <t>Điện máy Tây Hồ</t>
        </is>
      </c>
      <c r="D1278" s="3" t="inlineStr">
        <is>
          <t>HN</t>
        </is>
      </c>
      <c r="E1278" s="3" t="inlineStr">
        <is>
          <t>Lan</t>
        </is>
      </c>
      <c r="F1278" s="3" t="inlineStr">
        <is>
          <t>Tiktok, Shopee</t>
        </is>
      </c>
      <c r="G1278" s="4" t="inlineStr">
        <is>
          <t>SHOPEE: https://s.shopee.vn/3g4ShzXApa TIKTOK: https://www.tiktok.com/@dienmaytayho?_r=1&amp;_t=ZS-9AUNOcUDXom LAZADA: WEBSITE BÁN HÀNG:</t>
        </is>
      </c>
      <c r="H1278" s="3" t="inlineStr">
        <is>
          <t>KBY3-060CO</t>
        </is>
      </c>
      <c r="I1278" s="4" t="inlineStr">
        <is>
          <t>Khoan inox chuôi lục KBY3-060CO</t>
        </is>
      </c>
      <c r="J1278" s="3" t="inlineStr">
        <is>
          <t>Vỉ</t>
        </is>
      </c>
      <c r="K1278" s="5" t="n">
        <v>65000</v>
      </c>
      <c r="L1278" s="5" t="n">
        <v>81000</v>
      </c>
      <c r="M1278" s="6" t="n">
        <v>104000</v>
      </c>
      <c r="N1278" s="5" t="n"/>
      <c r="O1278" s="5">
        <f>IF(AND(ISNUMBER(N1278),ISNUMBER(M1278)),N1278-M1278,"")</f>
        <v/>
      </c>
      <c r="P1278" s="7">
        <f>IF(AND(ISNUMBER(N1278),ISNUMBER(M1278),M1278&gt;0),(N1278-M1278)/M1278,"")</f>
        <v/>
      </c>
      <c r="Q1278" s="3">
        <f>IF(P1278="","",IF(P1278&lt;-0.02,"🔴 Bán phá giá sàn",IF(P1278&gt;0.05,"🔵 Bán cao hơn","🟢 Đúng giá sàn TMĐT")))</f>
        <v/>
      </c>
      <c r="R1278" s="3" t="n"/>
      <c r="S1278" s="4" t="n"/>
      <c r="T1278" s="4" t="n"/>
    </row>
    <row r="1279">
      <c r="A1279" s="3" t="n">
        <v>1278</v>
      </c>
      <c r="B1279" s="3" t="inlineStr">
        <is>
          <t>DL011</t>
        </is>
      </c>
      <c r="C1279" s="4" t="inlineStr">
        <is>
          <t>Điện máy Tây Hồ</t>
        </is>
      </c>
      <c r="D1279" s="3" t="inlineStr">
        <is>
          <t>HN</t>
        </is>
      </c>
      <c r="E1279" s="3" t="inlineStr">
        <is>
          <t>Lan</t>
        </is>
      </c>
      <c r="F1279" s="3" t="inlineStr">
        <is>
          <t>Tiktok, Shopee</t>
        </is>
      </c>
      <c r="G1279" s="4" t="inlineStr">
        <is>
          <t>SHOPEE: https://s.shopee.vn/3g4ShzXApa TIKTOK: https://www.tiktok.com/@dienmaytayho?_r=1&amp;_t=ZS-9AUNOcUDXom LAZADA: WEBSITE BÁN HÀNG:</t>
        </is>
      </c>
      <c r="H1279" s="3" t="inlineStr">
        <is>
          <t>JH-06</t>
        </is>
      </c>
      <c r="I1279" s="4" t="inlineStr">
        <is>
          <t>Lưỡi dao rọc cáp đa năng JH-06</t>
        </is>
      </c>
      <c r="J1279" s="3" t="inlineStr">
        <is>
          <t>Vỉ</t>
        </is>
      </c>
      <c r="K1279" s="5" t="n">
        <v>22000</v>
      </c>
      <c r="L1279" s="5" t="n">
        <v>26000</v>
      </c>
      <c r="M1279" s="6" t="n">
        <v>32000</v>
      </c>
      <c r="N1279" s="5" t="n"/>
      <c r="O1279" s="5">
        <f>IF(AND(ISNUMBER(N1279),ISNUMBER(M1279)),N1279-M1279,"")</f>
        <v/>
      </c>
      <c r="P1279" s="7">
        <f>IF(AND(ISNUMBER(N1279),ISNUMBER(M1279),M1279&gt;0),(N1279-M1279)/M1279,"")</f>
        <v/>
      </c>
      <c r="Q1279" s="3">
        <f>IF(P1279="","",IF(P1279&lt;-0.02,"🔴 Bán phá giá sàn",IF(P1279&gt;0.05,"🔵 Bán cao hơn","🟢 Đúng giá sàn TMĐT")))</f>
        <v/>
      </c>
      <c r="R1279" s="3" t="n"/>
      <c r="S1279" s="4" t="n"/>
      <c r="T1279" s="4" t="n"/>
    </row>
    <row r="1280">
      <c r="A1280" s="3" t="n">
        <v>1279</v>
      </c>
      <c r="B1280" s="3" t="inlineStr">
        <is>
          <t>DL011</t>
        </is>
      </c>
      <c r="C1280" s="4" t="inlineStr">
        <is>
          <t>Điện máy Tây Hồ</t>
        </is>
      </c>
      <c r="D1280" s="3" t="inlineStr">
        <is>
          <t>HN</t>
        </is>
      </c>
      <c r="E1280" s="3" t="inlineStr">
        <is>
          <t>Lan</t>
        </is>
      </c>
      <c r="F1280" s="3" t="inlineStr">
        <is>
          <t>Tiktok, Shopee</t>
        </is>
      </c>
      <c r="G1280" s="4" t="inlineStr">
        <is>
          <t>SHOPEE: https://s.shopee.vn/3g4ShzXApa TIKTOK: https://www.tiktok.com/@dienmaytayho?_r=1&amp;_t=ZS-9AUNOcUDXom LAZADA: WEBSITE BÁN HÀNG:</t>
        </is>
      </c>
      <c r="H1280" s="3" t="inlineStr">
        <is>
          <t>KM18VD</t>
        </is>
      </c>
      <c r="I1280" s="4" t="inlineStr">
        <is>
          <t>Máy Bắn Vít 18V KM18VD</t>
        </is>
      </c>
      <c r="J1280" s="3" t="inlineStr">
        <is>
          <t>Cái</t>
        </is>
      </c>
      <c r="K1280" s="5" t="n">
        <v>1720000</v>
      </c>
      <c r="L1280" s="5" t="n">
        <v>1890000</v>
      </c>
      <c r="M1280" s="6" t="n">
        <v>2150000</v>
      </c>
      <c r="N1280" s="5" t="n"/>
      <c r="O1280" s="5">
        <f>IF(AND(ISNUMBER(N1280),ISNUMBER(M1280)),N1280-M1280,"")</f>
        <v/>
      </c>
      <c r="P1280" s="7">
        <f>IF(AND(ISNUMBER(N1280),ISNUMBER(M1280),M1280&gt;0),(N1280-M1280)/M1280,"")</f>
        <v/>
      </c>
      <c r="Q1280" s="3">
        <f>IF(P1280="","",IF(P1280&lt;-0.02,"🔴 Bán phá giá sàn",IF(P1280&gt;0.05,"🔵 Bán cao hơn","🟢 Đúng giá sàn TMĐT")))</f>
        <v/>
      </c>
      <c r="R1280" s="3" t="n"/>
      <c r="S1280" s="4" t="n"/>
      <c r="T1280" s="4" t="n"/>
    </row>
    <row r="1281">
      <c r="A1281" s="3" t="n">
        <v>1280</v>
      </c>
      <c r="B1281" s="3" t="inlineStr">
        <is>
          <t>DL011</t>
        </is>
      </c>
      <c r="C1281" s="4" t="inlineStr">
        <is>
          <t>Điện máy Tây Hồ</t>
        </is>
      </c>
      <c r="D1281" s="3" t="inlineStr">
        <is>
          <t>HN</t>
        </is>
      </c>
      <c r="E1281" s="3" t="inlineStr">
        <is>
          <t>Lan</t>
        </is>
      </c>
      <c r="F1281" s="3" t="inlineStr">
        <is>
          <t>Tiktok, Shopee</t>
        </is>
      </c>
      <c r="G1281" s="4" t="inlineStr">
        <is>
          <t>SHOPEE: https://s.shopee.vn/3g4ShzXApa TIKTOK: https://www.tiktok.com/@dienmaytayho?_r=1&amp;_t=ZS-9AUNOcUDXom LAZADA: WEBSITE BÁN HÀNG:</t>
        </is>
      </c>
      <c r="H1281" s="3" t="inlineStr">
        <is>
          <t>KB-02XS</t>
        </is>
      </c>
      <c r="I1281" s="4" t="inlineStr">
        <is>
          <t>Máy cân bằng KB-02XS</t>
        </is>
      </c>
      <c r="J1281" s="3" t="inlineStr">
        <is>
          <t>Cái</t>
        </is>
      </c>
      <c r="K1281" s="5" t="n">
        <v>269000</v>
      </c>
      <c r="L1281" s="5" t="n">
        <v>317000</v>
      </c>
      <c r="M1281" s="6" t="n">
        <v>390000</v>
      </c>
      <c r="N1281" s="5" t="n"/>
      <c r="O1281" s="5">
        <f>IF(AND(ISNUMBER(N1281),ISNUMBER(M1281)),N1281-M1281,"")</f>
        <v/>
      </c>
      <c r="P1281" s="7">
        <f>IF(AND(ISNUMBER(N1281),ISNUMBER(M1281),M1281&gt;0),(N1281-M1281)/M1281,"")</f>
        <v/>
      </c>
      <c r="Q1281" s="3">
        <f>IF(P1281="","",IF(P1281&lt;-0.02,"🔴 Bán phá giá sàn",IF(P1281&gt;0.05,"🔵 Bán cao hơn","🟢 Đúng giá sàn TMĐT")))</f>
        <v/>
      </c>
      <c r="R1281" s="3" t="n"/>
      <c r="S1281" s="4" t="n"/>
      <c r="T1281" s="4" t="n"/>
    </row>
    <row r="1282">
      <c r="A1282" s="3" t="n">
        <v>1281</v>
      </c>
      <c r="B1282" s="3" t="inlineStr">
        <is>
          <t>DL011</t>
        </is>
      </c>
      <c r="C1282" s="4" t="inlineStr">
        <is>
          <t>Điện máy Tây Hồ</t>
        </is>
      </c>
      <c r="D1282" s="3" t="inlineStr">
        <is>
          <t>HN</t>
        </is>
      </c>
      <c r="E1282" s="3" t="inlineStr">
        <is>
          <t>Lan</t>
        </is>
      </c>
      <c r="F1282" s="3" t="inlineStr">
        <is>
          <t>Tiktok, Shopee</t>
        </is>
      </c>
      <c r="G1282" s="4" t="inlineStr">
        <is>
          <t>SHOPEE: https://s.shopee.vn/3g4ShzXApa TIKTOK: https://www.tiktok.com/@dienmaytayho?_r=1&amp;_t=ZS-9AUNOcUDXom LAZADA: WEBSITE BÁN HÀNG:</t>
        </is>
      </c>
      <c r="H1282" s="3" t="inlineStr">
        <is>
          <t>KM18CK</t>
        </is>
      </c>
      <c r="I1282" s="4" t="inlineStr">
        <is>
          <t>Máy Cưa Kiếm 18V KM18CK</t>
        </is>
      </c>
      <c r="J1282" s="3" t="inlineStr">
        <is>
          <t>Cái</t>
        </is>
      </c>
      <c r="K1282" s="5" t="n">
        <v>2110000</v>
      </c>
      <c r="L1282" s="5" t="n">
        <v>2320000</v>
      </c>
      <c r="M1282" s="6" t="n">
        <v>2640000</v>
      </c>
      <c r="N1282" s="5" t="n"/>
      <c r="O1282" s="5">
        <f>IF(AND(ISNUMBER(N1282),ISNUMBER(M1282)),N1282-M1282,"")</f>
        <v/>
      </c>
      <c r="P1282" s="7">
        <f>IF(AND(ISNUMBER(N1282),ISNUMBER(M1282),M1282&gt;0),(N1282-M1282)/M1282,"")</f>
        <v/>
      </c>
      <c r="Q1282" s="3">
        <f>IF(P1282="","",IF(P1282&lt;-0.02,"🔴 Bán phá giá sàn",IF(P1282&gt;0.05,"🔵 Bán cao hơn","🟢 Đúng giá sàn TMĐT")))</f>
        <v/>
      </c>
      <c r="R1282" s="3" t="n"/>
      <c r="S1282" s="4" t="n"/>
      <c r="T1282" s="4" t="n"/>
    </row>
    <row r="1283">
      <c r="A1283" s="3" t="n">
        <v>1282</v>
      </c>
      <c r="B1283" s="3" t="inlineStr">
        <is>
          <t>DL011</t>
        </is>
      </c>
      <c r="C1283" s="4" t="inlineStr">
        <is>
          <t>Điện máy Tây Hồ</t>
        </is>
      </c>
      <c r="D1283" s="3" t="inlineStr">
        <is>
          <t>HN</t>
        </is>
      </c>
      <c r="E1283" s="3" t="inlineStr">
        <is>
          <t>Lan</t>
        </is>
      </c>
      <c r="F1283" s="3" t="inlineStr">
        <is>
          <t>Tiktok, Shopee</t>
        </is>
      </c>
      <c r="G1283" s="4" t="inlineStr">
        <is>
          <t>SHOPEE: https://s.shopee.vn/3g4ShzXApa TIKTOK: https://www.tiktok.com/@dienmaytayho?_r=1&amp;_t=ZS-9AUNOcUDXom LAZADA: WEBSITE BÁN HÀNG:</t>
        </is>
      </c>
      <c r="H1283" s="3" t="inlineStr">
        <is>
          <t>KM18QE</t>
        </is>
      </c>
      <c r="I1283" s="4" t="inlineStr">
        <is>
          <t>Máy Khoan 3 chức năng 18V KM18QE</t>
        </is>
      </c>
      <c r="J1283" s="3" t="inlineStr">
        <is>
          <t>Cái</t>
        </is>
      </c>
      <c r="K1283" s="5" t="n">
        <v>2110000</v>
      </c>
      <c r="L1283" s="5" t="n">
        <v>2320000</v>
      </c>
      <c r="M1283" s="6" t="n">
        <v>2640000</v>
      </c>
      <c r="N1283" s="5" t="n"/>
      <c r="O1283" s="5">
        <f>IF(AND(ISNUMBER(N1283),ISNUMBER(M1283)),N1283-M1283,"")</f>
        <v/>
      </c>
      <c r="P1283" s="7">
        <f>IF(AND(ISNUMBER(N1283),ISNUMBER(M1283),M1283&gt;0),(N1283-M1283)/M1283,"")</f>
        <v/>
      </c>
      <c r="Q1283" s="3">
        <f>IF(P1283="","",IF(P1283&lt;-0.02,"🔴 Bán phá giá sàn",IF(P1283&gt;0.05,"🔵 Bán cao hơn","🟢 Đúng giá sàn TMĐT")))</f>
        <v/>
      </c>
      <c r="R1283" s="3" t="n"/>
      <c r="S1283" s="4" t="n"/>
      <c r="T1283" s="4" t="n"/>
    </row>
    <row r="1284">
      <c r="A1284" s="3" t="n">
        <v>1283</v>
      </c>
      <c r="B1284" s="3" t="inlineStr">
        <is>
          <t>DL011</t>
        </is>
      </c>
      <c r="C1284" s="4" t="inlineStr">
        <is>
          <t>Điện máy Tây Hồ</t>
        </is>
      </c>
      <c r="D1284" s="3" t="inlineStr">
        <is>
          <t>HN</t>
        </is>
      </c>
      <c r="E1284" s="3" t="inlineStr">
        <is>
          <t>Lan</t>
        </is>
      </c>
      <c r="F1284" s="3" t="inlineStr">
        <is>
          <t>Tiktok, Shopee</t>
        </is>
      </c>
      <c r="G1284" s="4" t="inlineStr">
        <is>
          <t>SHOPEE: https://s.shopee.vn/3g4ShzXApa TIKTOK: https://www.tiktok.com/@dienmaytayho?_r=1&amp;_t=ZS-9AUNOcUDXom LAZADA: WEBSITE BÁN HÀNG:</t>
        </is>
      </c>
      <c r="H1284" s="3" t="inlineStr">
        <is>
          <t>V100S</t>
        </is>
      </c>
      <c r="I1284" s="4" t="inlineStr">
        <is>
          <t>Mũi bắn vít PH2 V100S</t>
        </is>
      </c>
      <c r="J1284" s="3" t="inlineStr">
        <is>
          <t>Vỉ</t>
        </is>
      </c>
      <c r="K1284" s="5" t="n">
        <v>44000</v>
      </c>
      <c r="L1284" s="5" t="n">
        <v>56000</v>
      </c>
      <c r="M1284" s="6" t="n">
        <v>73000</v>
      </c>
      <c r="N1284" s="5" t="n"/>
      <c r="O1284" s="5">
        <f>IF(AND(ISNUMBER(N1284),ISNUMBER(M1284)),N1284-M1284,"")</f>
        <v/>
      </c>
      <c r="P1284" s="7">
        <f>IF(AND(ISNUMBER(N1284),ISNUMBER(M1284),M1284&gt;0),(N1284-M1284)/M1284,"")</f>
        <v/>
      </c>
      <c r="Q1284" s="3">
        <f>IF(P1284="","",IF(P1284&lt;-0.02,"🔴 Bán phá giá sàn",IF(P1284&gt;0.05,"🔵 Bán cao hơn","🟢 Đúng giá sàn TMĐT")))</f>
        <v/>
      </c>
      <c r="R1284" s="3" t="n"/>
      <c r="S1284" s="4" t="n"/>
      <c r="T1284" s="4" t="n"/>
    </row>
    <row r="1285">
      <c r="A1285" s="3" t="n">
        <v>1284</v>
      </c>
      <c r="B1285" s="3" t="inlineStr">
        <is>
          <t>DL011</t>
        </is>
      </c>
      <c r="C1285" s="4" t="inlineStr">
        <is>
          <t>Điện máy Tây Hồ</t>
        </is>
      </c>
      <c r="D1285" s="3" t="inlineStr">
        <is>
          <t>HN</t>
        </is>
      </c>
      <c r="E1285" s="3" t="inlineStr">
        <is>
          <t>Lan</t>
        </is>
      </c>
      <c r="F1285" s="3" t="inlineStr">
        <is>
          <t>Tiktok, Shopee</t>
        </is>
      </c>
      <c r="G1285" s="4" t="inlineStr">
        <is>
          <t>SHOPEE: https://s.shopee.vn/3g4ShzXApa TIKTOK: https://www.tiktok.com/@dienmaytayho?_r=1&amp;_t=ZS-9AUNOcUDXom LAZADA: WEBSITE BÁN HÀNG:</t>
        </is>
      </c>
      <c r="H1285" s="3" t="inlineStr">
        <is>
          <t>V150S</t>
        </is>
      </c>
      <c r="I1285" s="4" t="inlineStr">
        <is>
          <t>Mũi bắn vít PH2 V150S</t>
        </is>
      </c>
      <c r="J1285" s="3" t="inlineStr">
        <is>
          <t>Vỉ</t>
        </is>
      </c>
      <c r="K1285" s="5" t="n">
        <v>54000</v>
      </c>
      <c r="L1285" s="5" t="n">
        <v>68000</v>
      </c>
      <c r="M1285" s="6" t="n">
        <v>89000</v>
      </c>
      <c r="N1285" s="5" t="n"/>
      <c r="O1285" s="5">
        <f>IF(AND(ISNUMBER(N1285),ISNUMBER(M1285)),N1285-M1285,"")</f>
        <v/>
      </c>
      <c r="P1285" s="7">
        <f>IF(AND(ISNUMBER(N1285),ISNUMBER(M1285),M1285&gt;0),(N1285-M1285)/M1285,"")</f>
        <v/>
      </c>
      <c r="Q1285" s="3">
        <f>IF(P1285="","",IF(P1285&lt;-0.02,"🔴 Bán phá giá sàn",IF(P1285&gt;0.05,"🔵 Bán cao hơn","🟢 Đúng giá sàn TMĐT")))</f>
        <v/>
      </c>
      <c r="R1285" s="3" t="n"/>
      <c r="S1285" s="4" t="n"/>
      <c r="T1285" s="4" t="n"/>
    </row>
    <row r="1286">
      <c r="A1286" s="3" t="n">
        <v>1285</v>
      </c>
      <c r="B1286" s="3" t="inlineStr">
        <is>
          <t>DL011</t>
        </is>
      </c>
      <c r="C1286" s="4" t="inlineStr">
        <is>
          <t>Điện máy Tây Hồ</t>
        </is>
      </c>
      <c r="D1286" s="3" t="inlineStr">
        <is>
          <t>HN</t>
        </is>
      </c>
      <c r="E1286" s="3" t="inlineStr">
        <is>
          <t>Lan</t>
        </is>
      </c>
      <c r="F1286" s="3" t="inlineStr">
        <is>
          <t>Tiktok, Shopee</t>
        </is>
      </c>
      <c r="G1286" s="4" t="inlineStr">
        <is>
          <t>SHOPEE: https://s.shopee.vn/3g4ShzXApa TIKTOK: https://www.tiktok.com/@dienmaytayho?_r=1&amp;_t=ZS-9AUNOcUDXom LAZADA: WEBSITE BÁN HÀNG:</t>
        </is>
      </c>
      <c r="H1286" s="3" t="inlineStr">
        <is>
          <t>V65S</t>
        </is>
      </c>
      <c r="I1286" s="4" t="inlineStr">
        <is>
          <t>Mũi bắn vít PH2 V65S</t>
        </is>
      </c>
      <c r="J1286" s="3" t="inlineStr">
        <is>
          <t>Vỉ</t>
        </is>
      </c>
      <c r="K1286" s="5" t="n">
        <v>30000</v>
      </c>
      <c r="L1286" s="5" t="n">
        <v>38000</v>
      </c>
      <c r="M1286" s="6" t="n">
        <v>50000</v>
      </c>
      <c r="N1286" s="5" t="n"/>
      <c r="O1286" s="5">
        <f>IF(AND(ISNUMBER(N1286),ISNUMBER(M1286)),N1286-M1286,"")</f>
        <v/>
      </c>
      <c r="P1286" s="7">
        <f>IF(AND(ISNUMBER(N1286),ISNUMBER(M1286),M1286&gt;0),(N1286-M1286)/M1286,"")</f>
        <v/>
      </c>
      <c r="Q1286" s="3">
        <f>IF(P1286="","",IF(P1286&lt;-0.02,"🔴 Bán phá giá sàn",IF(P1286&gt;0.05,"🔵 Bán cao hơn","🟢 Đúng giá sàn TMĐT")))</f>
        <v/>
      </c>
      <c r="R1286" s="3" t="n"/>
      <c r="S1286" s="4" t="n"/>
      <c r="T1286" s="4" t="n"/>
    </row>
    <row r="1287">
      <c r="A1287" s="3" t="n">
        <v>1286</v>
      </c>
      <c r="B1287" s="3" t="inlineStr">
        <is>
          <t>DL011</t>
        </is>
      </c>
      <c r="C1287" s="4" t="inlineStr">
        <is>
          <t>Điện máy Tây Hồ</t>
        </is>
      </c>
      <c r="D1287" s="3" t="inlineStr">
        <is>
          <t>HN</t>
        </is>
      </c>
      <c r="E1287" s="3" t="inlineStr">
        <is>
          <t>Lan</t>
        </is>
      </c>
      <c r="F1287" s="3" t="inlineStr">
        <is>
          <t>Tiktok, Shopee</t>
        </is>
      </c>
      <c r="G1287" s="4" t="inlineStr">
        <is>
          <t>SHOPEE: https://s.shopee.vn/3g4ShzXApa TIKTOK: https://www.tiktok.com/@dienmaytayho?_r=1&amp;_t=ZS-9AUNOcUDXom LAZADA: WEBSITE BÁN HÀNG:</t>
        </is>
      </c>
      <c r="H1287" s="3" t="inlineStr">
        <is>
          <t>KBL2-3.290</t>
        </is>
      </c>
      <c r="I1287" s="4" t="inlineStr">
        <is>
          <t>Mũi khoan bê tông không tắc kê KBL2-3.2*90</t>
        </is>
      </c>
      <c r="J1287" s="3" t="inlineStr">
        <is>
          <t>Cái</t>
        </is>
      </c>
      <c r="K1287" s="5" t="n">
        <v>23000</v>
      </c>
      <c r="L1287" s="5" t="n">
        <v>29000</v>
      </c>
      <c r="M1287" s="6" t="n">
        <v>38000</v>
      </c>
      <c r="N1287" s="5" t="n"/>
      <c r="O1287" s="5">
        <f>IF(AND(ISNUMBER(N1287),ISNUMBER(M1287)),N1287-M1287,"")</f>
        <v/>
      </c>
      <c r="P1287" s="7">
        <f>IF(AND(ISNUMBER(N1287),ISNUMBER(M1287),M1287&gt;0),(N1287-M1287)/M1287,"")</f>
        <v/>
      </c>
      <c r="Q1287" s="3">
        <f>IF(P1287="","",IF(P1287&lt;-0.02,"🔴 Bán phá giá sàn",IF(P1287&gt;0.05,"🔵 Bán cao hơn","🟢 Đúng giá sàn TMĐT")))</f>
        <v/>
      </c>
      <c r="R1287" s="3" t="n"/>
      <c r="S1287" s="4" t="n"/>
      <c r="T1287" s="4" t="n"/>
    </row>
    <row r="1288">
      <c r="A1288" s="3" t="n">
        <v>1287</v>
      </c>
      <c r="B1288" s="3" t="inlineStr">
        <is>
          <t>DL011</t>
        </is>
      </c>
      <c r="C1288" s="4" t="inlineStr">
        <is>
          <t>Điện máy Tây Hồ</t>
        </is>
      </c>
      <c r="D1288" s="3" t="inlineStr">
        <is>
          <t>HN</t>
        </is>
      </c>
      <c r="E1288" s="3" t="inlineStr">
        <is>
          <t>Lan</t>
        </is>
      </c>
      <c r="F1288" s="3" t="inlineStr">
        <is>
          <t>Tiktok, Shopee</t>
        </is>
      </c>
      <c r="G1288" s="4" t="inlineStr">
        <is>
          <t>SHOPEE: https://s.shopee.vn/3g4ShzXApa TIKTOK: https://www.tiktok.com/@dienmaytayho?_r=1&amp;_t=ZS-9AUNOcUDXom LAZADA: WEBSITE BÁN HÀNG:</t>
        </is>
      </c>
      <c r="H1288" s="3" t="inlineStr">
        <is>
          <t>KBL4S-10160</t>
        </is>
      </c>
      <c r="I1288" s="4" t="inlineStr">
        <is>
          <t>Mũi khoan đa năng chuôi gài 4 cạnh KBL4S-10*160</t>
        </is>
      </c>
      <c r="J1288" s="3" t="inlineStr">
        <is>
          <t>Cái</t>
        </is>
      </c>
      <c r="K1288" s="5" t="n">
        <v>40000</v>
      </c>
      <c r="L1288" s="5" t="n">
        <v>50000</v>
      </c>
      <c r="M1288" s="6" t="n">
        <v>64000</v>
      </c>
      <c r="N1288" s="5" t="n"/>
      <c r="O1288" s="5">
        <f>IF(AND(ISNUMBER(N1288),ISNUMBER(M1288)),N1288-M1288,"")</f>
        <v/>
      </c>
      <c r="P1288" s="7">
        <f>IF(AND(ISNUMBER(N1288),ISNUMBER(M1288),M1288&gt;0),(N1288-M1288)/M1288,"")</f>
        <v/>
      </c>
      <c r="Q1288" s="3">
        <f>IF(P1288="","",IF(P1288&lt;-0.02,"🔴 Bán phá giá sàn",IF(P1288&gt;0.05,"🔵 Bán cao hơn","🟢 Đúng giá sàn TMĐT")))</f>
        <v/>
      </c>
      <c r="R1288" s="3" t="n"/>
      <c r="S1288" s="4" t="n"/>
      <c r="T1288" s="4" t="n"/>
    </row>
    <row r="1289">
      <c r="A1289" s="3" t="n">
        <v>1288</v>
      </c>
      <c r="B1289" s="3" t="inlineStr">
        <is>
          <t>DL011</t>
        </is>
      </c>
      <c r="C1289" s="4" t="inlineStr">
        <is>
          <t>Điện máy Tây Hồ</t>
        </is>
      </c>
      <c r="D1289" s="3" t="inlineStr">
        <is>
          <t>HN</t>
        </is>
      </c>
      <c r="E1289" s="3" t="inlineStr">
        <is>
          <t>Lan</t>
        </is>
      </c>
      <c r="F1289" s="3" t="inlineStr">
        <is>
          <t>Tiktok, Shopee</t>
        </is>
      </c>
      <c r="G1289" s="4" t="inlineStr">
        <is>
          <t>SHOPEE: https://s.shopee.vn/3g4ShzXApa TIKTOK: https://www.tiktok.com/@dienmaytayho?_r=1&amp;_t=ZS-9AUNOcUDXom LAZADA: WEBSITE BÁN HÀNG:</t>
        </is>
      </c>
      <c r="H1289" s="3" t="inlineStr">
        <is>
          <t>KBL4S-12160</t>
        </is>
      </c>
      <c r="I1289" s="4" t="inlineStr">
        <is>
          <t>Mũi khoan đa năng chuôi gài 4 cạnh KBL4S-12*160</t>
        </is>
      </c>
      <c r="J1289" s="3" t="inlineStr">
        <is>
          <t>Cái</t>
        </is>
      </c>
      <c r="K1289" s="5" t="n">
        <v>46000</v>
      </c>
      <c r="L1289" s="5" t="n">
        <v>57000</v>
      </c>
      <c r="M1289" s="6" t="n">
        <v>74000</v>
      </c>
      <c r="N1289" s="5" t="n"/>
      <c r="O1289" s="5">
        <f>IF(AND(ISNUMBER(N1289),ISNUMBER(M1289)),N1289-M1289,"")</f>
        <v/>
      </c>
      <c r="P1289" s="7">
        <f>IF(AND(ISNUMBER(N1289),ISNUMBER(M1289),M1289&gt;0),(N1289-M1289)/M1289,"")</f>
        <v/>
      </c>
      <c r="Q1289" s="3">
        <f>IF(P1289="","",IF(P1289&lt;-0.02,"🔴 Bán phá giá sàn",IF(P1289&gt;0.05,"🔵 Bán cao hơn","🟢 Đúng giá sàn TMĐT")))</f>
        <v/>
      </c>
      <c r="R1289" s="3" t="n"/>
      <c r="S1289" s="4" t="n"/>
      <c r="T1289" s="4" t="n"/>
    </row>
    <row r="1290">
      <c r="A1290" s="3" t="n">
        <v>1289</v>
      </c>
      <c r="B1290" s="3" t="inlineStr">
        <is>
          <t>DL011</t>
        </is>
      </c>
      <c r="C1290" s="4" t="inlineStr">
        <is>
          <t>Điện máy Tây Hồ</t>
        </is>
      </c>
      <c r="D1290" s="3" t="inlineStr">
        <is>
          <t>HN</t>
        </is>
      </c>
      <c r="E1290" s="3" t="inlineStr">
        <is>
          <t>Lan</t>
        </is>
      </c>
      <c r="F1290" s="3" t="inlineStr">
        <is>
          <t>Tiktok, Shopee</t>
        </is>
      </c>
      <c r="G1290" s="4" t="inlineStr">
        <is>
          <t>SHOPEE: https://s.shopee.vn/3g4ShzXApa TIKTOK: https://www.tiktok.com/@dienmaytayho?_r=1&amp;_t=ZS-9AUNOcUDXom LAZADA: WEBSITE BÁN HÀNG:</t>
        </is>
      </c>
      <c r="H1290" s="3" t="inlineStr">
        <is>
          <t>KBH2F-0695</t>
        </is>
      </c>
      <c r="I1290" s="4" t="inlineStr">
        <is>
          <t>Mũi khoan ĐN lục giác 2 cạnh KBH2F-06*95</t>
        </is>
      </c>
      <c r="J1290" s="3" t="inlineStr">
        <is>
          <t>Cái</t>
        </is>
      </c>
      <c r="K1290" s="5" t="n">
        <v>26000</v>
      </c>
      <c r="L1290" s="5" t="n">
        <v>32000</v>
      </c>
      <c r="M1290" s="6" t="n">
        <v>42000</v>
      </c>
      <c r="N1290" s="5" t="n"/>
      <c r="O1290" s="5">
        <f>IF(AND(ISNUMBER(N1290),ISNUMBER(M1290)),N1290-M1290,"")</f>
        <v/>
      </c>
      <c r="P1290" s="7">
        <f>IF(AND(ISNUMBER(N1290),ISNUMBER(M1290),M1290&gt;0),(N1290-M1290)/M1290,"")</f>
        <v/>
      </c>
      <c r="Q1290" s="3">
        <f>IF(P1290="","",IF(P1290&lt;-0.02,"🔴 Bán phá giá sàn",IF(P1290&gt;0.05,"🔵 Bán cao hơn","🟢 Đúng giá sàn TMĐT")))</f>
        <v/>
      </c>
      <c r="R1290" s="3" t="n"/>
      <c r="S1290" s="4" t="n"/>
      <c r="T1290" s="4" t="n"/>
    </row>
    <row r="1291">
      <c r="A1291" s="3" t="n">
        <v>1290</v>
      </c>
      <c r="B1291" s="3" t="inlineStr">
        <is>
          <t>DL011</t>
        </is>
      </c>
      <c r="C1291" s="4" t="inlineStr">
        <is>
          <t>Điện máy Tây Hồ</t>
        </is>
      </c>
      <c r="D1291" s="3" t="inlineStr">
        <is>
          <t>HN</t>
        </is>
      </c>
      <c r="E1291" s="3" t="inlineStr">
        <is>
          <t>Lan</t>
        </is>
      </c>
      <c r="F1291" s="3" t="inlineStr">
        <is>
          <t>Tiktok, Shopee</t>
        </is>
      </c>
      <c r="G1291" s="4" t="inlineStr">
        <is>
          <t>SHOPEE: https://s.shopee.vn/3g4ShzXApa TIKTOK: https://www.tiktok.com/@dienmaytayho?_r=1&amp;_t=ZS-9AUNOcUDXom LAZADA: WEBSITE BÁN HÀNG:</t>
        </is>
      </c>
      <c r="H1291" s="3" t="inlineStr">
        <is>
          <t>KBH2F-0895</t>
        </is>
      </c>
      <c r="I1291" s="4" t="inlineStr">
        <is>
          <t>Mũi khoan ĐN lục giác 2 cạnh KBH2F-08*95</t>
        </is>
      </c>
      <c r="J1291" s="3" t="inlineStr">
        <is>
          <t>Cái</t>
        </is>
      </c>
      <c r="K1291" s="5" t="n">
        <v>33000</v>
      </c>
      <c r="L1291" s="5" t="n">
        <v>41000</v>
      </c>
      <c r="M1291" s="6" t="n">
        <v>53000</v>
      </c>
      <c r="N1291" s="5" t="n"/>
      <c r="O1291" s="5">
        <f>IF(AND(ISNUMBER(N1291),ISNUMBER(M1291)),N1291-M1291,"")</f>
        <v/>
      </c>
      <c r="P1291" s="7">
        <f>IF(AND(ISNUMBER(N1291),ISNUMBER(M1291),M1291&gt;0),(N1291-M1291)/M1291,"")</f>
        <v/>
      </c>
      <c r="Q1291" s="3">
        <f>IF(P1291="","",IF(P1291&lt;-0.02,"🔴 Bán phá giá sàn",IF(P1291&gt;0.05,"🔵 Bán cao hơn","🟢 Đúng giá sàn TMĐT")))</f>
        <v/>
      </c>
      <c r="R1291" s="3" t="n"/>
      <c r="S1291" s="4" t="n"/>
      <c r="T1291" s="4" t="n"/>
    </row>
    <row r="1292">
      <c r="A1292" s="3" t="n">
        <v>1291</v>
      </c>
      <c r="B1292" s="3" t="inlineStr">
        <is>
          <t>DL011</t>
        </is>
      </c>
      <c r="C1292" s="4" t="inlineStr">
        <is>
          <t>Điện máy Tây Hồ</t>
        </is>
      </c>
      <c r="D1292" s="3" t="inlineStr">
        <is>
          <t>HN</t>
        </is>
      </c>
      <c r="E1292" s="3" t="inlineStr">
        <is>
          <t>Lan</t>
        </is>
      </c>
      <c r="F1292" s="3" t="inlineStr">
        <is>
          <t>Tiktok, Shopee</t>
        </is>
      </c>
      <c r="G1292" s="4" t="inlineStr">
        <is>
          <t>SHOPEE: https://s.shopee.vn/3g4ShzXApa TIKTOK: https://www.tiktok.com/@dienmaytayho?_r=1&amp;_t=ZS-9AUNOcUDXom LAZADA: WEBSITE BÁN HÀNG:</t>
        </is>
      </c>
      <c r="H1292" s="3" t="inlineStr">
        <is>
          <t>KBH2F-1095</t>
        </is>
      </c>
      <c r="I1292" s="4" t="inlineStr">
        <is>
          <t>Mũi khoan ĐN lục giác 2 cạnh KBH2F-10*95</t>
        </is>
      </c>
      <c r="J1292" s="3" t="inlineStr">
        <is>
          <t>Cái</t>
        </is>
      </c>
      <c r="K1292" s="5" t="n">
        <v>42000</v>
      </c>
      <c r="L1292" s="5" t="n">
        <v>52000</v>
      </c>
      <c r="M1292" s="6" t="n">
        <v>67000</v>
      </c>
      <c r="N1292" s="5" t="n"/>
      <c r="O1292" s="5">
        <f>IF(AND(ISNUMBER(N1292),ISNUMBER(M1292)),N1292-M1292,"")</f>
        <v/>
      </c>
      <c r="P1292" s="7">
        <f>IF(AND(ISNUMBER(N1292),ISNUMBER(M1292),M1292&gt;0),(N1292-M1292)/M1292,"")</f>
        <v/>
      </c>
      <c r="Q1292" s="3">
        <f>IF(P1292="","",IF(P1292&lt;-0.02,"🔴 Bán phá giá sàn",IF(P1292&gt;0.05,"🔵 Bán cao hơn","🟢 Đúng giá sàn TMĐT")))</f>
        <v/>
      </c>
      <c r="R1292" s="3" t="n"/>
      <c r="S1292" s="4" t="n"/>
      <c r="T1292" s="4" t="n"/>
    </row>
    <row r="1293">
      <c r="A1293" s="3" t="n">
        <v>1292</v>
      </c>
      <c r="B1293" s="3" t="inlineStr">
        <is>
          <t>DL011</t>
        </is>
      </c>
      <c r="C1293" s="4" t="inlineStr">
        <is>
          <t>Điện máy Tây Hồ</t>
        </is>
      </c>
      <c r="D1293" s="3" t="inlineStr">
        <is>
          <t>HN</t>
        </is>
      </c>
      <c r="E1293" s="3" t="inlineStr">
        <is>
          <t>Lan</t>
        </is>
      </c>
      <c r="F1293" s="3" t="inlineStr">
        <is>
          <t>Tiktok, Shopee</t>
        </is>
      </c>
      <c r="G1293" s="4" t="inlineStr">
        <is>
          <t>SHOPEE: https://s.shopee.vn/3g4ShzXApa TIKTOK: https://www.tiktok.com/@dienmaytayho?_r=1&amp;_t=ZS-9AUNOcUDXom LAZADA: WEBSITE BÁN HÀNG:</t>
        </is>
      </c>
      <c r="H1293" s="3" t="inlineStr">
        <is>
          <t>KBG2S-08100</t>
        </is>
      </c>
      <c r="I1293" s="4" t="inlineStr">
        <is>
          <t>Mũi khoan gạch đa năng KBG2S-08*100</t>
        </is>
      </c>
      <c r="J1293" s="3" t="inlineStr">
        <is>
          <t>Cái</t>
        </is>
      </c>
      <c r="K1293" s="5" t="n">
        <v>21000</v>
      </c>
      <c r="L1293" s="5" t="n">
        <v>26000</v>
      </c>
      <c r="M1293" s="6" t="n">
        <v>34000</v>
      </c>
      <c r="N1293" s="5" t="n"/>
      <c r="O1293" s="5">
        <f>IF(AND(ISNUMBER(N1293),ISNUMBER(M1293)),N1293-M1293,"")</f>
        <v/>
      </c>
      <c r="P1293" s="7">
        <f>IF(AND(ISNUMBER(N1293),ISNUMBER(M1293),M1293&gt;0),(N1293-M1293)/M1293,"")</f>
        <v/>
      </c>
      <c r="Q1293" s="3">
        <f>IF(P1293="","",IF(P1293&lt;-0.02,"🔴 Bán phá giá sàn",IF(P1293&gt;0.05,"🔵 Bán cao hơn","🟢 Đúng giá sàn TMĐT")))</f>
        <v/>
      </c>
      <c r="R1293" s="3" t="n"/>
      <c r="S1293" s="4" t="n"/>
      <c r="T1293" s="4" t="n"/>
    </row>
    <row r="1294">
      <c r="A1294" s="3" t="n">
        <v>1293</v>
      </c>
      <c r="B1294" s="3" t="inlineStr">
        <is>
          <t>DL011</t>
        </is>
      </c>
      <c r="C1294" s="4" t="inlineStr">
        <is>
          <t>Điện máy Tây Hồ</t>
        </is>
      </c>
      <c r="D1294" s="3" t="inlineStr">
        <is>
          <t>HN</t>
        </is>
      </c>
      <c r="E1294" s="3" t="inlineStr">
        <is>
          <t>Lan</t>
        </is>
      </c>
      <c r="F1294" s="3" t="inlineStr">
        <is>
          <t>Tiktok, Shopee</t>
        </is>
      </c>
      <c r="G1294" s="4" t="inlineStr">
        <is>
          <t>SHOPEE: https://s.shopee.vn/3g4ShzXApa TIKTOK: https://www.tiktok.com/@dienmaytayho?_r=1&amp;_t=ZS-9AUNOcUDXom LAZADA: WEBSITE BÁN HÀNG:</t>
        </is>
      </c>
      <c r="H1294" s="3" t="inlineStr">
        <is>
          <t>KBG2S-10120</t>
        </is>
      </c>
      <c r="I1294" s="4" t="inlineStr">
        <is>
          <t>Mũi khoan gạch đa năng KBG2S-10*120</t>
        </is>
      </c>
      <c r="J1294" s="3" t="inlineStr">
        <is>
          <t>Cái</t>
        </is>
      </c>
      <c r="K1294" s="5" t="n">
        <v>26000</v>
      </c>
      <c r="L1294" s="5" t="n">
        <v>32000</v>
      </c>
      <c r="M1294" s="6" t="n">
        <v>42000</v>
      </c>
      <c r="N1294" s="5" t="n"/>
      <c r="O1294" s="5">
        <f>IF(AND(ISNUMBER(N1294),ISNUMBER(M1294)),N1294-M1294,"")</f>
        <v/>
      </c>
      <c r="P1294" s="7">
        <f>IF(AND(ISNUMBER(N1294),ISNUMBER(M1294),M1294&gt;0),(N1294-M1294)/M1294,"")</f>
        <v/>
      </c>
      <c r="Q1294" s="3">
        <f>IF(P1294="","",IF(P1294&lt;-0.02,"🔴 Bán phá giá sàn",IF(P1294&gt;0.05,"🔵 Bán cao hơn","🟢 Đúng giá sàn TMĐT")))</f>
        <v/>
      </c>
      <c r="R1294" s="3" t="n"/>
      <c r="S1294" s="4" t="n"/>
      <c r="T1294" s="4" t="n"/>
    </row>
    <row r="1295">
      <c r="A1295" s="3" t="n">
        <v>1294</v>
      </c>
      <c r="B1295" s="3" t="inlineStr">
        <is>
          <t>DL011</t>
        </is>
      </c>
      <c r="C1295" s="4" t="inlineStr">
        <is>
          <t>Điện máy Tây Hồ</t>
        </is>
      </c>
      <c r="D1295" s="3" t="inlineStr">
        <is>
          <t>HN</t>
        </is>
      </c>
      <c r="E1295" s="3" t="inlineStr">
        <is>
          <t>Lan</t>
        </is>
      </c>
      <c r="F1295" s="3" t="inlineStr">
        <is>
          <t>Tiktok, Shopee</t>
        </is>
      </c>
      <c r="G1295" s="4" t="inlineStr">
        <is>
          <t>SHOPEE: https://s.shopee.vn/3g4ShzXApa TIKTOK: https://www.tiktok.com/@dienmaytayho?_r=1&amp;_t=ZS-9AUNOcUDXom LAZADA: WEBSITE BÁN HÀNG:</t>
        </is>
      </c>
      <c r="H1295" s="3" t="inlineStr">
        <is>
          <t>KBG2S-12120</t>
        </is>
      </c>
      <c r="I1295" s="4" t="inlineStr">
        <is>
          <t>Mũi khoan gạch đa năng KBG2S-12*120</t>
        </is>
      </c>
      <c r="J1295" s="3" t="inlineStr">
        <is>
          <t>Cái</t>
        </is>
      </c>
      <c r="K1295" s="5" t="n">
        <v>32000</v>
      </c>
      <c r="L1295" s="5" t="n">
        <v>40000</v>
      </c>
      <c r="M1295" s="6" t="n">
        <v>51000</v>
      </c>
      <c r="N1295" s="5" t="n"/>
      <c r="O1295" s="5">
        <f>IF(AND(ISNUMBER(N1295),ISNUMBER(M1295)),N1295-M1295,"")</f>
        <v/>
      </c>
      <c r="P1295" s="7">
        <f>IF(AND(ISNUMBER(N1295),ISNUMBER(M1295),M1295&gt;0),(N1295-M1295)/M1295,"")</f>
        <v/>
      </c>
      <c r="Q1295" s="3">
        <f>IF(P1295="","",IF(P1295&lt;-0.02,"🔴 Bán phá giá sàn",IF(P1295&gt;0.05,"🔵 Bán cao hơn","🟢 Đúng giá sàn TMĐT")))</f>
        <v/>
      </c>
      <c r="R1295" s="3" t="n"/>
      <c r="S1295" s="4" t="n"/>
      <c r="T1295" s="4" t="n"/>
    </row>
    <row r="1296">
      <c r="A1296" s="3" t="n">
        <v>1295</v>
      </c>
      <c r="B1296" s="3" t="inlineStr">
        <is>
          <t>DL011</t>
        </is>
      </c>
      <c r="C1296" s="4" t="inlineStr">
        <is>
          <t>Điện máy Tây Hồ</t>
        </is>
      </c>
      <c r="D1296" s="3" t="inlineStr">
        <is>
          <t>HN</t>
        </is>
      </c>
      <c r="E1296" s="3" t="inlineStr">
        <is>
          <t>Lan</t>
        </is>
      </c>
      <c r="F1296" s="3" t="inlineStr">
        <is>
          <t>Tiktok, Shopee</t>
        </is>
      </c>
      <c r="G1296" s="4" t="inlineStr">
        <is>
          <t>SHOPEE: https://s.shopee.vn/3g4ShzXApa TIKTOK: https://www.tiktok.com/@dienmaytayho?_r=1&amp;_t=ZS-9AUNOcUDXom LAZADA: WEBSITE BÁN HÀNG:</t>
        </is>
      </c>
      <c r="H1296" s="3" t="inlineStr"/>
      <c r="I1296" s="4" t="inlineStr">
        <is>
          <t>Mũi khoan tường không tắc kê KBLJ - 03.2*100</t>
        </is>
      </c>
      <c r="J1296" s="3" t="inlineStr">
        <is>
          <t>Cái</t>
        </is>
      </c>
      <c r="K1296" s="5" t="n">
        <v>269000</v>
      </c>
      <c r="L1296" s="5" t="n">
        <v>317000</v>
      </c>
      <c r="M1296" s="6" t="n">
        <v>390000</v>
      </c>
      <c r="N1296" s="5" t="n"/>
      <c r="O1296" s="5">
        <f>IF(AND(ISNUMBER(N1296),ISNUMBER(M1296)),N1296-M1296,"")</f>
        <v/>
      </c>
      <c r="P1296" s="7">
        <f>IF(AND(ISNUMBER(N1296),ISNUMBER(M1296),M1296&gt;0),(N1296-M1296)/M1296,"")</f>
        <v/>
      </c>
      <c r="Q1296" s="3">
        <f>IF(P1296="","",IF(P1296&lt;-0.02,"🔴 Bán phá giá sàn",IF(P1296&gt;0.05,"🔵 Bán cao hơn","🟢 Đúng giá sàn TMĐT")))</f>
        <v/>
      </c>
      <c r="R1296" s="3" t="n"/>
      <c r="S1296" s="4" t="n"/>
      <c r="T1296" s="4" t="n"/>
    </row>
    <row r="1297">
      <c r="A1297" s="3" t="n">
        <v>1296</v>
      </c>
      <c r="B1297" s="3" t="inlineStr">
        <is>
          <t>DL011</t>
        </is>
      </c>
      <c r="C1297" s="4" t="inlineStr">
        <is>
          <t>Điện máy Tây Hồ</t>
        </is>
      </c>
      <c r="D1297" s="3" t="inlineStr">
        <is>
          <t>HN</t>
        </is>
      </c>
      <c r="E1297" s="3" t="inlineStr">
        <is>
          <t>Lan</t>
        </is>
      </c>
      <c r="F1297" s="3" t="inlineStr">
        <is>
          <t>Tiktok, Shopee</t>
        </is>
      </c>
      <c r="G1297" s="4" t="inlineStr">
        <is>
          <t>SHOPEE: https://s.shopee.vn/3g4ShzXApa TIKTOK: https://www.tiktok.com/@dienmaytayho?_r=1&amp;_t=ZS-9AUNOcUDXom LAZADA: WEBSITE BÁN HÀNG:</t>
        </is>
      </c>
      <c r="H1297" s="3" t="inlineStr"/>
      <c r="I1297" s="4" t="inlineStr">
        <is>
          <t>Mũi khoan tường không tắc kê KBLJ - 06*125</t>
        </is>
      </c>
      <c r="J1297" s="3" t="inlineStr">
        <is>
          <t>Cái</t>
        </is>
      </c>
      <c r="K1297" s="5" t="n">
        <v>269000</v>
      </c>
      <c r="L1297" s="5" t="n">
        <v>317000</v>
      </c>
      <c r="M1297" s="6" t="n">
        <v>390000</v>
      </c>
      <c r="N1297" s="5" t="n"/>
      <c r="O1297" s="5">
        <f>IF(AND(ISNUMBER(N1297),ISNUMBER(M1297)),N1297-M1297,"")</f>
        <v/>
      </c>
      <c r="P1297" s="7">
        <f>IF(AND(ISNUMBER(N1297),ISNUMBER(M1297),M1297&gt;0),(N1297-M1297)/M1297,"")</f>
        <v/>
      </c>
      <c r="Q1297" s="3">
        <f>IF(P1297="","",IF(P1297&lt;-0.02,"🔴 Bán phá giá sàn",IF(P1297&gt;0.05,"🔵 Bán cao hơn","🟢 Đúng giá sàn TMĐT")))</f>
        <v/>
      </c>
      <c r="R1297" s="3" t="n"/>
      <c r="S1297" s="4" t="n"/>
      <c r="T1297" s="4" t="n"/>
    </row>
    <row r="1298">
      <c r="A1298" s="3" t="n">
        <v>1297</v>
      </c>
      <c r="B1298" s="3" t="inlineStr">
        <is>
          <t>DL011</t>
        </is>
      </c>
      <c r="C1298" s="4" t="inlineStr">
        <is>
          <t>Điện máy Tây Hồ</t>
        </is>
      </c>
      <c r="D1298" s="3" t="inlineStr">
        <is>
          <t>HN</t>
        </is>
      </c>
      <c r="E1298" s="3" t="inlineStr">
        <is>
          <t>Lan</t>
        </is>
      </c>
      <c r="F1298" s="3" t="inlineStr">
        <is>
          <t>Tiktok, Shopee</t>
        </is>
      </c>
      <c r="G1298" s="4" t="inlineStr">
        <is>
          <t>SHOPEE: https://s.shopee.vn/3g4ShzXApa TIKTOK: https://www.tiktok.com/@dienmaytayho?_r=1&amp;_t=ZS-9AUNOcUDXom LAZADA: WEBSITE BÁN HÀNG:</t>
        </is>
      </c>
      <c r="H1298" s="3" t="inlineStr"/>
      <c r="I1298" s="4" t="inlineStr">
        <is>
          <t>Mũi khoan tường không tắc kê KBLJ - 08*125</t>
        </is>
      </c>
      <c r="J1298" s="3" t="inlineStr">
        <is>
          <t>Cái</t>
        </is>
      </c>
      <c r="K1298" s="5" t="n">
        <v>269000</v>
      </c>
      <c r="L1298" s="5" t="n">
        <v>317000</v>
      </c>
      <c r="M1298" s="6" t="n">
        <v>390000</v>
      </c>
      <c r="N1298" s="5" t="n"/>
      <c r="O1298" s="5">
        <f>IF(AND(ISNUMBER(N1298),ISNUMBER(M1298)),N1298-M1298,"")</f>
        <v/>
      </c>
      <c r="P1298" s="7">
        <f>IF(AND(ISNUMBER(N1298),ISNUMBER(M1298),M1298&gt;0),(N1298-M1298)/M1298,"")</f>
        <v/>
      </c>
      <c r="Q1298" s="3">
        <f>IF(P1298="","",IF(P1298&lt;-0.02,"🔴 Bán phá giá sàn",IF(P1298&gt;0.05,"🔵 Bán cao hơn","🟢 Đúng giá sàn TMĐT")))</f>
        <v/>
      </c>
      <c r="R1298" s="3" t="n"/>
      <c r="S1298" s="4" t="n"/>
      <c r="T1298" s="4" t="n"/>
    </row>
    <row r="1299">
      <c r="A1299" s="3" t="n">
        <v>1298</v>
      </c>
      <c r="B1299" s="3" t="inlineStr">
        <is>
          <t>DL011</t>
        </is>
      </c>
      <c r="C1299" s="4" t="inlineStr">
        <is>
          <t>Điện máy Tây Hồ</t>
        </is>
      </c>
      <c r="D1299" s="3" t="inlineStr">
        <is>
          <t>HN</t>
        </is>
      </c>
      <c r="E1299" s="3" t="inlineStr">
        <is>
          <t>Lan</t>
        </is>
      </c>
      <c r="F1299" s="3" t="inlineStr">
        <is>
          <t>Tiktok, Shopee</t>
        </is>
      </c>
      <c r="G1299" s="4" t="inlineStr">
        <is>
          <t>SHOPEE: https://s.shopee.vn/3g4ShzXApa TIKTOK: https://www.tiktok.com/@dienmaytayho?_r=1&amp;_t=ZS-9AUNOcUDXom LAZADA: WEBSITE BÁN HÀNG:</t>
        </is>
      </c>
      <c r="H1299" s="3" t="inlineStr"/>
      <c r="I1299" s="4" t="inlineStr">
        <is>
          <t>Mũi khoan tường không tắc kê KBLJ - 10*148</t>
        </is>
      </c>
      <c r="J1299" s="3" t="inlineStr">
        <is>
          <t>Cái</t>
        </is>
      </c>
      <c r="K1299" s="5" t="n">
        <v>269000</v>
      </c>
      <c r="L1299" s="5" t="n">
        <v>317000</v>
      </c>
      <c r="M1299" s="6" t="n">
        <v>390000</v>
      </c>
      <c r="N1299" s="5" t="n"/>
      <c r="O1299" s="5">
        <f>IF(AND(ISNUMBER(N1299),ISNUMBER(M1299)),N1299-M1299,"")</f>
        <v/>
      </c>
      <c r="P1299" s="7">
        <f>IF(AND(ISNUMBER(N1299),ISNUMBER(M1299),M1299&gt;0),(N1299-M1299)/M1299,"")</f>
        <v/>
      </c>
      <c r="Q1299" s="3">
        <f>IF(P1299="","",IF(P1299&lt;-0.02,"🔴 Bán phá giá sàn",IF(P1299&gt;0.05,"🔵 Bán cao hơn","🟢 Đúng giá sàn TMĐT")))</f>
        <v/>
      </c>
      <c r="R1299" s="3" t="n"/>
      <c r="S1299" s="4" t="n"/>
      <c r="T1299" s="4" t="n"/>
    </row>
    <row r="1300">
      <c r="A1300" s="3" t="n">
        <v>1299</v>
      </c>
      <c r="B1300" s="3" t="inlineStr">
        <is>
          <t>DL011</t>
        </is>
      </c>
      <c r="C1300" s="4" t="inlineStr">
        <is>
          <t>Điện máy Tây Hồ</t>
        </is>
      </c>
      <c r="D1300" s="3" t="inlineStr">
        <is>
          <t>HN</t>
        </is>
      </c>
      <c r="E1300" s="3" t="inlineStr">
        <is>
          <t>Lan</t>
        </is>
      </c>
      <c r="F1300" s="3" t="inlineStr">
        <is>
          <t>Tiktok, Shopee</t>
        </is>
      </c>
      <c r="G1300" s="4" t="inlineStr">
        <is>
          <t>SHOPEE: https://s.shopee.vn/3g4ShzXApa TIKTOK: https://www.tiktok.com/@dienmaytayho?_r=1&amp;_t=ZS-9AUNOcUDXom LAZADA: WEBSITE BÁN HÀNG:</t>
        </is>
      </c>
      <c r="H1300" s="3" t="inlineStr">
        <is>
          <t>KHD20</t>
        </is>
      </c>
      <c r="I1300" s="4" t="inlineStr">
        <is>
          <t>Thùng đựng đồ nghề KHD20</t>
        </is>
      </c>
      <c r="J1300" s="3" t="inlineStr">
        <is>
          <t>Cái</t>
        </is>
      </c>
      <c r="K1300" s="5" t="n">
        <v>396000</v>
      </c>
      <c r="L1300" s="5" t="n">
        <v>452000</v>
      </c>
      <c r="M1300" s="6" t="n">
        <v>535000</v>
      </c>
      <c r="N1300" s="5" t="n"/>
      <c r="O1300" s="5">
        <f>IF(AND(ISNUMBER(N1300),ISNUMBER(M1300)),N1300-M1300,"")</f>
        <v/>
      </c>
      <c r="P1300" s="7">
        <f>IF(AND(ISNUMBER(N1300),ISNUMBER(M1300),M1300&gt;0),(N1300-M1300)/M1300,"")</f>
        <v/>
      </c>
      <c r="Q1300" s="3">
        <f>IF(P1300="","",IF(P1300&lt;-0.02,"🔴 Bán phá giá sàn",IF(P1300&gt;0.05,"🔵 Bán cao hơn","🟢 Đúng giá sàn TMĐT")))</f>
        <v/>
      </c>
      <c r="R1300" s="3" t="n"/>
      <c r="S1300" s="4" t="n"/>
      <c r="T1300" s="4" t="n"/>
    </row>
    <row r="1301">
      <c r="A1301" s="3" t="n">
        <v>1300</v>
      </c>
      <c r="B1301" s="3" t="inlineStr">
        <is>
          <t>DL011</t>
        </is>
      </c>
      <c r="C1301" s="4" t="inlineStr">
        <is>
          <t>Điện máy Tây Hồ</t>
        </is>
      </c>
      <c r="D1301" s="3" t="inlineStr">
        <is>
          <t>HN</t>
        </is>
      </c>
      <c r="E1301" s="3" t="inlineStr">
        <is>
          <t>Lan</t>
        </is>
      </c>
      <c r="F1301" s="3" t="inlineStr">
        <is>
          <t>Tiktok, Shopee</t>
        </is>
      </c>
      <c r="G1301" s="4" t="inlineStr">
        <is>
          <t>SHOPEE: https://s.shopee.vn/3g4ShzXApa TIKTOK: https://www.tiktok.com/@dienmaytayho?_r=1&amp;_t=ZS-9AUNOcUDXom LAZADA: WEBSITE BÁN HÀNG:</t>
        </is>
      </c>
      <c r="H1301" s="3" t="inlineStr">
        <is>
          <t>KHD4233</t>
        </is>
      </c>
      <c r="I1301" s="4" t="inlineStr">
        <is>
          <t>Thùng đựng đồ nghề KHD4233</t>
        </is>
      </c>
      <c r="J1301" s="3" t="inlineStr">
        <is>
          <t>Cái</t>
        </is>
      </c>
      <c r="K1301" s="5" t="n">
        <v>269000</v>
      </c>
      <c r="L1301" s="5" t="n">
        <v>317000</v>
      </c>
      <c r="M1301" s="6" t="n">
        <v>390000</v>
      </c>
      <c r="N1301" s="5" t="n"/>
      <c r="O1301" s="5">
        <f>IF(AND(ISNUMBER(N1301),ISNUMBER(M1301)),N1301-M1301,"")</f>
        <v/>
      </c>
      <c r="P1301" s="7">
        <f>IF(AND(ISNUMBER(N1301),ISNUMBER(M1301),M1301&gt;0),(N1301-M1301)/M1301,"")</f>
        <v/>
      </c>
      <c r="Q1301" s="3">
        <f>IF(P1301="","",IF(P1301&lt;-0.02,"🔴 Bán phá giá sàn",IF(P1301&gt;0.05,"🔵 Bán cao hơn","🟢 Đúng giá sàn TMĐT")))</f>
        <v/>
      </c>
      <c r="R1301" s="3" t="n"/>
      <c r="S1301" s="4" t="n"/>
      <c r="T1301" s="4" t="n"/>
    </row>
    <row r="1302">
      <c r="A1302" s="3" t="n">
        <v>1301</v>
      </c>
      <c r="B1302" s="3" t="inlineStr">
        <is>
          <t>DL011</t>
        </is>
      </c>
      <c r="C1302" s="4" t="inlineStr">
        <is>
          <t>Điện máy Tây Hồ</t>
        </is>
      </c>
      <c r="D1302" s="3" t="inlineStr">
        <is>
          <t>HN</t>
        </is>
      </c>
      <c r="E1302" s="3" t="inlineStr">
        <is>
          <t>Lan</t>
        </is>
      </c>
      <c r="F1302" s="3" t="inlineStr">
        <is>
          <t>Tiktok, Shopee</t>
        </is>
      </c>
      <c r="G1302" s="4" t="inlineStr">
        <is>
          <t>SHOPEE: https://s.shopee.vn/3g4ShzXApa TIKTOK: https://www.tiktok.com/@dienmaytayho?_r=1&amp;_t=ZS-9AUNOcUDXom LAZADA: WEBSITE BÁN HÀNG:</t>
        </is>
      </c>
      <c r="H1302" s="3" t="inlineStr">
        <is>
          <t>KFJ-432</t>
        </is>
      </c>
      <c r="I1302" s="4" t="inlineStr">
        <is>
          <t>Vít bê tông không dùng tắc kê KFJ-432</t>
        </is>
      </c>
      <c r="J1302" s="3" t="inlineStr">
        <is>
          <t>Hộp</t>
        </is>
      </c>
      <c r="K1302" s="5" t="n">
        <v>81000</v>
      </c>
      <c r="L1302" s="5" t="n">
        <v>101000</v>
      </c>
      <c r="M1302" s="6" t="n">
        <v>130000</v>
      </c>
      <c r="N1302" s="5" t="n"/>
      <c r="O1302" s="5">
        <f>IF(AND(ISNUMBER(N1302),ISNUMBER(M1302)),N1302-M1302,"")</f>
        <v/>
      </c>
      <c r="P1302" s="7">
        <f>IF(AND(ISNUMBER(N1302),ISNUMBER(M1302),M1302&gt;0),(N1302-M1302)/M1302,"")</f>
        <v/>
      </c>
      <c r="Q1302" s="3">
        <f>IF(P1302="","",IF(P1302&lt;-0.02,"🔴 Bán phá giá sàn",IF(P1302&gt;0.05,"🔵 Bán cao hơn","🟢 Đúng giá sàn TMĐT")))</f>
        <v/>
      </c>
      <c r="R1302" s="3" t="n"/>
      <c r="S1302" s="4" t="n"/>
      <c r="T1302" s="4" t="n"/>
    </row>
    <row r="1303">
      <c r="A1303" s="3" t="n">
        <v>1302</v>
      </c>
      <c r="B1303" s="3" t="inlineStr">
        <is>
          <t>DL011</t>
        </is>
      </c>
      <c r="C1303" s="4" t="inlineStr">
        <is>
          <t>Điện máy Tây Hồ</t>
        </is>
      </c>
      <c r="D1303" s="3" t="inlineStr">
        <is>
          <t>HN</t>
        </is>
      </c>
      <c r="E1303" s="3" t="inlineStr">
        <is>
          <t>Lan</t>
        </is>
      </c>
      <c r="F1303" s="3" t="inlineStr">
        <is>
          <t>Tiktok, Shopee</t>
        </is>
      </c>
      <c r="G1303" s="4" t="inlineStr">
        <is>
          <t>SHOPEE: https://s.shopee.vn/3g4ShzXApa TIKTOK: https://www.tiktok.com/@dienmaytayho?_r=1&amp;_t=ZS-9AUNOcUDXom LAZADA: WEBSITE BÁN HÀNG:</t>
        </is>
      </c>
      <c r="H1303" s="3" t="inlineStr">
        <is>
          <t>KFJ-438</t>
        </is>
      </c>
      <c r="I1303" s="4" t="inlineStr">
        <is>
          <t>Vít bê tông không dùng tắc kê KFJ-438</t>
        </is>
      </c>
      <c r="J1303" s="3" t="inlineStr">
        <is>
          <t>Hộp</t>
        </is>
      </c>
      <c r="K1303" s="5" t="n">
        <v>81000</v>
      </c>
      <c r="L1303" s="5" t="n">
        <v>101000</v>
      </c>
      <c r="M1303" s="6" t="n">
        <v>130000</v>
      </c>
      <c r="N1303" s="5" t="n"/>
      <c r="O1303" s="5">
        <f>IF(AND(ISNUMBER(N1303),ISNUMBER(M1303)),N1303-M1303,"")</f>
        <v/>
      </c>
      <c r="P1303" s="7">
        <f>IF(AND(ISNUMBER(N1303),ISNUMBER(M1303),M1303&gt;0),(N1303-M1303)/M1303,"")</f>
        <v/>
      </c>
      <c r="Q1303" s="3">
        <f>IF(P1303="","",IF(P1303&lt;-0.02,"🔴 Bán phá giá sàn",IF(P1303&gt;0.05,"🔵 Bán cao hơn","🟢 Đúng giá sàn TMĐT")))</f>
        <v/>
      </c>
      <c r="R1303" s="3" t="n"/>
      <c r="S1303" s="4" t="n"/>
      <c r="T1303" s="4" t="n"/>
    </row>
    <row r="1304">
      <c r="A1304" s="3" t="n">
        <v>1303</v>
      </c>
      <c r="B1304" s="3" t="inlineStr">
        <is>
          <t>DL012</t>
        </is>
      </c>
      <c r="C1304" s="4" t="inlineStr">
        <is>
          <t>Lâm  Quốc Trung</t>
        </is>
      </c>
      <c r="D1304" s="3" t="inlineStr">
        <is>
          <t>Cần Thơ</t>
        </is>
      </c>
      <c r="E1304" s="3" t="inlineStr">
        <is>
          <t>Tường Vi</t>
        </is>
      </c>
      <c r="F1304" s="3" t="inlineStr">
        <is>
          <t>Tiktok</t>
        </is>
      </c>
      <c r="G1304" s="4" t="inlineStr">
        <is>
          <t>SHOPEE: TIKTOK: https://www.tiktok.com/@lamquoctrung.ct/video/7696716078797360405 LAZADA: WEBSITE BÁN HÀNG:</t>
        </is>
      </c>
      <c r="H1304" s="3" t="inlineStr">
        <is>
          <t>K12000</t>
        </is>
      </c>
      <c r="I1304" s="4" t="inlineStr">
        <is>
          <t>Bộ bơm lốp, kích bình đa năng K12000</t>
        </is>
      </c>
      <c r="J1304" s="3" t="inlineStr">
        <is>
          <t>Cái</t>
        </is>
      </c>
      <c r="K1304" s="5" t="n">
        <v>269000</v>
      </c>
      <c r="L1304" s="5" t="n">
        <v>317000</v>
      </c>
      <c r="M1304" s="6" t="n">
        <v>390000</v>
      </c>
      <c r="N1304" s="5" t="n"/>
      <c r="O1304" s="5">
        <f>IF(AND(ISNUMBER(N1304),ISNUMBER(M1304)),N1304-M1304,"")</f>
        <v/>
      </c>
      <c r="P1304" s="7">
        <f>IF(AND(ISNUMBER(N1304),ISNUMBER(M1304),M1304&gt;0),(N1304-M1304)/M1304,"")</f>
        <v/>
      </c>
      <c r="Q1304" s="3">
        <f>IF(P1304="","",IF(P1304&lt;-0.02,"🔴 Bán phá giá sàn",IF(P1304&gt;0.05,"🔵 Bán cao hơn","🟢 Đúng giá sàn TMĐT")))</f>
        <v/>
      </c>
      <c r="R1304" s="3" t="n"/>
      <c r="S1304" s="4" t="n"/>
      <c r="T1304" s="4" t="n"/>
    </row>
    <row r="1305">
      <c r="A1305" s="3" t="n">
        <v>1304</v>
      </c>
      <c r="B1305" s="3" t="inlineStr">
        <is>
          <t>DL012</t>
        </is>
      </c>
      <c r="C1305" s="4" t="inlineStr">
        <is>
          <t>Lâm  Quốc Trung</t>
        </is>
      </c>
      <c r="D1305" s="3" t="inlineStr">
        <is>
          <t>Cần Thơ</t>
        </is>
      </c>
      <c r="E1305" s="3" t="inlineStr">
        <is>
          <t>Tường Vi</t>
        </is>
      </c>
      <c r="F1305" s="3" t="inlineStr">
        <is>
          <t>Tiktok</t>
        </is>
      </c>
      <c r="G1305" s="4" t="inlineStr">
        <is>
          <t>SHOPEE: TIKTOK: https://www.tiktok.com/@lamquoctrung.ct/video/7696716078797360405 LAZADA: WEBSITE BÁN HÀNG:</t>
        </is>
      </c>
      <c r="H1305" s="3" t="inlineStr">
        <is>
          <t>KB-C1323</t>
        </is>
      </c>
      <c r="I1305" s="4" t="inlineStr">
        <is>
          <t>Bộ loe ống đồng KingBlue KB-C1323</t>
        </is>
      </c>
      <c r="J1305" s="3" t="inlineStr">
        <is>
          <t>Cái</t>
        </is>
      </c>
      <c r="K1305" s="5" t="n">
        <v>1140000</v>
      </c>
      <c r="L1305" s="5" t="n">
        <v>1277000</v>
      </c>
      <c r="M1305" s="6" t="n">
        <v>1482000</v>
      </c>
      <c r="N1305" s="5" t="n"/>
      <c r="O1305" s="5">
        <f>IF(AND(ISNUMBER(N1305),ISNUMBER(M1305)),N1305-M1305,"")</f>
        <v/>
      </c>
      <c r="P1305" s="7">
        <f>IF(AND(ISNUMBER(N1305),ISNUMBER(M1305),M1305&gt;0),(N1305-M1305)/M1305,"")</f>
        <v/>
      </c>
      <c r="Q1305" s="3">
        <f>IF(P1305="","",IF(P1305&lt;-0.02,"🔴 Bán phá giá sàn",IF(P1305&gt;0.05,"🔵 Bán cao hơn","🟢 Đúng giá sàn TMĐT")))</f>
        <v/>
      </c>
      <c r="R1305" s="3" t="n"/>
      <c r="S1305" s="4" t="n"/>
      <c r="T1305" s="4" t="n"/>
    </row>
    <row r="1306">
      <c r="A1306" s="3" t="n">
        <v>1305</v>
      </c>
      <c r="B1306" s="3" t="inlineStr">
        <is>
          <t>DL012</t>
        </is>
      </c>
      <c r="C1306" s="4" t="inlineStr">
        <is>
          <t>Lâm  Quốc Trung</t>
        </is>
      </c>
      <c r="D1306" s="3" t="inlineStr">
        <is>
          <t>Cần Thơ</t>
        </is>
      </c>
      <c r="E1306" s="3" t="inlineStr">
        <is>
          <t>Tường Vi</t>
        </is>
      </c>
      <c r="F1306" s="3" t="inlineStr">
        <is>
          <t>Tiktok</t>
        </is>
      </c>
      <c r="G1306" s="4" t="inlineStr">
        <is>
          <t>SHOPEE: TIKTOK: https://www.tiktok.com/@lamquoctrung.ct/video/7696716078797360405 LAZADA: WEBSITE BÁN HÀNG:</t>
        </is>
      </c>
      <c r="H1306" s="3" t="inlineStr">
        <is>
          <t>KB-ST18</t>
        </is>
      </c>
      <c r="I1306" s="4" t="inlineStr">
        <is>
          <t>Công cụ đóng đinh bán tự động KB-ST18</t>
        </is>
      </c>
      <c r="J1306" s="3" t="inlineStr">
        <is>
          <t>Cái</t>
        </is>
      </c>
      <c r="K1306" s="5" t="n">
        <v>242000</v>
      </c>
      <c r="L1306" s="5" t="n">
        <v>286000</v>
      </c>
      <c r="M1306" s="6" t="n">
        <v>351000</v>
      </c>
      <c r="N1306" s="5" t="n"/>
      <c r="O1306" s="5">
        <f>IF(AND(ISNUMBER(N1306),ISNUMBER(M1306)),N1306-M1306,"")</f>
        <v/>
      </c>
      <c r="P1306" s="7">
        <f>IF(AND(ISNUMBER(N1306),ISNUMBER(M1306),M1306&gt;0),(N1306-M1306)/M1306,"")</f>
        <v/>
      </c>
      <c r="Q1306" s="3">
        <f>IF(P1306="","",IF(P1306&lt;-0.02,"🔴 Bán phá giá sàn",IF(P1306&gt;0.05,"🔵 Bán cao hơn","🟢 Đúng giá sàn TMĐT")))</f>
        <v/>
      </c>
      <c r="R1306" s="3" t="n"/>
      <c r="S1306" s="4" t="n"/>
      <c r="T1306" s="4" t="n"/>
    </row>
    <row r="1307">
      <c r="A1307" s="3" t="n">
        <v>1306</v>
      </c>
      <c r="B1307" s="3" t="inlineStr">
        <is>
          <t>DL012</t>
        </is>
      </c>
      <c r="C1307" s="4" t="inlineStr">
        <is>
          <t>Lâm  Quốc Trung</t>
        </is>
      </c>
      <c r="D1307" s="3" t="inlineStr">
        <is>
          <t>Cần Thơ</t>
        </is>
      </c>
      <c r="E1307" s="3" t="inlineStr">
        <is>
          <t>Tường Vi</t>
        </is>
      </c>
      <c r="F1307" s="3" t="inlineStr">
        <is>
          <t>Tiktok</t>
        </is>
      </c>
      <c r="G1307" s="4" t="inlineStr">
        <is>
          <t>SHOPEE: TIKTOK: https://www.tiktok.com/@lamquoctrung.ct/video/7696716078797360405 LAZADA: WEBSITE BÁN HÀNG:</t>
        </is>
      </c>
      <c r="H1307" s="3" t="inlineStr">
        <is>
          <t>KPG-032</t>
        </is>
      </c>
      <c r="I1307" s="4" t="inlineStr">
        <is>
          <t>Dao cắt ống kim loại KPG-032</t>
        </is>
      </c>
      <c r="J1307" s="3" t="inlineStr">
        <is>
          <t>Cái</t>
        </is>
      </c>
      <c r="K1307" s="5" t="n">
        <v>259000</v>
      </c>
      <c r="L1307" s="5" t="n">
        <v>306000</v>
      </c>
      <c r="M1307" s="6" t="n">
        <v>376000</v>
      </c>
      <c r="N1307" s="5" t="n"/>
      <c r="O1307" s="5">
        <f>IF(AND(ISNUMBER(N1307),ISNUMBER(M1307)),N1307-M1307,"")</f>
        <v/>
      </c>
      <c r="P1307" s="7">
        <f>IF(AND(ISNUMBER(N1307),ISNUMBER(M1307),M1307&gt;0),(N1307-M1307)/M1307,"")</f>
        <v/>
      </c>
      <c r="Q1307" s="3">
        <f>IF(P1307="","",IF(P1307&lt;-0.02,"🔴 Bán phá giá sàn",IF(P1307&gt;0.05,"🔵 Bán cao hơn","🟢 Đúng giá sàn TMĐT")))</f>
        <v/>
      </c>
      <c r="R1307" s="3" t="n"/>
      <c r="S1307" s="4" t="n"/>
      <c r="T1307" s="4" t="n"/>
    </row>
    <row r="1308">
      <c r="A1308" s="3" t="n">
        <v>1307</v>
      </c>
      <c r="B1308" s="3" t="inlineStr">
        <is>
          <t>DL012</t>
        </is>
      </c>
      <c r="C1308" s="4" t="inlineStr">
        <is>
          <t>Lâm  Quốc Trung</t>
        </is>
      </c>
      <c r="D1308" s="3" t="inlineStr">
        <is>
          <t>Cần Thơ</t>
        </is>
      </c>
      <c r="E1308" s="3" t="inlineStr">
        <is>
          <t>Tường Vi</t>
        </is>
      </c>
      <c r="F1308" s="3" t="inlineStr">
        <is>
          <t>Tiktok</t>
        </is>
      </c>
      <c r="G1308" s="4" t="inlineStr">
        <is>
          <t>SHOPEE: TIKTOK: https://www.tiktok.com/@lamquoctrung.ct/video/7696716078797360405 LAZADA: WEBSITE BÁN HÀNG:</t>
        </is>
      </c>
      <c r="H1308" s="3" t="inlineStr">
        <is>
          <t>LED750</t>
        </is>
      </c>
      <c r="I1308" s="4" t="inlineStr">
        <is>
          <t>Đèn Led cài áo LED750</t>
        </is>
      </c>
      <c r="J1308" s="3" t="inlineStr">
        <is>
          <t>Cái</t>
        </is>
      </c>
      <c r="K1308" s="5" t="n">
        <v>269000</v>
      </c>
      <c r="L1308" s="5" t="n">
        <v>317000</v>
      </c>
      <c r="M1308" s="6" t="n">
        <v>390000</v>
      </c>
      <c r="N1308" s="5" t="n"/>
      <c r="O1308" s="5">
        <f>IF(AND(ISNUMBER(N1308),ISNUMBER(M1308)),N1308-M1308,"")</f>
        <v/>
      </c>
      <c r="P1308" s="7">
        <f>IF(AND(ISNUMBER(N1308),ISNUMBER(M1308),M1308&gt;0),(N1308-M1308)/M1308,"")</f>
        <v/>
      </c>
      <c r="Q1308" s="3">
        <f>IF(P1308="","",IF(P1308&lt;-0.02,"🔴 Bán phá giá sàn",IF(P1308&gt;0.05,"🔵 Bán cao hơn","🟢 Đúng giá sàn TMĐT")))</f>
        <v/>
      </c>
      <c r="R1308" s="3" t="n"/>
      <c r="S1308" s="4" t="n"/>
      <c r="T1308" s="4" t="n"/>
    </row>
    <row r="1309">
      <c r="A1309" s="3" t="n">
        <v>1308</v>
      </c>
      <c r="B1309" s="3" t="inlineStr">
        <is>
          <t>DL012</t>
        </is>
      </c>
      <c r="C1309" s="4" t="inlineStr">
        <is>
          <t>Lâm  Quốc Trung</t>
        </is>
      </c>
      <c r="D1309" s="3" t="inlineStr">
        <is>
          <t>Cần Thơ</t>
        </is>
      </c>
      <c r="E1309" s="3" t="inlineStr">
        <is>
          <t>Tường Vi</t>
        </is>
      </c>
      <c r="F1309" s="3" t="inlineStr">
        <is>
          <t>Tiktok</t>
        </is>
      </c>
      <c r="G1309" s="4" t="inlineStr">
        <is>
          <t>SHOPEE: TIKTOK: https://www.tiktok.com/@lamquoctrung.ct/video/7696716078797360405 LAZADA: WEBSITE BÁN HÀNG:</t>
        </is>
      </c>
      <c r="H1309" s="3" t="inlineStr">
        <is>
          <t>LED500</t>
        </is>
      </c>
      <c r="I1309" s="4" t="inlineStr">
        <is>
          <t>Đèn Led đội đầu LED500</t>
        </is>
      </c>
      <c r="J1309" s="3" t="inlineStr">
        <is>
          <t>Cái</t>
        </is>
      </c>
      <c r="K1309" s="5" t="n">
        <v>440000</v>
      </c>
      <c r="L1309" s="5" t="n">
        <v>502000</v>
      </c>
      <c r="M1309" s="6" t="n">
        <v>594000</v>
      </c>
      <c r="N1309" s="5" t="n"/>
      <c r="O1309" s="5">
        <f>IF(AND(ISNUMBER(N1309),ISNUMBER(M1309)),N1309-M1309,"")</f>
        <v/>
      </c>
      <c r="P1309" s="7">
        <f>IF(AND(ISNUMBER(N1309),ISNUMBER(M1309),M1309&gt;0),(N1309-M1309)/M1309,"")</f>
        <v/>
      </c>
      <c r="Q1309" s="3">
        <f>IF(P1309="","",IF(P1309&lt;-0.02,"🔴 Bán phá giá sàn",IF(P1309&gt;0.05,"🔵 Bán cao hơn","🟢 Đúng giá sàn TMĐT")))</f>
        <v/>
      </c>
      <c r="R1309" s="3" t="n"/>
      <c r="S1309" s="4" t="n"/>
      <c r="T1309" s="4" t="n"/>
    </row>
    <row r="1310">
      <c r="A1310" s="3" t="n">
        <v>1309</v>
      </c>
      <c r="B1310" s="3" t="inlineStr">
        <is>
          <t>DL012</t>
        </is>
      </c>
      <c r="C1310" s="4" t="inlineStr">
        <is>
          <t>Lâm  Quốc Trung</t>
        </is>
      </c>
      <c r="D1310" s="3" t="inlineStr">
        <is>
          <t>Cần Thơ</t>
        </is>
      </c>
      <c r="E1310" s="3" t="inlineStr">
        <is>
          <t>Tường Vi</t>
        </is>
      </c>
      <c r="F1310" s="3" t="inlineStr">
        <is>
          <t>Tiktok</t>
        </is>
      </c>
      <c r="G1310" s="4" t="inlineStr">
        <is>
          <t>SHOPEE: TIKTOK: https://www.tiktok.com/@lamquoctrung.ct/video/7696716078797360405 LAZADA: WEBSITE BÁN HÀNG:</t>
        </is>
      </c>
      <c r="H1310" s="3" t="inlineStr">
        <is>
          <t>HKE-924</t>
        </is>
      </c>
      <c r="I1310" s="4" t="inlineStr">
        <is>
          <t>Hít gạch điện tử HKE-924</t>
        </is>
      </c>
      <c r="J1310" s="3" t="inlineStr">
        <is>
          <t>Cái</t>
        </is>
      </c>
      <c r="K1310" s="5" t="n">
        <v>680000</v>
      </c>
      <c r="L1310" s="5" t="n">
        <v>789000</v>
      </c>
      <c r="M1310" s="6" t="n">
        <v>952000</v>
      </c>
      <c r="N1310" s="5" t="n"/>
      <c r="O1310" s="5">
        <f>IF(AND(ISNUMBER(N1310),ISNUMBER(M1310)),N1310-M1310,"")</f>
        <v/>
      </c>
      <c r="P1310" s="7">
        <f>IF(AND(ISNUMBER(N1310),ISNUMBER(M1310),M1310&gt;0),(N1310-M1310)/M1310,"")</f>
        <v/>
      </c>
      <c r="Q1310" s="3">
        <f>IF(P1310="","",IF(P1310&lt;-0.02,"🔴 Bán phá giá sàn",IF(P1310&gt;0.05,"🔵 Bán cao hơn","🟢 Đúng giá sàn TMĐT")))</f>
        <v/>
      </c>
      <c r="R1310" s="3" t="n"/>
      <c r="S1310" s="4" t="n"/>
      <c r="T1310" s="4" t="n"/>
    </row>
    <row r="1311">
      <c r="A1311" s="3" t="n">
        <v>1310</v>
      </c>
      <c r="B1311" s="3" t="inlineStr">
        <is>
          <t>DL012</t>
        </is>
      </c>
      <c r="C1311" s="4" t="inlineStr">
        <is>
          <t>Lâm  Quốc Trung</t>
        </is>
      </c>
      <c r="D1311" s="3" t="inlineStr">
        <is>
          <t>Cần Thơ</t>
        </is>
      </c>
      <c r="E1311" s="3" t="inlineStr">
        <is>
          <t>Tường Vi</t>
        </is>
      </c>
      <c r="F1311" s="3" t="inlineStr">
        <is>
          <t>Tiktok</t>
        </is>
      </c>
      <c r="G1311" s="4" t="inlineStr">
        <is>
          <t>SHOPEE: TIKTOK: https://www.tiktok.com/@lamquoctrung.ct/video/7696716078797360405 LAZADA: WEBSITE BÁN HÀNG:</t>
        </is>
      </c>
      <c r="H1311" s="3" t="inlineStr">
        <is>
          <t>E3-105DN</t>
        </is>
      </c>
      <c r="I1311" s="4" t="inlineStr">
        <is>
          <t>Lưỡi cắt KingBlue E3-105DN</t>
        </is>
      </c>
      <c r="J1311" s="3" t="inlineStr">
        <is>
          <t>Cái</t>
        </is>
      </c>
      <c r="K1311" s="5" t="n">
        <v>70000</v>
      </c>
      <c r="L1311" s="5" t="n">
        <v>83000</v>
      </c>
      <c r="M1311" s="6" t="n">
        <v>102000</v>
      </c>
      <c r="N1311" s="5" t="n"/>
      <c r="O1311" s="5">
        <f>IF(AND(ISNUMBER(N1311),ISNUMBER(M1311)),N1311-M1311,"")</f>
        <v/>
      </c>
      <c r="P1311" s="7">
        <f>IF(AND(ISNUMBER(N1311),ISNUMBER(M1311),M1311&gt;0),(N1311-M1311)/M1311,"")</f>
        <v/>
      </c>
      <c r="Q1311" s="3">
        <f>IF(P1311="","",IF(P1311&lt;-0.02,"🔴 Bán phá giá sàn",IF(P1311&gt;0.05,"🔵 Bán cao hơn","🟢 Đúng giá sàn TMĐT")))</f>
        <v/>
      </c>
      <c r="R1311" s="3" t="n"/>
      <c r="S1311" s="4" t="n"/>
      <c r="T1311" s="4" t="n"/>
    </row>
    <row r="1312">
      <c r="A1312" s="3" t="n">
        <v>1311</v>
      </c>
      <c r="B1312" s="3" t="inlineStr">
        <is>
          <t>DL012</t>
        </is>
      </c>
      <c r="C1312" s="4" t="inlineStr">
        <is>
          <t>Lâm  Quốc Trung</t>
        </is>
      </c>
      <c r="D1312" s="3" t="inlineStr">
        <is>
          <t>Cần Thơ</t>
        </is>
      </c>
      <c r="E1312" s="3" t="inlineStr">
        <is>
          <t>Tường Vi</t>
        </is>
      </c>
      <c r="F1312" s="3" t="inlineStr">
        <is>
          <t>Tiktok</t>
        </is>
      </c>
      <c r="G1312" s="4" t="inlineStr">
        <is>
          <t>SHOPEE: TIKTOK: https://www.tiktok.com/@lamquoctrung.ct/video/7696716078797360405 LAZADA: WEBSITE BÁN HÀNG:</t>
        </is>
      </c>
      <c r="H1312" s="3" t="inlineStr">
        <is>
          <t>K18VFS</t>
        </is>
      </c>
      <c r="I1312" s="4" t="inlineStr">
        <is>
          <t>Máy Bắn Vít 18V K18VFS</t>
        </is>
      </c>
      <c r="J1312" s="3" t="inlineStr">
        <is>
          <t>Cái</t>
        </is>
      </c>
      <c r="K1312" s="5" t="n">
        <v>1540000</v>
      </c>
      <c r="L1312" s="5" t="n">
        <v>1690000</v>
      </c>
      <c r="M1312" s="6" t="n">
        <v>1930000</v>
      </c>
      <c r="N1312" s="5" t="n"/>
      <c r="O1312" s="5">
        <f>IF(AND(ISNUMBER(N1312),ISNUMBER(M1312)),N1312-M1312,"")</f>
        <v/>
      </c>
      <c r="P1312" s="7">
        <f>IF(AND(ISNUMBER(N1312),ISNUMBER(M1312),M1312&gt;0),(N1312-M1312)/M1312,"")</f>
        <v/>
      </c>
      <c r="Q1312" s="3">
        <f>IF(P1312="","",IF(P1312&lt;-0.02,"🔴 Bán phá giá sàn",IF(P1312&gt;0.05,"🔵 Bán cao hơn","🟢 Đúng giá sàn TMĐT")))</f>
        <v/>
      </c>
      <c r="R1312" s="3" t="n"/>
      <c r="S1312" s="4" t="n"/>
      <c r="T1312" s="4" t="n"/>
    </row>
    <row r="1313">
      <c r="A1313" s="3" t="n">
        <v>1312</v>
      </c>
      <c r="B1313" s="3" t="inlineStr">
        <is>
          <t>DL012</t>
        </is>
      </c>
      <c r="C1313" s="4" t="inlineStr">
        <is>
          <t>Lâm  Quốc Trung</t>
        </is>
      </c>
      <c r="D1313" s="3" t="inlineStr">
        <is>
          <t>Cần Thơ</t>
        </is>
      </c>
      <c r="E1313" s="3" t="inlineStr">
        <is>
          <t>Tường Vi</t>
        </is>
      </c>
      <c r="F1313" s="3" t="inlineStr">
        <is>
          <t>Tiktok</t>
        </is>
      </c>
      <c r="G1313" s="4" t="inlineStr">
        <is>
          <t>SHOPEE: TIKTOK: https://www.tiktok.com/@lamquoctrung.ct/video/7696716078797360405 LAZADA: WEBSITE BÁN HÀNG:</t>
        </is>
      </c>
      <c r="H1313" s="3" t="inlineStr">
        <is>
          <t>KB-02XS</t>
        </is>
      </c>
      <c r="I1313" s="4" t="inlineStr">
        <is>
          <t>Máy cân bằng KB-02XS</t>
        </is>
      </c>
      <c r="J1313" s="3" t="inlineStr">
        <is>
          <t>Cái</t>
        </is>
      </c>
      <c r="K1313" s="5" t="n">
        <v>269000</v>
      </c>
      <c r="L1313" s="5" t="n">
        <v>317000</v>
      </c>
      <c r="M1313" s="6" t="n">
        <v>390000</v>
      </c>
      <c r="N1313" s="5" t="n"/>
      <c r="O1313" s="5">
        <f>IF(AND(ISNUMBER(N1313),ISNUMBER(M1313)),N1313-M1313,"")</f>
        <v/>
      </c>
      <c r="P1313" s="7">
        <f>IF(AND(ISNUMBER(N1313),ISNUMBER(M1313),M1313&gt;0),(N1313-M1313)/M1313,"")</f>
        <v/>
      </c>
      <c r="Q1313" s="3">
        <f>IF(P1313="","",IF(P1313&lt;-0.02,"🔴 Bán phá giá sàn",IF(P1313&gt;0.05,"🔵 Bán cao hơn","🟢 Đúng giá sàn TMĐT")))</f>
        <v/>
      </c>
      <c r="R1313" s="3" t="n"/>
      <c r="S1313" s="4" t="n"/>
      <c r="T1313" s="4" t="n"/>
    </row>
    <row r="1314">
      <c r="A1314" s="3" t="n">
        <v>1313</v>
      </c>
      <c r="B1314" s="3" t="inlineStr">
        <is>
          <t>DL012</t>
        </is>
      </c>
      <c r="C1314" s="4" t="inlineStr">
        <is>
          <t>Lâm  Quốc Trung</t>
        </is>
      </c>
      <c r="D1314" s="3" t="inlineStr">
        <is>
          <t>Cần Thơ</t>
        </is>
      </c>
      <c r="E1314" s="3" t="inlineStr">
        <is>
          <t>Tường Vi</t>
        </is>
      </c>
      <c r="F1314" s="3" t="inlineStr">
        <is>
          <t>Tiktok</t>
        </is>
      </c>
      <c r="G1314" s="4" t="inlineStr">
        <is>
          <t>SHOPEE: TIKTOK: https://www.tiktok.com/@lamquoctrung.ct/video/7696716078797360405 LAZADA: WEBSITE BÁN HÀNG:</t>
        </is>
      </c>
      <c r="H1314" s="3" t="inlineStr">
        <is>
          <t>KB-05XS</t>
        </is>
      </c>
      <c r="I1314" s="4" t="inlineStr">
        <is>
          <t>Máy cân bằng KB-05XS</t>
        </is>
      </c>
      <c r="J1314" s="3" t="inlineStr">
        <is>
          <t>Cái</t>
        </is>
      </c>
      <c r="K1314" s="5" t="n">
        <v>2090000</v>
      </c>
      <c r="L1314" s="5" t="n">
        <v>2340000</v>
      </c>
      <c r="M1314" s="6" t="n">
        <v>2720000</v>
      </c>
      <c r="N1314" s="5" t="n"/>
      <c r="O1314" s="5">
        <f>IF(AND(ISNUMBER(N1314),ISNUMBER(M1314)),N1314-M1314,"")</f>
        <v/>
      </c>
      <c r="P1314" s="7">
        <f>IF(AND(ISNUMBER(N1314),ISNUMBER(M1314),M1314&gt;0),(N1314-M1314)/M1314,"")</f>
        <v/>
      </c>
      <c r="Q1314" s="3">
        <f>IF(P1314="","",IF(P1314&lt;-0.02,"🔴 Bán phá giá sàn",IF(P1314&gt;0.05,"🔵 Bán cao hơn","🟢 Đúng giá sàn TMĐT")))</f>
        <v/>
      </c>
      <c r="R1314" s="3" t="n"/>
      <c r="S1314" s="4" t="n"/>
      <c r="T1314" s="4" t="n"/>
    </row>
    <row r="1315">
      <c r="A1315" s="3" t="n">
        <v>1314</v>
      </c>
      <c r="B1315" s="3" t="inlineStr">
        <is>
          <t>DL012</t>
        </is>
      </c>
      <c r="C1315" s="4" t="inlineStr">
        <is>
          <t>Lâm  Quốc Trung</t>
        </is>
      </c>
      <c r="D1315" s="3" t="inlineStr">
        <is>
          <t>Cần Thơ</t>
        </is>
      </c>
      <c r="E1315" s="3" t="inlineStr">
        <is>
          <t>Tường Vi</t>
        </is>
      </c>
      <c r="F1315" s="3" t="inlineStr">
        <is>
          <t>Tiktok</t>
        </is>
      </c>
      <c r="G1315" s="4" t="inlineStr">
        <is>
          <t>SHOPEE: TIKTOK: https://www.tiktok.com/@lamquoctrung.ct/video/7696716078797360405 LAZADA: WEBSITE BÁN HÀNG:</t>
        </is>
      </c>
      <c r="H1315" s="3" t="inlineStr">
        <is>
          <t>KB-2.5CFM</t>
        </is>
      </c>
      <c r="I1315" s="4" t="inlineStr">
        <is>
          <t>Máy hút chân không dùng pin KingBlue KB-2.5CFM</t>
        </is>
      </c>
      <c r="J1315" s="3" t="inlineStr">
        <is>
          <t>Cái</t>
        </is>
      </c>
      <c r="K1315" s="5" t="n">
        <v>269000</v>
      </c>
      <c r="L1315" s="5" t="n">
        <v>317000</v>
      </c>
      <c r="M1315" s="6" t="n">
        <v>390000</v>
      </c>
      <c r="N1315" s="5" t="n"/>
      <c r="O1315" s="5">
        <f>IF(AND(ISNUMBER(N1315),ISNUMBER(M1315)),N1315-M1315,"")</f>
        <v/>
      </c>
      <c r="P1315" s="7">
        <f>IF(AND(ISNUMBER(N1315),ISNUMBER(M1315),M1315&gt;0),(N1315-M1315)/M1315,"")</f>
        <v/>
      </c>
      <c r="Q1315" s="3">
        <f>IF(P1315="","",IF(P1315&lt;-0.02,"🔴 Bán phá giá sàn",IF(P1315&gt;0.05,"🔵 Bán cao hơn","🟢 Đúng giá sàn TMĐT")))</f>
        <v/>
      </c>
      <c r="R1315" s="3" t="n"/>
      <c r="S1315" s="4" t="n"/>
      <c r="T1315" s="4" t="n"/>
    </row>
    <row r="1316">
      <c r="A1316" s="3" t="n">
        <v>1315</v>
      </c>
      <c r="B1316" s="3" t="inlineStr">
        <is>
          <t>DL012</t>
        </is>
      </c>
      <c r="C1316" s="4" t="inlineStr">
        <is>
          <t>Lâm  Quốc Trung</t>
        </is>
      </c>
      <c r="D1316" s="3" t="inlineStr">
        <is>
          <t>Cần Thơ</t>
        </is>
      </c>
      <c r="E1316" s="3" t="inlineStr">
        <is>
          <t>Tường Vi</t>
        </is>
      </c>
      <c r="F1316" s="3" t="inlineStr">
        <is>
          <t>Tiktok</t>
        </is>
      </c>
      <c r="G1316" s="4" t="inlineStr">
        <is>
          <t>SHOPEE: TIKTOK: https://www.tiktok.com/@lamquoctrung.ct/video/7696716078797360405 LAZADA: WEBSITE BÁN HÀNG:</t>
        </is>
      </c>
      <c r="H1316" s="3" t="inlineStr">
        <is>
          <t>K18QES</t>
        </is>
      </c>
      <c r="I1316" s="4" t="inlineStr">
        <is>
          <t>Máy Khoan 3 Chức Năng 18V K18QES</t>
        </is>
      </c>
      <c r="J1316" s="3" t="inlineStr">
        <is>
          <t>Cái</t>
        </is>
      </c>
      <c r="K1316" s="5" t="n">
        <v>2380000</v>
      </c>
      <c r="L1316" s="5" t="n">
        <v>2610000</v>
      </c>
      <c r="M1316" s="6" t="n">
        <v>2970000</v>
      </c>
      <c r="N1316" s="5" t="n"/>
      <c r="O1316" s="5">
        <f>IF(AND(ISNUMBER(N1316),ISNUMBER(M1316)),N1316-M1316,"")</f>
        <v/>
      </c>
      <c r="P1316" s="7">
        <f>IF(AND(ISNUMBER(N1316),ISNUMBER(M1316),M1316&gt;0),(N1316-M1316)/M1316,"")</f>
        <v/>
      </c>
      <c r="Q1316" s="3">
        <f>IF(P1316="","",IF(P1316&lt;-0.02,"🔴 Bán phá giá sàn",IF(P1316&gt;0.05,"🔵 Bán cao hơn","🟢 Đúng giá sàn TMĐT")))</f>
        <v/>
      </c>
      <c r="R1316" s="3" t="n"/>
      <c r="S1316" s="4" t="n"/>
      <c r="T1316" s="4" t="n"/>
    </row>
    <row r="1317">
      <c r="A1317" s="3" t="n">
        <v>1316</v>
      </c>
      <c r="B1317" s="3" t="inlineStr">
        <is>
          <t>DL012</t>
        </is>
      </c>
      <c r="C1317" s="4" t="inlineStr">
        <is>
          <t>Lâm  Quốc Trung</t>
        </is>
      </c>
      <c r="D1317" s="3" t="inlineStr">
        <is>
          <t>Cần Thơ</t>
        </is>
      </c>
      <c r="E1317" s="3" t="inlineStr">
        <is>
          <t>Tường Vi</t>
        </is>
      </c>
      <c r="F1317" s="3" t="inlineStr">
        <is>
          <t>Tiktok</t>
        </is>
      </c>
      <c r="G1317" s="4" t="inlineStr">
        <is>
          <t>SHOPEE: TIKTOK: https://www.tiktok.com/@lamquoctrung.ct/video/7696716078797360405 LAZADA: WEBSITE BÁN HÀNG:</t>
        </is>
      </c>
      <c r="H1317" s="3" t="inlineStr">
        <is>
          <t>K18QFS</t>
        </is>
      </c>
      <c r="I1317" s="4" t="inlineStr">
        <is>
          <t>Máy khoan bê tông 18V K18QFS</t>
        </is>
      </c>
      <c r="J1317" s="3" t="inlineStr">
        <is>
          <t>Cái</t>
        </is>
      </c>
      <c r="K1317" s="5" t="n">
        <v>2110000</v>
      </c>
      <c r="L1317" s="5" t="n">
        <v>2320000</v>
      </c>
      <c r="M1317" s="6" t="n">
        <v>2640000</v>
      </c>
      <c r="N1317" s="5" t="n"/>
      <c r="O1317" s="5">
        <f>IF(AND(ISNUMBER(N1317),ISNUMBER(M1317)),N1317-M1317,"")</f>
        <v/>
      </c>
      <c r="P1317" s="7">
        <f>IF(AND(ISNUMBER(N1317),ISNUMBER(M1317),M1317&gt;0),(N1317-M1317)/M1317,"")</f>
        <v/>
      </c>
      <c r="Q1317" s="3">
        <f>IF(P1317="","",IF(P1317&lt;-0.02,"🔴 Bán phá giá sàn",IF(P1317&gt;0.05,"🔵 Bán cao hơn","🟢 Đúng giá sàn TMĐT")))</f>
        <v/>
      </c>
      <c r="R1317" s="3" t="n"/>
      <c r="S1317" s="4" t="n"/>
      <c r="T1317" s="4" t="n"/>
    </row>
    <row r="1318">
      <c r="A1318" s="3" t="n">
        <v>1317</v>
      </c>
      <c r="B1318" s="3" t="inlineStr">
        <is>
          <t>DL012</t>
        </is>
      </c>
      <c r="C1318" s="4" t="inlineStr">
        <is>
          <t>Lâm  Quốc Trung</t>
        </is>
      </c>
      <c r="D1318" s="3" t="inlineStr">
        <is>
          <t>Cần Thơ</t>
        </is>
      </c>
      <c r="E1318" s="3" t="inlineStr">
        <is>
          <t>Tường Vi</t>
        </is>
      </c>
      <c r="F1318" s="3" t="inlineStr">
        <is>
          <t>Tiktok</t>
        </is>
      </c>
      <c r="G1318" s="4" t="inlineStr">
        <is>
          <t>SHOPEE: TIKTOK: https://www.tiktok.com/@lamquoctrung.ct/video/7696716078797360405 LAZADA: WEBSITE BÁN HÀNG:</t>
        </is>
      </c>
      <c r="H1318" s="3" t="inlineStr">
        <is>
          <t>K18MGS</t>
        </is>
      </c>
      <c r="I1318" s="4" t="inlineStr">
        <is>
          <t>Máy Mài Góc 18V K18MGS</t>
        </is>
      </c>
      <c r="J1318" s="3" t="inlineStr">
        <is>
          <t>Cái</t>
        </is>
      </c>
      <c r="K1318" s="5" t="n">
        <v>1340000</v>
      </c>
      <c r="L1318" s="5" t="n">
        <v>1480000</v>
      </c>
      <c r="M1318" s="6" t="n">
        <v>1680000</v>
      </c>
      <c r="N1318" s="5" t="n"/>
      <c r="O1318" s="5">
        <f>IF(AND(ISNUMBER(N1318),ISNUMBER(M1318)),N1318-M1318,"")</f>
        <v/>
      </c>
      <c r="P1318" s="7">
        <f>IF(AND(ISNUMBER(N1318),ISNUMBER(M1318),M1318&gt;0),(N1318-M1318)/M1318,"")</f>
        <v/>
      </c>
      <c r="Q1318" s="3">
        <f>IF(P1318="","",IF(P1318&lt;-0.02,"🔴 Bán phá giá sàn",IF(P1318&gt;0.05,"🔵 Bán cao hơn","🟢 Đúng giá sàn TMĐT")))</f>
        <v/>
      </c>
      <c r="R1318" s="3" t="n"/>
      <c r="S1318" s="4" t="n"/>
      <c r="T1318" s="4" t="n"/>
    </row>
    <row r="1319">
      <c r="A1319" s="3" t="n">
        <v>1318</v>
      </c>
      <c r="B1319" s="3" t="inlineStr">
        <is>
          <t>DL012</t>
        </is>
      </c>
      <c r="C1319" s="4" t="inlineStr">
        <is>
          <t>Lâm  Quốc Trung</t>
        </is>
      </c>
      <c r="D1319" s="3" t="inlineStr">
        <is>
          <t>Cần Thơ</t>
        </is>
      </c>
      <c r="E1319" s="3" t="inlineStr">
        <is>
          <t>Tường Vi</t>
        </is>
      </c>
      <c r="F1319" s="3" t="inlineStr">
        <is>
          <t>Tiktok</t>
        </is>
      </c>
      <c r="G1319" s="4" t="inlineStr">
        <is>
          <t>SHOPEE: TIKTOK: https://www.tiktok.com/@lamquoctrung.ct/video/7696716078797360405 LAZADA: WEBSITE BÁN HÀNG:</t>
        </is>
      </c>
      <c r="H1319" s="3" t="inlineStr">
        <is>
          <t>KBA-UL1200</t>
        </is>
      </c>
      <c r="I1319" s="4" t="inlineStr">
        <is>
          <t>Máy rửa xe áp lực cao KBA-UL1200</t>
        </is>
      </c>
      <c r="J1319" s="3" t="inlineStr">
        <is>
          <t>Cái</t>
        </is>
      </c>
      <c r="K1319" s="5" t="n">
        <v>1290000</v>
      </c>
      <c r="L1319" s="5" t="n">
        <v>1450000</v>
      </c>
      <c r="M1319" s="6" t="n">
        <v>1680000</v>
      </c>
      <c r="N1319" s="5" t="n"/>
      <c r="O1319" s="5">
        <f>IF(AND(ISNUMBER(N1319),ISNUMBER(M1319)),N1319-M1319,"")</f>
        <v/>
      </c>
      <c r="P1319" s="7">
        <f>IF(AND(ISNUMBER(N1319),ISNUMBER(M1319),M1319&gt;0),(N1319-M1319)/M1319,"")</f>
        <v/>
      </c>
      <c r="Q1319" s="3">
        <f>IF(P1319="","",IF(P1319&lt;-0.02,"🔴 Bán phá giá sàn",IF(P1319&gt;0.05,"🔵 Bán cao hơn","🟢 Đúng giá sàn TMĐT")))</f>
        <v/>
      </c>
      <c r="R1319" s="3" t="n"/>
      <c r="S1319" s="4" t="n"/>
      <c r="T1319" s="4" t="n"/>
    </row>
    <row r="1320">
      <c r="A1320" s="3" t="n">
        <v>1319</v>
      </c>
      <c r="B1320" s="3" t="inlineStr">
        <is>
          <t>DL012</t>
        </is>
      </c>
      <c r="C1320" s="4" t="inlineStr">
        <is>
          <t>Lâm  Quốc Trung</t>
        </is>
      </c>
      <c r="D1320" s="3" t="inlineStr">
        <is>
          <t>Cần Thơ</t>
        </is>
      </c>
      <c r="E1320" s="3" t="inlineStr">
        <is>
          <t>Tường Vi</t>
        </is>
      </c>
      <c r="F1320" s="3" t="inlineStr">
        <is>
          <t>Tiktok</t>
        </is>
      </c>
      <c r="G1320" s="4" t="inlineStr">
        <is>
          <t>SHOPEE: TIKTOK: https://www.tiktok.com/@lamquoctrung.ct/video/7696716078797360405 LAZADA: WEBSITE BÁN HÀNG:</t>
        </is>
      </c>
      <c r="H1320" s="3" t="inlineStr">
        <is>
          <t>KBA-I1500</t>
        </is>
      </c>
      <c r="I1320" s="4" t="inlineStr">
        <is>
          <t>Máy rửa xe KBA-I1500</t>
        </is>
      </c>
      <c r="J1320" s="3" t="inlineStr">
        <is>
          <t>Cái</t>
        </is>
      </c>
      <c r="K1320" s="5" t="n">
        <v>2050000</v>
      </c>
      <c r="L1320" s="5" t="n">
        <v>2300000</v>
      </c>
      <c r="M1320" s="6" t="n">
        <v>2670000</v>
      </c>
      <c r="N1320" s="5" t="n"/>
      <c r="O1320" s="5">
        <f>IF(AND(ISNUMBER(N1320),ISNUMBER(M1320)),N1320-M1320,"")</f>
        <v/>
      </c>
      <c r="P1320" s="7">
        <f>IF(AND(ISNUMBER(N1320),ISNUMBER(M1320),M1320&gt;0),(N1320-M1320)/M1320,"")</f>
        <v/>
      </c>
      <c r="Q1320" s="3">
        <f>IF(P1320="","",IF(P1320&lt;-0.02,"🔴 Bán phá giá sàn",IF(P1320&gt;0.05,"🔵 Bán cao hơn","🟢 Đúng giá sàn TMĐT")))</f>
        <v/>
      </c>
      <c r="R1320" s="3" t="n"/>
      <c r="S1320" s="4" t="n"/>
      <c r="T1320" s="4" t="n"/>
    </row>
    <row r="1321">
      <c r="A1321" s="3" t="n">
        <v>1320</v>
      </c>
      <c r="B1321" s="3" t="inlineStr">
        <is>
          <t>DL012</t>
        </is>
      </c>
      <c r="C1321" s="4" t="inlineStr">
        <is>
          <t>Lâm  Quốc Trung</t>
        </is>
      </c>
      <c r="D1321" s="3" t="inlineStr">
        <is>
          <t>Cần Thơ</t>
        </is>
      </c>
      <c r="E1321" s="3" t="inlineStr">
        <is>
          <t>Tường Vi</t>
        </is>
      </c>
      <c r="F1321" s="3" t="inlineStr">
        <is>
          <t>Tiktok</t>
        </is>
      </c>
      <c r="G1321" s="4" t="inlineStr">
        <is>
          <t>SHOPEE: TIKTOK: https://www.tiktok.com/@lamquoctrung.ct/video/7696716078797360405 LAZADA: WEBSITE BÁN HÀNG:</t>
        </is>
      </c>
      <c r="H1321" s="3" t="inlineStr">
        <is>
          <t>KBA-US1500</t>
        </is>
      </c>
      <c r="I1321" s="4" t="inlineStr">
        <is>
          <t>Máy rửa xe tiêu âm KBA-US1500</t>
        </is>
      </c>
      <c r="J1321" s="3" t="inlineStr">
        <is>
          <t>Cái</t>
        </is>
      </c>
      <c r="K1321" s="5" t="n">
        <v>1900000</v>
      </c>
      <c r="L1321" s="5" t="n">
        <v>2130000</v>
      </c>
      <c r="M1321" s="6" t="n">
        <v>2470000</v>
      </c>
      <c r="N1321" s="5" t="n"/>
      <c r="O1321" s="5">
        <f>IF(AND(ISNUMBER(N1321),ISNUMBER(M1321)),N1321-M1321,"")</f>
        <v/>
      </c>
      <c r="P1321" s="7">
        <f>IF(AND(ISNUMBER(N1321),ISNUMBER(M1321),M1321&gt;0),(N1321-M1321)/M1321,"")</f>
        <v/>
      </c>
      <c r="Q1321" s="3">
        <f>IF(P1321="","",IF(P1321&lt;-0.02,"🔴 Bán phá giá sàn",IF(P1321&gt;0.05,"🔵 Bán cao hơn","🟢 Đúng giá sàn TMĐT")))</f>
        <v/>
      </c>
      <c r="R1321" s="3" t="n"/>
      <c r="S1321" s="4" t="n"/>
      <c r="T1321" s="4" t="n"/>
    </row>
    <row r="1322">
      <c r="A1322" s="3" t="n">
        <v>1321</v>
      </c>
      <c r="B1322" s="3" t="inlineStr">
        <is>
          <t>DL012</t>
        </is>
      </c>
      <c r="C1322" s="4" t="inlineStr">
        <is>
          <t>Lâm  Quốc Trung</t>
        </is>
      </c>
      <c r="D1322" s="3" t="inlineStr">
        <is>
          <t>Cần Thơ</t>
        </is>
      </c>
      <c r="E1322" s="3" t="inlineStr">
        <is>
          <t>Tường Vi</t>
        </is>
      </c>
      <c r="F1322" s="3" t="inlineStr">
        <is>
          <t>Tiktok</t>
        </is>
      </c>
      <c r="G1322" s="4" t="inlineStr">
        <is>
          <t>SHOPEE: TIKTOK: https://www.tiktok.com/@lamquoctrung.ct/video/7696716078797360405 LAZADA: WEBSITE BÁN HÀNG:</t>
        </is>
      </c>
      <c r="H1322" s="3" t="inlineStr">
        <is>
          <t>K18SVS</t>
        </is>
      </c>
      <c r="I1322" s="4" t="inlineStr">
        <is>
          <t>Máy siết Bulon 18V 2in1 K18SVS</t>
        </is>
      </c>
      <c r="J1322" s="3" t="inlineStr">
        <is>
          <t>Cái</t>
        </is>
      </c>
      <c r="K1322" s="5" t="n">
        <v>1630000</v>
      </c>
      <c r="L1322" s="5" t="n">
        <v>1790000</v>
      </c>
      <c r="M1322" s="6" t="n">
        <v>2040000</v>
      </c>
      <c r="N1322" s="5" t="n"/>
      <c r="O1322" s="5">
        <f>IF(AND(ISNUMBER(N1322),ISNUMBER(M1322)),N1322-M1322,"")</f>
        <v/>
      </c>
      <c r="P1322" s="7">
        <f>IF(AND(ISNUMBER(N1322),ISNUMBER(M1322),M1322&gt;0),(N1322-M1322)/M1322,"")</f>
        <v/>
      </c>
      <c r="Q1322" s="3">
        <f>IF(P1322="","",IF(P1322&lt;-0.02,"🔴 Bán phá giá sàn",IF(P1322&gt;0.05,"🔵 Bán cao hơn","🟢 Đúng giá sàn TMĐT")))</f>
        <v/>
      </c>
      <c r="R1322" s="3" t="n"/>
      <c r="S1322" s="4" t="n"/>
      <c r="T1322" s="4" t="n"/>
    </row>
    <row r="1323">
      <c r="A1323" s="3" t="n">
        <v>1322</v>
      </c>
      <c r="B1323" s="3" t="inlineStr">
        <is>
          <t>DL012</t>
        </is>
      </c>
      <c r="C1323" s="4" t="inlineStr">
        <is>
          <t>Lâm  Quốc Trung</t>
        </is>
      </c>
      <c r="D1323" s="3" t="inlineStr">
        <is>
          <t>Cần Thơ</t>
        </is>
      </c>
      <c r="E1323" s="3" t="inlineStr">
        <is>
          <t>Tường Vi</t>
        </is>
      </c>
      <c r="F1323" s="3" t="inlineStr">
        <is>
          <t>Tiktok</t>
        </is>
      </c>
      <c r="G1323" s="4" t="inlineStr">
        <is>
          <t>SHOPEE: TIKTOK: https://www.tiktok.com/@lamquoctrung.ct/video/7696716078797360405 LAZADA: WEBSITE BÁN HÀNG:</t>
        </is>
      </c>
      <c r="H1323" s="3" t="inlineStr">
        <is>
          <t>K18SFS</t>
        </is>
      </c>
      <c r="I1323" s="4" t="inlineStr">
        <is>
          <t>Máy siết bulong 18V K18SFS</t>
        </is>
      </c>
      <c r="J1323" s="3" t="inlineStr">
        <is>
          <t>Cái</t>
        </is>
      </c>
      <c r="K1323" s="5" t="n">
        <v>2620000</v>
      </c>
      <c r="L1323" s="5" t="n">
        <v>2880000</v>
      </c>
      <c r="M1323" s="6" t="n">
        <v>3270000</v>
      </c>
      <c r="N1323" s="5" t="n"/>
      <c r="O1323" s="5">
        <f>IF(AND(ISNUMBER(N1323),ISNUMBER(M1323)),N1323-M1323,"")</f>
        <v/>
      </c>
      <c r="P1323" s="7">
        <f>IF(AND(ISNUMBER(N1323),ISNUMBER(M1323),M1323&gt;0),(N1323-M1323)/M1323,"")</f>
        <v/>
      </c>
      <c r="Q1323" s="3">
        <f>IF(P1323="","",IF(P1323&lt;-0.02,"🔴 Bán phá giá sàn",IF(P1323&gt;0.05,"🔵 Bán cao hơn","🟢 Đúng giá sàn TMĐT")))</f>
        <v/>
      </c>
      <c r="R1323" s="3" t="n"/>
      <c r="S1323" s="4" t="n"/>
      <c r="T1323" s="4" t="n"/>
    </row>
    <row r="1324">
      <c r="A1324" s="3" t="n">
        <v>1323</v>
      </c>
      <c r="B1324" s="3" t="inlineStr">
        <is>
          <t>DL012</t>
        </is>
      </c>
      <c r="C1324" s="4" t="inlineStr">
        <is>
          <t>Lâm  Quốc Trung</t>
        </is>
      </c>
      <c r="D1324" s="3" t="inlineStr">
        <is>
          <t>Cần Thơ</t>
        </is>
      </c>
      <c r="E1324" s="3" t="inlineStr">
        <is>
          <t>Tường Vi</t>
        </is>
      </c>
      <c r="F1324" s="3" t="inlineStr">
        <is>
          <t>Tiktok</t>
        </is>
      </c>
      <c r="G1324" s="4" t="inlineStr">
        <is>
          <t>SHOPEE: TIKTOK: https://www.tiktok.com/@lamquoctrung.ct/video/7696716078797360405 LAZADA: WEBSITE BÁN HÀNG:</t>
        </is>
      </c>
      <c r="H1324" s="3" t="inlineStr">
        <is>
          <t>K18PLS</t>
        </is>
      </c>
      <c r="I1324" s="4" t="inlineStr">
        <is>
          <t>Máy thổi phản lực 18V K18PLS</t>
        </is>
      </c>
      <c r="J1324" s="3" t="inlineStr">
        <is>
          <t>Cái</t>
        </is>
      </c>
      <c r="K1324" s="5" t="n">
        <v>990000</v>
      </c>
      <c r="L1324" s="5" t="n">
        <v>1090000</v>
      </c>
      <c r="M1324" s="6" t="n">
        <v>1240000</v>
      </c>
      <c r="N1324" s="5" t="n"/>
      <c r="O1324" s="5">
        <f>IF(AND(ISNUMBER(N1324),ISNUMBER(M1324)),N1324-M1324,"")</f>
        <v/>
      </c>
      <c r="P1324" s="7">
        <f>IF(AND(ISNUMBER(N1324),ISNUMBER(M1324),M1324&gt;0),(N1324-M1324)/M1324,"")</f>
        <v/>
      </c>
      <c r="Q1324" s="3">
        <f>IF(P1324="","",IF(P1324&lt;-0.02,"🔴 Bán phá giá sàn",IF(P1324&gt;0.05,"🔵 Bán cao hơn","🟢 Đúng giá sàn TMĐT")))</f>
        <v/>
      </c>
      <c r="R1324" s="3" t="n"/>
      <c r="S1324" s="4" t="n"/>
      <c r="T1324" s="4" t="n"/>
    </row>
    <row r="1325">
      <c r="A1325" s="3" t="n">
        <v>1324</v>
      </c>
      <c r="B1325" s="3" t="inlineStr">
        <is>
          <t>DL012</t>
        </is>
      </c>
      <c r="C1325" s="4" t="inlineStr">
        <is>
          <t>Lâm  Quốc Trung</t>
        </is>
      </c>
      <c r="D1325" s="3" t="inlineStr">
        <is>
          <t>Cần Thơ</t>
        </is>
      </c>
      <c r="E1325" s="3" t="inlineStr">
        <is>
          <t>Tường Vi</t>
        </is>
      </c>
      <c r="F1325" s="3" t="inlineStr">
        <is>
          <t>Tiktok</t>
        </is>
      </c>
      <c r="G1325" s="4" t="inlineStr">
        <is>
          <t>SHOPEE: TIKTOK: https://www.tiktok.com/@lamquoctrung.ct/video/7696716078797360405 LAZADA: WEBSITE BÁN HÀNG:</t>
        </is>
      </c>
      <c r="H1325" s="3" t="inlineStr">
        <is>
          <t>V100R</t>
        </is>
      </c>
      <c r="I1325" s="4" t="inlineStr">
        <is>
          <t>Mũi bắn vít chống trượt KingBlue V100R</t>
        </is>
      </c>
      <c r="J1325" s="3" t="inlineStr">
        <is>
          <t>Vỉ</t>
        </is>
      </c>
      <c r="K1325" s="5" t="n">
        <v>29000</v>
      </c>
      <c r="L1325" s="5" t="n">
        <v>37000</v>
      </c>
      <c r="M1325" s="6" t="n">
        <v>48000</v>
      </c>
      <c r="N1325" s="5" t="n"/>
      <c r="O1325" s="5">
        <f>IF(AND(ISNUMBER(N1325),ISNUMBER(M1325)),N1325-M1325,"")</f>
        <v/>
      </c>
      <c r="P1325" s="7">
        <f>IF(AND(ISNUMBER(N1325),ISNUMBER(M1325),M1325&gt;0),(N1325-M1325)/M1325,"")</f>
        <v/>
      </c>
      <c r="Q1325" s="3">
        <f>IF(P1325="","",IF(P1325&lt;-0.02,"🔴 Bán phá giá sàn",IF(P1325&gt;0.05,"🔵 Bán cao hơn","🟢 Đúng giá sàn TMĐT")))</f>
        <v/>
      </c>
      <c r="R1325" s="3" t="n"/>
      <c r="S1325" s="4" t="n"/>
      <c r="T1325" s="4" t="n"/>
    </row>
    <row r="1326">
      <c r="A1326" s="3" t="n">
        <v>1325</v>
      </c>
      <c r="B1326" s="3" t="inlineStr">
        <is>
          <t>DL012</t>
        </is>
      </c>
      <c r="C1326" s="4" t="inlineStr">
        <is>
          <t>Lâm  Quốc Trung</t>
        </is>
      </c>
      <c r="D1326" s="3" t="inlineStr">
        <is>
          <t>Cần Thơ</t>
        </is>
      </c>
      <c r="E1326" s="3" t="inlineStr">
        <is>
          <t>Tường Vi</t>
        </is>
      </c>
      <c r="F1326" s="3" t="inlineStr">
        <is>
          <t>Tiktok</t>
        </is>
      </c>
      <c r="G1326" s="4" t="inlineStr">
        <is>
          <t>SHOPEE: TIKTOK: https://www.tiktok.com/@lamquoctrung.ct/video/7696716078797360405 LAZADA: WEBSITE BÁN HÀNG:</t>
        </is>
      </c>
      <c r="H1326" s="3" t="inlineStr">
        <is>
          <t>V150R</t>
        </is>
      </c>
      <c r="I1326" s="4" t="inlineStr">
        <is>
          <t>Mũi bắn vít chống trượt KingBlue V150R</t>
        </is>
      </c>
      <c r="J1326" s="3" t="inlineStr">
        <is>
          <t>Vỉ</t>
        </is>
      </c>
      <c r="K1326" s="5" t="n">
        <v>40000</v>
      </c>
      <c r="L1326" s="5" t="n">
        <v>50000</v>
      </c>
      <c r="M1326" s="6" t="n">
        <v>66000</v>
      </c>
      <c r="N1326" s="5" t="n"/>
      <c r="O1326" s="5">
        <f>IF(AND(ISNUMBER(N1326),ISNUMBER(M1326)),N1326-M1326,"")</f>
        <v/>
      </c>
      <c r="P1326" s="7">
        <f>IF(AND(ISNUMBER(N1326),ISNUMBER(M1326),M1326&gt;0),(N1326-M1326)/M1326,"")</f>
        <v/>
      </c>
      <c r="Q1326" s="3">
        <f>IF(P1326="","",IF(P1326&lt;-0.02,"🔴 Bán phá giá sàn",IF(P1326&gt;0.05,"🔵 Bán cao hơn","🟢 Đúng giá sàn TMĐT")))</f>
        <v/>
      </c>
      <c r="R1326" s="3" t="n"/>
      <c r="S1326" s="4" t="n"/>
      <c r="T1326" s="4" t="n"/>
    </row>
    <row r="1327">
      <c r="A1327" s="3" t="n">
        <v>1326</v>
      </c>
      <c r="B1327" s="3" t="inlineStr">
        <is>
          <t>DL012</t>
        </is>
      </c>
      <c r="C1327" s="4" t="inlineStr">
        <is>
          <t>Lâm  Quốc Trung</t>
        </is>
      </c>
      <c r="D1327" s="3" t="inlineStr">
        <is>
          <t>Cần Thơ</t>
        </is>
      </c>
      <c r="E1327" s="3" t="inlineStr">
        <is>
          <t>Tường Vi</t>
        </is>
      </c>
      <c r="F1327" s="3" t="inlineStr">
        <is>
          <t>Tiktok</t>
        </is>
      </c>
      <c r="G1327" s="4" t="inlineStr">
        <is>
          <t>SHOPEE: TIKTOK: https://www.tiktok.com/@lamquoctrung.ct/video/7696716078797360405 LAZADA: WEBSITE BÁN HÀNG:</t>
        </is>
      </c>
      <c r="H1327" s="3" t="inlineStr">
        <is>
          <t>V65R</t>
        </is>
      </c>
      <c r="I1327" s="4" t="inlineStr">
        <is>
          <t>Mũi bắn vít chống trượt KingBlue V65R</t>
        </is>
      </c>
      <c r="J1327" s="3" t="inlineStr">
        <is>
          <t>Vỉ</t>
        </is>
      </c>
      <c r="K1327" s="5" t="n">
        <v>20000</v>
      </c>
      <c r="L1327" s="5" t="n">
        <v>25000</v>
      </c>
      <c r="M1327" s="6" t="n">
        <v>33000</v>
      </c>
      <c r="N1327" s="5" t="n"/>
      <c r="O1327" s="5">
        <f>IF(AND(ISNUMBER(N1327),ISNUMBER(M1327)),N1327-M1327,"")</f>
        <v/>
      </c>
      <c r="P1327" s="7">
        <f>IF(AND(ISNUMBER(N1327),ISNUMBER(M1327),M1327&gt;0),(N1327-M1327)/M1327,"")</f>
        <v/>
      </c>
      <c r="Q1327" s="3">
        <f>IF(P1327="","",IF(P1327&lt;-0.02,"🔴 Bán phá giá sàn",IF(P1327&gt;0.05,"🔵 Bán cao hơn","🟢 Đúng giá sàn TMĐT")))</f>
        <v/>
      </c>
      <c r="R1327" s="3" t="n"/>
      <c r="S1327" s="4" t="n"/>
      <c r="T1327" s="4" t="n"/>
    </row>
    <row r="1328">
      <c r="A1328" s="3" t="n">
        <v>1327</v>
      </c>
      <c r="B1328" s="3" t="inlineStr">
        <is>
          <t>DL012</t>
        </is>
      </c>
      <c r="C1328" s="4" t="inlineStr">
        <is>
          <t>Lâm  Quốc Trung</t>
        </is>
      </c>
      <c r="D1328" s="3" t="inlineStr">
        <is>
          <t>Cần Thơ</t>
        </is>
      </c>
      <c r="E1328" s="3" t="inlineStr">
        <is>
          <t>Tường Vi</t>
        </is>
      </c>
      <c r="F1328" s="3" t="inlineStr">
        <is>
          <t>Tiktok</t>
        </is>
      </c>
      <c r="G1328" s="4" t="inlineStr">
        <is>
          <t>SHOPEE: TIKTOK: https://www.tiktok.com/@lamquoctrung.ct/video/7696716078797360405 LAZADA: WEBSITE BÁN HÀNG:</t>
        </is>
      </c>
      <c r="H1328" s="3" t="inlineStr">
        <is>
          <t>KBL2-3.290</t>
        </is>
      </c>
      <c r="I1328" s="4" t="inlineStr">
        <is>
          <t>Mũi khoan bê tông không tắc kê KBL2-3.2*90</t>
        </is>
      </c>
      <c r="J1328" s="3" t="inlineStr">
        <is>
          <t>Cái</t>
        </is>
      </c>
      <c r="K1328" s="5" t="n">
        <v>23000</v>
      </c>
      <c r="L1328" s="5" t="n">
        <v>29000</v>
      </c>
      <c r="M1328" s="6" t="n">
        <v>38000</v>
      </c>
      <c r="N1328" s="5" t="n"/>
      <c r="O1328" s="5">
        <f>IF(AND(ISNUMBER(N1328),ISNUMBER(M1328)),N1328-M1328,"")</f>
        <v/>
      </c>
      <c r="P1328" s="7">
        <f>IF(AND(ISNUMBER(N1328),ISNUMBER(M1328),M1328&gt;0),(N1328-M1328)/M1328,"")</f>
        <v/>
      </c>
      <c r="Q1328" s="3">
        <f>IF(P1328="","",IF(P1328&lt;-0.02,"🔴 Bán phá giá sàn",IF(P1328&gt;0.05,"🔵 Bán cao hơn","🟢 Đúng giá sàn TMĐT")))</f>
        <v/>
      </c>
      <c r="R1328" s="3" t="n"/>
      <c r="S1328" s="4" t="n"/>
      <c r="T1328" s="4" t="n"/>
    </row>
    <row r="1329">
      <c r="A1329" s="3" t="n">
        <v>1328</v>
      </c>
      <c r="B1329" s="3" t="inlineStr">
        <is>
          <t>DL012</t>
        </is>
      </c>
      <c r="C1329" s="4" t="inlineStr">
        <is>
          <t>Lâm  Quốc Trung</t>
        </is>
      </c>
      <c r="D1329" s="3" t="inlineStr">
        <is>
          <t>Cần Thơ</t>
        </is>
      </c>
      <c r="E1329" s="3" t="inlineStr">
        <is>
          <t>Tường Vi</t>
        </is>
      </c>
      <c r="F1329" s="3" t="inlineStr">
        <is>
          <t>Tiktok</t>
        </is>
      </c>
      <c r="G1329" s="4" t="inlineStr">
        <is>
          <t>SHOPEE: TIKTOK: https://www.tiktok.com/@lamquoctrung.ct/video/7696716078797360405 LAZADA: WEBSITE BÁN HÀNG:</t>
        </is>
      </c>
      <c r="H1329" s="3" t="inlineStr">
        <is>
          <t>KBL2-3.5110</t>
        </is>
      </c>
      <c r="I1329" s="4" t="inlineStr">
        <is>
          <t>Mũi khoan bê tông không tắc kê KBL2-3.5*110</t>
        </is>
      </c>
      <c r="J1329" s="3" t="inlineStr">
        <is>
          <t>Cái</t>
        </is>
      </c>
      <c r="K1329" s="5" t="n">
        <v>23000</v>
      </c>
      <c r="L1329" s="5" t="n">
        <v>29000</v>
      </c>
      <c r="M1329" s="6" t="n">
        <v>38000</v>
      </c>
      <c r="N1329" s="5" t="n"/>
      <c r="O1329" s="5">
        <f>IF(AND(ISNUMBER(N1329),ISNUMBER(M1329)),N1329-M1329,"")</f>
        <v/>
      </c>
      <c r="P1329" s="7">
        <f>IF(AND(ISNUMBER(N1329),ISNUMBER(M1329),M1329&gt;0),(N1329-M1329)/M1329,"")</f>
        <v/>
      </c>
      <c r="Q1329" s="3">
        <f>IF(P1329="","",IF(P1329&lt;-0.02,"🔴 Bán phá giá sàn",IF(P1329&gt;0.05,"🔵 Bán cao hơn","🟢 Đúng giá sàn TMĐT")))</f>
        <v/>
      </c>
      <c r="R1329" s="3" t="n"/>
      <c r="S1329" s="4" t="n"/>
      <c r="T1329" s="4" t="n"/>
    </row>
    <row r="1330">
      <c r="A1330" s="3" t="n">
        <v>1329</v>
      </c>
      <c r="B1330" s="3" t="inlineStr">
        <is>
          <t>DL012</t>
        </is>
      </c>
      <c r="C1330" s="4" t="inlineStr">
        <is>
          <t>Lâm  Quốc Trung</t>
        </is>
      </c>
      <c r="D1330" s="3" t="inlineStr">
        <is>
          <t>Cần Thơ</t>
        </is>
      </c>
      <c r="E1330" s="3" t="inlineStr">
        <is>
          <t>Tường Vi</t>
        </is>
      </c>
      <c r="F1330" s="3" t="inlineStr">
        <is>
          <t>Tiktok</t>
        </is>
      </c>
      <c r="G1330" s="4" t="inlineStr">
        <is>
          <t>SHOPEE: TIKTOK: https://www.tiktok.com/@lamquoctrung.ct/video/7696716078797360405 LAZADA: WEBSITE BÁN HÀNG:</t>
        </is>
      </c>
      <c r="H1330" s="3" t="inlineStr">
        <is>
          <t>KBL2-4.2110</t>
        </is>
      </c>
      <c r="I1330" s="4" t="inlineStr">
        <is>
          <t>Mũi khoan bê tông không tắc kê KBL2-4.2*110</t>
        </is>
      </c>
      <c r="J1330" s="3" t="inlineStr">
        <is>
          <t>Cái</t>
        </is>
      </c>
      <c r="K1330" s="5" t="n">
        <v>23000</v>
      </c>
      <c r="L1330" s="5" t="n">
        <v>29000</v>
      </c>
      <c r="M1330" s="6" t="n">
        <v>38000</v>
      </c>
      <c r="N1330" s="5" t="n"/>
      <c r="O1330" s="5">
        <f>IF(AND(ISNUMBER(N1330),ISNUMBER(M1330)),N1330-M1330,"")</f>
        <v/>
      </c>
      <c r="P1330" s="7">
        <f>IF(AND(ISNUMBER(N1330),ISNUMBER(M1330),M1330&gt;0),(N1330-M1330)/M1330,"")</f>
        <v/>
      </c>
      <c r="Q1330" s="3">
        <f>IF(P1330="","",IF(P1330&lt;-0.02,"🔴 Bán phá giá sàn",IF(P1330&gt;0.05,"🔵 Bán cao hơn","🟢 Đúng giá sàn TMĐT")))</f>
        <v/>
      </c>
      <c r="R1330" s="3" t="n"/>
      <c r="S1330" s="4" t="n"/>
      <c r="T1330" s="4" t="n"/>
    </row>
    <row r="1331">
      <c r="A1331" s="3" t="n">
        <v>1330</v>
      </c>
      <c r="B1331" s="3" t="inlineStr">
        <is>
          <t>DL012</t>
        </is>
      </c>
      <c r="C1331" s="4" t="inlineStr">
        <is>
          <t>Lâm  Quốc Trung</t>
        </is>
      </c>
      <c r="D1331" s="3" t="inlineStr">
        <is>
          <t>Cần Thơ</t>
        </is>
      </c>
      <c r="E1331" s="3" t="inlineStr">
        <is>
          <t>Tường Vi</t>
        </is>
      </c>
      <c r="F1331" s="3" t="inlineStr">
        <is>
          <t>Tiktok</t>
        </is>
      </c>
      <c r="G1331" s="4" t="inlineStr">
        <is>
          <t>SHOPEE: TIKTOK: https://www.tiktok.com/@lamquoctrung.ct/video/7696716078797360405 LAZADA: WEBSITE BÁN HÀNG:</t>
        </is>
      </c>
      <c r="H1331" s="3" t="inlineStr"/>
      <c r="I1331" s="4" t="inlineStr">
        <is>
          <t>Mũi khoan tường không tắc kê KBLJ - 03*100</t>
        </is>
      </c>
      <c r="J1331" s="3" t="inlineStr">
        <is>
          <t>Cái</t>
        </is>
      </c>
      <c r="K1331" s="5" t="n">
        <v>269000</v>
      </c>
      <c r="L1331" s="5" t="n">
        <v>317000</v>
      </c>
      <c r="M1331" s="6" t="n">
        <v>390000</v>
      </c>
      <c r="N1331" s="5" t="n"/>
      <c r="O1331" s="5">
        <f>IF(AND(ISNUMBER(N1331),ISNUMBER(M1331)),N1331-M1331,"")</f>
        <v/>
      </c>
      <c r="P1331" s="7">
        <f>IF(AND(ISNUMBER(N1331),ISNUMBER(M1331),M1331&gt;0),(N1331-M1331)/M1331,"")</f>
        <v/>
      </c>
      <c r="Q1331" s="3">
        <f>IF(P1331="","",IF(P1331&lt;-0.02,"🔴 Bán phá giá sàn",IF(P1331&gt;0.05,"🔵 Bán cao hơn","🟢 Đúng giá sàn TMĐT")))</f>
        <v/>
      </c>
      <c r="R1331" s="3" t="n"/>
      <c r="S1331" s="4" t="n"/>
      <c r="T1331" s="4" t="n"/>
    </row>
    <row r="1332">
      <c r="A1332" s="3" t="n">
        <v>1331</v>
      </c>
      <c r="B1332" s="3" t="inlineStr">
        <is>
          <t>DL012</t>
        </is>
      </c>
      <c r="C1332" s="4" t="inlineStr">
        <is>
          <t>Lâm  Quốc Trung</t>
        </is>
      </c>
      <c r="D1332" s="3" t="inlineStr">
        <is>
          <t>Cần Thơ</t>
        </is>
      </c>
      <c r="E1332" s="3" t="inlineStr">
        <is>
          <t>Tường Vi</t>
        </is>
      </c>
      <c r="F1332" s="3" t="inlineStr">
        <is>
          <t>Tiktok</t>
        </is>
      </c>
      <c r="G1332" s="4" t="inlineStr">
        <is>
          <t>SHOPEE: TIKTOK: https://www.tiktok.com/@lamquoctrung.ct/video/7696716078797360405 LAZADA: WEBSITE BÁN HÀNG:</t>
        </is>
      </c>
      <c r="H1332" s="3" t="inlineStr"/>
      <c r="I1332" s="4" t="inlineStr">
        <is>
          <t>Mũi khoan tường không tắc kê KBLJ - 03.2*100</t>
        </is>
      </c>
      <c r="J1332" s="3" t="inlineStr">
        <is>
          <t>Cái</t>
        </is>
      </c>
      <c r="K1332" s="5" t="n">
        <v>269000</v>
      </c>
      <c r="L1332" s="5" t="n">
        <v>317000</v>
      </c>
      <c r="M1332" s="6" t="n">
        <v>390000</v>
      </c>
      <c r="N1332" s="5" t="n"/>
      <c r="O1332" s="5">
        <f>IF(AND(ISNUMBER(N1332),ISNUMBER(M1332)),N1332-M1332,"")</f>
        <v/>
      </c>
      <c r="P1332" s="7">
        <f>IF(AND(ISNUMBER(N1332),ISNUMBER(M1332),M1332&gt;0),(N1332-M1332)/M1332,"")</f>
        <v/>
      </c>
      <c r="Q1332" s="3">
        <f>IF(P1332="","",IF(P1332&lt;-0.02,"🔴 Bán phá giá sàn",IF(P1332&gt;0.05,"🔵 Bán cao hơn","🟢 Đúng giá sàn TMĐT")))</f>
        <v/>
      </c>
      <c r="R1332" s="3" t="n"/>
      <c r="S1332" s="4" t="n"/>
      <c r="T1332" s="4" t="n"/>
    </row>
    <row r="1333">
      <c r="A1333" s="3" t="n">
        <v>1332</v>
      </c>
      <c r="B1333" s="3" t="inlineStr">
        <is>
          <t>DL012</t>
        </is>
      </c>
      <c r="C1333" s="4" t="inlineStr">
        <is>
          <t>Lâm  Quốc Trung</t>
        </is>
      </c>
      <c r="D1333" s="3" t="inlineStr">
        <is>
          <t>Cần Thơ</t>
        </is>
      </c>
      <c r="E1333" s="3" t="inlineStr">
        <is>
          <t>Tường Vi</t>
        </is>
      </c>
      <c r="F1333" s="3" t="inlineStr">
        <is>
          <t>Tiktok</t>
        </is>
      </c>
      <c r="G1333" s="4" t="inlineStr">
        <is>
          <t>SHOPEE: TIKTOK: https://www.tiktok.com/@lamquoctrung.ct/video/7696716078797360405 LAZADA: WEBSITE BÁN HÀNG:</t>
        </is>
      </c>
      <c r="H1333" s="3" t="inlineStr"/>
      <c r="I1333" s="4" t="inlineStr">
        <is>
          <t>Mũi khoan tường không tắc kê KBLJ - 03.5*100</t>
        </is>
      </c>
      <c r="J1333" s="3" t="inlineStr">
        <is>
          <t>Cái</t>
        </is>
      </c>
      <c r="K1333" s="5" t="n">
        <v>269000</v>
      </c>
      <c r="L1333" s="5" t="n">
        <v>317000</v>
      </c>
      <c r="M1333" s="6" t="n">
        <v>390000</v>
      </c>
      <c r="N1333" s="5" t="n"/>
      <c r="O1333" s="5">
        <f>IF(AND(ISNUMBER(N1333),ISNUMBER(M1333)),N1333-M1333,"")</f>
        <v/>
      </c>
      <c r="P1333" s="7">
        <f>IF(AND(ISNUMBER(N1333),ISNUMBER(M1333),M1333&gt;0),(N1333-M1333)/M1333,"")</f>
        <v/>
      </c>
      <c r="Q1333" s="3">
        <f>IF(P1333="","",IF(P1333&lt;-0.02,"🔴 Bán phá giá sàn",IF(P1333&gt;0.05,"🔵 Bán cao hơn","🟢 Đúng giá sàn TMĐT")))</f>
        <v/>
      </c>
      <c r="R1333" s="3" t="n"/>
      <c r="S1333" s="4" t="n"/>
      <c r="T1333" s="4" t="n"/>
    </row>
    <row r="1334">
      <c r="A1334" s="3" t="n">
        <v>1333</v>
      </c>
      <c r="B1334" s="3" t="inlineStr">
        <is>
          <t>DL012</t>
        </is>
      </c>
      <c r="C1334" s="4" t="inlineStr">
        <is>
          <t>Lâm  Quốc Trung</t>
        </is>
      </c>
      <c r="D1334" s="3" t="inlineStr">
        <is>
          <t>Cần Thơ</t>
        </is>
      </c>
      <c r="E1334" s="3" t="inlineStr">
        <is>
          <t>Tường Vi</t>
        </is>
      </c>
      <c r="F1334" s="3" t="inlineStr">
        <is>
          <t>Tiktok</t>
        </is>
      </c>
      <c r="G1334" s="4" t="inlineStr">
        <is>
          <t>SHOPEE: TIKTOK: https://www.tiktok.com/@lamquoctrung.ct/video/7696716078797360405 LAZADA: WEBSITE BÁN HÀNG:</t>
        </is>
      </c>
      <c r="H1334" s="3" t="inlineStr"/>
      <c r="I1334" s="4" t="inlineStr">
        <is>
          <t>Mũi khoan tường không tắc kê KBLJ - 04*100</t>
        </is>
      </c>
      <c r="J1334" s="3" t="inlineStr">
        <is>
          <t>Cái</t>
        </is>
      </c>
      <c r="K1334" s="5" t="n">
        <v>269000</v>
      </c>
      <c r="L1334" s="5" t="n">
        <v>317000</v>
      </c>
      <c r="M1334" s="6" t="n">
        <v>390000</v>
      </c>
      <c r="N1334" s="5" t="n"/>
      <c r="O1334" s="5">
        <f>IF(AND(ISNUMBER(N1334),ISNUMBER(M1334)),N1334-M1334,"")</f>
        <v/>
      </c>
      <c r="P1334" s="7">
        <f>IF(AND(ISNUMBER(N1334),ISNUMBER(M1334),M1334&gt;0),(N1334-M1334)/M1334,"")</f>
        <v/>
      </c>
      <c r="Q1334" s="3">
        <f>IF(P1334="","",IF(P1334&lt;-0.02,"🔴 Bán phá giá sàn",IF(P1334&gt;0.05,"🔵 Bán cao hơn","🟢 Đúng giá sàn TMĐT")))</f>
        <v/>
      </c>
      <c r="R1334" s="3" t="n"/>
      <c r="S1334" s="4" t="n"/>
      <c r="T1334" s="4" t="n"/>
    </row>
    <row r="1335">
      <c r="A1335" s="3" t="n">
        <v>1334</v>
      </c>
      <c r="B1335" s="3" t="inlineStr">
        <is>
          <t>DL012</t>
        </is>
      </c>
      <c r="C1335" s="4" t="inlineStr">
        <is>
          <t>Lâm  Quốc Trung</t>
        </is>
      </c>
      <c r="D1335" s="3" t="inlineStr">
        <is>
          <t>Cần Thơ</t>
        </is>
      </c>
      <c r="E1335" s="3" t="inlineStr">
        <is>
          <t>Tường Vi</t>
        </is>
      </c>
      <c r="F1335" s="3" t="inlineStr">
        <is>
          <t>Tiktok</t>
        </is>
      </c>
      <c r="G1335" s="4" t="inlineStr">
        <is>
          <t>SHOPEE: TIKTOK: https://www.tiktok.com/@lamquoctrung.ct/video/7696716078797360405 LAZADA: WEBSITE BÁN HÀNG:</t>
        </is>
      </c>
      <c r="H1335" s="3" t="inlineStr"/>
      <c r="I1335" s="4" t="inlineStr">
        <is>
          <t>Mũi khoan tường không tắc kê KBLJ - 05*100</t>
        </is>
      </c>
      <c r="J1335" s="3" t="inlineStr">
        <is>
          <t>Cái</t>
        </is>
      </c>
      <c r="K1335" s="5" t="n">
        <v>269000</v>
      </c>
      <c r="L1335" s="5" t="n">
        <v>317000</v>
      </c>
      <c r="M1335" s="6" t="n">
        <v>390000</v>
      </c>
      <c r="N1335" s="5" t="n"/>
      <c r="O1335" s="5">
        <f>IF(AND(ISNUMBER(N1335),ISNUMBER(M1335)),N1335-M1335,"")</f>
        <v/>
      </c>
      <c r="P1335" s="7">
        <f>IF(AND(ISNUMBER(N1335),ISNUMBER(M1335),M1335&gt;0),(N1335-M1335)/M1335,"")</f>
        <v/>
      </c>
      <c r="Q1335" s="3">
        <f>IF(P1335="","",IF(P1335&lt;-0.02,"🔴 Bán phá giá sàn",IF(P1335&gt;0.05,"🔵 Bán cao hơn","🟢 Đúng giá sàn TMĐT")))</f>
        <v/>
      </c>
      <c r="R1335" s="3" t="n"/>
      <c r="S1335" s="4" t="n"/>
      <c r="T1335" s="4" t="n"/>
    </row>
    <row r="1336">
      <c r="A1336" s="3" t="n">
        <v>1335</v>
      </c>
      <c r="B1336" s="3" t="inlineStr">
        <is>
          <t>DL012</t>
        </is>
      </c>
      <c r="C1336" s="4" t="inlineStr">
        <is>
          <t>Lâm  Quốc Trung</t>
        </is>
      </c>
      <c r="D1336" s="3" t="inlineStr">
        <is>
          <t>Cần Thơ</t>
        </is>
      </c>
      <c r="E1336" s="3" t="inlineStr">
        <is>
          <t>Tường Vi</t>
        </is>
      </c>
      <c r="F1336" s="3" t="inlineStr">
        <is>
          <t>Tiktok</t>
        </is>
      </c>
      <c r="G1336" s="4" t="inlineStr">
        <is>
          <t>SHOPEE: TIKTOK: https://www.tiktok.com/@lamquoctrung.ct/video/7696716078797360405 LAZADA: WEBSITE BÁN HÀNG:</t>
        </is>
      </c>
      <c r="H1336" s="3" t="inlineStr"/>
      <c r="I1336" s="4" t="inlineStr">
        <is>
          <t>Mũi khoan tường không tắc kê KBLJ - 05.5*100</t>
        </is>
      </c>
      <c r="J1336" s="3" t="inlineStr">
        <is>
          <t>Cái</t>
        </is>
      </c>
      <c r="K1336" s="5" t="n">
        <v>269000</v>
      </c>
      <c r="L1336" s="5" t="n">
        <v>317000</v>
      </c>
      <c r="M1336" s="6" t="n">
        <v>390000</v>
      </c>
      <c r="N1336" s="5" t="n"/>
      <c r="O1336" s="5">
        <f>IF(AND(ISNUMBER(N1336),ISNUMBER(M1336)),N1336-M1336,"")</f>
        <v/>
      </c>
      <c r="P1336" s="7">
        <f>IF(AND(ISNUMBER(N1336),ISNUMBER(M1336),M1336&gt;0),(N1336-M1336)/M1336,"")</f>
        <v/>
      </c>
      <c r="Q1336" s="3">
        <f>IF(P1336="","",IF(P1336&lt;-0.02,"🔴 Bán phá giá sàn",IF(P1336&gt;0.05,"🔵 Bán cao hơn","🟢 Đúng giá sàn TMĐT")))</f>
        <v/>
      </c>
      <c r="R1336" s="3" t="n"/>
      <c r="S1336" s="4" t="n"/>
      <c r="T1336" s="4" t="n"/>
    </row>
    <row r="1337">
      <c r="A1337" s="3" t="n">
        <v>1336</v>
      </c>
      <c r="B1337" s="3" t="inlineStr">
        <is>
          <t>DL012</t>
        </is>
      </c>
      <c r="C1337" s="4" t="inlineStr">
        <is>
          <t>Lâm  Quốc Trung</t>
        </is>
      </c>
      <c r="D1337" s="3" t="inlineStr">
        <is>
          <t>Cần Thơ</t>
        </is>
      </c>
      <c r="E1337" s="3" t="inlineStr">
        <is>
          <t>Tường Vi</t>
        </is>
      </c>
      <c r="F1337" s="3" t="inlineStr">
        <is>
          <t>Tiktok</t>
        </is>
      </c>
      <c r="G1337" s="4" t="inlineStr">
        <is>
          <t>SHOPEE: TIKTOK: https://www.tiktok.com/@lamquoctrung.ct/video/7696716078797360405 LAZADA: WEBSITE BÁN HÀNG:</t>
        </is>
      </c>
      <c r="H1337" s="3" t="inlineStr">
        <is>
          <t>MP6018</t>
        </is>
      </c>
      <c r="I1337" s="4" t="inlineStr">
        <is>
          <t>Pin MP6018</t>
        </is>
      </c>
      <c r="J1337" s="3" t="inlineStr">
        <is>
          <t>Cái</t>
        </is>
      </c>
      <c r="K1337" s="5" t="n">
        <v>1045000</v>
      </c>
      <c r="L1337" s="5" t="n">
        <v>1171000</v>
      </c>
      <c r="M1337" s="6" t="n">
        <v>1359000</v>
      </c>
      <c r="N1337" s="5" t="n"/>
      <c r="O1337" s="5">
        <f>IF(AND(ISNUMBER(N1337),ISNUMBER(M1337)),N1337-M1337,"")</f>
        <v/>
      </c>
      <c r="P1337" s="7">
        <f>IF(AND(ISNUMBER(N1337),ISNUMBER(M1337),M1337&gt;0),(N1337-M1337)/M1337,"")</f>
        <v/>
      </c>
      <c r="Q1337" s="3">
        <f>IF(P1337="","",IF(P1337&lt;-0.02,"🔴 Bán phá giá sàn",IF(P1337&gt;0.05,"🔵 Bán cao hơn","🟢 Đúng giá sàn TMĐT")))</f>
        <v/>
      </c>
      <c r="R1337" s="3" t="n"/>
      <c r="S1337" s="4" t="n"/>
      <c r="T1337" s="4" t="n"/>
    </row>
    <row r="1338">
      <c r="A1338" s="3" t="n">
        <v>1337</v>
      </c>
      <c r="B1338" s="3" t="inlineStr">
        <is>
          <t>DL012</t>
        </is>
      </c>
      <c r="C1338" s="4" t="inlineStr">
        <is>
          <t>Lâm  Quốc Trung</t>
        </is>
      </c>
      <c r="D1338" s="3" t="inlineStr">
        <is>
          <t>Cần Thơ</t>
        </is>
      </c>
      <c r="E1338" s="3" t="inlineStr">
        <is>
          <t>Tường Vi</t>
        </is>
      </c>
      <c r="F1338" s="3" t="inlineStr">
        <is>
          <t>Tiktok</t>
        </is>
      </c>
      <c r="G1338" s="4" t="inlineStr">
        <is>
          <t>SHOPEE: TIKTOK: https://www.tiktok.com/@lamquoctrung.ct/video/7696716078797360405 LAZADA: WEBSITE BÁN HÀNG:</t>
        </is>
      </c>
      <c r="H1338" s="3" t="inlineStr">
        <is>
          <t>KB-HF01</t>
        </is>
      </c>
      <c r="I1338" s="4" t="inlineStr">
        <is>
          <t>Quạt cầm tay mini (màu be) KB-HF01</t>
        </is>
      </c>
      <c r="J1338" s="3" t="inlineStr">
        <is>
          <t>Cái</t>
        </is>
      </c>
      <c r="K1338" s="5" t="n">
        <v>290000</v>
      </c>
      <c r="L1338" s="5" t="n">
        <v>325000</v>
      </c>
      <c r="M1338" s="6" t="n">
        <v>377000</v>
      </c>
      <c r="N1338" s="5" t="n"/>
      <c r="O1338" s="5">
        <f>IF(AND(ISNUMBER(N1338),ISNUMBER(M1338)),N1338-M1338,"")</f>
        <v/>
      </c>
      <c r="P1338" s="7">
        <f>IF(AND(ISNUMBER(N1338),ISNUMBER(M1338),M1338&gt;0),(N1338-M1338)/M1338,"")</f>
        <v/>
      </c>
      <c r="Q1338" s="3">
        <f>IF(P1338="","",IF(P1338&lt;-0.02,"🔴 Bán phá giá sàn",IF(P1338&gt;0.05,"🔵 Bán cao hơn","🟢 Đúng giá sàn TMĐT")))</f>
        <v/>
      </c>
      <c r="R1338" s="3" t="n"/>
      <c r="S1338" s="4" t="n"/>
      <c r="T1338" s="4" t="n"/>
    </row>
    <row r="1339">
      <c r="A1339" s="3" t="n">
        <v>1338</v>
      </c>
      <c r="B1339" s="3" t="inlineStr">
        <is>
          <t>DL012</t>
        </is>
      </c>
      <c r="C1339" s="4" t="inlineStr">
        <is>
          <t>Lâm  Quốc Trung</t>
        </is>
      </c>
      <c r="D1339" s="3" t="inlineStr">
        <is>
          <t>Cần Thơ</t>
        </is>
      </c>
      <c r="E1339" s="3" t="inlineStr">
        <is>
          <t>Tường Vi</t>
        </is>
      </c>
      <c r="F1339" s="3" t="inlineStr">
        <is>
          <t>Tiktok</t>
        </is>
      </c>
      <c r="G1339" s="4" t="inlineStr">
        <is>
          <t>SHOPEE: TIKTOK: https://www.tiktok.com/@lamquoctrung.ct/video/7696716078797360405 LAZADA: WEBSITE BÁN HÀNG:</t>
        </is>
      </c>
      <c r="H1339" s="3" t="inlineStr">
        <is>
          <t>KB-HF03</t>
        </is>
      </c>
      <c r="I1339" s="4" t="inlineStr">
        <is>
          <t>Quạt cầm tay mini (màu hồng) KB-HF03</t>
        </is>
      </c>
      <c r="J1339" s="3" t="inlineStr">
        <is>
          <t>Cái</t>
        </is>
      </c>
      <c r="K1339" s="5" t="n">
        <v>290000</v>
      </c>
      <c r="L1339" s="5" t="n">
        <v>325000</v>
      </c>
      <c r="M1339" s="6" t="n">
        <v>377000</v>
      </c>
      <c r="N1339" s="5" t="n"/>
      <c r="O1339" s="5">
        <f>IF(AND(ISNUMBER(N1339),ISNUMBER(M1339)),N1339-M1339,"")</f>
        <v/>
      </c>
      <c r="P1339" s="7">
        <f>IF(AND(ISNUMBER(N1339),ISNUMBER(M1339),M1339&gt;0),(N1339-M1339)/M1339,"")</f>
        <v/>
      </c>
      <c r="Q1339" s="3">
        <f>IF(P1339="","",IF(P1339&lt;-0.02,"🔴 Bán phá giá sàn",IF(P1339&gt;0.05,"🔵 Bán cao hơn","🟢 Đúng giá sàn TMĐT")))</f>
        <v/>
      </c>
      <c r="R1339" s="3" t="n"/>
      <c r="S1339" s="4" t="n"/>
      <c r="T1339" s="4" t="n"/>
    </row>
    <row r="1340">
      <c r="A1340" s="3" t="n">
        <v>1339</v>
      </c>
      <c r="B1340" s="3" t="inlineStr">
        <is>
          <t>DL012</t>
        </is>
      </c>
      <c r="C1340" s="4" t="inlineStr">
        <is>
          <t>Lâm  Quốc Trung</t>
        </is>
      </c>
      <c r="D1340" s="3" t="inlineStr">
        <is>
          <t>Cần Thơ</t>
        </is>
      </c>
      <c r="E1340" s="3" t="inlineStr">
        <is>
          <t>Tường Vi</t>
        </is>
      </c>
      <c r="F1340" s="3" t="inlineStr">
        <is>
          <t>Tiktok</t>
        </is>
      </c>
      <c r="G1340" s="4" t="inlineStr">
        <is>
          <t>SHOPEE: TIKTOK: https://www.tiktok.com/@lamquoctrung.ct/video/7696716078797360405 LAZADA: WEBSITE BÁN HÀNG:</t>
        </is>
      </c>
      <c r="H1340" s="3" t="inlineStr">
        <is>
          <t>KB-HS01</t>
        </is>
      </c>
      <c r="I1340" s="4" t="inlineStr">
        <is>
          <t>Quạt cầm tay mini tốc độ cao (màu be) KB-HS01</t>
        </is>
      </c>
      <c r="J1340" s="3" t="inlineStr">
        <is>
          <t>Cái</t>
        </is>
      </c>
      <c r="K1340" s="5" t="n">
        <v>190000</v>
      </c>
      <c r="L1340" s="5" t="n">
        <v>213000</v>
      </c>
      <c r="M1340" s="6" t="n">
        <v>247000</v>
      </c>
      <c r="N1340" s="5" t="n"/>
      <c r="O1340" s="5">
        <f>IF(AND(ISNUMBER(N1340),ISNUMBER(M1340)),N1340-M1340,"")</f>
        <v/>
      </c>
      <c r="P1340" s="7">
        <f>IF(AND(ISNUMBER(N1340),ISNUMBER(M1340),M1340&gt;0),(N1340-M1340)/M1340,"")</f>
        <v/>
      </c>
      <c r="Q1340" s="3">
        <f>IF(P1340="","",IF(P1340&lt;-0.02,"🔴 Bán phá giá sàn",IF(P1340&gt;0.05,"🔵 Bán cao hơn","🟢 Đúng giá sàn TMĐT")))</f>
        <v/>
      </c>
      <c r="R1340" s="3" t="n"/>
      <c r="S1340" s="4" t="n"/>
      <c r="T1340" s="4" t="n"/>
    </row>
    <row r="1341">
      <c r="A1341" s="3" t="n">
        <v>1340</v>
      </c>
      <c r="B1341" s="3" t="inlineStr">
        <is>
          <t>DL012</t>
        </is>
      </c>
      <c r="C1341" s="4" t="inlineStr">
        <is>
          <t>Lâm  Quốc Trung</t>
        </is>
      </c>
      <c r="D1341" s="3" t="inlineStr">
        <is>
          <t>Cần Thơ</t>
        </is>
      </c>
      <c r="E1341" s="3" t="inlineStr">
        <is>
          <t>Tường Vi</t>
        </is>
      </c>
      <c r="F1341" s="3" t="inlineStr">
        <is>
          <t>Tiktok</t>
        </is>
      </c>
      <c r="G1341" s="4" t="inlineStr">
        <is>
          <t>SHOPEE: TIKTOK: https://www.tiktok.com/@lamquoctrung.ct/video/7696716078797360405 LAZADA: WEBSITE BÁN HÀNG:</t>
        </is>
      </c>
      <c r="H1341" s="3" t="inlineStr">
        <is>
          <t>KB-HS02</t>
        </is>
      </c>
      <c r="I1341" s="4" t="inlineStr">
        <is>
          <t>Quạt cầm tay mini tốc độ cao (màu xám) KB-HS02</t>
        </is>
      </c>
      <c r="J1341" s="3" t="inlineStr">
        <is>
          <t>Cái</t>
        </is>
      </c>
      <c r="K1341" s="5" t="n">
        <v>190000</v>
      </c>
      <c r="L1341" s="5" t="n">
        <v>213000</v>
      </c>
      <c r="M1341" s="6" t="n">
        <v>247000</v>
      </c>
      <c r="N1341" s="5" t="n"/>
      <c r="O1341" s="5">
        <f>IF(AND(ISNUMBER(N1341),ISNUMBER(M1341)),N1341-M1341,"")</f>
        <v/>
      </c>
      <c r="P1341" s="7">
        <f>IF(AND(ISNUMBER(N1341),ISNUMBER(M1341),M1341&gt;0),(N1341-M1341)/M1341,"")</f>
        <v/>
      </c>
      <c r="Q1341" s="3">
        <f>IF(P1341="","",IF(P1341&lt;-0.02,"🔴 Bán phá giá sàn",IF(P1341&gt;0.05,"🔵 Bán cao hơn","🟢 Đúng giá sàn TMĐT")))</f>
        <v/>
      </c>
      <c r="R1341" s="3" t="n"/>
      <c r="S1341" s="4" t="n"/>
      <c r="T1341" s="4" t="n"/>
    </row>
    <row r="1342">
      <c r="A1342" s="3" t="n">
        <v>1341</v>
      </c>
      <c r="B1342" s="3" t="inlineStr">
        <is>
          <t>DL012</t>
        </is>
      </c>
      <c r="C1342" s="4" t="inlineStr">
        <is>
          <t>Lâm  Quốc Trung</t>
        </is>
      </c>
      <c r="D1342" s="3" t="inlineStr">
        <is>
          <t>Cần Thơ</t>
        </is>
      </c>
      <c r="E1342" s="3" t="inlineStr">
        <is>
          <t>Tường Vi</t>
        </is>
      </c>
      <c r="F1342" s="3" t="inlineStr">
        <is>
          <t>Tiktok</t>
        </is>
      </c>
      <c r="G1342" s="4" t="inlineStr">
        <is>
          <t>SHOPEE: TIKTOK: https://www.tiktok.com/@lamquoctrung.ct/video/7696716078797360405 LAZADA: WEBSITE BÁN HÀNG:</t>
        </is>
      </c>
      <c r="H1342" s="3" t="inlineStr">
        <is>
          <t>KM08AI</t>
        </is>
      </c>
      <c r="I1342" s="4" t="inlineStr">
        <is>
          <t>Sạc nhanh KM08AI (18V - 21V)</t>
        </is>
      </c>
      <c r="J1342" s="3" t="inlineStr">
        <is>
          <t>Cái</t>
        </is>
      </c>
      <c r="K1342" s="5" t="n">
        <v>760000</v>
      </c>
      <c r="L1342" s="5" t="n">
        <v>851000</v>
      </c>
      <c r="M1342" s="6" t="n">
        <v>988000</v>
      </c>
      <c r="N1342" s="5" t="n"/>
      <c r="O1342" s="5">
        <f>IF(AND(ISNUMBER(N1342),ISNUMBER(M1342)),N1342-M1342,"")</f>
        <v/>
      </c>
      <c r="P1342" s="7">
        <f>IF(AND(ISNUMBER(N1342),ISNUMBER(M1342),M1342&gt;0),(N1342-M1342)/M1342,"")</f>
        <v/>
      </c>
      <c r="Q1342" s="3">
        <f>IF(P1342="","",IF(P1342&lt;-0.02,"🔴 Bán phá giá sàn",IF(P1342&gt;0.05,"🔵 Bán cao hơn","🟢 Đúng giá sàn TMĐT")))</f>
        <v/>
      </c>
      <c r="R1342" s="3" t="n"/>
      <c r="S1342" s="4" t="n"/>
      <c r="T1342" s="4" t="n"/>
    </row>
    <row r="1343">
      <c r="A1343" s="3" t="n">
        <v>1342</v>
      </c>
      <c r="B1343" s="3" t="inlineStr">
        <is>
          <t>DL012</t>
        </is>
      </c>
      <c r="C1343" s="4" t="inlineStr">
        <is>
          <t>Lâm  Quốc Trung</t>
        </is>
      </c>
      <c r="D1343" s="3" t="inlineStr">
        <is>
          <t>Cần Thơ</t>
        </is>
      </c>
      <c r="E1343" s="3" t="inlineStr">
        <is>
          <t>Tường Vi</t>
        </is>
      </c>
      <c r="F1343" s="3" t="inlineStr">
        <is>
          <t>Tiktok</t>
        </is>
      </c>
      <c r="G1343" s="4" t="inlineStr">
        <is>
          <t>SHOPEE: TIKTOK: https://www.tiktok.com/@lamquoctrung.ct/video/7696716078797360405 LAZADA: WEBSITE BÁN HÀNG:</t>
        </is>
      </c>
      <c r="H1343" s="3" t="inlineStr">
        <is>
          <t>KHD20</t>
        </is>
      </c>
      <c r="I1343" s="4" t="inlineStr">
        <is>
          <t>Thùng đựng đồ nghề KHD20</t>
        </is>
      </c>
      <c r="J1343" s="3" t="inlineStr">
        <is>
          <t>Cái</t>
        </is>
      </c>
      <c r="K1343" s="5" t="n">
        <v>396000</v>
      </c>
      <c r="L1343" s="5" t="n">
        <v>452000</v>
      </c>
      <c r="M1343" s="6" t="n">
        <v>535000</v>
      </c>
      <c r="N1343" s="5" t="n"/>
      <c r="O1343" s="5">
        <f>IF(AND(ISNUMBER(N1343),ISNUMBER(M1343)),N1343-M1343,"")</f>
        <v/>
      </c>
      <c r="P1343" s="7">
        <f>IF(AND(ISNUMBER(N1343),ISNUMBER(M1343),M1343&gt;0),(N1343-M1343)/M1343,"")</f>
        <v/>
      </c>
      <c r="Q1343" s="3">
        <f>IF(P1343="","",IF(P1343&lt;-0.02,"🔴 Bán phá giá sàn",IF(P1343&gt;0.05,"🔵 Bán cao hơn","🟢 Đúng giá sàn TMĐT")))</f>
        <v/>
      </c>
      <c r="R1343" s="3" t="n"/>
      <c r="S1343" s="4" t="n"/>
      <c r="T1343" s="4" t="n"/>
    </row>
    <row r="1344">
      <c r="A1344" s="3" t="n">
        <v>1343</v>
      </c>
      <c r="B1344" s="3" t="inlineStr">
        <is>
          <t>DL012</t>
        </is>
      </c>
      <c r="C1344" s="4" t="inlineStr">
        <is>
          <t>Lâm  Quốc Trung</t>
        </is>
      </c>
      <c r="D1344" s="3" t="inlineStr">
        <is>
          <t>Cần Thơ</t>
        </is>
      </c>
      <c r="E1344" s="3" t="inlineStr">
        <is>
          <t>Tường Vi</t>
        </is>
      </c>
      <c r="F1344" s="3" t="inlineStr">
        <is>
          <t>Tiktok</t>
        </is>
      </c>
      <c r="G1344" s="4" t="inlineStr">
        <is>
          <t>SHOPEE: TIKTOK: https://www.tiktok.com/@lamquoctrung.ct/video/7696716078797360405 LAZADA: WEBSITE BÁN HÀNG:</t>
        </is>
      </c>
      <c r="H1344" s="3" t="inlineStr">
        <is>
          <t>KHD4216</t>
        </is>
      </c>
      <c r="I1344" s="4" t="inlineStr">
        <is>
          <t>Thùng đựng đồ nghề KHD4216</t>
        </is>
      </c>
      <c r="J1344" s="3" t="inlineStr">
        <is>
          <t>Cái</t>
        </is>
      </c>
      <c r="K1344" s="5" t="n">
        <v>2065</v>
      </c>
      <c r="L1344" s="5" t="n">
        <v>484000</v>
      </c>
      <c r="M1344" s="6" t="n">
        <v>552000</v>
      </c>
      <c r="N1344" s="5" t="n"/>
      <c r="O1344" s="5">
        <f>IF(AND(ISNUMBER(N1344),ISNUMBER(M1344)),N1344-M1344,"")</f>
        <v/>
      </c>
      <c r="P1344" s="7">
        <f>IF(AND(ISNUMBER(N1344),ISNUMBER(M1344),M1344&gt;0),(N1344-M1344)/M1344,"")</f>
        <v/>
      </c>
      <c r="Q1344" s="3">
        <f>IF(P1344="","",IF(P1344&lt;-0.02,"🔴 Bán phá giá sàn",IF(P1344&gt;0.05,"🔵 Bán cao hơn","🟢 Đúng giá sàn TMĐT")))</f>
        <v/>
      </c>
      <c r="R1344" s="3" t="n"/>
      <c r="S1344" s="4" t="n"/>
      <c r="T1344" s="4" t="n"/>
    </row>
    <row r="1345">
      <c r="A1345" s="3" t="n">
        <v>1344</v>
      </c>
      <c r="B1345" s="3" t="inlineStr">
        <is>
          <t>DL012</t>
        </is>
      </c>
      <c r="C1345" s="4" t="inlineStr">
        <is>
          <t>Lâm  Quốc Trung</t>
        </is>
      </c>
      <c r="D1345" s="3" t="inlineStr">
        <is>
          <t>Cần Thơ</t>
        </is>
      </c>
      <c r="E1345" s="3" t="inlineStr">
        <is>
          <t>Tường Vi</t>
        </is>
      </c>
      <c r="F1345" s="3" t="inlineStr">
        <is>
          <t>Tiktok</t>
        </is>
      </c>
      <c r="G1345" s="4" t="inlineStr">
        <is>
          <t>SHOPEE: TIKTOK: https://www.tiktok.com/@lamquoctrung.ct/video/7696716078797360405 LAZADA: WEBSITE BÁN HÀNG:</t>
        </is>
      </c>
      <c r="H1345" s="3" t="inlineStr">
        <is>
          <t>KHD4233</t>
        </is>
      </c>
      <c r="I1345" s="4" t="inlineStr">
        <is>
          <t>Thùng đựng đồ nghề KHD4233</t>
        </is>
      </c>
      <c r="J1345" s="3" t="inlineStr">
        <is>
          <t>Cái</t>
        </is>
      </c>
      <c r="K1345" s="5" t="n">
        <v>269000</v>
      </c>
      <c r="L1345" s="5" t="n">
        <v>317000</v>
      </c>
      <c r="M1345" s="6" t="n">
        <v>390000</v>
      </c>
      <c r="N1345" s="5" t="n"/>
      <c r="O1345" s="5">
        <f>IF(AND(ISNUMBER(N1345),ISNUMBER(M1345)),N1345-M1345,"")</f>
        <v/>
      </c>
      <c r="P1345" s="7">
        <f>IF(AND(ISNUMBER(N1345),ISNUMBER(M1345),M1345&gt;0),(N1345-M1345)/M1345,"")</f>
        <v/>
      </c>
      <c r="Q1345" s="3">
        <f>IF(P1345="","",IF(P1345&lt;-0.02,"🔴 Bán phá giá sàn",IF(P1345&gt;0.05,"🔵 Bán cao hơn","🟢 Đúng giá sàn TMĐT")))</f>
        <v/>
      </c>
      <c r="R1345" s="3" t="n"/>
      <c r="S1345" s="4" t="n"/>
      <c r="T1345" s="4" t="n"/>
    </row>
    <row r="1346">
      <c r="A1346" s="3" t="n">
        <v>1345</v>
      </c>
      <c r="B1346" s="3" t="inlineStr">
        <is>
          <t>DL013</t>
        </is>
      </c>
      <c r="C1346" s="4" t="inlineStr">
        <is>
          <t>Đồ Nghề Tự Chọn</t>
        </is>
      </c>
      <c r="D1346" s="3" t="inlineStr">
        <is>
          <t>Cần Thơ</t>
        </is>
      </c>
      <c r="E1346" s="3" t="inlineStr">
        <is>
          <t>Tường Vi</t>
        </is>
      </c>
      <c r="F1346" s="3" t="inlineStr">
        <is>
          <t>Tiktok</t>
        </is>
      </c>
      <c r="G1346" s="4" t="inlineStr">
        <is>
          <t>SHOPEE: TIKTOK: https://www.tiktok.com/@donghetuchon/video/7690516415886970130 LAZADA: WEBSITE BÁN HÀNG:</t>
        </is>
      </c>
      <c r="H1346" s="3" t="inlineStr"/>
      <c r="I1346" s="4" t="inlineStr">
        <is>
          <t>Bình giữ nhiệt 600cc</t>
        </is>
      </c>
      <c r="J1346" s="3" t="inlineStr">
        <is>
          <t>Cái</t>
        </is>
      </c>
      <c r="K1346" s="5" t="n">
        <v>269000</v>
      </c>
      <c r="L1346" s="5" t="n">
        <v>317000</v>
      </c>
      <c r="M1346" s="6" t="n">
        <v>390000</v>
      </c>
      <c r="N1346" s="5" t="n"/>
      <c r="O1346" s="5">
        <f>IF(AND(ISNUMBER(N1346),ISNUMBER(M1346)),N1346-M1346,"")</f>
        <v/>
      </c>
      <c r="P1346" s="7">
        <f>IF(AND(ISNUMBER(N1346),ISNUMBER(M1346),M1346&gt;0),(N1346-M1346)/M1346,"")</f>
        <v/>
      </c>
      <c r="Q1346" s="3">
        <f>IF(P1346="","",IF(P1346&lt;-0.02,"🔴 Bán phá giá sàn",IF(P1346&gt;0.05,"🔵 Bán cao hơn","🟢 Đúng giá sàn TMĐT")))</f>
        <v/>
      </c>
      <c r="R1346" s="3" t="n"/>
      <c r="S1346" s="4" t="n"/>
      <c r="T1346" s="4" t="n"/>
    </row>
    <row r="1347">
      <c r="A1347" s="3" t="n">
        <v>1346</v>
      </c>
      <c r="B1347" s="3" t="inlineStr">
        <is>
          <t>DL013</t>
        </is>
      </c>
      <c r="C1347" s="4" t="inlineStr">
        <is>
          <t>Đồ Nghề Tự Chọn</t>
        </is>
      </c>
      <c r="D1347" s="3" t="inlineStr">
        <is>
          <t>Cần Thơ</t>
        </is>
      </c>
      <c r="E1347" s="3" t="inlineStr">
        <is>
          <t>Tường Vi</t>
        </is>
      </c>
      <c r="F1347" s="3" t="inlineStr">
        <is>
          <t>Tiktok</t>
        </is>
      </c>
      <c r="G1347" s="4" t="inlineStr">
        <is>
          <t>SHOPEE: TIKTOK: https://www.tiktok.com/@donghetuchon/video/7690516415886970130 LAZADA: WEBSITE BÁN HÀNG:</t>
        </is>
      </c>
      <c r="H1347" s="3" t="inlineStr">
        <is>
          <t>T9100E</t>
        </is>
      </c>
      <c r="I1347" s="4" t="inlineStr">
        <is>
          <t>Bộ đầu hoa thị T9100E</t>
        </is>
      </c>
      <c r="J1347" s="3" t="inlineStr">
        <is>
          <t>Bộ</t>
        </is>
      </c>
      <c r="K1347" s="5" t="n">
        <v>86000</v>
      </c>
      <c r="L1347" s="5" t="n">
        <v>108000</v>
      </c>
      <c r="M1347" s="6" t="n">
        <v>142000</v>
      </c>
      <c r="N1347" s="5" t="n"/>
      <c r="O1347" s="5">
        <f>IF(AND(ISNUMBER(N1347),ISNUMBER(M1347)),N1347-M1347,"")</f>
        <v/>
      </c>
      <c r="P1347" s="7">
        <f>IF(AND(ISNUMBER(N1347),ISNUMBER(M1347),M1347&gt;0),(N1347-M1347)/M1347,"")</f>
        <v/>
      </c>
      <c r="Q1347" s="3">
        <f>IF(P1347="","",IF(P1347&lt;-0.02,"🔴 Bán phá giá sàn",IF(P1347&gt;0.05,"🔵 Bán cao hơn","🟢 Đúng giá sàn TMĐT")))</f>
        <v/>
      </c>
      <c r="R1347" s="3" t="n"/>
      <c r="S1347" s="4" t="n"/>
      <c r="T1347" s="4" t="n"/>
    </row>
    <row r="1348">
      <c r="A1348" s="3" t="n">
        <v>1347</v>
      </c>
      <c r="B1348" s="3" t="inlineStr">
        <is>
          <t>DL013</t>
        </is>
      </c>
      <c r="C1348" s="4" t="inlineStr">
        <is>
          <t>Đồ Nghề Tự Chọn</t>
        </is>
      </c>
      <c r="D1348" s="3" t="inlineStr">
        <is>
          <t>Cần Thơ</t>
        </is>
      </c>
      <c r="E1348" s="3" t="inlineStr">
        <is>
          <t>Tường Vi</t>
        </is>
      </c>
      <c r="F1348" s="3" t="inlineStr">
        <is>
          <t>Tiktok</t>
        </is>
      </c>
      <c r="G1348" s="4" t="inlineStr">
        <is>
          <t>SHOPEE: TIKTOK: https://www.tiktok.com/@donghetuchon/video/7690516415886970130 LAZADA: WEBSITE BÁN HÀNG:</t>
        </is>
      </c>
      <c r="H1348" s="3" t="inlineStr">
        <is>
          <t>L8100E</t>
        </is>
      </c>
      <c r="I1348" s="4" t="inlineStr">
        <is>
          <t>Bộ đầu lục giác L8100E</t>
        </is>
      </c>
      <c r="J1348" s="3" t="inlineStr">
        <is>
          <t>Bộ</t>
        </is>
      </c>
      <c r="K1348" s="5" t="n">
        <v>86000</v>
      </c>
      <c r="L1348" s="5" t="n">
        <v>108000</v>
      </c>
      <c r="M1348" s="6" t="n">
        <v>142000</v>
      </c>
      <c r="N1348" s="5" t="n"/>
      <c r="O1348" s="5">
        <f>IF(AND(ISNUMBER(N1348),ISNUMBER(M1348)),N1348-M1348,"")</f>
        <v/>
      </c>
      <c r="P1348" s="7">
        <f>IF(AND(ISNUMBER(N1348),ISNUMBER(M1348),M1348&gt;0),(N1348-M1348)/M1348,"")</f>
        <v/>
      </c>
      <c r="Q1348" s="3">
        <f>IF(P1348="","",IF(P1348&lt;-0.02,"🔴 Bán phá giá sàn",IF(P1348&gt;0.05,"🔵 Bán cao hơn","🟢 Đúng giá sàn TMĐT")))</f>
        <v/>
      </c>
      <c r="R1348" s="3" t="n"/>
      <c r="S1348" s="4" t="n"/>
      <c r="T1348" s="4" t="n"/>
    </row>
    <row r="1349">
      <c r="A1349" s="3" t="n">
        <v>1348</v>
      </c>
      <c r="B1349" s="3" t="inlineStr">
        <is>
          <t>DL013</t>
        </is>
      </c>
      <c r="C1349" s="4" t="inlineStr">
        <is>
          <t>Đồ Nghề Tự Chọn</t>
        </is>
      </c>
      <c r="D1349" s="3" t="inlineStr">
        <is>
          <t>Cần Thơ</t>
        </is>
      </c>
      <c r="E1349" s="3" t="inlineStr">
        <is>
          <t>Tường Vi</t>
        </is>
      </c>
      <c r="F1349" s="3" t="inlineStr">
        <is>
          <t>Tiktok</t>
        </is>
      </c>
      <c r="G1349" s="4" t="inlineStr">
        <is>
          <t>SHOPEE: TIKTOK: https://www.tiktok.com/@donghetuchon/video/7690516415886970130 LAZADA: WEBSITE BÁN HÀNG:</t>
        </is>
      </c>
      <c r="H1349" s="3" t="inlineStr">
        <is>
          <t>KB-R1323</t>
        </is>
      </c>
      <c r="I1349" s="4" t="inlineStr">
        <is>
          <t>Bộ loe ống đồng 2 chức năng KingBlue KB-R1323</t>
        </is>
      </c>
      <c r="J1349" s="3" t="inlineStr">
        <is>
          <t>Cái</t>
        </is>
      </c>
      <c r="K1349" s="5" t="n">
        <v>1720000</v>
      </c>
      <c r="L1349" s="5" t="n">
        <v>1926000</v>
      </c>
      <c r="M1349" s="6" t="n">
        <v>2236000</v>
      </c>
      <c r="N1349" s="5" t="n"/>
      <c r="O1349" s="5">
        <f>IF(AND(ISNUMBER(N1349),ISNUMBER(M1349)),N1349-M1349,"")</f>
        <v/>
      </c>
      <c r="P1349" s="7">
        <f>IF(AND(ISNUMBER(N1349),ISNUMBER(M1349),M1349&gt;0),(N1349-M1349)/M1349,"")</f>
        <v/>
      </c>
      <c r="Q1349" s="3">
        <f>IF(P1349="","",IF(P1349&lt;-0.02,"🔴 Bán phá giá sàn",IF(P1349&gt;0.05,"🔵 Bán cao hơn","🟢 Đúng giá sàn TMĐT")))</f>
        <v/>
      </c>
      <c r="R1349" s="3" t="n"/>
      <c r="S1349" s="4" t="n"/>
      <c r="T1349" s="4" t="n"/>
    </row>
    <row r="1350">
      <c r="A1350" s="3" t="n">
        <v>1349</v>
      </c>
      <c r="B1350" s="3" t="inlineStr">
        <is>
          <t>DL013</t>
        </is>
      </c>
      <c r="C1350" s="4" t="inlineStr">
        <is>
          <t>Đồ Nghề Tự Chọn</t>
        </is>
      </c>
      <c r="D1350" s="3" t="inlineStr">
        <is>
          <t>Cần Thơ</t>
        </is>
      </c>
      <c r="E1350" s="3" t="inlineStr">
        <is>
          <t>Tường Vi</t>
        </is>
      </c>
      <c r="F1350" s="3" t="inlineStr">
        <is>
          <t>Tiktok</t>
        </is>
      </c>
      <c r="G1350" s="4" t="inlineStr">
        <is>
          <t>SHOPEE: TIKTOK: https://www.tiktok.com/@donghetuchon/video/7690516415886970130 LAZADA: WEBSITE BÁN HÀNG:</t>
        </is>
      </c>
      <c r="H1350" s="3" t="inlineStr">
        <is>
          <t>KB-C1323</t>
        </is>
      </c>
      <c r="I1350" s="4" t="inlineStr">
        <is>
          <t>Bộ loe ống đồng KingBlue KB-C1323</t>
        </is>
      </c>
      <c r="J1350" s="3" t="inlineStr">
        <is>
          <t>Cái</t>
        </is>
      </c>
      <c r="K1350" s="5" t="n">
        <v>1140000</v>
      </c>
      <c r="L1350" s="5" t="n">
        <v>1277000</v>
      </c>
      <c r="M1350" s="6" t="n">
        <v>1482000</v>
      </c>
      <c r="N1350" s="5" t="n"/>
      <c r="O1350" s="5">
        <f>IF(AND(ISNUMBER(N1350),ISNUMBER(M1350)),N1350-M1350,"")</f>
        <v/>
      </c>
      <c r="P1350" s="7">
        <f>IF(AND(ISNUMBER(N1350),ISNUMBER(M1350),M1350&gt;0),(N1350-M1350)/M1350,"")</f>
        <v/>
      </c>
      <c r="Q1350" s="3">
        <f>IF(P1350="","",IF(P1350&lt;-0.02,"🔴 Bán phá giá sàn",IF(P1350&gt;0.05,"🔵 Bán cao hơn","🟢 Đúng giá sàn TMĐT")))</f>
        <v/>
      </c>
      <c r="R1350" s="3" t="n"/>
      <c r="S1350" s="4" t="n"/>
      <c r="T1350" s="4" t="n"/>
    </row>
    <row r="1351">
      <c r="A1351" s="3" t="n">
        <v>1350</v>
      </c>
      <c r="B1351" s="3" t="inlineStr">
        <is>
          <t>DL013</t>
        </is>
      </c>
      <c r="C1351" s="4" t="inlineStr">
        <is>
          <t>Đồ Nghề Tự Chọn</t>
        </is>
      </c>
      <c r="D1351" s="3" t="inlineStr">
        <is>
          <t>Cần Thơ</t>
        </is>
      </c>
      <c r="E1351" s="3" t="inlineStr">
        <is>
          <t>Tường Vi</t>
        </is>
      </c>
      <c r="F1351" s="3" t="inlineStr">
        <is>
          <t>Tiktok</t>
        </is>
      </c>
      <c r="G1351" s="4" t="inlineStr">
        <is>
          <t>SHOPEE: TIKTOK: https://www.tiktok.com/@donghetuchon/video/7690516415886970130 LAZADA: WEBSITE BÁN HÀNG:</t>
        </is>
      </c>
      <c r="H1351" s="3" t="inlineStr">
        <is>
          <t>KL2-09</t>
        </is>
      </c>
      <c r="I1351" s="4" t="inlineStr">
        <is>
          <t>Bộ lục giác KL2-09 ( đầu hoa thị)</t>
        </is>
      </c>
      <c r="J1351" s="3" t="inlineStr">
        <is>
          <t>Bộ</t>
        </is>
      </c>
      <c r="K1351" s="5" t="n">
        <v>132000</v>
      </c>
      <c r="L1351" s="5" t="n">
        <v>156000</v>
      </c>
      <c r="M1351" s="6" t="n">
        <v>191000</v>
      </c>
      <c r="N1351" s="5" t="n"/>
      <c r="O1351" s="5">
        <f>IF(AND(ISNUMBER(N1351),ISNUMBER(M1351)),N1351-M1351,"")</f>
        <v/>
      </c>
      <c r="P1351" s="7">
        <f>IF(AND(ISNUMBER(N1351),ISNUMBER(M1351),M1351&gt;0),(N1351-M1351)/M1351,"")</f>
        <v/>
      </c>
      <c r="Q1351" s="3">
        <f>IF(P1351="","",IF(P1351&lt;-0.02,"🔴 Bán phá giá sàn",IF(P1351&gt;0.05,"🔵 Bán cao hơn","🟢 Đúng giá sàn TMĐT")))</f>
        <v/>
      </c>
      <c r="R1351" s="3" t="n"/>
      <c r="S1351" s="4" t="n"/>
      <c r="T1351" s="4" t="n"/>
    </row>
    <row r="1352">
      <c r="A1352" s="3" t="n">
        <v>1351</v>
      </c>
      <c r="B1352" s="3" t="inlineStr">
        <is>
          <t>DL013</t>
        </is>
      </c>
      <c r="C1352" s="4" t="inlineStr">
        <is>
          <t>Đồ Nghề Tự Chọn</t>
        </is>
      </c>
      <c r="D1352" s="3" t="inlineStr">
        <is>
          <t>Cần Thơ</t>
        </is>
      </c>
      <c r="E1352" s="3" t="inlineStr">
        <is>
          <t>Tường Vi</t>
        </is>
      </c>
      <c r="F1352" s="3" t="inlineStr">
        <is>
          <t>Tiktok</t>
        </is>
      </c>
      <c r="G1352" s="4" t="inlineStr">
        <is>
          <t>SHOPEE: TIKTOK: https://www.tiktok.com/@donghetuchon/video/7690516415886970130 LAZADA: WEBSITE BÁN HÀNG:</t>
        </is>
      </c>
      <c r="H1352" s="3" t="inlineStr">
        <is>
          <t>KL4-09</t>
        </is>
      </c>
      <c r="I1352" s="4" t="inlineStr">
        <is>
          <t>Bộ lục giác KL4-09 ( đầu bi)</t>
        </is>
      </c>
      <c r="J1352" s="3" t="inlineStr">
        <is>
          <t>Bộ</t>
        </is>
      </c>
      <c r="K1352" s="5" t="n">
        <v>132000</v>
      </c>
      <c r="L1352" s="5" t="n">
        <v>156000</v>
      </c>
      <c r="M1352" s="6" t="n">
        <v>191000</v>
      </c>
      <c r="N1352" s="5" t="n"/>
      <c r="O1352" s="5">
        <f>IF(AND(ISNUMBER(N1352),ISNUMBER(M1352)),N1352-M1352,"")</f>
        <v/>
      </c>
      <c r="P1352" s="7">
        <f>IF(AND(ISNUMBER(N1352),ISNUMBER(M1352),M1352&gt;0),(N1352-M1352)/M1352,"")</f>
        <v/>
      </c>
      <c r="Q1352" s="3">
        <f>IF(P1352="","",IF(P1352&lt;-0.02,"🔴 Bán phá giá sàn",IF(P1352&gt;0.05,"🔵 Bán cao hơn","🟢 Đúng giá sàn TMĐT")))</f>
        <v/>
      </c>
      <c r="R1352" s="3" t="n"/>
      <c r="S1352" s="4" t="n"/>
      <c r="T1352" s="4" t="n"/>
    </row>
    <row r="1353">
      <c r="A1353" s="3" t="n">
        <v>1352</v>
      </c>
      <c r="B1353" s="3" t="inlineStr">
        <is>
          <t>DL013</t>
        </is>
      </c>
      <c r="C1353" s="4" t="inlineStr">
        <is>
          <t>Đồ Nghề Tự Chọn</t>
        </is>
      </c>
      <c r="D1353" s="3" t="inlineStr">
        <is>
          <t>Cần Thơ</t>
        </is>
      </c>
      <c r="E1353" s="3" t="inlineStr">
        <is>
          <t>Tường Vi</t>
        </is>
      </c>
      <c r="F1353" s="3" t="inlineStr">
        <is>
          <t>Tiktok</t>
        </is>
      </c>
      <c r="G1353" s="4" t="inlineStr">
        <is>
          <t>SHOPEE: TIKTOK: https://www.tiktok.com/@donghetuchon/video/7690516415886970130 LAZADA: WEBSITE BÁN HÀNG:</t>
        </is>
      </c>
      <c r="H1353" s="3" t="inlineStr">
        <is>
          <t>KL7-09</t>
        </is>
      </c>
      <c r="I1353" s="4" t="inlineStr">
        <is>
          <t>Bộ lục giác KL7-09 ( đầu bi)</t>
        </is>
      </c>
      <c r="J1353" s="3" t="inlineStr">
        <is>
          <t>Cái</t>
        </is>
      </c>
      <c r="K1353" s="5" t="n">
        <v>269000</v>
      </c>
      <c r="L1353" s="5" t="n">
        <v>317000</v>
      </c>
      <c r="M1353" s="6" t="n">
        <v>390000</v>
      </c>
      <c r="N1353" s="5" t="n"/>
      <c r="O1353" s="5">
        <f>IF(AND(ISNUMBER(N1353),ISNUMBER(M1353)),N1353-M1353,"")</f>
        <v/>
      </c>
      <c r="P1353" s="7">
        <f>IF(AND(ISNUMBER(N1353),ISNUMBER(M1353),M1353&gt;0),(N1353-M1353)/M1353,"")</f>
        <v/>
      </c>
      <c r="Q1353" s="3">
        <f>IF(P1353="","",IF(P1353&lt;-0.02,"🔴 Bán phá giá sàn",IF(P1353&gt;0.05,"🔵 Bán cao hơn","🟢 Đúng giá sàn TMĐT")))</f>
        <v/>
      </c>
      <c r="R1353" s="3" t="n"/>
      <c r="S1353" s="4" t="n"/>
      <c r="T1353" s="4" t="n"/>
    </row>
    <row r="1354">
      <c r="A1354" s="3" t="n">
        <v>1353</v>
      </c>
      <c r="B1354" s="3" t="inlineStr">
        <is>
          <t>DL013</t>
        </is>
      </c>
      <c r="C1354" s="4" t="inlineStr">
        <is>
          <t>Đồ Nghề Tự Chọn</t>
        </is>
      </c>
      <c r="D1354" s="3" t="inlineStr">
        <is>
          <t>Cần Thơ</t>
        </is>
      </c>
      <c r="E1354" s="3" t="inlineStr">
        <is>
          <t>Tường Vi</t>
        </is>
      </c>
      <c r="F1354" s="3" t="inlineStr">
        <is>
          <t>Tiktok</t>
        </is>
      </c>
      <c r="G1354" s="4" t="inlineStr">
        <is>
          <t>SHOPEE: TIKTOK: https://www.tiktok.com/@donghetuchon/video/7690516415886970130 LAZADA: WEBSITE BÁN HÀNG:</t>
        </is>
      </c>
      <c r="H1354" s="3" t="inlineStr">
        <is>
          <t>KL9-09</t>
        </is>
      </c>
      <c r="I1354" s="4" t="inlineStr">
        <is>
          <t>Bộ lục giác KL9-09 (đầu hoa thị)</t>
        </is>
      </c>
      <c r="J1354" s="3" t="inlineStr">
        <is>
          <t>Cái</t>
        </is>
      </c>
      <c r="K1354" s="5" t="n">
        <v>269000</v>
      </c>
      <c r="L1354" s="5" t="n">
        <v>317000</v>
      </c>
      <c r="M1354" s="6" t="n">
        <v>390000</v>
      </c>
      <c r="N1354" s="5" t="n"/>
      <c r="O1354" s="5">
        <f>IF(AND(ISNUMBER(N1354),ISNUMBER(M1354)),N1354-M1354,"")</f>
        <v/>
      </c>
      <c r="P1354" s="7">
        <f>IF(AND(ISNUMBER(N1354),ISNUMBER(M1354),M1354&gt;0),(N1354-M1354)/M1354,"")</f>
        <v/>
      </c>
      <c r="Q1354" s="3">
        <f>IF(P1354="","",IF(P1354&lt;-0.02,"🔴 Bán phá giá sàn",IF(P1354&gt;0.05,"🔵 Bán cao hơn","🟢 Đúng giá sàn TMĐT")))</f>
        <v/>
      </c>
      <c r="R1354" s="3" t="n"/>
      <c r="S1354" s="4" t="n"/>
      <c r="T1354" s="4" t="n"/>
    </row>
    <row r="1355">
      <c r="A1355" s="3" t="n">
        <v>1354</v>
      </c>
      <c r="B1355" s="3" t="inlineStr">
        <is>
          <t>DL013</t>
        </is>
      </c>
      <c r="C1355" s="4" t="inlineStr">
        <is>
          <t>Đồ Nghề Tự Chọn</t>
        </is>
      </c>
      <c r="D1355" s="3" t="inlineStr">
        <is>
          <t>Cần Thơ</t>
        </is>
      </c>
      <c r="E1355" s="3" t="inlineStr">
        <is>
          <t>Tường Vi</t>
        </is>
      </c>
      <c r="F1355" s="3" t="inlineStr">
        <is>
          <t>Tiktok</t>
        </is>
      </c>
      <c r="G1355" s="4" t="inlineStr">
        <is>
          <t>SHOPEE: TIKTOK: https://www.tiktok.com/@donghetuchon/video/7690516415886970130 LAZADA: WEBSITE BÁN HÀNG:</t>
        </is>
      </c>
      <c r="H1355" s="3" t="inlineStr">
        <is>
          <t>KLJ015</t>
        </is>
      </c>
      <c r="I1355" s="4" t="inlineStr">
        <is>
          <t>Bộ mũi khoan King Blue KLJ015</t>
        </is>
      </c>
      <c r="J1355" s="3" t="inlineStr">
        <is>
          <t>Cái</t>
        </is>
      </c>
      <c r="K1355" s="5" t="n">
        <v>269000</v>
      </c>
      <c r="L1355" s="5" t="n">
        <v>317000</v>
      </c>
      <c r="M1355" s="6" t="n">
        <v>390000</v>
      </c>
      <c r="N1355" s="5" t="n"/>
      <c r="O1355" s="5">
        <f>IF(AND(ISNUMBER(N1355),ISNUMBER(M1355)),N1355-M1355,"")</f>
        <v/>
      </c>
      <c r="P1355" s="7">
        <f>IF(AND(ISNUMBER(N1355),ISNUMBER(M1355),M1355&gt;0),(N1355-M1355)/M1355,"")</f>
        <v/>
      </c>
      <c r="Q1355" s="3">
        <f>IF(P1355="","",IF(P1355&lt;-0.02,"🔴 Bán phá giá sàn",IF(P1355&gt;0.05,"🔵 Bán cao hơn","🟢 Đúng giá sàn TMĐT")))</f>
        <v/>
      </c>
      <c r="R1355" s="3" t="n"/>
      <c r="S1355" s="4" t="n"/>
      <c r="T1355" s="4" t="n"/>
    </row>
    <row r="1356">
      <c r="A1356" s="3" t="n">
        <v>1355</v>
      </c>
      <c r="B1356" s="3" t="inlineStr">
        <is>
          <t>DL013</t>
        </is>
      </c>
      <c r="C1356" s="4" t="inlineStr">
        <is>
          <t>Đồ Nghề Tự Chọn</t>
        </is>
      </c>
      <c r="D1356" s="3" t="inlineStr">
        <is>
          <t>Cần Thơ</t>
        </is>
      </c>
      <c r="E1356" s="3" t="inlineStr">
        <is>
          <t>Tường Vi</t>
        </is>
      </c>
      <c r="F1356" s="3" t="inlineStr">
        <is>
          <t>Tiktok</t>
        </is>
      </c>
      <c r="G1356" s="4" t="inlineStr">
        <is>
          <t>SHOPEE: TIKTOK: https://www.tiktok.com/@donghetuchon/video/7690516415886970130 LAZADA: WEBSITE BÁN HÀNG:</t>
        </is>
      </c>
      <c r="H1356" s="3" t="inlineStr"/>
      <c r="I1356" s="4" t="inlineStr">
        <is>
          <t>Catalogue Kingblue</t>
        </is>
      </c>
      <c r="J1356" s="3" t="inlineStr">
        <is>
          <t>Cái</t>
        </is>
      </c>
      <c r="K1356" s="5" t="n">
        <v>269000</v>
      </c>
      <c r="L1356" s="5" t="n">
        <v>317000</v>
      </c>
      <c r="M1356" s="6" t="n">
        <v>390000</v>
      </c>
      <c r="N1356" s="5" t="n"/>
      <c r="O1356" s="5">
        <f>IF(AND(ISNUMBER(N1356),ISNUMBER(M1356)),N1356-M1356,"")</f>
        <v/>
      </c>
      <c r="P1356" s="7">
        <f>IF(AND(ISNUMBER(N1356),ISNUMBER(M1356),M1356&gt;0),(N1356-M1356)/M1356,"")</f>
        <v/>
      </c>
      <c r="Q1356" s="3">
        <f>IF(P1356="","",IF(P1356&lt;-0.02,"🔴 Bán phá giá sàn",IF(P1356&gt;0.05,"🔵 Bán cao hơn","🟢 Đúng giá sàn TMĐT")))</f>
        <v/>
      </c>
      <c r="R1356" s="3" t="n"/>
      <c r="S1356" s="4" t="n"/>
      <c r="T1356" s="4" t="n"/>
    </row>
    <row r="1357">
      <c r="A1357" s="3" t="n">
        <v>1356</v>
      </c>
      <c r="B1357" s="3" t="inlineStr">
        <is>
          <t>DL013</t>
        </is>
      </c>
      <c r="C1357" s="4" t="inlineStr">
        <is>
          <t>Đồ Nghề Tự Chọn</t>
        </is>
      </c>
      <c r="D1357" s="3" t="inlineStr">
        <is>
          <t>Cần Thơ</t>
        </is>
      </c>
      <c r="E1357" s="3" t="inlineStr">
        <is>
          <t>Tường Vi</t>
        </is>
      </c>
      <c r="F1357" s="3" t="inlineStr">
        <is>
          <t>Tiktok</t>
        </is>
      </c>
      <c r="G1357" s="4" t="inlineStr">
        <is>
          <t>SHOPEE: TIKTOK: https://www.tiktok.com/@donghetuchon/video/7690516415886970130 LAZADA: WEBSITE BÁN HÀNG:</t>
        </is>
      </c>
      <c r="H1357" s="3" t="inlineStr">
        <is>
          <t>KB-ST18</t>
        </is>
      </c>
      <c r="I1357" s="4" t="inlineStr">
        <is>
          <t>Công cụ đóng đinh bán tự động KB-ST18</t>
        </is>
      </c>
      <c r="J1357" s="3" t="inlineStr">
        <is>
          <t>Cái</t>
        </is>
      </c>
      <c r="K1357" s="5" t="n">
        <v>242000</v>
      </c>
      <c r="L1357" s="5" t="n">
        <v>286000</v>
      </c>
      <c r="M1357" s="6" t="n">
        <v>351000</v>
      </c>
      <c r="N1357" s="5" t="n"/>
      <c r="O1357" s="5">
        <f>IF(AND(ISNUMBER(N1357),ISNUMBER(M1357)),N1357-M1357,"")</f>
        <v/>
      </c>
      <c r="P1357" s="7">
        <f>IF(AND(ISNUMBER(N1357),ISNUMBER(M1357),M1357&gt;0),(N1357-M1357)/M1357,"")</f>
        <v/>
      </c>
      <c r="Q1357" s="3">
        <f>IF(P1357="","",IF(P1357&lt;-0.02,"🔴 Bán phá giá sàn",IF(P1357&gt;0.05,"🔵 Bán cao hơn","🟢 Đúng giá sàn TMĐT")))</f>
        <v/>
      </c>
      <c r="R1357" s="3" t="n"/>
      <c r="S1357" s="4" t="n"/>
      <c r="T1357" s="4" t="n"/>
    </row>
    <row r="1358">
      <c r="A1358" s="3" t="n">
        <v>1357</v>
      </c>
      <c r="B1358" s="3" t="inlineStr">
        <is>
          <t>DL013</t>
        </is>
      </c>
      <c r="C1358" s="4" t="inlineStr">
        <is>
          <t>Đồ Nghề Tự Chọn</t>
        </is>
      </c>
      <c r="D1358" s="3" t="inlineStr">
        <is>
          <t>Cần Thơ</t>
        </is>
      </c>
      <c r="E1358" s="3" t="inlineStr">
        <is>
          <t>Tường Vi</t>
        </is>
      </c>
      <c r="F1358" s="3" t="inlineStr">
        <is>
          <t>Tiktok</t>
        </is>
      </c>
      <c r="G1358" s="4" t="inlineStr">
        <is>
          <t>SHOPEE: TIKTOK: https://www.tiktok.com/@donghetuchon/video/7690516415886970130 LAZADA: WEBSITE BÁN HÀNG:</t>
        </is>
      </c>
      <c r="H1358" s="3" t="inlineStr"/>
      <c r="I1358" s="4" t="inlineStr">
        <is>
          <t>Cờ lê lực 17mm</t>
        </is>
      </c>
      <c r="J1358" s="3" t="inlineStr">
        <is>
          <t>Cái</t>
        </is>
      </c>
      <c r="K1358" s="5" t="n">
        <v>269000</v>
      </c>
      <c r="L1358" s="5" t="n">
        <v>317000</v>
      </c>
      <c r="M1358" s="6" t="n">
        <v>390000</v>
      </c>
      <c r="N1358" s="5" t="n"/>
      <c r="O1358" s="5">
        <f>IF(AND(ISNUMBER(N1358),ISNUMBER(M1358)),N1358-M1358,"")</f>
        <v/>
      </c>
      <c r="P1358" s="7">
        <f>IF(AND(ISNUMBER(N1358),ISNUMBER(M1358),M1358&gt;0),(N1358-M1358)/M1358,"")</f>
        <v/>
      </c>
      <c r="Q1358" s="3">
        <f>IF(P1358="","",IF(P1358&lt;-0.02,"🔴 Bán phá giá sàn",IF(P1358&gt;0.05,"🔵 Bán cao hơn","🟢 Đúng giá sàn TMĐT")))</f>
        <v/>
      </c>
      <c r="R1358" s="3" t="n"/>
      <c r="S1358" s="4" t="n"/>
      <c r="T1358" s="4" t="n"/>
    </row>
    <row r="1359">
      <c r="A1359" s="3" t="n">
        <v>1358</v>
      </c>
      <c r="B1359" s="3" t="inlineStr">
        <is>
          <t>DL013</t>
        </is>
      </c>
      <c r="C1359" s="4" t="inlineStr">
        <is>
          <t>Đồ Nghề Tự Chọn</t>
        </is>
      </c>
      <c r="D1359" s="3" t="inlineStr">
        <is>
          <t>Cần Thơ</t>
        </is>
      </c>
      <c r="E1359" s="3" t="inlineStr">
        <is>
          <t>Tường Vi</t>
        </is>
      </c>
      <c r="F1359" s="3" t="inlineStr">
        <is>
          <t>Tiktok</t>
        </is>
      </c>
      <c r="G1359" s="4" t="inlineStr">
        <is>
          <t>SHOPEE: TIKTOK: https://www.tiktok.com/@donghetuchon/video/7690516415886970130 LAZADA: WEBSITE BÁN HÀNG:</t>
        </is>
      </c>
      <c r="H1359" s="3" t="inlineStr"/>
      <c r="I1359" s="4" t="inlineStr">
        <is>
          <t>Cờ lê lực 22mm</t>
        </is>
      </c>
      <c r="J1359" s="3" t="inlineStr">
        <is>
          <t>Cái</t>
        </is>
      </c>
      <c r="K1359" s="5" t="n">
        <v>269000</v>
      </c>
      <c r="L1359" s="5" t="n">
        <v>317000</v>
      </c>
      <c r="M1359" s="6" t="n">
        <v>390000</v>
      </c>
      <c r="N1359" s="5" t="n"/>
      <c r="O1359" s="5">
        <f>IF(AND(ISNUMBER(N1359),ISNUMBER(M1359)),N1359-M1359,"")</f>
        <v/>
      </c>
      <c r="P1359" s="7">
        <f>IF(AND(ISNUMBER(N1359),ISNUMBER(M1359),M1359&gt;0),(N1359-M1359)/M1359,"")</f>
        <v/>
      </c>
      <c r="Q1359" s="3">
        <f>IF(P1359="","",IF(P1359&lt;-0.02,"🔴 Bán phá giá sàn",IF(P1359&gt;0.05,"🔵 Bán cao hơn","🟢 Đúng giá sàn TMĐT")))</f>
        <v/>
      </c>
      <c r="R1359" s="3" t="n"/>
      <c r="S1359" s="4" t="n"/>
      <c r="T1359" s="4" t="n"/>
    </row>
    <row r="1360">
      <c r="A1360" s="3" t="n">
        <v>1359</v>
      </c>
      <c r="B1360" s="3" t="inlineStr">
        <is>
          <t>DL013</t>
        </is>
      </c>
      <c r="C1360" s="4" t="inlineStr">
        <is>
          <t>Đồ Nghề Tự Chọn</t>
        </is>
      </c>
      <c r="D1360" s="3" t="inlineStr">
        <is>
          <t>Cần Thơ</t>
        </is>
      </c>
      <c r="E1360" s="3" t="inlineStr">
        <is>
          <t>Tường Vi</t>
        </is>
      </c>
      <c r="F1360" s="3" t="inlineStr">
        <is>
          <t>Tiktok</t>
        </is>
      </c>
      <c r="G1360" s="4" t="inlineStr">
        <is>
          <t>SHOPEE: TIKTOK: https://www.tiktok.com/@donghetuchon/video/7690516415886970130 LAZADA: WEBSITE BÁN HÀNG:</t>
        </is>
      </c>
      <c r="H1360" s="3" t="inlineStr">
        <is>
          <t>ES180i</t>
        </is>
      </c>
      <c r="I1360" s="4" t="inlineStr">
        <is>
          <t>Cưa gấp KingBlue ES180i</t>
        </is>
      </c>
      <c r="J1360" s="3" t="inlineStr">
        <is>
          <t>Cái</t>
        </is>
      </c>
      <c r="K1360" s="5" t="n">
        <v>139000</v>
      </c>
      <c r="L1360" s="5" t="n">
        <v>164000</v>
      </c>
      <c r="M1360" s="6" t="n">
        <v>202000</v>
      </c>
      <c r="N1360" s="5" t="n"/>
      <c r="O1360" s="5">
        <f>IF(AND(ISNUMBER(N1360),ISNUMBER(M1360)),N1360-M1360,"")</f>
        <v/>
      </c>
      <c r="P1360" s="7">
        <f>IF(AND(ISNUMBER(N1360),ISNUMBER(M1360),M1360&gt;0),(N1360-M1360)/M1360,"")</f>
        <v/>
      </c>
      <c r="Q1360" s="3">
        <f>IF(P1360="","",IF(P1360&lt;-0.02,"🔴 Bán phá giá sàn",IF(P1360&gt;0.05,"🔵 Bán cao hơn","🟢 Đúng giá sàn TMĐT")))</f>
        <v/>
      </c>
      <c r="R1360" s="3" t="n"/>
      <c r="S1360" s="4" t="n"/>
      <c r="T1360" s="4" t="n"/>
    </row>
    <row r="1361">
      <c r="A1361" s="3" t="n">
        <v>1360</v>
      </c>
      <c r="B1361" s="3" t="inlineStr">
        <is>
          <t>DL013</t>
        </is>
      </c>
      <c r="C1361" s="4" t="inlineStr">
        <is>
          <t>Đồ Nghề Tự Chọn</t>
        </is>
      </c>
      <c r="D1361" s="3" t="inlineStr">
        <is>
          <t>Cần Thơ</t>
        </is>
      </c>
      <c r="E1361" s="3" t="inlineStr">
        <is>
          <t>Tường Vi</t>
        </is>
      </c>
      <c r="F1361" s="3" t="inlineStr">
        <is>
          <t>Tiktok</t>
        </is>
      </c>
      <c r="G1361" s="4" t="inlineStr">
        <is>
          <t>SHOPEE: TIKTOK: https://www.tiktok.com/@donghetuchon/video/7690516415886970130 LAZADA: WEBSITE BÁN HÀNG:</t>
        </is>
      </c>
      <c r="H1361" s="3" t="inlineStr">
        <is>
          <t>KPG-032</t>
        </is>
      </c>
      <c r="I1361" s="4" t="inlineStr">
        <is>
          <t>Dao cắt ống kim loại KPG-032</t>
        </is>
      </c>
      <c r="J1361" s="3" t="inlineStr">
        <is>
          <t>Cái</t>
        </is>
      </c>
      <c r="K1361" s="5" t="n">
        <v>259000</v>
      </c>
      <c r="L1361" s="5" t="n">
        <v>306000</v>
      </c>
      <c r="M1361" s="6" t="n">
        <v>376000</v>
      </c>
      <c r="N1361" s="5" t="n"/>
      <c r="O1361" s="5">
        <f>IF(AND(ISNUMBER(N1361),ISNUMBER(M1361)),N1361-M1361,"")</f>
        <v/>
      </c>
      <c r="P1361" s="7">
        <f>IF(AND(ISNUMBER(N1361),ISNUMBER(M1361),M1361&gt;0),(N1361-M1361)/M1361,"")</f>
        <v/>
      </c>
      <c r="Q1361" s="3">
        <f>IF(P1361="","",IF(P1361&lt;-0.02,"🔴 Bán phá giá sàn",IF(P1361&gt;0.05,"🔵 Bán cao hơn","🟢 Đúng giá sàn TMĐT")))</f>
        <v/>
      </c>
      <c r="R1361" s="3" t="n"/>
      <c r="S1361" s="4" t="n"/>
      <c r="T1361" s="4" t="n"/>
    </row>
    <row r="1362">
      <c r="A1362" s="3" t="n">
        <v>1361</v>
      </c>
      <c r="B1362" s="3" t="inlineStr">
        <is>
          <t>DL013</t>
        </is>
      </c>
      <c r="C1362" s="4" t="inlineStr">
        <is>
          <t>Đồ Nghề Tự Chọn</t>
        </is>
      </c>
      <c r="D1362" s="3" t="inlineStr">
        <is>
          <t>Cần Thơ</t>
        </is>
      </c>
      <c r="E1362" s="3" t="inlineStr">
        <is>
          <t>Tường Vi</t>
        </is>
      </c>
      <c r="F1362" s="3" t="inlineStr">
        <is>
          <t>Tiktok</t>
        </is>
      </c>
      <c r="G1362" s="4" t="inlineStr">
        <is>
          <t>SHOPEE: TIKTOK: https://www.tiktok.com/@donghetuchon/video/7690516415886970130 LAZADA: WEBSITE BÁN HÀNG:</t>
        </is>
      </c>
      <c r="H1362" s="3" t="inlineStr">
        <is>
          <t>KJH-06</t>
        </is>
      </c>
      <c r="I1362" s="4" t="inlineStr">
        <is>
          <t>Dao rọc cáp đa năng KJH-06</t>
        </is>
      </c>
      <c r="J1362" s="3" t="inlineStr">
        <is>
          <t>Cái</t>
        </is>
      </c>
      <c r="K1362" s="5" t="n">
        <v>171000</v>
      </c>
      <c r="L1362" s="5" t="n">
        <v>202000</v>
      </c>
      <c r="M1362" s="6" t="n">
        <v>248000</v>
      </c>
      <c r="N1362" s="5" t="n"/>
      <c r="O1362" s="5">
        <f>IF(AND(ISNUMBER(N1362),ISNUMBER(M1362)),N1362-M1362,"")</f>
        <v/>
      </c>
      <c r="P1362" s="7">
        <f>IF(AND(ISNUMBER(N1362),ISNUMBER(M1362),M1362&gt;0),(N1362-M1362)/M1362,"")</f>
        <v/>
      </c>
      <c r="Q1362" s="3">
        <f>IF(P1362="","",IF(P1362&lt;-0.02,"🔴 Bán phá giá sàn",IF(P1362&gt;0.05,"🔵 Bán cao hơn","🟢 Đúng giá sàn TMĐT")))</f>
        <v/>
      </c>
      <c r="R1362" s="3" t="n"/>
      <c r="S1362" s="4" t="n"/>
      <c r="T1362" s="4" t="n"/>
    </row>
    <row r="1363">
      <c r="A1363" s="3" t="n">
        <v>1362</v>
      </c>
      <c r="B1363" s="3" t="inlineStr">
        <is>
          <t>DL013</t>
        </is>
      </c>
      <c r="C1363" s="4" t="inlineStr">
        <is>
          <t>Đồ Nghề Tự Chọn</t>
        </is>
      </c>
      <c r="D1363" s="3" t="inlineStr">
        <is>
          <t>Cần Thơ</t>
        </is>
      </c>
      <c r="E1363" s="3" t="inlineStr">
        <is>
          <t>Tường Vi</t>
        </is>
      </c>
      <c r="F1363" s="3" t="inlineStr">
        <is>
          <t>Tiktok</t>
        </is>
      </c>
      <c r="G1363" s="4" t="inlineStr">
        <is>
          <t>SHOPEE: TIKTOK: https://www.tiktok.com/@donghetuchon/video/7690516415886970130 LAZADA: WEBSITE BÁN HÀNG:</t>
        </is>
      </c>
      <c r="H1363" s="3" t="inlineStr">
        <is>
          <t>KB-1301</t>
        </is>
      </c>
      <c r="I1363" s="4" t="inlineStr">
        <is>
          <t>Dụng cụ vát mép (ba via) ống đồng KingBlue, KB-1301</t>
        </is>
      </c>
      <c r="J1363" s="3" t="inlineStr">
        <is>
          <t>Cái</t>
        </is>
      </c>
      <c r="K1363" s="5" t="n">
        <v>135000</v>
      </c>
      <c r="L1363" s="5" t="n">
        <v>159000</v>
      </c>
      <c r="M1363" s="6" t="n">
        <v>196000</v>
      </c>
      <c r="N1363" s="5" t="n"/>
      <c r="O1363" s="5">
        <f>IF(AND(ISNUMBER(N1363),ISNUMBER(M1363)),N1363-M1363,"")</f>
        <v/>
      </c>
      <c r="P1363" s="7">
        <f>IF(AND(ISNUMBER(N1363),ISNUMBER(M1363),M1363&gt;0),(N1363-M1363)/M1363,"")</f>
        <v/>
      </c>
      <c r="Q1363" s="3">
        <f>IF(P1363="","",IF(P1363&lt;-0.02,"🔴 Bán phá giá sàn",IF(P1363&gt;0.05,"🔵 Bán cao hơn","🟢 Đúng giá sàn TMĐT")))</f>
        <v/>
      </c>
      <c r="R1363" s="3" t="n"/>
      <c r="S1363" s="4" t="n"/>
      <c r="T1363" s="4" t="n"/>
    </row>
    <row r="1364">
      <c r="A1364" s="3" t="n">
        <v>1363</v>
      </c>
      <c r="B1364" s="3" t="inlineStr">
        <is>
          <t>DL013</t>
        </is>
      </c>
      <c r="C1364" s="4" t="inlineStr">
        <is>
          <t>Đồ Nghề Tự Chọn</t>
        </is>
      </c>
      <c r="D1364" s="3" t="inlineStr">
        <is>
          <t>Cần Thơ</t>
        </is>
      </c>
      <c r="E1364" s="3" t="inlineStr">
        <is>
          <t>Tường Vi</t>
        </is>
      </c>
      <c r="F1364" s="3" t="inlineStr">
        <is>
          <t>Tiktok</t>
        </is>
      </c>
      <c r="G1364" s="4" t="inlineStr">
        <is>
          <t>SHOPEE: TIKTOK: https://www.tiktok.com/@donghetuchon/video/7690516415886970130 LAZADA: WEBSITE BÁN HÀNG:</t>
        </is>
      </c>
      <c r="H1364" s="3" t="inlineStr">
        <is>
          <t>CM08</t>
        </is>
      </c>
      <c r="I1364" s="4" t="inlineStr">
        <is>
          <t>Đầu chụp bulon KingBlue CM08</t>
        </is>
      </c>
      <c r="J1364" s="3" t="inlineStr">
        <is>
          <t>Hộp</t>
        </is>
      </c>
      <c r="K1364" s="5" t="n">
        <v>154000</v>
      </c>
      <c r="L1364" s="5" t="n">
        <v>194000</v>
      </c>
      <c r="M1364" s="6" t="n">
        <v>254000</v>
      </c>
      <c r="N1364" s="5" t="n"/>
      <c r="O1364" s="5">
        <f>IF(AND(ISNUMBER(N1364),ISNUMBER(M1364)),N1364-M1364,"")</f>
        <v/>
      </c>
      <c r="P1364" s="7">
        <f>IF(AND(ISNUMBER(N1364),ISNUMBER(M1364),M1364&gt;0),(N1364-M1364)/M1364,"")</f>
        <v/>
      </c>
      <c r="Q1364" s="3">
        <f>IF(P1364="","",IF(P1364&lt;-0.02,"🔴 Bán phá giá sàn",IF(P1364&gt;0.05,"🔵 Bán cao hơn","🟢 Đúng giá sàn TMĐT")))</f>
        <v/>
      </c>
      <c r="R1364" s="3" t="n"/>
      <c r="S1364" s="4" t="n"/>
      <c r="T1364" s="4" t="n"/>
    </row>
    <row r="1365">
      <c r="A1365" s="3" t="n">
        <v>1364</v>
      </c>
      <c r="B1365" s="3" t="inlineStr">
        <is>
          <t>DL013</t>
        </is>
      </c>
      <c r="C1365" s="4" t="inlineStr">
        <is>
          <t>Đồ Nghề Tự Chọn</t>
        </is>
      </c>
      <c r="D1365" s="3" t="inlineStr">
        <is>
          <t>Cần Thơ</t>
        </is>
      </c>
      <c r="E1365" s="3" t="inlineStr">
        <is>
          <t>Tường Vi</t>
        </is>
      </c>
      <c r="F1365" s="3" t="inlineStr">
        <is>
          <t>Tiktok</t>
        </is>
      </c>
      <c r="G1365" s="4" t="inlineStr">
        <is>
          <t>SHOPEE: TIKTOK: https://www.tiktok.com/@donghetuchon/video/7690516415886970130 LAZADA: WEBSITE BÁN HÀNG:</t>
        </is>
      </c>
      <c r="H1365" s="3" t="inlineStr">
        <is>
          <t>CM10</t>
        </is>
      </c>
      <c r="I1365" s="4" t="inlineStr">
        <is>
          <t>Đầu chụp bulon KingBlue CM10</t>
        </is>
      </c>
      <c r="J1365" s="3" t="inlineStr">
        <is>
          <t>Hộp</t>
        </is>
      </c>
      <c r="K1365" s="5" t="n">
        <v>176000</v>
      </c>
      <c r="L1365" s="5" t="n">
        <v>222000</v>
      </c>
      <c r="M1365" s="6" t="n">
        <v>290000</v>
      </c>
      <c r="N1365" s="5" t="n"/>
      <c r="O1365" s="5">
        <f>IF(AND(ISNUMBER(N1365),ISNUMBER(M1365)),N1365-M1365,"")</f>
        <v/>
      </c>
      <c r="P1365" s="7">
        <f>IF(AND(ISNUMBER(N1365),ISNUMBER(M1365),M1365&gt;0),(N1365-M1365)/M1365,"")</f>
        <v/>
      </c>
      <c r="Q1365" s="3">
        <f>IF(P1365="","",IF(P1365&lt;-0.02,"🔴 Bán phá giá sàn",IF(P1365&gt;0.05,"🔵 Bán cao hơn","🟢 Đúng giá sàn TMĐT")))</f>
        <v/>
      </c>
      <c r="R1365" s="3" t="n"/>
      <c r="S1365" s="4" t="n"/>
      <c r="T1365" s="4" t="n"/>
    </row>
    <row r="1366">
      <c r="A1366" s="3" t="n">
        <v>1365</v>
      </c>
      <c r="B1366" s="3" t="inlineStr">
        <is>
          <t>DL013</t>
        </is>
      </c>
      <c r="C1366" s="4" t="inlineStr">
        <is>
          <t>Đồ Nghề Tự Chọn</t>
        </is>
      </c>
      <c r="D1366" s="3" t="inlineStr">
        <is>
          <t>Cần Thơ</t>
        </is>
      </c>
      <c r="E1366" s="3" t="inlineStr">
        <is>
          <t>Tường Vi</t>
        </is>
      </c>
      <c r="F1366" s="3" t="inlineStr">
        <is>
          <t>Tiktok</t>
        </is>
      </c>
      <c r="G1366" s="4" t="inlineStr">
        <is>
          <t>SHOPEE: TIKTOK: https://www.tiktok.com/@donghetuchon/video/7690516415886970130 LAZADA: WEBSITE BÁN HÀNG:</t>
        </is>
      </c>
      <c r="H1366" s="3" t="inlineStr">
        <is>
          <t>CM12</t>
        </is>
      </c>
      <c r="I1366" s="4" t="inlineStr">
        <is>
          <t>Đầu chụp bulon KingBlue CM12</t>
        </is>
      </c>
      <c r="J1366" s="3" t="inlineStr">
        <is>
          <t>Hộp</t>
        </is>
      </c>
      <c r="K1366" s="5" t="n">
        <v>99000</v>
      </c>
      <c r="L1366" s="5" t="n">
        <v>125000</v>
      </c>
      <c r="M1366" s="6" t="n">
        <v>163000</v>
      </c>
      <c r="N1366" s="5" t="n"/>
      <c r="O1366" s="5">
        <f>IF(AND(ISNUMBER(N1366),ISNUMBER(M1366)),N1366-M1366,"")</f>
        <v/>
      </c>
      <c r="P1366" s="7">
        <f>IF(AND(ISNUMBER(N1366),ISNUMBER(M1366),M1366&gt;0),(N1366-M1366)/M1366,"")</f>
        <v/>
      </c>
      <c r="Q1366" s="3">
        <f>IF(P1366="","",IF(P1366&lt;-0.02,"🔴 Bán phá giá sàn",IF(P1366&gt;0.05,"🔵 Bán cao hơn","🟢 Đúng giá sàn TMĐT")))</f>
        <v/>
      </c>
      <c r="R1366" s="3" t="n"/>
      <c r="S1366" s="4" t="n"/>
      <c r="T1366" s="4" t="n"/>
    </row>
    <row r="1367">
      <c r="A1367" s="3" t="n">
        <v>1366</v>
      </c>
      <c r="B1367" s="3" t="inlineStr">
        <is>
          <t>DL013</t>
        </is>
      </c>
      <c r="C1367" s="4" t="inlineStr">
        <is>
          <t>Đồ Nghề Tự Chọn</t>
        </is>
      </c>
      <c r="D1367" s="3" t="inlineStr">
        <is>
          <t>Cần Thơ</t>
        </is>
      </c>
      <c r="E1367" s="3" t="inlineStr">
        <is>
          <t>Tường Vi</t>
        </is>
      </c>
      <c r="F1367" s="3" t="inlineStr">
        <is>
          <t>Tiktok</t>
        </is>
      </c>
      <c r="G1367" s="4" t="inlineStr">
        <is>
          <t>SHOPEE: TIKTOK: https://www.tiktok.com/@donghetuchon/video/7690516415886970130 LAZADA: WEBSITE BÁN HÀNG:</t>
        </is>
      </c>
      <c r="H1367" s="3" t="inlineStr">
        <is>
          <t>CM13</t>
        </is>
      </c>
      <c r="I1367" s="4" t="inlineStr">
        <is>
          <t>Đầu chụp bulon KingBlue CM13</t>
        </is>
      </c>
      <c r="J1367" s="3" t="inlineStr">
        <is>
          <t>Hộp</t>
        </is>
      </c>
      <c r="K1367" s="5" t="n">
        <v>105000</v>
      </c>
      <c r="L1367" s="5" t="n">
        <v>132000</v>
      </c>
      <c r="M1367" s="6" t="n">
        <v>173000</v>
      </c>
      <c r="N1367" s="5" t="n"/>
      <c r="O1367" s="5">
        <f>IF(AND(ISNUMBER(N1367),ISNUMBER(M1367)),N1367-M1367,"")</f>
        <v/>
      </c>
      <c r="P1367" s="7">
        <f>IF(AND(ISNUMBER(N1367),ISNUMBER(M1367),M1367&gt;0),(N1367-M1367)/M1367,"")</f>
        <v/>
      </c>
      <c r="Q1367" s="3">
        <f>IF(P1367="","",IF(P1367&lt;-0.02,"🔴 Bán phá giá sàn",IF(P1367&gt;0.05,"🔵 Bán cao hơn","🟢 Đúng giá sàn TMĐT")))</f>
        <v/>
      </c>
      <c r="R1367" s="3" t="n"/>
      <c r="S1367" s="4" t="n"/>
      <c r="T1367" s="4" t="n"/>
    </row>
    <row r="1368">
      <c r="A1368" s="3" t="n">
        <v>1367</v>
      </c>
      <c r="B1368" s="3" t="inlineStr">
        <is>
          <t>DL013</t>
        </is>
      </c>
      <c r="C1368" s="4" t="inlineStr">
        <is>
          <t>Đồ Nghề Tự Chọn</t>
        </is>
      </c>
      <c r="D1368" s="3" t="inlineStr">
        <is>
          <t>Cần Thơ</t>
        </is>
      </c>
      <c r="E1368" s="3" t="inlineStr">
        <is>
          <t>Tường Vi</t>
        </is>
      </c>
      <c r="F1368" s="3" t="inlineStr">
        <is>
          <t>Tiktok</t>
        </is>
      </c>
      <c r="G1368" s="4" t="inlineStr">
        <is>
          <t>SHOPEE: TIKTOK: https://www.tiktok.com/@donghetuchon/video/7690516415886970130 LAZADA: WEBSITE BÁN HÀNG:</t>
        </is>
      </c>
      <c r="H1368" s="3" t="inlineStr">
        <is>
          <t>CM14</t>
        </is>
      </c>
      <c r="I1368" s="4" t="inlineStr">
        <is>
          <t>Đầu chụp bulon KingBlue CM14</t>
        </is>
      </c>
      <c r="J1368" s="3" t="inlineStr">
        <is>
          <t>Hộp</t>
        </is>
      </c>
      <c r="K1368" s="5" t="n">
        <v>105000</v>
      </c>
      <c r="L1368" s="5" t="n">
        <v>132000</v>
      </c>
      <c r="M1368" s="6" t="n">
        <v>173000</v>
      </c>
      <c r="N1368" s="5" t="n"/>
      <c r="O1368" s="5">
        <f>IF(AND(ISNUMBER(N1368),ISNUMBER(M1368)),N1368-M1368,"")</f>
        <v/>
      </c>
      <c r="P1368" s="7">
        <f>IF(AND(ISNUMBER(N1368),ISNUMBER(M1368),M1368&gt;0),(N1368-M1368)/M1368,"")</f>
        <v/>
      </c>
      <c r="Q1368" s="3">
        <f>IF(P1368="","",IF(P1368&lt;-0.02,"🔴 Bán phá giá sàn",IF(P1368&gt;0.05,"🔵 Bán cao hơn","🟢 Đúng giá sàn TMĐT")))</f>
        <v/>
      </c>
      <c r="R1368" s="3" t="n"/>
      <c r="S1368" s="4" t="n"/>
      <c r="T1368" s="4" t="n"/>
    </row>
    <row r="1369">
      <c r="A1369" s="3" t="n">
        <v>1368</v>
      </c>
      <c r="B1369" s="3" t="inlineStr">
        <is>
          <t>DL013</t>
        </is>
      </c>
      <c r="C1369" s="4" t="inlineStr">
        <is>
          <t>Đồ Nghề Tự Chọn</t>
        </is>
      </c>
      <c r="D1369" s="3" t="inlineStr">
        <is>
          <t>Cần Thơ</t>
        </is>
      </c>
      <c r="E1369" s="3" t="inlineStr">
        <is>
          <t>Tường Vi</t>
        </is>
      </c>
      <c r="F1369" s="3" t="inlineStr">
        <is>
          <t>Tiktok</t>
        </is>
      </c>
      <c r="G1369" s="4" t="inlineStr">
        <is>
          <t>SHOPEE: TIKTOK: https://www.tiktok.com/@donghetuchon/video/7690516415886970130 LAZADA: WEBSITE BÁN HÀNG:</t>
        </is>
      </c>
      <c r="H1369" s="3" t="inlineStr">
        <is>
          <t>CM17</t>
        </is>
      </c>
      <c r="I1369" s="4" t="inlineStr">
        <is>
          <t>Đầu chụp bulon KingBlue CM17</t>
        </is>
      </c>
      <c r="J1369" s="3" t="inlineStr">
        <is>
          <t>Hộp</t>
        </is>
      </c>
      <c r="K1369" s="5" t="n">
        <v>110000</v>
      </c>
      <c r="L1369" s="5" t="n">
        <v>139000</v>
      </c>
      <c r="M1369" s="6" t="n">
        <v>182000</v>
      </c>
      <c r="N1369" s="5" t="n"/>
      <c r="O1369" s="5">
        <f>IF(AND(ISNUMBER(N1369),ISNUMBER(M1369)),N1369-M1369,"")</f>
        <v/>
      </c>
      <c r="P1369" s="7">
        <f>IF(AND(ISNUMBER(N1369),ISNUMBER(M1369),M1369&gt;0),(N1369-M1369)/M1369,"")</f>
        <v/>
      </c>
      <c r="Q1369" s="3">
        <f>IF(P1369="","",IF(P1369&lt;-0.02,"🔴 Bán phá giá sàn",IF(P1369&gt;0.05,"🔵 Bán cao hơn","🟢 Đúng giá sàn TMĐT")))</f>
        <v/>
      </c>
      <c r="R1369" s="3" t="n"/>
      <c r="S1369" s="4" t="n"/>
      <c r="T1369" s="4" t="n"/>
    </row>
    <row r="1370">
      <c r="A1370" s="3" t="n">
        <v>1369</v>
      </c>
      <c r="B1370" s="3" t="inlineStr">
        <is>
          <t>DL013</t>
        </is>
      </c>
      <c r="C1370" s="4" t="inlineStr">
        <is>
          <t>Đồ Nghề Tự Chọn</t>
        </is>
      </c>
      <c r="D1370" s="3" t="inlineStr">
        <is>
          <t>Cần Thơ</t>
        </is>
      </c>
      <c r="E1370" s="3" t="inlineStr">
        <is>
          <t>Tường Vi</t>
        </is>
      </c>
      <c r="F1370" s="3" t="inlineStr">
        <is>
          <t>Tiktok</t>
        </is>
      </c>
      <c r="G1370" s="4" t="inlineStr">
        <is>
          <t>SHOPEE: TIKTOK: https://www.tiktok.com/@donghetuchon/video/7690516415886970130 LAZADA: WEBSITE BÁN HÀNG:</t>
        </is>
      </c>
      <c r="H1370" s="3" t="inlineStr">
        <is>
          <t>CM19</t>
        </is>
      </c>
      <c r="I1370" s="4" t="inlineStr">
        <is>
          <t>Đầu chụp bulon KingBlue CM19</t>
        </is>
      </c>
      <c r="J1370" s="3" t="inlineStr">
        <is>
          <t>Hộp</t>
        </is>
      </c>
      <c r="K1370" s="5" t="n">
        <v>86000</v>
      </c>
      <c r="L1370" s="5" t="n">
        <v>108000</v>
      </c>
      <c r="M1370" s="6" t="n">
        <v>142000</v>
      </c>
      <c r="N1370" s="5" t="n"/>
      <c r="O1370" s="5">
        <f>IF(AND(ISNUMBER(N1370),ISNUMBER(M1370)),N1370-M1370,"")</f>
        <v/>
      </c>
      <c r="P1370" s="7">
        <f>IF(AND(ISNUMBER(N1370),ISNUMBER(M1370),M1370&gt;0),(N1370-M1370)/M1370,"")</f>
        <v/>
      </c>
      <c r="Q1370" s="3">
        <f>IF(P1370="","",IF(P1370&lt;-0.02,"🔴 Bán phá giá sàn",IF(P1370&gt;0.05,"🔵 Bán cao hơn","🟢 Đúng giá sàn TMĐT")))</f>
        <v/>
      </c>
      <c r="R1370" s="3" t="n"/>
      <c r="S1370" s="4" t="n"/>
      <c r="T1370" s="4" t="n"/>
    </row>
    <row r="1371">
      <c r="A1371" s="3" t="n">
        <v>1370</v>
      </c>
      <c r="B1371" s="3" t="inlineStr">
        <is>
          <t>DL013</t>
        </is>
      </c>
      <c r="C1371" s="4" t="inlineStr">
        <is>
          <t>Đồ Nghề Tự Chọn</t>
        </is>
      </c>
      <c r="D1371" s="3" t="inlineStr">
        <is>
          <t>Cần Thơ</t>
        </is>
      </c>
      <c r="E1371" s="3" t="inlineStr">
        <is>
          <t>Tường Vi</t>
        </is>
      </c>
      <c r="F1371" s="3" t="inlineStr">
        <is>
          <t>Tiktok</t>
        </is>
      </c>
      <c r="G1371" s="4" t="inlineStr">
        <is>
          <t>SHOPEE: TIKTOK: https://www.tiktok.com/@donghetuchon/video/7690516415886970130 LAZADA: WEBSITE BÁN HÀNG:</t>
        </is>
      </c>
      <c r="H1371" s="3" t="inlineStr">
        <is>
          <t>K45M</t>
        </is>
      </c>
      <c r="I1371" s="4" t="inlineStr">
        <is>
          <t>Đầu khò gas K45M</t>
        </is>
      </c>
      <c r="J1371" s="3" t="inlineStr">
        <is>
          <t>Cái</t>
        </is>
      </c>
      <c r="K1371" s="5" t="n">
        <v>269000</v>
      </c>
      <c r="L1371" s="5" t="n">
        <v>317000</v>
      </c>
      <c r="M1371" s="6" t="n">
        <v>390000</v>
      </c>
      <c r="N1371" s="5" t="n"/>
      <c r="O1371" s="5">
        <f>IF(AND(ISNUMBER(N1371),ISNUMBER(M1371)),N1371-M1371,"")</f>
        <v/>
      </c>
      <c r="P1371" s="7">
        <f>IF(AND(ISNUMBER(N1371),ISNUMBER(M1371),M1371&gt;0),(N1371-M1371)/M1371,"")</f>
        <v/>
      </c>
      <c r="Q1371" s="3">
        <f>IF(P1371="","",IF(P1371&lt;-0.02,"🔴 Bán phá giá sàn",IF(P1371&gt;0.05,"🔵 Bán cao hơn","🟢 Đúng giá sàn TMĐT")))</f>
        <v/>
      </c>
      <c r="R1371" s="3" t="n"/>
      <c r="S1371" s="4" t="n"/>
      <c r="T1371" s="4" t="n"/>
    </row>
    <row r="1372">
      <c r="A1372" s="3" t="n">
        <v>1371</v>
      </c>
      <c r="B1372" s="3" t="inlineStr">
        <is>
          <t>DL013</t>
        </is>
      </c>
      <c r="C1372" s="4" t="inlineStr">
        <is>
          <t>Đồ Nghề Tự Chọn</t>
        </is>
      </c>
      <c r="D1372" s="3" t="inlineStr">
        <is>
          <t>Cần Thơ</t>
        </is>
      </c>
      <c r="E1372" s="3" t="inlineStr">
        <is>
          <t>Tường Vi</t>
        </is>
      </c>
      <c r="F1372" s="3" t="inlineStr">
        <is>
          <t>Tiktok</t>
        </is>
      </c>
      <c r="G1372" s="4" t="inlineStr">
        <is>
          <t>SHOPEE: TIKTOK: https://www.tiktok.com/@donghetuchon/video/7690516415886970130 LAZADA: WEBSITE BÁN HÀNG:</t>
        </is>
      </c>
      <c r="H1372" s="3" t="inlineStr">
        <is>
          <t>K49M</t>
        </is>
      </c>
      <c r="I1372" s="4" t="inlineStr">
        <is>
          <t>Đầu khò gas K49M</t>
        </is>
      </c>
      <c r="J1372" s="3" t="inlineStr">
        <is>
          <t>Cái</t>
        </is>
      </c>
      <c r="K1372" s="5" t="n">
        <v>269000</v>
      </c>
      <c r="L1372" s="5" t="n">
        <v>317000</v>
      </c>
      <c r="M1372" s="6" t="n">
        <v>390000</v>
      </c>
      <c r="N1372" s="5" t="n"/>
      <c r="O1372" s="5">
        <f>IF(AND(ISNUMBER(N1372),ISNUMBER(M1372)),N1372-M1372,"")</f>
        <v/>
      </c>
      <c r="P1372" s="7">
        <f>IF(AND(ISNUMBER(N1372),ISNUMBER(M1372),M1372&gt;0),(N1372-M1372)/M1372,"")</f>
        <v/>
      </c>
      <c r="Q1372" s="3">
        <f>IF(P1372="","",IF(P1372&lt;-0.02,"🔴 Bán phá giá sàn",IF(P1372&gt;0.05,"🔵 Bán cao hơn","🟢 Đúng giá sàn TMĐT")))</f>
        <v/>
      </c>
      <c r="R1372" s="3" t="n"/>
      <c r="S1372" s="4" t="n"/>
      <c r="T1372" s="4" t="n"/>
    </row>
    <row r="1373">
      <c r="A1373" s="3" t="n">
        <v>1372</v>
      </c>
      <c r="B1373" s="3" t="inlineStr">
        <is>
          <t>DL013</t>
        </is>
      </c>
      <c r="C1373" s="4" t="inlineStr">
        <is>
          <t>Đồ Nghề Tự Chọn</t>
        </is>
      </c>
      <c r="D1373" s="3" t="inlineStr">
        <is>
          <t>Cần Thơ</t>
        </is>
      </c>
      <c r="E1373" s="3" t="inlineStr">
        <is>
          <t>Tường Vi</t>
        </is>
      </c>
      <c r="F1373" s="3" t="inlineStr">
        <is>
          <t>Tiktok</t>
        </is>
      </c>
      <c r="G1373" s="4" t="inlineStr">
        <is>
          <t>SHOPEE: TIKTOK: https://www.tiktok.com/@donghetuchon/video/7690516415886970130 LAZADA: WEBSITE BÁN HÀNG:</t>
        </is>
      </c>
      <c r="H1373" s="3" t="inlineStr">
        <is>
          <t>LED1000</t>
        </is>
      </c>
      <c r="I1373" s="4" t="inlineStr">
        <is>
          <t>Đèn Pin siêu sáng LED1000</t>
        </is>
      </c>
      <c r="J1373" s="3" t="inlineStr">
        <is>
          <t>Cái</t>
        </is>
      </c>
      <c r="K1373" s="5" t="n">
        <v>269000</v>
      </c>
      <c r="L1373" s="5" t="n">
        <v>317000</v>
      </c>
      <c r="M1373" s="6" t="n">
        <v>390000</v>
      </c>
      <c r="N1373" s="5" t="n"/>
      <c r="O1373" s="5">
        <f>IF(AND(ISNUMBER(N1373),ISNUMBER(M1373)),N1373-M1373,"")</f>
        <v/>
      </c>
      <c r="P1373" s="7">
        <f>IF(AND(ISNUMBER(N1373),ISNUMBER(M1373),M1373&gt;0),(N1373-M1373)/M1373,"")</f>
        <v/>
      </c>
      <c r="Q1373" s="3">
        <f>IF(P1373="","",IF(P1373&lt;-0.02,"🔴 Bán phá giá sàn",IF(P1373&gt;0.05,"🔵 Bán cao hơn","🟢 Đúng giá sàn TMĐT")))</f>
        <v/>
      </c>
      <c r="R1373" s="3" t="n"/>
      <c r="S1373" s="4" t="n"/>
      <c r="T1373" s="4" t="n"/>
    </row>
    <row r="1374">
      <c r="A1374" s="3" t="n">
        <v>1373</v>
      </c>
      <c r="B1374" s="3" t="inlineStr">
        <is>
          <t>DL013</t>
        </is>
      </c>
      <c r="C1374" s="4" t="inlineStr">
        <is>
          <t>Đồ Nghề Tự Chọn</t>
        </is>
      </c>
      <c r="D1374" s="3" t="inlineStr">
        <is>
          <t>Cần Thơ</t>
        </is>
      </c>
      <c r="E1374" s="3" t="inlineStr">
        <is>
          <t>Tường Vi</t>
        </is>
      </c>
      <c r="F1374" s="3" t="inlineStr">
        <is>
          <t>Tiktok</t>
        </is>
      </c>
      <c r="G1374" s="4" t="inlineStr">
        <is>
          <t>SHOPEE: TIKTOK: https://www.tiktok.com/@donghetuchon/video/7690516415886970130 LAZADA: WEBSITE BÁN HÀNG:</t>
        </is>
      </c>
      <c r="H1374" s="3" t="inlineStr">
        <is>
          <t>MINI20GKD</t>
        </is>
      </c>
      <c r="I1374" s="4" t="inlineStr">
        <is>
          <t>Đinh MINI20GKD</t>
        </is>
      </c>
      <c r="J1374" s="3" t="inlineStr">
        <is>
          <t>Cái</t>
        </is>
      </c>
      <c r="K1374" s="5" t="n">
        <v>269000</v>
      </c>
      <c r="L1374" s="5" t="n">
        <v>317000</v>
      </c>
      <c r="M1374" s="6" t="n">
        <v>390000</v>
      </c>
      <c r="N1374" s="5" t="n"/>
      <c r="O1374" s="5">
        <f>IF(AND(ISNUMBER(N1374),ISNUMBER(M1374)),N1374-M1374,"")</f>
        <v/>
      </c>
      <c r="P1374" s="7">
        <f>IF(AND(ISNUMBER(N1374),ISNUMBER(M1374),M1374&gt;0),(N1374-M1374)/M1374,"")</f>
        <v/>
      </c>
      <c r="Q1374" s="3">
        <f>IF(P1374="","",IF(P1374&lt;-0.02,"🔴 Bán phá giá sàn",IF(P1374&gt;0.05,"🔵 Bán cao hơn","🟢 Đúng giá sàn TMĐT")))</f>
        <v/>
      </c>
      <c r="R1374" s="3" t="n"/>
      <c r="S1374" s="4" t="n"/>
      <c r="T1374" s="4" t="n"/>
    </row>
    <row r="1375">
      <c r="A1375" s="3" t="n">
        <v>1374</v>
      </c>
      <c r="B1375" s="3" t="inlineStr">
        <is>
          <t>DL013</t>
        </is>
      </c>
      <c r="C1375" s="4" t="inlineStr">
        <is>
          <t>Đồ Nghề Tự Chọn</t>
        </is>
      </c>
      <c r="D1375" s="3" t="inlineStr">
        <is>
          <t>Cần Thơ</t>
        </is>
      </c>
      <c r="E1375" s="3" t="inlineStr">
        <is>
          <t>Tường Vi</t>
        </is>
      </c>
      <c r="F1375" s="3" t="inlineStr">
        <is>
          <t>Tiktok</t>
        </is>
      </c>
      <c r="G1375" s="4" t="inlineStr">
        <is>
          <t>SHOPEE: TIKTOK: https://www.tiktok.com/@donghetuchon/video/7690516415886970130 LAZADA: WEBSITE BÁN HÀNG:</t>
        </is>
      </c>
      <c r="H1375" s="3" t="inlineStr"/>
      <c r="I1375" s="4" t="inlineStr">
        <is>
          <t>Đinh MINIGJD</t>
        </is>
      </c>
      <c r="J1375" s="3" t="inlineStr">
        <is>
          <t>Cái</t>
        </is>
      </c>
      <c r="K1375" s="5" t="n">
        <v>269000</v>
      </c>
      <c r="L1375" s="5" t="n">
        <v>317000</v>
      </c>
      <c r="M1375" s="6" t="n">
        <v>390000</v>
      </c>
      <c r="N1375" s="5" t="n"/>
      <c r="O1375" s="5">
        <f>IF(AND(ISNUMBER(N1375),ISNUMBER(M1375)),N1375-M1375,"")</f>
        <v/>
      </c>
      <c r="P1375" s="7">
        <f>IF(AND(ISNUMBER(N1375),ISNUMBER(M1375),M1375&gt;0),(N1375-M1375)/M1375,"")</f>
        <v/>
      </c>
      <c r="Q1375" s="3">
        <f>IF(P1375="","",IF(P1375&lt;-0.02,"🔴 Bán phá giá sàn",IF(P1375&gt;0.05,"🔵 Bán cao hơn","🟢 Đúng giá sàn TMĐT")))</f>
        <v/>
      </c>
      <c r="R1375" s="3" t="n"/>
      <c r="S1375" s="4" t="n"/>
      <c r="T1375" s="4" t="n"/>
    </row>
    <row r="1376">
      <c r="A1376" s="3" t="n">
        <v>1375</v>
      </c>
      <c r="B1376" s="3" t="inlineStr">
        <is>
          <t>DL013</t>
        </is>
      </c>
      <c r="C1376" s="4" t="inlineStr">
        <is>
          <t>Đồ Nghề Tự Chọn</t>
        </is>
      </c>
      <c r="D1376" s="3" t="inlineStr">
        <is>
          <t>Cần Thơ</t>
        </is>
      </c>
      <c r="E1376" s="3" t="inlineStr">
        <is>
          <t>Tường Vi</t>
        </is>
      </c>
      <c r="F1376" s="3" t="inlineStr">
        <is>
          <t>Tiktok</t>
        </is>
      </c>
      <c r="G1376" s="4" t="inlineStr">
        <is>
          <t>SHOPEE: TIKTOK: https://www.tiktok.com/@donghetuchon/video/7690516415886970130 LAZADA: WEBSITE BÁN HÀNG:</t>
        </is>
      </c>
      <c r="H1376" s="3" t="inlineStr"/>
      <c r="I1376" s="4" t="inlineStr">
        <is>
          <t>Đinh MINISFD</t>
        </is>
      </c>
      <c r="J1376" s="3" t="inlineStr">
        <is>
          <t>Cái</t>
        </is>
      </c>
      <c r="K1376" s="5" t="n">
        <v>269000</v>
      </c>
      <c r="L1376" s="5" t="n">
        <v>317000</v>
      </c>
      <c r="M1376" s="6" t="n">
        <v>390000</v>
      </c>
      <c r="N1376" s="5" t="n"/>
      <c r="O1376" s="5">
        <f>IF(AND(ISNUMBER(N1376),ISNUMBER(M1376)),N1376-M1376,"")</f>
        <v/>
      </c>
      <c r="P1376" s="7">
        <f>IF(AND(ISNUMBER(N1376),ISNUMBER(M1376),M1376&gt;0),(N1376-M1376)/M1376,"")</f>
        <v/>
      </c>
      <c r="Q1376" s="3">
        <f>IF(P1376="","",IF(P1376&lt;-0.02,"🔴 Bán phá giá sàn",IF(P1376&gt;0.05,"🔵 Bán cao hơn","🟢 Đúng giá sàn TMĐT")))</f>
        <v/>
      </c>
      <c r="R1376" s="3" t="n"/>
      <c r="S1376" s="4" t="n"/>
      <c r="T1376" s="4" t="n"/>
    </row>
    <row r="1377">
      <c r="A1377" s="3" t="n">
        <v>1376</v>
      </c>
      <c r="B1377" s="3" t="inlineStr">
        <is>
          <t>DL013</t>
        </is>
      </c>
      <c r="C1377" s="4" t="inlineStr">
        <is>
          <t>Đồ Nghề Tự Chọn</t>
        </is>
      </c>
      <c r="D1377" s="3" t="inlineStr">
        <is>
          <t>Cần Thơ</t>
        </is>
      </c>
      <c r="E1377" s="3" t="inlineStr">
        <is>
          <t>Tường Vi</t>
        </is>
      </c>
      <c r="F1377" s="3" t="inlineStr">
        <is>
          <t>Tiktok</t>
        </is>
      </c>
      <c r="G1377" s="4" t="inlineStr">
        <is>
          <t>SHOPEE: TIKTOK: https://www.tiktok.com/@donghetuchon/video/7690516415886970130 LAZADA: WEBSITE BÁN HÀNG:</t>
        </is>
      </c>
      <c r="H1377" s="3" t="inlineStr">
        <is>
          <t>KPQ-32</t>
        </is>
      </c>
      <c r="I1377" s="4" t="inlineStr">
        <is>
          <t>Kéo cắt góc nẹp điện KPQ-32</t>
        </is>
      </c>
      <c r="J1377" s="3" t="inlineStr">
        <is>
          <t>Cái</t>
        </is>
      </c>
      <c r="K1377" s="5" t="n">
        <v>163000</v>
      </c>
      <c r="L1377" s="5" t="n">
        <v>192000</v>
      </c>
      <c r="M1377" s="6" t="n">
        <v>236000</v>
      </c>
      <c r="N1377" s="5" t="n"/>
      <c r="O1377" s="5">
        <f>IF(AND(ISNUMBER(N1377),ISNUMBER(M1377)),N1377-M1377,"")</f>
        <v/>
      </c>
      <c r="P1377" s="7">
        <f>IF(AND(ISNUMBER(N1377),ISNUMBER(M1377),M1377&gt;0),(N1377-M1377)/M1377,"")</f>
        <v/>
      </c>
      <c r="Q1377" s="3">
        <f>IF(P1377="","",IF(P1377&lt;-0.02,"🔴 Bán phá giá sàn",IF(P1377&gt;0.05,"🔵 Bán cao hơn","🟢 Đúng giá sàn TMĐT")))</f>
        <v/>
      </c>
      <c r="R1377" s="3" t="n"/>
      <c r="S1377" s="4" t="n"/>
      <c r="T1377" s="4" t="n"/>
    </row>
    <row r="1378">
      <c r="A1378" s="3" t="n">
        <v>1377</v>
      </c>
      <c r="B1378" s="3" t="inlineStr">
        <is>
          <t>DL013</t>
        </is>
      </c>
      <c r="C1378" s="4" t="inlineStr">
        <is>
          <t>Đồ Nghề Tự Chọn</t>
        </is>
      </c>
      <c r="D1378" s="3" t="inlineStr">
        <is>
          <t>Cần Thơ</t>
        </is>
      </c>
      <c r="E1378" s="3" t="inlineStr">
        <is>
          <t>Tường Vi</t>
        </is>
      </c>
      <c r="F1378" s="3" t="inlineStr">
        <is>
          <t>Tiktok</t>
        </is>
      </c>
      <c r="G1378" s="4" t="inlineStr">
        <is>
          <t>SHOPEE: TIKTOK: https://www.tiktok.com/@donghetuchon/video/7690516415886970130 LAZADA: WEBSITE BÁN HÀNG:</t>
        </is>
      </c>
      <c r="H1378" s="3" t="inlineStr">
        <is>
          <t>KPC-164</t>
        </is>
      </c>
      <c r="I1378" s="4" t="inlineStr">
        <is>
          <t>Kéo cắt ống KPC-164</t>
        </is>
      </c>
      <c r="J1378" s="3" t="inlineStr">
        <is>
          <t>Cái</t>
        </is>
      </c>
      <c r="K1378" s="5" t="n">
        <v>262000</v>
      </c>
      <c r="L1378" s="5" t="n">
        <v>309000</v>
      </c>
      <c r="M1378" s="6" t="n">
        <v>380000</v>
      </c>
      <c r="N1378" s="5" t="n"/>
      <c r="O1378" s="5">
        <f>IF(AND(ISNUMBER(N1378),ISNUMBER(M1378)),N1378-M1378,"")</f>
        <v/>
      </c>
      <c r="P1378" s="7">
        <f>IF(AND(ISNUMBER(N1378),ISNUMBER(M1378),M1378&gt;0),(N1378-M1378)/M1378,"")</f>
        <v/>
      </c>
      <c r="Q1378" s="3">
        <f>IF(P1378="","",IF(P1378&lt;-0.02,"🔴 Bán phá giá sàn",IF(P1378&gt;0.05,"🔵 Bán cao hơn","🟢 Đúng giá sàn TMĐT")))</f>
        <v/>
      </c>
      <c r="R1378" s="3" t="n"/>
      <c r="S1378" s="4" t="n"/>
      <c r="T1378" s="4" t="n"/>
    </row>
    <row r="1379">
      <c r="A1379" s="3" t="n">
        <v>1378</v>
      </c>
      <c r="B1379" s="3" t="inlineStr">
        <is>
          <t>DL013</t>
        </is>
      </c>
      <c r="C1379" s="4" t="inlineStr">
        <is>
          <t>Đồ Nghề Tự Chọn</t>
        </is>
      </c>
      <c r="D1379" s="3" t="inlineStr">
        <is>
          <t>Cần Thơ</t>
        </is>
      </c>
      <c r="E1379" s="3" t="inlineStr">
        <is>
          <t>Tường Vi</t>
        </is>
      </c>
      <c r="F1379" s="3" t="inlineStr">
        <is>
          <t>Tiktok</t>
        </is>
      </c>
      <c r="G1379" s="4" t="inlineStr">
        <is>
          <t>SHOPEE: TIKTOK: https://www.tiktok.com/@donghetuchon/video/7690516415886970130 LAZADA: WEBSITE BÁN HÀNG:</t>
        </is>
      </c>
      <c r="H1379" s="3" t="inlineStr">
        <is>
          <t>QE320</t>
        </is>
      </c>
      <c r="I1379" s="4" t="inlineStr">
        <is>
          <t>Kéo cắt trên cao Kingblue QE320</t>
        </is>
      </c>
      <c r="J1379" s="3" t="inlineStr">
        <is>
          <t>Cái</t>
        </is>
      </c>
      <c r="K1379" s="5" t="n">
        <v>712000</v>
      </c>
      <c r="L1379" s="5" t="n">
        <v>840000</v>
      </c>
      <c r="M1379" s="6" t="n">
        <v>1032000</v>
      </c>
      <c r="N1379" s="5" t="n"/>
      <c r="O1379" s="5">
        <f>IF(AND(ISNUMBER(N1379),ISNUMBER(M1379)),N1379-M1379,"")</f>
        <v/>
      </c>
      <c r="P1379" s="7">
        <f>IF(AND(ISNUMBER(N1379),ISNUMBER(M1379),M1379&gt;0),(N1379-M1379)/M1379,"")</f>
        <v/>
      </c>
      <c r="Q1379" s="3">
        <f>IF(P1379="","",IF(P1379&lt;-0.02,"🔴 Bán phá giá sàn",IF(P1379&gt;0.05,"🔵 Bán cao hơn","🟢 Đúng giá sàn TMĐT")))</f>
        <v/>
      </c>
      <c r="R1379" s="3" t="n"/>
      <c r="S1379" s="4" t="n"/>
      <c r="T1379" s="4" t="n"/>
    </row>
    <row r="1380">
      <c r="A1380" s="3" t="n">
        <v>1379</v>
      </c>
      <c r="B1380" s="3" t="inlineStr">
        <is>
          <t>DL013</t>
        </is>
      </c>
      <c r="C1380" s="4" t="inlineStr">
        <is>
          <t>Đồ Nghề Tự Chọn</t>
        </is>
      </c>
      <c r="D1380" s="3" t="inlineStr">
        <is>
          <t>Cần Thơ</t>
        </is>
      </c>
      <c r="E1380" s="3" t="inlineStr">
        <is>
          <t>Tường Vi</t>
        </is>
      </c>
      <c r="F1380" s="3" t="inlineStr">
        <is>
          <t>Tiktok</t>
        </is>
      </c>
      <c r="G1380" s="4" t="inlineStr">
        <is>
          <t>SHOPEE: TIKTOK: https://www.tiktok.com/@donghetuchon/video/7690516415886970130 LAZADA: WEBSITE BÁN HÀNG:</t>
        </is>
      </c>
      <c r="H1380" s="3" t="inlineStr">
        <is>
          <t>KJ-103</t>
        </is>
      </c>
      <c r="I1380" s="4" t="inlineStr">
        <is>
          <t>Kìm rút đinh KJ-103</t>
        </is>
      </c>
      <c r="J1380" s="3" t="inlineStr">
        <is>
          <t>Cái</t>
        </is>
      </c>
      <c r="K1380" s="5" t="n">
        <v>94000</v>
      </c>
      <c r="L1380" s="5" t="n">
        <v>111000</v>
      </c>
      <c r="M1380" s="6" t="n">
        <v>136000</v>
      </c>
      <c r="N1380" s="5" t="n"/>
      <c r="O1380" s="5">
        <f>IF(AND(ISNUMBER(N1380),ISNUMBER(M1380)),N1380-M1380,"")</f>
        <v/>
      </c>
      <c r="P1380" s="7">
        <f>IF(AND(ISNUMBER(N1380),ISNUMBER(M1380),M1380&gt;0),(N1380-M1380)/M1380,"")</f>
        <v/>
      </c>
      <c r="Q1380" s="3">
        <f>IF(P1380="","",IF(P1380&lt;-0.02,"🔴 Bán phá giá sàn",IF(P1380&gt;0.05,"🔵 Bán cao hơn","🟢 Đúng giá sàn TMĐT")))</f>
        <v/>
      </c>
      <c r="R1380" s="3" t="n"/>
      <c r="S1380" s="4" t="n"/>
      <c r="T1380" s="4" t="n"/>
    </row>
    <row r="1381">
      <c r="A1381" s="3" t="n">
        <v>1380</v>
      </c>
      <c r="B1381" s="3" t="inlineStr">
        <is>
          <t>DL013</t>
        </is>
      </c>
      <c r="C1381" s="4" t="inlineStr">
        <is>
          <t>Đồ Nghề Tự Chọn</t>
        </is>
      </c>
      <c r="D1381" s="3" t="inlineStr">
        <is>
          <t>Cần Thơ</t>
        </is>
      </c>
      <c r="E1381" s="3" t="inlineStr">
        <is>
          <t>Tường Vi</t>
        </is>
      </c>
      <c r="F1381" s="3" t="inlineStr">
        <is>
          <t>Tiktok</t>
        </is>
      </c>
      <c r="G1381" s="4" t="inlineStr">
        <is>
          <t>SHOPEE: TIKTOK: https://www.tiktok.com/@donghetuchon/video/7690516415886970130 LAZADA: WEBSITE BÁN HÀNG:</t>
        </is>
      </c>
      <c r="H1381" s="3" t="inlineStr">
        <is>
          <t>KND180</t>
        </is>
      </c>
      <c r="I1381" s="4" t="inlineStr">
        <is>
          <t>Kìm tuốt dây điện đa năng KND180</t>
        </is>
      </c>
      <c r="J1381" s="3" t="inlineStr">
        <is>
          <t>Cái</t>
        </is>
      </c>
      <c r="K1381" s="5" t="n">
        <v>127000</v>
      </c>
      <c r="L1381" s="5" t="n">
        <v>150000</v>
      </c>
      <c r="M1381" s="6" t="n">
        <v>184000</v>
      </c>
      <c r="N1381" s="5" t="n"/>
      <c r="O1381" s="5">
        <f>IF(AND(ISNUMBER(N1381),ISNUMBER(M1381)),N1381-M1381,"")</f>
        <v/>
      </c>
      <c r="P1381" s="7">
        <f>IF(AND(ISNUMBER(N1381),ISNUMBER(M1381),M1381&gt;0),(N1381-M1381)/M1381,"")</f>
        <v/>
      </c>
      <c r="Q1381" s="3">
        <f>IF(P1381="","",IF(P1381&lt;-0.02,"🔴 Bán phá giá sàn",IF(P1381&gt;0.05,"🔵 Bán cao hơn","🟢 Đúng giá sàn TMĐT")))</f>
        <v/>
      </c>
      <c r="R1381" s="3" t="n"/>
      <c r="S1381" s="4" t="n"/>
      <c r="T1381" s="4" t="n"/>
    </row>
    <row r="1382">
      <c r="A1382" s="3" t="n">
        <v>1381</v>
      </c>
      <c r="B1382" s="3" t="inlineStr">
        <is>
          <t>DL013</t>
        </is>
      </c>
      <c r="C1382" s="4" t="inlineStr">
        <is>
          <t>Đồ Nghề Tự Chọn</t>
        </is>
      </c>
      <c r="D1382" s="3" t="inlineStr">
        <is>
          <t>Cần Thơ</t>
        </is>
      </c>
      <c r="E1382" s="3" t="inlineStr">
        <is>
          <t>Tường Vi</t>
        </is>
      </c>
      <c r="F1382" s="3" t="inlineStr">
        <is>
          <t>Tiktok</t>
        </is>
      </c>
      <c r="G1382" s="4" t="inlineStr">
        <is>
          <t>SHOPEE: TIKTOK: https://www.tiktok.com/@donghetuchon/video/7690516415886970130 LAZADA: WEBSITE BÁN HÀNG:</t>
        </is>
      </c>
      <c r="H1382" s="3" t="inlineStr">
        <is>
          <t>KND205</t>
        </is>
      </c>
      <c r="I1382" s="4" t="inlineStr">
        <is>
          <t>Kìm tuốt dây điện đa năng KND205</t>
        </is>
      </c>
      <c r="J1382" s="3" t="inlineStr">
        <is>
          <t>Cái</t>
        </is>
      </c>
      <c r="K1382" s="5" t="n">
        <v>160000</v>
      </c>
      <c r="L1382" s="5" t="n">
        <v>189000</v>
      </c>
      <c r="M1382" s="6" t="n">
        <v>232000</v>
      </c>
      <c r="N1382" s="5" t="n"/>
      <c r="O1382" s="5">
        <f>IF(AND(ISNUMBER(N1382),ISNUMBER(M1382)),N1382-M1382,"")</f>
        <v/>
      </c>
      <c r="P1382" s="7">
        <f>IF(AND(ISNUMBER(N1382),ISNUMBER(M1382),M1382&gt;0),(N1382-M1382)/M1382,"")</f>
        <v/>
      </c>
      <c r="Q1382" s="3">
        <f>IF(P1382="","",IF(P1382&lt;-0.02,"🔴 Bán phá giá sàn",IF(P1382&gt;0.05,"🔵 Bán cao hơn","🟢 Đúng giá sàn TMĐT")))</f>
        <v/>
      </c>
      <c r="R1382" s="3" t="n"/>
      <c r="S1382" s="4" t="n"/>
      <c r="T1382" s="4" t="n"/>
    </row>
    <row r="1383">
      <c r="A1383" s="3" t="n">
        <v>1382</v>
      </c>
      <c r="B1383" s="3" t="inlineStr">
        <is>
          <t>DL013</t>
        </is>
      </c>
      <c r="C1383" s="4" t="inlineStr">
        <is>
          <t>Đồ Nghề Tự Chọn</t>
        </is>
      </c>
      <c r="D1383" s="3" t="inlineStr">
        <is>
          <t>Cần Thơ</t>
        </is>
      </c>
      <c r="E1383" s="3" t="inlineStr">
        <is>
          <t>Tường Vi</t>
        </is>
      </c>
      <c r="F1383" s="3" t="inlineStr">
        <is>
          <t>Tiktok</t>
        </is>
      </c>
      <c r="G1383" s="4" t="inlineStr">
        <is>
          <t>SHOPEE: TIKTOK: https://www.tiktok.com/@donghetuchon/video/7690516415886970130 LAZADA: WEBSITE BÁN HÀNG:</t>
        </is>
      </c>
      <c r="H1383" s="3" t="inlineStr">
        <is>
          <t>F1</t>
        </is>
      </c>
      <c r="I1383" s="4" t="inlineStr">
        <is>
          <t>Lưỡi cắt Kingblue F1 110DN (vàng)</t>
        </is>
      </c>
      <c r="J1383" s="3" t="inlineStr">
        <is>
          <t>Cái</t>
        </is>
      </c>
      <c r="K1383" s="5" t="n">
        <v>92000</v>
      </c>
      <c r="L1383" s="5" t="n">
        <v>108000</v>
      </c>
      <c r="M1383" s="6" t="n">
        <v>133000</v>
      </c>
      <c r="N1383" s="5" t="n"/>
      <c r="O1383" s="5">
        <f>IF(AND(ISNUMBER(N1383),ISNUMBER(M1383)),N1383-M1383,"")</f>
        <v/>
      </c>
      <c r="P1383" s="7">
        <f>IF(AND(ISNUMBER(N1383),ISNUMBER(M1383),M1383&gt;0),(N1383-M1383)/M1383,"")</f>
        <v/>
      </c>
      <c r="Q1383" s="3">
        <f>IF(P1383="","",IF(P1383&lt;-0.02,"🔴 Bán phá giá sàn",IF(P1383&gt;0.05,"🔵 Bán cao hơn","🟢 Đúng giá sàn TMĐT")))</f>
        <v/>
      </c>
      <c r="R1383" s="3" t="n"/>
      <c r="S1383" s="4" t="n"/>
      <c r="T1383" s="4" t="n"/>
    </row>
    <row r="1384">
      <c r="A1384" s="3" t="n">
        <v>1383</v>
      </c>
      <c r="B1384" s="3" t="inlineStr">
        <is>
          <t>DL013</t>
        </is>
      </c>
      <c r="C1384" s="4" t="inlineStr">
        <is>
          <t>Đồ Nghề Tự Chọn</t>
        </is>
      </c>
      <c r="D1384" s="3" t="inlineStr">
        <is>
          <t>Cần Thơ</t>
        </is>
      </c>
      <c r="E1384" s="3" t="inlineStr">
        <is>
          <t>Tường Vi</t>
        </is>
      </c>
      <c r="F1384" s="3" t="inlineStr">
        <is>
          <t>Tiktok</t>
        </is>
      </c>
      <c r="G1384" s="4" t="inlineStr">
        <is>
          <t>SHOPEE: TIKTOK: https://www.tiktok.com/@donghetuchon/video/7690516415886970130 LAZADA: WEBSITE BÁN HÀNG:</t>
        </is>
      </c>
      <c r="H1384" s="3" t="inlineStr">
        <is>
          <t>F1-125DN</t>
        </is>
      </c>
      <c r="I1384" s="4" t="inlineStr">
        <is>
          <t>Lưỡi cắt KingBlue F1-125DN (Vàng)</t>
        </is>
      </c>
      <c r="J1384" s="3" t="inlineStr">
        <is>
          <t>Cái</t>
        </is>
      </c>
      <c r="K1384" s="5" t="n">
        <v>107000</v>
      </c>
      <c r="L1384" s="5" t="n">
        <v>126000</v>
      </c>
      <c r="M1384" s="6" t="n">
        <v>155000</v>
      </c>
      <c r="N1384" s="5" t="n"/>
      <c r="O1384" s="5">
        <f>IF(AND(ISNUMBER(N1384),ISNUMBER(M1384)),N1384-M1384,"")</f>
        <v/>
      </c>
      <c r="P1384" s="7">
        <f>IF(AND(ISNUMBER(N1384),ISNUMBER(M1384),M1384&gt;0),(N1384-M1384)/M1384,"")</f>
        <v/>
      </c>
      <c r="Q1384" s="3">
        <f>IF(P1384="","",IF(P1384&lt;-0.02,"🔴 Bán phá giá sàn",IF(P1384&gt;0.05,"🔵 Bán cao hơn","🟢 Đúng giá sàn TMĐT")))</f>
        <v/>
      </c>
      <c r="R1384" s="3" t="n"/>
      <c r="S1384" s="4" t="n"/>
      <c r="T1384" s="4" t="n"/>
    </row>
    <row r="1385">
      <c r="A1385" s="3" t="n">
        <v>1384</v>
      </c>
      <c r="B1385" s="3" t="inlineStr">
        <is>
          <t>DL013</t>
        </is>
      </c>
      <c r="C1385" s="4" t="inlineStr">
        <is>
          <t>Đồ Nghề Tự Chọn</t>
        </is>
      </c>
      <c r="D1385" s="3" t="inlineStr">
        <is>
          <t>Cần Thơ</t>
        </is>
      </c>
      <c r="E1385" s="3" t="inlineStr">
        <is>
          <t>Tường Vi</t>
        </is>
      </c>
      <c r="F1385" s="3" t="inlineStr">
        <is>
          <t>Tiktok</t>
        </is>
      </c>
      <c r="G1385" s="4" t="inlineStr">
        <is>
          <t>SHOPEE: TIKTOK: https://www.tiktok.com/@donghetuchon/video/7690516415886970130 LAZADA: WEBSITE BÁN HÀNG:</t>
        </is>
      </c>
      <c r="H1385" s="3" t="inlineStr">
        <is>
          <t>V3-110DN</t>
        </is>
      </c>
      <c r="I1385" s="4" t="inlineStr">
        <is>
          <t>Lưỡi cắt KingBlue V3-110DN (NEW)</t>
        </is>
      </c>
      <c r="J1385" s="3" t="inlineStr">
        <is>
          <t>Cái</t>
        </is>
      </c>
      <c r="K1385" s="5" t="n">
        <v>269000</v>
      </c>
      <c r="L1385" s="5" t="n">
        <v>317000</v>
      </c>
      <c r="M1385" s="6" t="n">
        <v>390000</v>
      </c>
      <c r="N1385" s="5" t="n"/>
      <c r="O1385" s="5">
        <f>IF(AND(ISNUMBER(N1385),ISNUMBER(M1385)),N1385-M1385,"")</f>
        <v/>
      </c>
      <c r="P1385" s="7">
        <f>IF(AND(ISNUMBER(N1385),ISNUMBER(M1385),M1385&gt;0),(N1385-M1385)/M1385,"")</f>
        <v/>
      </c>
      <c r="Q1385" s="3">
        <f>IF(P1385="","",IF(P1385&lt;-0.02,"🔴 Bán phá giá sàn",IF(P1385&gt;0.05,"🔵 Bán cao hơn","🟢 Đúng giá sàn TMĐT")))</f>
        <v/>
      </c>
      <c r="R1385" s="3" t="n"/>
      <c r="S1385" s="4" t="n"/>
      <c r="T1385" s="4" t="n"/>
    </row>
    <row r="1386">
      <c r="A1386" s="3" t="n">
        <v>1385</v>
      </c>
      <c r="B1386" s="3" t="inlineStr">
        <is>
          <t>DL013</t>
        </is>
      </c>
      <c r="C1386" s="4" t="inlineStr">
        <is>
          <t>Đồ Nghề Tự Chọn</t>
        </is>
      </c>
      <c r="D1386" s="3" t="inlineStr">
        <is>
          <t>Cần Thơ</t>
        </is>
      </c>
      <c r="E1386" s="3" t="inlineStr">
        <is>
          <t>Tường Vi</t>
        </is>
      </c>
      <c r="F1386" s="3" t="inlineStr">
        <is>
          <t>Tiktok</t>
        </is>
      </c>
      <c r="G1386" s="4" t="inlineStr">
        <is>
          <t>SHOPEE: TIKTOK: https://www.tiktok.com/@donghetuchon/video/7690516415886970130 LAZADA: WEBSITE BÁN HÀNG:</t>
        </is>
      </c>
      <c r="H1386" s="3" t="inlineStr">
        <is>
          <t>V3-125ĐN</t>
        </is>
      </c>
      <c r="I1386" s="4" t="inlineStr">
        <is>
          <t>Lưỡi cắt KingBlue V3-125ĐN</t>
        </is>
      </c>
      <c r="J1386" s="3" t="inlineStr">
        <is>
          <t>Cái</t>
        </is>
      </c>
      <c r="K1386" s="5" t="n">
        <v>269000</v>
      </c>
      <c r="L1386" s="5" t="n">
        <v>317000</v>
      </c>
      <c r="M1386" s="6" t="n">
        <v>390000</v>
      </c>
      <c r="N1386" s="5" t="n"/>
      <c r="O1386" s="5">
        <f>IF(AND(ISNUMBER(N1386),ISNUMBER(M1386)),N1386-M1386,"")</f>
        <v/>
      </c>
      <c r="P1386" s="7">
        <f>IF(AND(ISNUMBER(N1386),ISNUMBER(M1386),M1386&gt;0),(N1386-M1386)/M1386,"")</f>
        <v/>
      </c>
      <c r="Q1386" s="3">
        <f>IF(P1386="","",IF(P1386&lt;-0.02,"🔴 Bán phá giá sàn",IF(P1386&gt;0.05,"🔵 Bán cao hơn","🟢 Đúng giá sàn TMĐT")))</f>
        <v/>
      </c>
      <c r="R1386" s="3" t="n"/>
      <c r="S1386" s="4" t="n"/>
      <c r="T1386" s="4" t="n"/>
    </row>
    <row r="1387">
      <c r="A1387" s="3" t="n">
        <v>1386</v>
      </c>
      <c r="B1387" s="3" t="inlineStr">
        <is>
          <t>DL013</t>
        </is>
      </c>
      <c r="C1387" s="4" t="inlineStr">
        <is>
          <t>Đồ Nghề Tự Chọn</t>
        </is>
      </c>
      <c r="D1387" s="3" t="inlineStr">
        <is>
          <t>Cần Thơ</t>
        </is>
      </c>
      <c r="E1387" s="3" t="inlineStr">
        <is>
          <t>Tường Vi</t>
        </is>
      </c>
      <c r="F1387" s="3" t="inlineStr">
        <is>
          <t>Tiktok</t>
        </is>
      </c>
      <c r="G1387" s="4" t="inlineStr">
        <is>
          <t>SHOPEE: TIKTOK: https://www.tiktok.com/@donghetuchon/video/7690516415886970130 LAZADA: WEBSITE BÁN HÀNG:</t>
        </is>
      </c>
      <c r="H1387" s="3" t="inlineStr">
        <is>
          <t>JH-100</t>
        </is>
      </c>
      <c r="I1387" s="4" t="inlineStr">
        <is>
          <t>Lưỡi dao rọc giấy JH-100</t>
        </is>
      </c>
      <c r="J1387" s="3" t="inlineStr">
        <is>
          <t>Vỉ</t>
        </is>
      </c>
      <c r="K1387" s="5" t="n">
        <v>14600</v>
      </c>
      <c r="L1387" s="5" t="n">
        <v>17000</v>
      </c>
      <c r="M1387" s="6" t="n">
        <v>21000</v>
      </c>
      <c r="N1387" s="5" t="n"/>
      <c r="O1387" s="5">
        <f>IF(AND(ISNUMBER(N1387),ISNUMBER(M1387)),N1387-M1387,"")</f>
        <v/>
      </c>
      <c r="P1387" s="7">
        <f>IF(AND(ISNUMBER(N1387),ISNUMBER(M1387),M1387&gt;0),(N1387-M1387)/M1387,"")</f>
        <v/>
      </c>
      <c r="Q1387" s="3">
        <f>IF(P1387="","",IF(P1387&lt;-0.02,"🔴 Bán phá giá sàn",IF(P1387&gt;0.05,"🔵 Bán cao hơn","🟢 Đúng giá sàn TMĐT")))</f>
        <v/>
      </c>
      <c r="R1387" s="3" t="n"/>
      <c r="S1387" s="4" t="n"/>
      <c r="T1387" s="4" t="n"/>
    </row>
    <row r="1388">
      <c r="A1388" s="3" t="n">
        <v>1387</v>
      </c>
      <c r="B1388" s="3" t="inlineStr">
        <is>
          <t>DL013</t>
        </is>
      </c>
      <c r="C1388" s="4" t="inlineStr">
        <is>
          <t>Đồ Nghề Tự Chọn</t>
        </is>
      </c>
      <c r="D1388" s="3" t="inlineStr">
        <is>
          <t>Cần Thơ</t>
        </is>
      </c>
      <c r="E1388" s="3" t="inlineStr">
        <is>
          <t>Tường Vi</t>
        </is>
      </c>
      <c r="F1388" s="3" t="inlineStr">
        <is>
          <t>Tiktok</t>
        </is>
      </c>
      <c r="G1388" s="4" t="inlineStr">
        <is>
          <t>SHOPEE: TIKTOK: https://www.tiktok.com/@donghetuchon/video/7690516415886970130 LAZADA: WEBSITE BÁN HÀNG:</t>
        </is>
      </c>
      <c r="H1388" s="3" t="inlineStr">
        <is>
          <t>KB-2.5CFM</t>
        </is>
      </c>
      <c r="I1388" s="4" t="inlineStr">
        <is>
          <t>Máy hút chân không dùng pin KingBlue KB-2.5CFM</t>
        </is>
      </c>
      <c r="J1388" s="3" t="inlineStr">
        <is>
          <t>Cái</t>
        </is>
      </c>
      <c r="K1388" s="5" t="n">
        <v>269000</v>
      </c>
      <c r="L1388" s="5" t="n">
        <v>317000</v>
      </c>
      <c r="M1388" s="6" t="n">
        <v>390000</v>
      </c>
      <c r="N1388" s="5" t="n"/>
      <c r="O1388" s="5">
        <f>IF(AND(ISNUMBER(N1388),ISNUMBER(M1388)),N1388-M1388,"")</f>
        <v/>
      </c>
      <c r="P1388" s="7">
        <f>IF(AND(ISNUMBER(N1388),ISNUMBER(M1388),M1388&gt;0),(N1388-M1388)/M1388,"")</f>
        <v/>
      </c>
      <c r="Q1388" s="3">
        <f>IF(P1388="","",IF(P1388&lt;-0.02,"🔴 Bán phá giá sàn",IF(P1388&gt;0.05,"🔵 Bán cao hơn","🟢 Đúng giá sàn TMĐT")))</f>
        <v/>
      </c>
      <c r="R1388" s="3" t="n"/>
      <c r="S1388" s="4" t="n"/>
      <c r="T1388" s="4" t="n"/>
    </row>
    <row r="1389">
      <c r="A1389" s="3" t="n">
        <v>1388</v>
      </c>
      <c r="B1389" s="3" t="inlineStr">
        <is>
          <t>DL013</t>
        </is>
      </c>
      <c r="C1389" s="4" t="inlineStr">
        <is>
          <t>Đồ Nghề Tự Chọn</t>
        </is>
      </c>
      <c r="D1389" s="3" t="inlineStr">
        <is>
          <t>Cần Thơ</t>
        </is>
      </c>
      <c r="E1389" s="3" t="inlineStr">
        <is>
          <t>Tường Vi</t>
        </is>
      </c>
      <c r="F1389" s="3" t="inlineStr">
        <is>
          <t>Tiktok</t>
        </is>
      </c>
      <c r="G1389" s="4" t="inlineStr">
        <is>
          <t>SHOPEE: TIKTOK: https://www.tiktok.com/@donghetuchon/video/7690516415886970130 LAZADA: WEBSITE BÁN HÀNG:</t>
        </is>
      </c>
      <c r="H1389" s="3" t="inlineStr">
        <is>
          <t>KBA-I1500</t>
        </is>
      </c>
      <c r="I1389" s="4" t="inlineStr">
        <is>
          <t>Máy rửa xe KBA-I1500</t>
        </is>
      </c>
      <c r="J1389" s="3" t="inlineStr">
        <is>
          <t>Cái</t>
        </is>
      </c>
      <c r="K1389" s="5" t="n">
        <v>2050000</v>
      </c>
      <c r="L1389" s="5" t="n">
        <v>2300000</v>
      </c>
      <c r="M1389" s="6" t="n">
        <v>2670000</v>
      </c>
      <c r="N1389" s="5" t="n"/>
      <c r="O1389" s="5">
        <f>IF(AND(ISNUMBER(N1389),ISNUMBER(M1389)),N1389-M1389,"")</f>
        <v/>
      </c>
      <c r="P1389" s="7">
        <f>IF(AND(ISNUMBER(N1389),ISNUMBER(M1389),M1389&gt;0),(N1389-M1389)/M1389,"")</f>
        <v/>
      </c>
      <c r="Q1389" s="3">
        <f>IF(P1389="","",IF(P1389&lt;-0.02,"🔴 Bán phá giá sàn",IF(P1389&gt;0.05,"🔵 Bán cao hơn","🟢 Đúng giá sàn TMĐT")))</f>
        <v/>
      </c>
      <c r="R1389" s="3" t="n"/>
      <c r="S1389" s="4" t="n"/>
      <c r="T1389" s="4" t="n"/>
    </row>
    <row r="1390">
      <c r="A1390" s="3" t="n">
        <v>1389</v>
      </c>
      <c r="B1390" s="3" t="inlineStr">
        <is>
          <t>DL013</t>
        </is>
      </c>
      <c r="C1390" s="4" t="inlineStr">
        <is>
          <t>Đồ Nghề Tự Chọn</t>
        </is>
      </c>
      <c r="D1390" s="3" t="inlineStr">
        <is>
          <t>Cần Thơ</t>
        </is>
      </c>
      <c r="E1390" s="3" t="inlineStr">
        <is>
          <t>Tường Vi</t>
        </is>
      </c>
      <c r="F1390" s="3" t="inlineStr">
        <is>
          <t>Tiktok</t>
        </is>
      </c>
      <c r="G1390" s="4" t="inlineStr">
        <is>
          <t>SHOPEE: TIKTOK: https://www.tiktok.com/@donghetuchon/video/7690516415886970130 LAZADA: WEBSITE BÁN HÀNG:</t>
        </is>
      </c>
      <c r="H1390" s="3" t="inlineStr">
        <is>
          <t>K18PLS</t>
        </is>
      </c>
      <c r="I1390" s="4" t="inlineStr">
        <is>
          <t>Máy thổi phản lực 18V K18PLS</t>
        </is>
      </c>
      <c r="J1390" s="3" t="inlineStr">
        <is>
          <t>Cái</t>
        </is>
      </c>
      <c r="K1390" s="5" t="n">
        <v>990000</v>
      </c>
      <c r="L1390" s="5" t="n">
        <v>1090000</v>
      </c>
      <c r="M1390" s="6" t="n">
        <v>1240000</v>
      </c>
      <c r="N1390" s="5" t="n"/>
      <c r="O1390" s="5">
        <f>IF(AND(ISNUMBER(N1390),ISNUMBER(M1390)),N1390-M1390,"")</f>
        <v/>
      </c>
      <c r="P1390" s="7">
        <f>IF(AND(ISNUMBER(N1390),ISNUMBER(M1390),M1390&gt;0),(N1390-M1390)/M1390,"")</f>
        <v/>
      </c>
      <c r="Q1390" s="3">
        <f>IF(P1390="","",IF(P1390&lt;-0.02,"🔴 Bán phá giá sàn",IF(P1390&gt;0.05,"🔵 Bán cao hơn","🟢 Đúng giá sàn TMĐT")))</f>
        <v/>
      </c>
      <c r="R1390" s="3" t="n"/>
      <c r="S1390" s="4" t="n"/>
      <c r="T1390" s="4" t="n"/>
    </row>
    <row r="1391">
      <c r="A1391" s="3" t="n">
        <v>1390</v>
      </c>
      <c r="B1391" s="3" t="inlineStr">
        <is>
          <t>DL013</t>
        </is>
      </c>
      <c r="C1391" s="4" t="inlineStr">
        <is>
          <t>Đồ Nghề Tự Chọn</t>
        </is>
      </c>
      <c r="D1391" s="3" t="inlineStr">
        <is>
          <t>Cần Thơ</t>
        </is>
      </c>
      <c r="E1391" s="3" t="inlineStr">
        <is>
          <t>Tường Vi</t>
        </is>
      </c>
      <c r="F1391" s="3" t="inlineStr">
        <is>
          <t>Tiktok</t>
        </is>
      </c>
      <c r="G1391" s="4" t="inlineStr">
        <is>
          <t>SHOPEE: TIKTOK: https://www.tiktok.com/@donghetuchon/video/7690516415886970130 LAZADA: WEBSITE BÁN HÀNG:</t>
        </is>
      </c>
      <c r="H1391" s="3" t="inlineStr">
        <is>
          <t>KW-350</t>
        </is>
      </c>
      <c r="I1391" s="4" t="inlineStr">
        <is>
          <t>Mỏ lết răng KW-350</t>
        </is>
      </c>
      <c r="J1391" s="3" t="inlineStr">
        <is>
          <t>Cái</t>
        </is>
      </c>
      <c r="K1391" s="5" t="n">
        <v>174000</v>
      </c>
      <c r="L1391" s="5" t="n">
        <v>205000</v>
      </c>
      <c r="M1391" s="6" t="n">
        <v>252000</v>
      </c>
      <c r="N1391" s="5" t="n"/>
      <c r="O1391" s="5">
        <f>IF(AND(ISNUMBER(N1391),ISNUMBER(M1391)),N1391-M1391,"")</f>
        <v/>
      </c>
      <c r="P1391" s="7">
        <f>IF(AND(ISNUMBER(N1391),ISNUMBER(M1391),M1391&gt;0),(N1391-M1391)/M1391,"")</f>
        <v/>
      </c>
      <c r="Q1391" s="3">
        <f>IF(P1391="","",IF(P1391&lt;-0.02,"🔴 Bán phá giá sàn",IF(P1391&gt;0.05,"🔵 Bán cao hơn","🟢 Đúng giá sàn TMĐT")))</f>
        <v/>
      </c>
      <c r="R1391" s="3" t="n"/>
      <c r="S1391" s="4" t="n"/>
      <c r="T1391" s="4" t="n"/>
    </row>
    <row r="1392">
      <c r="A1392" s="3" t="n">
        <v>1391</v>
      </c>
      <c r="B1392" s="3" t="inlineStr">
        <is>
          <t>DL013</t>
        </is>
      </c>
      <c r="C1392" s="4" t="inlineStr">
        <is>
          <t>Đồ Nghề Tự Chọn</t>
        </is>
      </c>
      <c r="D1392" s="3" t="inlineStr">
        <is>
          <t>Cần Thơ</t>
        </is>
      </c>
      <c r="E1392" s="3" t="inlineStr">
        <is>
          <t>Tường Vi</t>
        </is>
      </c>
      <c r="F1392" s="3" t="inlineStr">
        <is>
          <t>Tiktok</t>
        </is>
      </c>
      <c r="G1392" s="4" t="inlineStr">
        <is>
          <t>SHOPEE: TIKTOK: https://www.tiktok.com/@donghetuchon/video/7690516415886970130 LAZADA: WEBSITE BÁN HÀNG:</t>
        </is>
      </c>
      <c r="H1392" s="3" t="inlineStr">
        <is>
          <t>V100R</t>
        </is>
      </c>
      <c r="I1392" s="4" t="inlineStr">
        <is>
          <t>Mũi bắn vít chống trượt KingBlue V100R</t>
        </is>
      </c>
      <c r="J1392" s="3" t="inlineStr">
        <is>
          <t>Vỉ</t>
        </is>
      </c>
      <c r="K1392" s="5" t="n">
        <v>29000</v>
      </c>
      <c r="L1392" s="5" t="n">
        <v>37000</v>
      </c>
      <c r="M1392" s="6" t="n">
        <v>48000</v>
      </c>
      <c r="N1392" s="5" t="n"/>
      <c r="O1392" s="5">
        <f>IF(AND(ISNUMBER(N1392),ISNUMBER(M1392)),N1392-M1392,"")</f>
        <v/>
      </c>
      <c r="P1392" s="7">
        <f>IF(AND(ISNUMBER(N1392),ISNUMBER(M1392),M1392&gt;0),(N1392-M1392)/M1392,"")</f>
        <v/>
      </c>
      <c r="Q1392" s="3">
        <f>IF(P1392="","",IF(P1392&lt;-0.02,"🔴 Bán phá giá sàn",IF(P1392&gt;0.05,"🔵 Bán cao hơn","🟢 Đúng giá sàn TMĐT")))</f>
        <v/>
      </c>
      <c r="R1392" s="3" t="n"/>
      <c r="S1392" s="4" t="n"/>
      <c r="T1392" s="4" t="n"/>
    </row>
    <row r="1393">
      <c r="A1393" s="3" t="n">
        <v>1392</v>
      </c>
      <c r="B1393" s="3" t="inlineStr">
        <is>
          <t>DL013</t>
        </is>
      </c>
      <c r="C1393" s="4" t="inlineStr">
        <is>
          <t>Đồ Nghề Tự Chọn</t>
        </is>
      </c>
      <c r="D1393" s="3" t="inlineStr">
        <is>
          <t>Cần Thơ</t>
        </is>
      </c>
      <c r="E1393" s="3" t="inlineStr">
        <is>
          <t>Tường Vi</t>
        </is>
      </c>
      <c r="F1393" s="3" t="inlineStr">
        <is>
          <t>Tiktok</t>
        </is>
      </c>
      <c r="G1393" s="4" t="inlineStr">
        <is>
          <t>SHOPEE: TIKTOK: https://www.tiktok.com/@donghetuchon/video/7690516415886970130 LAZADA: WEBSITE BÁN HÀNG:</t>
        </is>
      </c>
      <c r="H1393" s="3" t="inlineStr">
        <is>
          <t>V65R</t>
        </is>
      </c>
      <c r="I1393" s="4" t="inlineStr">
        <is>
          <t>Mũi bắn vít chống trượt KingBlue V65R</t>
        </is>
      </c>
      <c r="J1393" s="3" t="inlineStr">
        <is>
          <t>Vỉ</t>
        </is>
      </c>
      <c r="K1393" s="5" t="n">
        <v>20000</v>
      </c>
      <c r="L1393" s="5" t="n">
        <v>25000</v>
      </c>
      <c r="M1393" s="6" t="n">
        <v>33000</v>
      </c>
      <c r="N1393" s="5" t="n"/>
      <c r="O1393" s="5">
        <f>IF(AND(ISNUMBER(N1393),ISNUMBER(M1393)),N1393-M1393,"")</f>
        <v/>
      </c>
      <c r="P1393" s="7">
        <f>IF(AND(ISNUMBER(N1393),ISNUMBER(M1393),M1393&gt;0),(N1393-M1393)/M1393,"")</f>
        <v/>
      </c>
      <c r="Q1393" s="3">
        <f>IF(P1393="","",IF(P1393&lt;-0.02,"🔴 Bán phá giá sàn",IF(P1393&gt;0.05,"🔵 Bán cao hơn","🟢 Đúng giá sàn TMĐT")))</f>
        <v/>
      </c>
      <c r="R1393" s="3" t="n"/>
      <c r="S1393" s="4" t="n"/>
      <c r="T1393" s="4" t="n"/>
    </row>
    <row r="1394">
      <c r="A1394" s="3" t="n">
        <v>1393</v>
      </c>
      <c r="B1394" s="3" t="inlineStr">
        <is>
          <t>DL013</t>
        </is>
      </c>
      <c r="C1394" s="4" t="inlineStr">
        <is>
          <t>Đồ Nghề Tự Chọn</t>
        </is>
      </c>
      <c r="D1394" s="3" t="inlineStr">
        <is>
          <t>Cần Thơ</t>
        </is>
      </c>
      <c r="E1394" s="3" t="inlineStr">
        <is>
          <t>Tường Vi</t>
        </is>
      </c>
      <c r="F1394" s="3" t="inlineStr">
        <is>
          <t>Tiktok</t>
        </is>
      </c>
      <c r="G1394" s="4" t="inlineStr">
        <is>
          <t>SHOPEE: TIKTOK: https://www.tiktok.com/@donghetuchon/video/7690516415886970130 LAZADA: WEBSITE BÁN HÀNG:</t>
        </is>
      </c>
      <c r="H1394" s="3" t="inlineStr">
        <is>
          <t>KBL2-3.290</t>
        </is>
      </c>
      <c r="I1394" s="4" t="inlineStr">
        <is>
          <t>Mũi khoan bê tông không tắc kê KBL2-3.2*90</t>
        </is>
      </c>
      <c r="J1394" s="3" t="inlineStr">
        <is>
          <t>Cái</t>
        </is>
      </c>
      <c r="K1394" s="5" t="n">
        <v>23000</v>
      </c>
      <c r="L1394" s="5" t="n">
        <v>29000</v>
      </c>
      <c r="M1394" s="6" t="n">
        <v>38000</v>
      </c>
      <c r="N1394" s="5" t="n"/>
      <c r="O1394" s="5">
        <f>IF(AND(ISNUMBER(N1394),ISNUMBER(M1394)),N1394-M1394,"")</f>
        <v/>
      </c>
      <c r="P1394" s="7">
        <f>IF(AND(ISNUMBER(N1394),ISNUMBER(M1394),M1394&gt;0),(N1394-M1394)/M1394,"")</f>
        <v/>
      </c>
      <c r="Q1394" s="3">
        <f>IF(P1394="","",IF(P1394&lt;-0.02,"🔴 Bán phá giá sàn",IF(P1394&gt;0.05,"🔵 Bán cao hơn","🟢 Đúng giá sàn TMĐT")))</f>
        <v/>
      </c>
      <c r="R1394" s="3" t="n"/>
      <c r="S1394" s="4" t="n"/>
      <c r="T1394" s="4" t="n"/>
    </row>
    <row r="1395">
      <c r="A1395" s="3" t="n">
        <v>1394</v>
      </c>
      <c r="B1395" s="3" t="inlineStr">
        <is>
          <t>DL013</t>
        </is>
      </c>
      <c r="C1395" s="4" t="inlineStr">
        <is>
          <t>Đồ Nghề Tự Chọn</t>
        </is>
      </c>
      <c r="D1395" s="3" t="inlineStr">
        <is>
          <t>Cần Thơ</t>
        </is>
      </c>
      <c r="E1395" s="3" t="inlineStr">
        <is>
          <t>Tường Vi</t>
        </is>
      </c>
      <c r="F1395" s="3" t="inlineStr">
        <is>
          <t>Tiktok</t>
        </is>
      </c>
      <c r="G1395" s="4" t="inlineStr">
        <is>
          <t>SHOPEE: TIKTOK: https://www.tiktok.com/@donghetuchon/video/7690516415886970130 LAZADA: WEBSITE BÁN HÀNG:</t>
        </is>
      </c>
      <c r="H1395" s="3" t="inlineStr">
        <is>
          <t>KBL2-3.5110</t>
        </is>
      </c>
      <c r="I1395" s="4" t="inlineStr">
        <is>
          <t>Mũi khoan bê tông không tắc kê KBL2-3.5*110</t>
        </is>
      </c>
      <c r="J1395" s="3" t="inlineStr">
        <is>
          <t>Cái</t>
        </is>
      </c>
      <c r="K1395" s="5" t="n">
        <v>23000</v>
      </c>
      <c r="L1395" s="5" t="n">
        <v>29000</v>
      </c>
      <c r="M1395" s="6" t="n">
        <v>38000</v>
      </c>
      <c r="N1395" s="5" t="n"/>
      <c r="O1395" s="5">
        <f>IF(AND(ISNUMBER(N1395),ISNUMBER(M1395)),N1395-M1395,"")</f>
        <v/>
      </c>
      <c r="P1395" s="7">
        <f>IF(AND(ISNUMBER(N1395),ISNUMBER(M1395),M1395&gt;0),(N1395-M1395)/M1395,"")</f>
        <v/>
      </c>
      <c r="Q1395" s="3">
        <f>IF(P1395="","",IF(P1395&lt;-0.02,"🔴 Bán phá giá sàn",IF(P1395&gt;0.05,"🔵 Bán cao hơn","🟢 Đúng giá sàn TMĐT")))</f>
        <v/>
      </c>
      <c r="R1395" s="3" t="n"/>
      <c r="S1395" s="4" t="n"/>
      <c r="T1395" s="4" t="n"/>
    </row>
    <row r="1396">
      <c r="A1396" s="3" t="n">
        <v>1395</v>
      </c>
      <c r="B1396" s="3" t="inlineStr">
        <is>
          <t>DL013</t>
        </is>
      </c>
      <c r="C1396" s="4" t="inlineStr">
        <is>
          <t>Đồ Nghề Tự Chọn</t>
        </is>
      </c>
      <c r="D1396" s="3" t="inlineStr">
        <is>
          <t>Cần Thơ</t>
        </is>
      </c>
      <c r="E1396" s="3" t="inlineStr">
        <is>
          <t>Tường Vi</t>
        </is>
      </c>
      <c r="F1396" s="3" t="inlineStr">
        <is>
          <t>Tiktok</t>
        </is>
      </c>
      <c r="G1396" s="4" t="inlineStr">
        <is>
          <t>SHOPEE: TIKTOK: https://www.tiktok.com/@donghetuchon/video/7690516415886970130 LAZADA: WEBSITE BÁN HÀNG:</t>
        </is>
      </c>
      <c r="H1396" s="3" t="inlineStr">
        <is>
          <t>KBL2-4.2110</t>
        </is>
      </c>
      <c r="I1396" s="4" t="inlineStr">
        <is>
          <t>Mũi khoan bê tông không tắc kê KBL2-4.2*110</t>
        </is>
      </c>
      <c r="J1396" s="3" t="inlineStr">
        <is>
          <t>Cái</t>
        </is>
      </c>
      <c r="K1396" s="5" t="n">
        <v>23000</v>
      </c>
      <c r="L1396" s="5" t="n">
        <v>29000</v>
      </c>
      <c r="M1396" s="6" t="n">
        <v>38000</v>
      </c>
      <c r="N1396" s="5" t="n"/>
      <c r="O1396" s="5">
        <f>IF(AND(ISNUMBER(N1396),ISNUMBER(M1396)),N1396-M1396,"")</f>
        <v/>
      </c>
      <c r="P1396" s="7">
        <f>IF(AND(ISNUMBER(N1396),ISNUMBER(M1396),M1396&gt;0),(N1396-M1396)/M1396,"")</f>
        <v/>
      </c>
      <c r="Q1396" s="3">
        <f>IF(P1396="","",IF(P1396&lt;-0.02,"🔴 Bán phá giá sàn",IF(P1396&gt;0.05,"🔵 Bán cao hơn","🟢 Đúng giá sàn TMĐT")))</f>
        <v/>
      </c>
      <c r="R1396" s="3" t="n"/>
      <c r="S1396" s="4" t="n"/>
      <c r="T1396" s="4" t="n"/>
    </row>
    <row r="1397">
      <c r="A1397" s="3" t="n">
        <v>1396</v>
      </c>
      <c r="B1397" s="3" t="inlineStr">
        <is>
          <t>DL013</t>
        </is>
      </c>
      <c r="C1397" s="4" t="inlineStr">
        <is>
          <t>Đồ Nghề Tự Chọn</t>
        </is>
      </c>
      <c r="D1397" s="3" t="inlineStr">
        <is>
          <t>Cần Thơ</t>
        </is>
      </c>
      <c r="E1397" s="3" t="inlineStr">
        <is>
          <t>Tường Vi</t>
        </is>
      </c>
      <c r="F1397" s="3" t="inlineStr">
        <is>
          <t>Tiktok</t>
        </is>
      </c>
      <c r="G1397" s="4" t="inlineStr">
        <is>
          <t>SHOPEE: TIKTOK: https://www.tiktok.com/@donghetuchon/video/7690516415886970130 LAZADA: WEBSITE BÁN HÀNG:</t>
        </is>
      </c>
      <c r="H1397" s="3" t="inlineStr">
        <is>
          <t>KBH4S-06100</t>
        </is>
      </c>
      <c r="I1397" s="4" t="inlineStr">
        <is>
          <t>Mũi khoan ĐN lục giác 4 cạnh KBH4S-06*100</t>
        </is>
      </c>
      <c r="J1397" s="3" t="inlineStr">
        <is>
          <t>Cái</t>
        </is>
      </c>
      <c r="K1397" s="5" t="n">
        <v>41000</v>
      </c>
      <c r="L1397" s="5" t="n">
        <v>51000</v>
      </c>
      <c r="M1397" s="6" t="n">
        <v>65000</v>
      </c>
      <c r="N1397" s="5" t="n"/>
      <c r="O1397" s="5">
        <f>IF(AND(ISNUMBER(N1397),ISNUMBER(M1397)),N1397-M1397,"")</f>
        <v/>
      </c>
      <c r="P1397" s="7">
        <f>IF(AND(ISNUMBER(N1397),ISNUMBER(M1397),M1397&gt;0),(N1397-M1397)/M1397,"")</f>
        <v/>
      </c>
      <c r="Q1397" s="3">
        <f>IF(P1397="","",IF(P1397&lt;-0.02,"🔴 Bán phá giá sàn",IF(P1397&gt;0.05,"🔵 Bán cao hơn","🟢 Đúng giá sàn TMĐT")))</f>
        <v/>
      </c>
      <c r="R1397" s="3" t="n"/>
      <c r="S1397" s="4" t="n"/>
      <c r="T1397" s="4" t="n"/>
    </row>
    <row r="1398">
      <c r="A1398" s="3" t="n">
        <v>1397</v>
      </c>
      <c r="B1398" s="3" t="inlineStr">
        <is>
          <t>DL013</t>
        </is>
      </c>
      <c r="C1398" s="4" t="inlineStr">
        <is>
          <t>Đồ Nghề Tự Chọn</t>
        </is>
      </c>
      <c r="D1398" s="3" t="inlineStr">
        <is>
          <t>Cần Thơ</t>
        </is>
      </c>
      <c r="E1398" s="3" t="inlineStr">
        <is>
          <t>Tường Vi</t>
        </is>
      </c>
      <c r="F1398" s="3" t="inlineStr">
        <is>
          <t>Tiktok</t>
        </is>
      </c>
      <c r="G1398" s="4" t="inlineStr">
        <is>
          <t>SHOPEE: TIKTOK: https://www.tiktok.com/@donghetuchon/video/7690516415886970130 LAZADA: WEBSITE BÁN HÀNG:</t>
        </is>
      </c>
      <c r="H1398" s="3" t="inlineStr">
        <is>
          <t>KBH4S-08117</t>
        </is>
      </c>
      <c r="I1398" s="4" t="inlineStr">
        <is>
          <t>Mũi khoan ĐN lục giác 4 cạnh KBH4S-08*117</t>
        </is>
      </c>
      <c r="J1398" s="3" t="inlineStr">
        <is>
          <t>Cái</t>
        </is>
      </c>
      <c r="K1398" s="5" t="n">
        <v>32000</v>
      </c>
      <c r="L1398" s="5" t="n">
        <v>40000</v>
      </c>
      <c r="M1398" s="6" t="n">
        <v>51000</v>
      </c>
      <c r="N1398" s="5" t="n"/>
      <c r="O1398" s="5">
        <f>IF(AND(ISNUMBER(N1398),ISNUMBER(M1398)),N1398-M1398,"")</f>
        <v/>
      </c>
      <c r="P1398" s="7">
        <f>IF(AND(ISNUMBER(N1398),ISNUMBER(M1398),M1398&gt;0),(N1398-M1398)/M1398,"")</f>
        <v/>
      </c>
      <c r="Q1398" s="3">
        <f>IF(P1398="","",IF(P1398&lt;-0.02,"🔴 Bán phá giá sàn",IF(P1398&gt;0.05,"🔵 Bán cao hơn","🟢 Đúng giá sàn TMĐT")))</f>
        <v/>
      </c>
      <c r="R1398" s="3" t="n"/>
      <c r="S1398" s="4" t="n"/>
      <c r="T1398" s="4" t="n"/>
    </row>
    <row r="1399">
      <c r="A1399" s="3" t="n">
        <v>1398</v>
      </c>
      <c r="B1399" s="3" t="inlineStr">
        <is>
          <t>DL013</t>
        </is>
      </c>
      <c r="C1399" s="4" t="inlineStr">
        <is>
          <t>Đồ Nghề Tự Chọn</t>
        </is>
      </c>
      <c r="D1399" s="3" t="inlineStr">
        <is>
          <t>Cần Thơ</t>
        </is>
      </c>
      <c r="E1399" s="3" t="inlineStr">
        <is>
          <t>Tường Vi</t>
        </is>
      </c>
      <c r="F1399" s="3" t="inlineStr">
        <is>
          <t>Tiktok</t>
        </is>
      </c>
      <c r="G1399" s="4" t="inlineStr">
        <is>
          <t>SHOPEE: TIKTOK: https://www.tiktok.com/@donghetuchon/video/7690516415886970130 LAZADA: WEBSITE BÁN HÀNG:</t>
        </is>
      </c>
      <c r="H1399" s="3" t="inlineStr">
        <is>
          <t>KBH4S-10123</t>
        </is>
      </c>
      <c r="I1399" s="4" t="inlineStr">
        <is>
          <t>Mũi khoan ĐN lục giác 4 cạnh KBH4S-10*123</t>
        </is>
      </c>
      <c r="J1399" s="3" t="inlineStr">
        <is>
          <t>Cái</t>
        </is>
      </c>
      <c r="K1399" s="5" t="n">
        <v>40000</v>
      </c>
      <c r="L1399" s="5" t="n">
        <v>50000</v>
      </c>
      <c r="M1399" s="6" t="n">
        <v>64000</v>
      </c>
      <c r="N1399" s="5" t="n"/>
      <c r="O1399" s="5">
        <f>IF(AND(ISNUMBER(N1399),ISNUMBER(M1399)),N1399-M1399,"")</f>
        <v/>
      </c>
      <c r="P1399" s="7">
        <f>IF(AND(ISNUMBER(N1399),ISNUMBER(M1399),M1399&gt;0),(N1399-M1399)/M1399,"")</f>
        <v/>
      </c>
      <c r="Q1399" s="3">
        <f>IF(P1399="","",IF(P1399&lt;-0.02,"🔴 Bán phá giá sàn",IF(P1399&gt;0.05,"🔵 Bán cao hơn","🟢 Đúng giá sàn TMĐT")))</f>
        <v/>
      </c>
      <c r="R1399" s="3" t="n"/>
      <c r="S1399" s="4" t="n"/>
      <c r="T1399" s="4" t="n"/>
    </row>
    <row r="1400">
      <c r="A1400" s="3" t="n">
        <v>1399</v>
      </c>
      <c r="B1400" s="3" t="inlineStr">
        <is>
          <t>DL013</t>
        </is>
      </c>
      <c r="C1400" s="4" t="inlineStr">
        <is>
          <t>Đồ Nghề Tự Chọn</t>
        </is>
      </c>
      <c r="D1400" s="3" t="inlineStr">
        <is>
          <t>Cần Thơ</t>
        </is>
      </c>
      <c r="E1400" s="3" t="inlineStr">
        <is>
          <t>Tường Vi</t>
        </is>
      </c>
      <c r="F1400" s="3" t="inlineStr">
        <is>
          <t>Tiktok</t>
        </is>
      </c>
      <c r="G1400" s="4" t="inlineStr">
        <is>
          <t>SHOPEE: TIKTOK: https://www.tiktok.com/@donghetuchon/video/7690516415886970130 LAZADA: WEBSITE BÁN HÀNG:</t>
        </is>
      </c>
      <c r="H1400" s="3" t="inlineStr"/>
      <c r="I1400" s="4" t="inlineStr">
        <is>
          <t>Mũi khoan tường không tắc kê KBLJ - 03*100</t>
        </is>
      </c>
      <c r="J1400" s="3" t="inlineStr">
        <is>
          <t>Cái</t>
        </is>
      </c>
      <c r="K1400" s="5" t="n">
        <v>269000</v>
      </c>
      <c r="L1400" s="5" t="n">
        <v>317000</v>
      </c>
      <c r="M1400" s="6" t="n">
        <v>390000</v>
      </c>
      <c r="N1400" s="5" t="n"/>
      <c r="O1400" s="5">
        <f>IF(AND(ISNUMBER(N1400),ISNUMBER(M1400)),N1400-M1400,"")</f>
        <v/>
      </c>
      <c r="P1400" s="7">
        <f>IF(AND(ISNUMBER(N1400),ISNUMBER(M1400),M1400&gt;0),(N1400-M1400)/M1400,"")</f>
        <v/>
      </c>
      <c r="Q1400" s="3">
        <f>IF(P1400="","",IF(P1400&lt;-0.02,"🔴 Bán phá giá sàn",IF(P1400&gt;0.05,"🔵 Bán cao hơn","🟢 Đúng giá sàn TMĐT")))</f>
        <v/>
      </c>
      <c r="R1400" s="3" t="n"/>
      <c r="S1400" s="4" t="n"/>
      <c r="T1400" s="4" t="n"/>
    </row>
    <row r="1401">
      <c r="A1401" s="3" t="n">
        <v>1400</v>
      </c>
      <c r="B1401" s="3" t="inlineStr">
        <is>
          <t>DL013</t>
        </is>
      </c>
      <c r="C1401" s="4" t="inlineStr">
        <is>
          <t>Đồ Nghề Tự Chọn</t>
        </is>
      </c>
      <c r="D1401" s="3" t="inlineStr">
        <is>
          <t>Cần Thơ</t>
        </is>
      </c>
      <c r="E1401" s="3" t="inlineStr">
        <is>
          <t>Tường Vi</t>
        </is>
      </c>
      <c r="F1401" s="3" t="inlineStr">
        <is>
          <t>Tiktok</t>
        </is>
      </c>
      <c r="G1401" s="4" t="inlineStr">
        <is>
          <t>SHOPEE: TIKTOK: https://www.tiktok.com/@donghetuchon/video/7690516415886970130 LAZADA: WEBSITE BÁN HÀNG:</t>
        </is>
      </c>
      <c r="H1401" s="3" t="inlineStr"/>
      <c r="I1401" s="4" t="inlineStr">
        <is>
          <t>Mũi khoan tường không tắc kê KBLJ - 03.2*100</t>
        </is>
      </c>
      <c r="J1401" s="3" t="inlineStr">
        <is>
          <t>Cái</t>
        </is>
      </c>
      <c r="K1401" s="5" t="n">
        <v>269000</v>
      </c>
      <c r="L1401" s="5" t="n">
        <v>317000</v>
      </c>
      <c r="M1401" s="6" t="n">
        <v>390000</v>
      </c>
      <c r="N1401" s="5" t="n"/>
      <c r="O1401" s="5">
        <f>IF(AND(ISNUMBER(N1401),ISNUMBER(M1401)),N1401-M1401,"")</f>
        <v/>
      </c>
      <c r="P1401" s="7">
        <f>IF(AND(ISNUMBER(N1401),ISNUMBER(M1401),M1401&gt;0),(N1401-M1401)/M1401,"")</f>
        <v/>
      </c>
      <c r="Q1401" s="3">
        <f>IF(P1401="","",IF(P1401&lt;-0.02,"🔴 Bán phá giá sàn",IF(P1401&gt;0.05,"🔵 Bán cao hơn","🟢 Đúng giá sàn TMĐT")))</f>
        <v/>
      </c>
      <c r="R1401" s="3" t="n"/>
      <c r="S1401" s="4" t="n"/>
      <c r="T1401" s="4" t="n"/>
    </row>
    <row r="1402">
      <c r="A1402" s="3" t="n">
        <v>1401</v>
      </c>
      <c r="B1402" s="3" t="inlineStr">
        <is>
          <t>DL013</t>
        </is>
      </c>
      <c r="C1402" s="4" t="inlineStr">
        <is>
          <t>Đồ Nghề Tự Chọn</t>
        </is>
      </c>
      <c r="D1402" s="3" t="inlineStr">
        <is>
          <t>Cần Thơ</t>
        </is>
      </c>
      <c r="E1402" s="3" t="inlineStr">
        <is>
          <t>Tường Vi</t>
        </is>
      </c>
      <c r="F1402" s="3" t="inlineStr">
        <is>
          <t>Tiktok</t>
        </is>
      </c>
      <c r="G1402" s="4" t="inlineStr">
        <is>
          <t>SHOPEE: TIKTOK: https://www.tiktok.com/@donghetuchon/video/7690516415886970130 LAZADA: WEBSITE BÁN HÀNG:</t>
        </is>
      </c>
      <c r="H1402" s="3" t="inlineStr"/>
      <c r="I1402" s="4" t="inlineStr">
        <is>
          <t>Mũi khoan tường không tắc kê KBLJ - 04.2*100</t>
        </is>
      </c>
      <c r="J1402" s="3" t="inlineStr">
        <is>
          <t>Cái</t>
        </is>
      </c>
      <c r="K1402" s="5" t="n">
        <v>269000</v>
      </c>
      <c r="L1402" s="5" t="n">
        <v>317000</v>
      </c>
      <c r="M1402" s="6" t="n">
        <v>390000</v>
      </c>
      <c r="N1402" s="5" t="n"/>
      <c r="O1402" s="5">
        <f>IF(AND(ISNUMBER(N1402),ISNUMBER(M1402)),N1402-M1402,"")</f>
        <v/>
      </c>
      <c r="P1402" s="7">
        <f>IF(AND(ISNUMBER(N1402),ISNUMBER(M1402),M1402&gt;0),(N1402-M1402)/M1402,"")</f>
        <v/>
      </c>
      <c r="Q1402" s="3">
        <f>IF(P1402="","",IF(P1402&lt;-0.02,"🔴 Bán phá giá sàn",IF(P1402&gt;0.05,"🔵 Bán cao hơn","🟢 Đúng giá sàn TMĐT")))</f>
        <v/>
      </c>
      <c r="R1402" s="3" t="n"/>
      <c r="S1402" s="4" t="n"/>
      <c r="T1402" s="4" t="n"/>
    </row>
    <row r="1403">
      <c r="A1403" s="3" t="n">
        <v>1402</v>
      </c>
      <c r="B1403" s="3" t="inlineStr">
        <is>
          <t>DL013</t>
        </is>
      </c>
      <c r="C1403" s="4" t="inlineStr">
        <is>
          <t>Đồ Nghề Tự Chọn</t>
        </is>
      </c>
      <c r="D1403" s="3" t="inlineStr">
        <is>
          <t>Cần Thơ</t>
        </is>
      </c>
      <c r="E1403" s="3" t="inlineStr">
        <is>
          <t>Tường Vi</t>
        </is>
      </c>
      <c r="F1403" s="3" t="inlineStr">
        <is>
          <t>Tiktok</t>
        </is>
      </c>
      <c r="G1403" s="4" t="inlineStr">
        <is>
          <t>SHOPEE: TIKTOK: https://www.tiktok.com/@donghetuchon/video/7690516415886970130 LAZADA: WEBSITE BÁN HÀNG:</t>
        </is>
      </c>
      <c r="H1403" s="3" t="inlineStr">
        <is>
          <t>MP6018</t>
        </is>
      </c>
      <c r="I1403" s="4" t="inlineStr">
        <is>
          <t>Pin MP6018</t>
        </is>
      </c>
      <c r="J1403" s="3" t="inlineStr">
        <is>
          <t>Cái</t>
        </is>
      </c>
      <c r="K1403" s="5" t="n">
        <v>1045000</v>
      </c>
      <c r="L1403" s="5" t="n">
        <v>1171000</v>
      </c>
      <c r="M1403" s="6" t="n">
        <v>1359000</v>
      </c>
      <c r="N1403" s="5" t="n"/>
      <c r="O1403" s="5">
        <f>IF(AND(ISNUMBER(N1403),ISNUMBER(M1403)),N1403-M1403,"")</f>
        <v/>
      </c>
      <c r="P1403" s="7">
        <f>IF(AND(ISNUMBER(N1403),ISNUMBER(M1403),M1403&gt;0),(N1403-M1403)/M1403,"")</f>
        <v/>
      </c>
      <c r="Q1403" s="3">
        <f>IF(P1403="","",IF(P1403&lt;-0.02,"🔴 Bán phá giá sàn",IF(P1403&gt;0.05,"🔵 Bán cao hơn","🟢 Đúng giá sàn TMĐT")))</f>
        <v/>
      </c>
      <c r="R1403" s="3" t="n"/>
      <c r="S1403" s="4" t="n"/>
      <c r="T1403" s="4" t="n"/>
    </row>
    <row r="1404">
      <c r="A1404" s="3" t="n">
        <v>1403</v>
      </c>
      <c r="B1404" s="3" t="inlineStr">
        <is>
          <t>DL013</t>
        </is>
      </c>
      <c r="C1404" s="4" t="inlineStr">
        <is>
          <t>Đồ Nghề Tự Chọn</t>
        </is>
      </c>
      <c r="D1404" s="3" t="inlineStr">
        <is>
          <t>Cần Thơ</t>
        </is>
      </c>
      <c r="E1404" s="3" t="inlineStr">
        <is>
          <t>Tường Vi</t>
        </is>
      </c>
      <c r="F1404" s="3" t="inlineStr">
        <is>
          <t>Tiktok</t>
        </is>
      </c>
      <c r="G1404" s="4" t="inlineStr">
        <is>
          <t>SHOPEE: TIKTOK: https://www.tiktok.com/@donghetuchon/video/7690516415886970130 LAZADA: WEBSITE BÁN HÀNG:</t>
        </is>
      </c>
      <c r="H1404" s="3" t="inlineStr">
        <is>
          <t>D4212</t>
        </is>
      </c>
      <c r="I1404" s="4" t="inlineStr">
        <is>
          <t>Phụ kiện thùng đựng đồ nghề D4212</t>
        </is>
      </c>
      <c r="J1404" s="3" t="inlineStr">
        <is>
          <t>Cái</t>
        </is>
      </c>
      <c r="K1404" s="5" t="n">
        <v>1996</v>
      </c>
      <c r="L1404" s="5" t="n">
        <v>539000</v>
      </c>
      <c r="M1404" s="6" t="n">
        <v>615000</v>
      </c>
      <c r="N1404" s="5" t="n"/>
      <c r="O1404" s="5">
        <f>IF(AND(ISNUMBER(N1404),ISNUMBER(M1404)),N1404-M1404,"")</f>
        <v/>
      </c>
      <c r="P1404" s="7">
        <f>IF(AND(ISNUMBER(N1404),ISNUMBER(M1404),M1404&gt;0),(N1404-M1404)/M1404,"")</f>
        <v/>
      </c>
      <c r="Q1404" s="3">
        <f>IF(P1404="","",IF(P1404&lt;-0.02,"🔴 Bán phá giá sàn",IF(P1404&gt;0.05,"🔵 Bán cao hơn","🟢 Đúng giá sàn TMĐT")))</f>
        <v/>
      </c>
      <c r="R1404" s="3" t="n"/>
      <c r="S1404" s="4" t="n"/>
      <c r="T1404" s="4" t="n"/>
    </row>
    <row r="1405">
      <c r="A1405" s="3" t="n">
        <v>1404</v>
      </c>
      <c r="B1405" s="3" t="inlineStr">
        <is>
          <t>DL013</t>
        </is>
      </c>
      <c r="C1405" s="4" t="inlineStr">
        <is>
          <t>Đồ Nghề Tự Chọn</t>
        </is>
      </c>
      <c r="D1405" s="3" t="inlineStr">
        <is>
          <t>Cần Thơ</t>
        </is>
      </c>
      <c r="E1405" s="3" t="inlineStr">
        <is>
          <t>Tường Vi</t>
        </is>
      </c>
      <c r="F1405" s="3" t="inlineStr">
        <is>
          <t>Tiktok</t>
        </is>
      </c>
      <c r="G1405" s="4" t="inlineStr">
        <is>
          <t>SHOPEE: TIKTOK: https://www.tiktok.com/@donghetuchon/video/7690516415886970130 LAZADA: WEBSITE BÁN HÀNG:</t>
        </is>
      </c>
      <c r="H1405" s="3" t="inlineStr">
        <is>
          <t>H4212</t>
        </is>
      </c>
      <c r="I1405" s="4" t="inlineStr">
        <is>
          <t>Phụ kiện thùng đựng đồ nghề H4212</t>
        </is>
      </c>
      <c r="J1405" s="3" t="inlineStr">
        <is>
          <t>Cái</t>
        </is>
      </c>
      <c r="K1405" s="5" t="n">
        <v>269000</v>
      </c>
      <c r="L1405" s="5" t="n">
        <v>317000</v>
      </c>
      <c r="M1405" s="6" t="n">
        <v>390000</v>
      </c>
      <c r="N1405" s="5" t="n"/>
      <c r="O1405" s="5">
        <f>IF(AND(ISNUMBER(N1405),ISNUMBER(M1405)),N1405-M1405,"")</f>
        <v/>
      </c>
      <c r="P1405" s="7">
        <f>IF(AND(ISNUMBER(N1405),ISNUMBER(M1405),M1405&gt;0),(N1405-M1405)/M1405,"")</f>
        <v/>
      </c>
      <c r="Q1405" s="3">
        <f>IF(P1405="","",IF(P1405&lt;-0.02,"🔴 Bán phá giá sàn",IF(P1405&gt;0.05,"🔵 Bán cao hơn","🟢 Đúng giá sàn TMĐT")))</f>
        <v/>
      </c>
      <c r="R1405" s="3" t="n"/>
      <c r="S1405" s="4" t="n"/>
      <c r="T1405" s="4" t="n"/>
    </row>
    <row r="1406">
      <c r="A1406" s="3" t="n">
        <v>1405</v>
      </c>
      <c r="B1406" s="3" t="inlineStr">
        <is>
          <t>DL013</t>
        </is>
      </c>
      <c r="C1406" s="4" t="inlineStr">
        <is>
          <t>Đồ Nghề Tự Chọn</t>
        </is>
      </c>
      <c r="D1406" s="3" t="inlineStr">
        <is>
          <t>Cần Thơ</t>
        </is>
      </c>
      <c r="E1406" s="3" t="inlineStr">
        <is>
          <t>Tường Vi</t>
        </is>
      </c>
      <c r="F1406" s="3" t="inlineStr">
        <is>
          <t>Tiktok</t>
        </is>
      </c>
      <c r="G1406" s="4" t="inlineStr">
        <is>
          <t>SHOPEE: TIKTOK: https://www.tiktok.com/@donghetuchon/video/7690516415886970130 LAZADA: WEBSITE BÁN HÀNG:</t>
        </is>
      </c>
      <c r="H1406" s="3" t="inlineStr">
        <is>
          <t>KB-HS01</t>
        </is>
      </c>
      <c r="I1406" s="4" t="inlineStr">
        <is>
          <t>Quạt cầm tay mini tốc độ cao (màu be) KB-HS01</t>
        </is>
      </c>
      <c r="J1406" s="3" t="inlineStr">
        <is>
          <t>Cái</t>
        </is>
      </c>
      <c r="K1406" s="5" t="n">
        <v>190000</v>
      </c>
      <c r="L1406" s="5" t="n">
        <v>213000</v>
      </c>
      <c r="M1406" s="6" t="n">
        <v>247000</v>
      </c>
      <c r="N1406" s="5" t="n"/>
      <c r="O1406" s="5">
        <f>IF(AND(ISNUMBER(N1406),ISNUMBER(M1406)),N1406-M1406,"")</f>
        <v/>
      </c>
      <c r="P1406" s="7">
        <f>IF(AND(ISNUMBER(N1406),ISNUMBER(M1406),M1406&gt;0),(N1406-M1406)/M1406,"")</f>
        <v/>
      </c>
      <c r="Q1406" s="3">
        <f>IF(P1406="","",IF(P1406&lt;-0.02,"🔴 Bán phá giá sàn",IF(P1406&gt;0.05,"🔵 Bán cao hơn","🟢 Đúng giá sàn TMĐT")))</f>
        <v/>
      </c>
      <c r="R1406" s="3" t="n"/>
      <c r="S1406" s="4" t="n"/>
      <c r="T1406" s="4" t="n"/>
    </row>
    <row r="1407">
      <c r="A1407" s="3" t="n">
        <v>1406</v>
      </c>
      <c r="B1407" s="3" t="inlineStr">
        <is>
          <t>DL013</t>
        </is>
      </c>
      <c r="C1407" s="4" t="inlineStr">
        <is>
          <t>Đồ Nghề Tự Chọn</t>
        </is>
      </c>
      <c r="D1407" s="3" t="inlineStr">
        <is>
          <t>Cần Thơ</t>
        </is>
      </c>
      <c r="E1407" s="3" t="inlineStr">
        <is>
          <t>Tường Vi</t>
        </is>
      </c>
      <c r="F1407" s="3" t="inlineStr">
        <is>
          <t>Tiktok</t>
        </is>
      </c>
      <c r="G1407" s="4" t="inlineStr">
        <is>
          <t>SHOPEE: TIKTOK: https://www.tiktok.com/@donghetuchon/video/7690516415886970130 LAZADA: WEBSITE BÁN HÀNG:</t>
        </is>
      </c>
      <c r="H1407" s="3" t="inlineStr">
        <is>
          <t>KB-HS02</t>
        </is>
      </c>
      <c r="I1407" s="4" t="inlineStr">
        <is>
          <t>Quạt cầm tay mini tốc độ cao (màu xám) KB-HS02</t>
        </is>
      </c>
      <c r="J1407" s="3" t="inlineStr">
        <is>
          <t>Cái</t>
        </is>
      </c>
      <c r="K1407" s="5" t="n">
        <v>190000</v>
      </c>
      <c r="L1407" s="5" t="n">
        <v>213000</v>
      </c>
      <c r="M1407" s="6" t="n">
        <v>247000</v>
      </c>
      <c r="N1407" s="5" t="n"/>
      <c r="O1407" s="5">
        <f>IF(AND(ISNUMBER(N1407),ISNUMBER(M1407)),N1407-M1407,"")</f>
        <v/>
      </c>
      <c r="P1407" s="7">
        <f>IF(AND(ISNUMBER(N1407),ISNUMBER(M1407),M1407&gt;0),(N1407-M1407)/M1407,"")</f>
        <v/>
      </c>
      <c r="Q1407" s="3">
        <f>IF(P1407="","",IF(P1407&lt;-0.02,"🔴 Bán phá giá sàn",IF(P1407&gt;0.05,"🔵 Bán cao hơn","🟢 Đúng giá sàn TMĐT")))</f>
        <v/>
      </c>
      <c r="R1407" s="3" t="n"/>
      <c r="S1407" s="4" t="n"/>
      <c r="T1407" s="4" t="n"/>
    </row>
    <row r="1408">
      <c r="A1408" s="3" t="n">
        <v>1407</v>
      </c>
      <c r="B1408" s="3" t="inlineStr">
        <is>
          <t>DL013</t>
        </is>
      </c>
      <c r="C1408" s="4" t="inlineStr">
        <is>
          <t>Đồ Nghề Tự Chọn</t>
        </is>
      </c>
      <c r="D1408" s="3" t="inlineStr">
        <is>
          <t>Cần Thơ</t>
        </is>
      </c>
      <c r="E1408" s="3" t="inlineStr">
        <is>
          <t>Tường Vi</t>
        </is>
      </c>
      <c r="F1408" s="3" t="inlineStr">
        <is>
          <t>Tiktok</t>
        </is>
      </c>
      <c r="G1408" s="4" t="inlineStr">
        <is>
          <t>SHOPEE: TIKTOK: https://www.tiktok.com/@donghetuchon/video/7690516415886970130 LAZADA: WEBSITE BÁN HÀNG:</t>
        </is>
      </c>
      <c r="H1408" s="3" t="inlineStr">
        <is>
          <t>KB-CF01</t>
        </is>
      </c>
      <c r="I1408" s="4" t="inlineStr">
        <is>
          <t>Quạt tích điện mini KB-CF01</t>
        </is>
      </c>
      <c r="J1408" s="3" t="inlineStr">
        <is>
          <t>Cái</t>
        </is>
      </c>
      <c r="K1408" s="5" t="n">
        <v>280000</v>
      </c>
      <c r="L1408" s="5" t="n">
        <v>314000</v>
      </c>
      <c r="M1408" s="6" t="n">
        <v>364000</v>
      </c>
      <c r="N1408" s="5" t="n"/>
      <c r="O1408" s="5">
        <f>IF(AND(ISNUMBER(N1408),ISNUMBER(M1408)),N1408-M1408,"")</f>
        <v/>
      </c>
      <c r="P1408" s="7">
        <f>IF(AND(ISNUMBER(N1408),ISNUMBER(M1408),M1408&gt;0),(N1408-M1408)/M1408,"")</f>
        <v/>
      </c>
      <c r="Q1408" s="3">
        <f>IF(P1408="","",IF(P1408&lt;-0.02,"🔴 Bán phá giá sàn",IF(P1408&gt;0.05,"🔵 Bán cao hơn","🟢 Đúng giá sàn TMĐT")))</f>
        <v/>
      </c>
      <c r="R1408" s="3" t="n"/>
      <c r="S1408" s="4" t="n"/>
      <c r="T1408" s="4" t="n"/>
    </row>
    <row r="1409">
      <c r="A1409" s="3" t="n">
        <v>1408</v>
      </c>
      <c r="B1409" s="3" t="inlineStr">
        <is>
          <t>DL013</t>
        </is>
      </c>
      <c r="C1409" s="4" t="inlineStr">
        <is>
          <t>Đồ Nghề Tự Chọn</t>
        </is>
      </c>
      <c r="D1409" s="3" t="inlineStr">
        <is>
          <t>Cần Thơ</t>
        </is>
      </c>
      <c r="E1409" s="3" t="inlineStr">
        <is>
          <t>Tường Vi</t>
        </is>
      </c>
      <c r="F1409" s="3" t="inlineStr">
        <is>
          <t>Tiktok</t>
        </is>
      </c>
      <c r="G1409" s="4" t="inlineStr">
        <is>
          <t>SHOPEE: TIKTOK: https://www.tiktok.com/@donghetuchon/video/7690516415886970130 LAZADA: WEBSITE BÁN HÀNG:</t>
        </is>
      </c>
      <c r="H1409" s="3" t="inlineStr">
        <is>
          <t>KM08AI</t>
        </is>
      </c>
      <c r="I1409" s="4" t="inlineStr">
        <is>
          <t>Sạc nhanh KM08AI (18V - 21V)</t>
        </is>
      </c>
      <c r="J1409" s="3" t="inlineStr">
        <is>
          <t>Cái</t>
        </is>
      </c>
      <c r="K1409" s="5" t="n">
        <v>760000</v>
      </c>
      <c r="L1409" s="5" t="n">
        <v>851000</v>
      </c>
      <c r="M1409" s="6" t="n">
        <v>988000</v>
      </c>
      <c r="N1409" s="5" t="n"/>
      <c r="O1409" s="5">
        <f>IF(AND(ISNUMBER(N1409),ISNUMBER(M1409)),N1409-M1409,"")</f>
        <v/>
      </c>
      <c r="P1409" s="7">
        <f>IF(AND(ISNUMBER(N1409),ISNUMBER(M1409),M1409&gt;0),(N1409-M1409)/M1409,"")</f>
        <v/>
      </c>
      <c r="Q1409" s="3">
        <f>IF(P1409="","",IF(P1409&lt;-0.02,"🔴 Bán phá giá sàn",IF(P1409&gt;0.05,"🔵 Bán cao hơn","🟢 Đúng giá sàn TMĐT")))</f>
        <v/>
      </c>
      <c r="R1409" s="3" t="n"/>
      <c r="S1409" s="4" t="n"/>
      <c r="T1409" s="4" t="n"/>
    </row>
    <row r="1410">
      <c r="A1410" s="3" t="n">
        <v>1409</v>
      </c>
      <c r="B1410" s="3" t="inlineStr">
        <is>
          <t>DL013</t>
        </is>
      </c>
      <c r="C1410" s="4" t="inlineStr">
        <is>
          <t>Đồ Nghề Tự Chọn</t>
        </is>
      </c>
      <c r="D1410" s="3" t="inlineStr">
        <is>
          <t>Cần Thơ</t>
        </is>
      </c>
      <c r="E1410" s="3" t="inlineStr">
        <is>
          <t>Tường Vi</t>
        </is>
      </c>
      <c r="F1410" s="3" t="inlineStr">
        <is>
          <t>Tiktok</t>
        </is>
      </c>
      <c r="G1410" s="4" t="inlineStr">
        <is>
          <t>SHOPEE: TIKTOK: https://www.tiktok.com/@donghetuchon/video/7690516415886970130 LAZADA: WEBSITE BÁN HÀNG:</t>
        </is>
      </c>
      <c r="H1410" s="3" t="inlineStr">
        <is>
          <t>ST08x42V</t>
        </is>
      </c>
      <c r="I1410" s="4" t="inlineStr">
        <is>
          <t>Siết tôn King Blue ST08x42V</t>
        </is>
      </c>
      <c r="J1410" s="3" t="inlineStr">
        <is>
          <t>Vỉ</t>
        </is>
      </c>
      <c r="K1410" s="5" t="n">
        <v>22000</v>
      </c>
      <c r="L1410" s="5" t="n">
        <v>28000</v>
      </c>
      <c r="M1410" s="6" t="n">
        <v>36000</v>
      </c>
      <c r="N1410" s="5" t="n"/>
      <c r="O1410" s="5">
        <f>IF(AND(ISNUMBER(N1410),ISNUMBER(M1410)),N1410-M1410,"")</f>
        <v/>
      </c>
      <c r="P1410" s="7">
        <f>IF(AND(ISNUMBER(N1410),ISNUMBER(M1410),M1410&gt;0),(N1410-M1410)/M1410,"")</f>
        <v/>
      </c>
      <c r="Q1410" s="3">
        <f>IF(P1410="","",IF(P1410&lt;-0.02,"🔴 Bán phá giá sàn",IF(P1410&gt;0.05,"🔵 Bán cao hơn","🟢 Đúng giá sàn TMĐT")))</f>
        <v/>
      </c>
      <c r="R1410" s="3" t="n"/>
      <c r="S1410" s="4" t="n"/>
      <c r="T1410" s="4" t="n"/>
    </row>
    <row r="1411">
      <c r="A1411" s="3" t="n">
        <v>1410</v>
      </c>
      <c r="B1411" s="3" t="inlineStr">
        <is>
          <t>DL013</t>
        </is>
      </c>
      <c r="C1411" s="4" t="inlineStr">
        <is>
          <t>Đồ Nghề Tự Chọn</t>
        </is>
      </c>
      <c r="D1411" s="3" t="inlineStr">
        <is>
          <t>Cần Thơ</t>
        </is>
      </c>
      <c r="E1411" s="3" t="inlineStr">
        <is>
          <t>Tường Vi</t>
        </is>
      </c>
      <c r="F1411" s="3" t="inlineStr">
        <is>
          <t>Tiktok</t>
        </is>
      </c>
      <c r="G1411" s="4" t="inlineStr">
        <is>
          <t>SHOPEE: TIKTOK: https://www.tiktok.com/@donghetuchon/video/7690516415886970130 LAZADA: WEBSITE BÁN HÀNG:</t>
        </is>
      </c>
      <c r="H1411" s="3" t="inlineStr">
        <is>
          <t>KFF-73</t>
        </is>
      </c>
      <c r="I1411" s="4" t="inlineStr">
        <is>
          <t>Súng bắn đinh bê tông KFF-73</t>
        </is>
      </c>
      <c r="J1411" s="3" t="inlineStr">
        <is>
          <t>Cái</t>
        </is>
      </c>
      <c r="K1411" s="5" t="n">
        <v>660000</v>
      </c>
      <c r="L1411" s="5" t="n">
        <v>739000</v>
      </c>
      <c r="M1411" s="6" t="n">
        <v>858000</v>
      </c>
      <c r="N1411" s="5" t="n"/>
      <c r="O1411" s="5">
        <f>IF(AND(ISNUMBER(N1411),ISNUMBER(M1411)),N1411-M1411,"")</f>
        <v/>
      </c>
      <c r="P1411" s="7">
        <f>IF(AND(ISNUMBER(N1411),ISNUMBER(M1411),M1411&gt;0),(N1411-M1411)/M1411,"")</f>
        <v/>
      </c>
      <c r="Q1411" s="3">
        <f>IF(P1411="","",IF(P1411&lt;-0.02,"🔴 Bán phá giá sàn",IF(P1411&gt;0.05,"🔵 Bán cao hơn","🟢 Đúng giá sàn TMĐT")))</f>
        <v/>
      </c>
      <c r="R1411" s="3" t="n"/>
      <c r="S1411" s="4" t="n"/>
      <c r="T1411" s="4" t="n"/>
    </row>
    <row r="1412">
      <c r="A1412" s="3" t="n">
        <v>1411</v>
      </c>
      <c r="B1412" s="3" t="inlineStr">
        <is>
          <t>DL013</t>
        </is>
      </c>
      <c r="C1412" s="4" t="inlineStr">
        <is>
          <t>Đồ Nghề Tự Chọn</t>
        </is>
      </c>
      <c r="D1412" s="3" t="inlineStr">
        <is>
          <t>Cần Thơ</t>
        </is>
      </c>
      <c r="E1412" s="3" t="inlineStr">
        <is>
          <t>Tường Vi</t>
        </is>
      </c>
      <c r="F1412" s="3" t="inlineStr">
        <is>
          <t>Tiktok</t>
        </is>
      </c>
      <c r="G1412" s="4" t="inlineStr">
        <is>
          <t>SHOPEE: TIKTOK: https://www.tiktok.com/@donghetuchon/video/7690516415886970130 LAZADA: WEBSITE BÁN HÀNG:</t>
        </is>
      </c>
      <c r="H1412" s="3" t="inlineStr">
        <is>
          <t>KBO-W71</t>
        </is>
      </c>
      <c r="I1412" s="4" t="inlineStr">
        <is>
          <t>Súng phun sơn KBO-W71</t>
        </is>
      </c>
      <c r="J1412" s="3" t="inlineStr">
        <is>
          <t>Cái</t>
        </is>
      </c>
      <c r="K1412" s="5" t="n">
        <v>317000</v>
      </c>
      <c r="L1412" s="5" t="n">
        <v>374000</v>
      </c>
      <c r="M1412" s="6" t="n">
        <v>460000</v>
      </c>
      <c r="N1412" s="5" t="n"/>
      <c r="O1412" s="5">
        <f>IF(AND(ISNUMBER(N1412),ISNUMBER(M1412)),N1412-M1412,"")</f>
        <v/>
      </c>
      <c r="P1412" s="7">
        <f>IF(AND(ISNUMBER(N1412),ISNUMBER(M1412),M1412&gt;0),(N1412-M1412)/M1412,"")</f>
        <v/>
      </c>
      <c r="Q1412" s="3">
        <f>IF(P1412="","",IF(P1412&lt;-0.02,"🔴 Bán phá giá sàn",IF(P1412&gt;0.05,"🔵 Bán cao hơn","🟢 Đúng giá sàn TMĐT")))</f>
        <v/>
      </c>
      <c r="R1412" s="3" t="n"/>
      <c r="S1412" s="4" t="n"/>
      <c r="T1412" s="4" t="n"/>
    </row>
    <row r="1413">
      <c r="A1413" s="3" t="n">
        <v>1412</v>
      </c>
      <c r="B1413" s="3" t="inlineStr">
        <is>
          <t>DL013</t>
        </is>
      </c>
      <c r="C1413" s="4" t="inlineStr">
        <is>
          <t>Đồ Nghề Tự Chọn</t>
        </is>
      </c>
      <c r="D1413" s="3" t="inlineStr">
        <is>
          <t>Cần Thơ</t>
        </is>
      </c>
      <c r="E1413" s="3" t="inlineStr">
        <is>
          <t>Tường Vi</t>
        </is>
      </c>
      <c r="F1413" s="3" t="inlineStr">
        <is>
          <t>Tiktok</t>
        </is>
      </c>
      <c r="G1413" s="4" t="inlineStr">
        <is>
          <t>SHOPEE: TIKTOK: https://www.tiktok.com/@donghetuchon/video/7690516415886970130 LAZADA: WEBSITE BÁN HÀNG:</t>
        </is>
      </c>
      <c r="H1413" s="3" t="inlineStr">
        <is>
          <t>KT-08</t>
        </is>
      </c>
      <c r="I1413" s="4" t="inlineStr">
        <is>
          <t>Tay vặn tuýp chữ T KT-08</t>
        </is>
      </c>
      <c r="J1413" s="3" t="inlineStr">
        <is>
          <t>Cái</t>
        </is>
      </c>
      <c r="K1413" s="5" t="n">
        <v>42000</v>
      </c>
      <c r="L1413" s="5" t="n">
        <v>50000</v>
      </c>
      <c r="M1413" s="6" t="n">
        <v>61000</v>
      </c>
      <c r="N1413" s="5" t="n"/>
      <c r="O1413" s="5">
        <f>IF(AND(ISNUMBER(N1413),ISNUMBER(M1413)),N1413-M1413,"")</f>
        <v/>
      </c>
      <c r="P1413" s="7">
        <f>IF(AND(ISNUMBER(N1413),ISNUMBER(M1413),M1413&gt;0),(N1413-M1413)/M1413,"")</f>
        <v/>
      </c>
      <c r="Q1413" s="3">
        <f>IF(P1413="","",IF(P1413&lt;-0.02,"🔴 Bán phá giá sàn",IF(P1413&gt;0.05,"🔵 Bán cao hơn","🟢 Đúng giá sàn TMĐT")))</f>
        <v/>
      </c>
      <c r="R1413" s="3" t="n"/>
      <c r="S1413" s="4" t="n"/>
      <c r="T1413" s="4" t="n"/>
    </row>
    <row r="1414">
      <c r="A1414" s="3" t="n">
        <v>1413</v>
      </c>
      <c r="B1414" s="3" t="inlineStr">
        <is>
          <t>DL013</t>
        </is>
      </c>
      <c r="C1414" s="4" t="inlineStr">
        <is>
          <t>Đồ Nghề Tự Chọn</t>
        </is>
      </c>
      <c r="D1414" s="3" t="inlineStr">
        <is>
          <t>Cần Thơ</t>
        </is>
      </c>
      <c r="E1414" s="3" t="inlineStr">
        <is>
          <t>Tường Vi</t>
        </is>
      </c>
      <c r="F1414" s="3" t="inlineStr">
        <is>
          <t>Tiktok</t>
        </is>
      </c>
      <c r="G1414" s="4" t="inlineStr">
        <is>
          <t>SHOPEE: TIKTOK: https://www.tiktok.com/@donghetuchon/video/7690516415886970130 LAZADA: WEBSITE BÁN HÀNG:</t>
        </is>
      </c>
      <c r="H1414" s="3" t="inlineStr">
        <is>
          <t>KT-13</t>
        </is>
      </c>
      <c r="I1414" s="4" t="inlineStr">
        <is>
          <t>Tay vặn tuýp chữ T KT-13</t>
        </is>
      </c>
      <c r="J1414" s="3" t="inlineStr">
        <is>
          <t>Cái</t>
        </is>
      </c>
      <c r="K1414" s="5" t="n">
        <v>43000</v>
      </c>
      <c r="L1414" s="5" t="n">
        <v>51000</v>
      </c>
      <c r="M1414" s="6" t="n">
        <v>62000</v>
      </c>
      <c r="N1414" s="5" t="n"/>
      <c r="O1414" s="5">
        <f>IF(AND(ISNUMBER(N1414),ISNUMBER(M1414)),N1414-M1414,"")</f>
        <v/>
      </c>
      <c r="P1414" s="7">
        <f>IF(AND(ISNUMBER(N1414),ISNUMBER(M1414),M1414&gt;0),(N1414-M1414)/M1414,"")</f>
        <v/>
      </c>
      <c r="Q1414" s="3">
        <f>IF(P1414="","",IF(P1414&lt;-0.02,"🔴 Bán phá giá sàn",IF(P1414&gt;0.05,"🔵 Bán cao hơn","🟢 Đúng giá sàn TMĐT")))</f>
        <v/>
      </c>
      <c r="R1414" s="3" t="n"/>
      <c r="S1414" s="4" t="n"/>
      <c r="T1414" s="4" t="n"/>
    </row>
    <row r="1415">
      <c r="A1415" s="3" t="n">
        <v>1414</v>
      </c>
      <c r="B1415" s="3" t="inlineStr">
        <is>
          <t>DL013</t>
        </is>
      </c>
      <c r="C1415" s="4" t="inlineStr">
        <is>
          <t>Đồ Nghề Tự Chọn</t>
        </is>
      </c>
      <c r="D1415" s="3" t="inlineStr">
        <is>
          <t>Cần Thơ</t>
        </is>
      </c>
      <c r="E1415" s="3" t="inlineStr">
        <is>
          <t>Tường Vi</t>
        </is>
      </c>
      <c r="F1415" s="3" t="inlineStr">
        <is>
          <t>Tiktok</t>
        </is>
      </c>
      <c r="G1415" s="4" t="inlineStr">
        <is>
          <t>SHOPEE: TIKTOK: https://www.tiktok.com/@donghetuchon/video/7690516415886970130 LAZADA: WEBSITE BÁN HÀNG:</t>
        </is>
      </c>
      <c r="H1415" s="3" t="inlineStr">
        <is>
          <t>KVS2-6200</t>
        </is>
      </c>
      <c r="I1415" s="4" t="inlineStr">
        <is>
          <t>Tuốc nơ vít 2 đầu KVS2-6*200</t>
        </is>
      </c>
      <c r="J1415" s="3" t="inlineStr">
        <is>
          <t>Cái</t>
        </is>
      </c>
      <c r="K1415" s="5" t="n">
        <v>44000</v>
      </c>
      <c r="L1415" s="5" t="n">
        <v>52000</v>
      </c>
      <c r="M1415" s="6" t="n">
        <v>64000</v>
      </c>
      <c r="N1415" s="5" t="n"/>
      <c r="O1415" s="5">
        <f>IF(AND(ISNUMBER(N1415),ISNUMBER(M1415)),N1415-M1415,"")</f>
        <v/>
      </c>
      <c r="P1415" s="7">
        <f>IF(AND(ISNUMBER(N1415),ISNUMBER(M1415),M1415&gt;0),(N1415-M1415)/M1415,"")</f>
        <v/>
      </c>
      <c r="Q1415" s="3">
        <f>IF(P1415="","",IF(P1415&lt;-0.02,"🔴 Bán phá giá sàn",IF(P1415&gt;0.05,"🔵 Bán cao hơn","🟢 Đúng giá sàn TMĐT")))</f>
        <v/>
      </c>
      <c r="R1415" s="3" t="n"/>
      <c r="S1415" s="4" t="n"/>
      <c r="T1415" s="4" t="n"/>
    </row>
    <row r="1416">
      <c r="A1416" s="3" t="n">
        <v>1415</v>
      </c>
      <c r="B1416" s="3" t="inlineStr">
        <is>
          <t>DL013</t>
        </is>
      </c>
      <c r="C1416" s="4" t="inlineStr">
        <is>
          <t>Đồ Nghề Tự Chọn</t>
        </is>
      </c>
      <c r="D1416" s="3" t="inlineStr">
        <is>
          <t>Cần Thơ</t>
        </is>
      </c>
      <c r="E1416" s="3" t="inlineStr">
        <is>
          <t>Tường Vi</t>
        </is>
      </c>
      <c r="F1416" s="3" t="inlineStr">
        <is>
          <t>Tiktok</t>
        </is>
      </c>
      <c r="G1416" s="4" t="inlineStr">
        <is>
          <t>SHOPEE: TIKTOK: https://www.tiktok.com/@donghetuchon/video/7690516415886970130 LAZADA: WEBSITE BÁN HÀNG:</t>
        </is>
      </c>
      <c r="H1416" s="3" t="inlineStr">
        <is>
          <t>KHD4212</t>
        </is>
      </c>
      <c r="I1416" s="4" t="inlineStr">
        <is>
          <t>Thùng đựng đồ nghề kèm phụ kiện KHD4212 NEW</t>
        </is>
      </c>
      <c r="J1416" s="3" t="inlineStr">
        <is>
          <t>Cái</t>
        </is>
      </c>
      <c r="K1416" s="5" t="n">
        <v>1996</v>
      </c>
      <c r="L1416" s="5" t="n">
        <v>539000</v>
      </c>
      <c r="M1416" s="6" t="n">
        <v>615000</v>
      </c>
      <c r="N1416" s="5" t="n"/>
      <c r="O1416" s="5">
        <f>IF(AND(ISNUMBER(N1416),ISNUMBER(M1416)),N1416-M1416,"")</f>
        <v/>
      </c>
      <c r="P1416" s="7">
        <f>IF(AND(ISNUMBER(N1416),ISNUMBER(M1416),M1416&gt;0),(N1416-M1416)/M1416,"")</f>
        <v/>
      </c>
      <c r="Q1416" s="3">
        <f>IF(P1416="","",IF(P1416&lt;-0.02,"🔴 Bán phá giá sàn",IF(P1416&gt;0.05,"🔵 Bán cao hơn","🟢 Đúng giá sàn TMĐT")))</f>
        <v/>
      </c>
      <c r="R1416" s="3" t="n"/>
      <c r="S1416" s="4" t="n"/>
      <c r="T1416" s="4" t="n"/>
    </row>
    <row r="1417">
      <c r="A1417" s="3" t="n">
        <v>1416</v>
      </c>
      <c r="B1417" s="3" t="inlineStr">
        <is>
          <t>DL013</t>
        </is>
      </c>
      <c r="C1417" s="4" t="inlineStr">
        <is>
          <t>Đồ Nghề Tự Chọn</t>
        </is>
      </c>
      <c r="D1417" s="3" t="inlineStr">
        <is>
          <t>Cần Thơ</t>
        </is>
      </c>
      <c r="E1417" s="3" t="inlineStr">
        <is>
          <t>Tường Vi</t>
        </is>
      </c>
      <c r="F1417" s="3" t="inlineStr">
        <is>
          <t>Tiktok</t>
        </is>
      </c>
      <c r="G1417" s="4" t="inlineStr">
        <is>
          <t>SHOPEE: TIKTOK: https://www.tiktok.com/@donghetuchon/video/7690516415886970130 LAZADA: WEBSITE BÁN HÀNG:</t>
        </is>
      </c>
      <c r="H1417" s="3" t="inlineStr">
        <is>
          <t>KHD20</t>
        </is>
      </c>
      <c r="I1417" s="4" t="inlineStr">
        <is>
          <t>Thùng đựng đồ nghề KHD20</t>
        </is>
      </c>
      <c r="J1417" s="3" t="inlineStr">
        <is>
          <t>Cái</t>
        </is>
      </c>
      <c r="K1417" s="5" t="n">
        <v>396000</v>
      </c>
      <c r="L1417" s="5" t="n">
        <v>452000</v>
      </c>
      <c r="M1417" s="6" t="n">
        <v>535000</v>
      </c>
      <c r="N1417" s="5" t="n"/>
      <c r="O1417" s="5">
        <f>IF(AND(ISNUMBER(N1417),ISNUMBER(M1417)),N1417-M1417,"")</f>
        <v/>
      </c>
      <c r="P1417" s="7">
        <f>IF(AND(ISNUMBER(N1417),ISNUMBER(M1417),M1417&gt;0),(N1417-M1417)/M1417,"")</f>
        <v/>
      </c>
      <c r="Q1417" s="3">
        <f>IF(P1417="","",IF(P1417&lt;-0.02,"🔴 Bán phá giá sàn",IF(P1417&gt;0.05,"🔵 Bán cao hơn","🟢 Đúng giá sàn TMĐT")))</f>
        <v/>
      </c>
      <c r="R1417" s="3" t="n"/>
      <c r="S1417" s="4" t="n"/>
      <c r="T1417" s="4" t="n"/>
    </row>
    <row r="1418">
      <c r="A1418" s="3" t="n">
        <v>1417</v>
      </c>
      <c r="B1418" s="3" t="inlineStr">
        <is>
          <t>DL013</t>
        </is>
      </c>
      <c r="C1418" s="4" t="inlineStr">
        <is>
          <t>Đồ Nghề Tự Chọn</t>
        </is>
      </c>
      <c r="D1418" s="3" t="inlineStr">
        <is>
          <t>Cần Thơ</t>
        </is>
      </c>
      <c r="E1418" s="3" t="inlineStr">
        <is>
          <t>Tường Vi</t>
        </is>
      </c>
      <c r="F1418" s="3" t="inlineStr">
        <is>
          <t>Tiktok</t>
        </is>
      </c>
      <c r="G1418" s="4" t="inlineStr">
        <is>
          <t>SHOPEE: TIKTOK: https://www.tiktok.com/@donghetuchon/video/7690516415886970130 LAZADA: WEBSITE BÁN HÀNG:</t>
        </is>
      </c>
      <c r="H1418" s="3" t="inlineStr">
        <is>
          <t>KHD4212</t>
        </is>
      </c>
      <c r="I1418" s="4" t="inlineStr">
        <is>
          <t>Thùng đựng đồ nghề KHD4212</t>
        </is>
      </c>
      <c r="J1418" s="3" t="inlineStr">
        <is>
          <t>Cái</t>
        </is>
      </c>
      <c r="K1418" s="5" t="n">
        <v>1996</v>
      </c>
      <c r="L1418" s="5" t="n">
        <v>539000</v>
      </c>
      <c r="M1418" s="6" t="n">
        <v>615000</v>
      </c>
      <c r="N1418" s="5" t="n"/>
      <c r="O1418" s="5">
        <f>IF(AND(ISNUMBER(N1418),ISNUMBER(M1418)),N1418-M1418,"")</f>
        <v/>
      </c>
      <c r="P1418" s="7">
        <f>IF(AND(ISNUMBER(N1418),ISNUMBER(M1418),M1418&gt;0),(N1418-M1418)/M1418,"")</f>
        <v/>
      </c>
      <c r="Q1418" s="3">
        <f>IF(P1418="","",IF(P1418&lt;-0.02,"🔴 Bán phá giá sàn",IF(P1418&gt;0.05,"🔵 Bán cao hơn","🟢 Đúng giá sàn TMĐT")))</f>
        <v/>
      </c>
      <c r="R1418" s="3" t="n"/>
      <c r="S1418" s="4" t="n"/>
      <c r="T1418" s="4" t="n"/>
    </row>
    <row r="1419">
      <c r="A1419" s="3" t="n">
        <v>1418</v>
      </c>
      <c r="B1419" s="3" t="inlineStr">
        <is>
          <t>DL013</t>
        </is>
      </c>
      <c r="C1419" s="4" t="inlineStr">
        <is>
          <t>Đồ Nghề Tự Chọn</t>
        </is>
      </c>
      <c r="D1419" s="3" t="inlineStr">
        <is>
          <t>Cần Thơ</t>
        </is>
      </c>
      <c r="E1419" s="3" t="inlineStr">
        <is>
          <t>Tường Vi</t>
        </is>
      </c>
      <c r="F1419" s="3" t="inlineStr">
        <is>
          <t>Tiktok</t>
        </is>
      </c>
      <c r="G1419" s="4" t="inlineStr">
        <is>
          <t>SHOPEE: TIKTOK: https://www.tiktok.com/@donghetuchon/video/7690516415886970130 LAZADA: WEBSITE BÁN HÀNG:</t>
        </is>
      </c>
      <c r="H1419" s="3" t="inlineStr">
        <is>
          <t>KHD4216</t>
        </is>
      </c>
      <c r="I1419" s="4" t="inlineStr">
        <is>
          <t>Thùng đựng đồ nghề KHD4216</t>
        </is>
      </c>
      <c r="J1419" s="3" t="inlineStr">
        <is>
          <t>Cái</t>
        </is>
      </c>
      <c r="K1419" s="5" t="n">
        <v>2065</v>
      </c>
      <c r="L1419" s="5" t="n">
        <v>484000</v>
      </c>
      <c r="M1419" s="6" t="n">
        <v>552000</v>
      </c>
      <c r="N1419" s="5" t="n"/>
      <c r="O1419" s="5">
        <f>IF(AND(ISNUMBER(N1419),ISNUMBER(M1419)),N1419-M1419,"")</f>
        <v/>
      </c>
      <c r="P1419" s="7">
        <f>IF(AND(ISNUMBER(N1419),ISNUMBER(M1419),M1419&gt;0),(N1419-M1419)/M1419,"")</f>
        <v/>
      </c>
      <c r="Q1419" s="3">
        <f>IF(P1419="","",IF(P1419&lt;-0.02,"🔴 Bán phá giá sàn",IF(P1419&gt;0.05,"🔵 Bán cao hơn","🟢 Đúng giá sàn TMĐT")))</f>
        <v/>
      </c>
      <c r="R1419" s="3" t="n"/>
      <c r="S1419" s="4" t="n"/>
      <c r="T1419" s="4" t="n"/>
    </row>
    <row r="1420">
      <c r="A1420" s="3" t="n">
        <v>1419</v>
      </c>
      <c r="B1420" s="3" t="inlineStr">
        <is>
          <t>DL013</t>
        </is>
      </c>
      <c r="C1420" s="4" t="inlineStr">
        <is>
          <t>Đồ Nghề Tự Chọn</t>
        </is>
      </c>
      <c r="D1420" s="3" t="inlineStr">
        <is>
          <t>Cần Thơ</t>
        </is>
      </c>
      <c r="E1420" s="3" t="inlineStr">
        <is>
          <t>Tường Vi</t>
        </is>
      </c>
      <c r="F1420" s="3" t="inlineStr">
        <is>
          <t>Tiktok</t>
        </is>
      </c>
      <c r="G1420" s="4" t="inlineStr">
        <is>
          <t>SHOPEE: TIKTOK: https://www.tiktok.com/@donghetuchon/video/7690516415886970130 LAZADA: WEBSITE BÁN HÀNG:</t>
        </is>
      </c>
      <c r="H1420" s="3" t="inlineStr">
        <is>
          <t>KHD4233</t>
        </is>
      </c>
      <c r="I1420" s="4" t="inlineStr">
        <is>
          <t>Thùng đựng đồ nghề KHD4233</t>
        </is>
      </c>
      <c r="J1420" s="3" t="inlineStr">
        <is>
          <t>Cái</t>
        </is>
      </c>
      <c r="K1420" s="5" t="n">
        <v>269000</v>
      </c>
      <c r="L1420" s="5" t="n">
        <v>317000</v>
      </c>
      <c r="M1420" s="6" t="n">
        <v>390000</v>
      </c>
      <c r="N1420" s="5" t="n"/>
      <c r="O1420" s="5">
        <f>IF(AND(ISNUMBER(N1420),ISNUMBER(M1420)),N1420-M1420,"")</f>
        <v/>
      </c>
      <c r="P1420" s="7">
        <f>IF(AND(ISNUMBER(N1420),ISNUMBER(M1420),M1420&gt;0),(N1420-M1420)/M1420,"")</f>
        <v/>
      </c>
      <c r="Q1420" s="3">
        <f>IF(P1420="","",IF(P1420&lt;-0.02,"🔴 Bán phá giá sàn",IF(P1420&gt;0.05,"🔵 Bán cao hơn","🟢 Đúng giá sàn TMĐT")))</f>
        <v/>
      </c>
      <c r="R1420" s="3" t="n"/>
      <c r="S1420" s="4" t="n"/>
      <c r="T1420" s="4" t="n"/>
    </row>
    <row r="1421">
      <c r="A1421" s="3" t="n">
        <v>1420</v>
      </c>
      <c r="B1421" s="3" t="inlineStr">
        <is>
          <t>DL013</t>
        </is>
      </c>
      <c r="C1421" s="4" t="inlineStr">
        <is>
          <t>Đồ Nghề Tự Chọn</t>
        </is>
      </c>
      <c r="D1421" s="3" t="inlineStr">
        <is>
          <t>Cần Thơ</t>
        </is>
      </c>
      <c r="E1421" s="3" t="inlineStr">
        <is>
          <t>Tường Vi</t>
        </is>
      </c>
      <c r="F1421" s="3" t="inlineStr">
        <is>
          <t>Tiktok</t>
        </is>
      </c>
      <c r="G1421" s="4" t="inlineStr">
        <is>
          <t>SHOPEE: TIKTOK: https://www.tiktok.com/@donghetuchon/video/7690516415886970130 LAZADA: WEBSITE BÁN HÀNG:</t>
        </is>
      </c>
      <c r="H1421" s="3" t="inlineStr">
        <is>
          <t>MD-50.25</t>
        </is>
      </c>
      <c r="I1421" s="4" t="inlineStr">
        <is>
          <t>Thước Cuộn tự hãm MD-50.25</t>
        </is>
      </c>
      <c r="J1421" s="3" t="inlineStr">
        <is>
          <t>Cái</t>
        </is>
      </c>
      <c r="K1421" s="5" t="n">
        <v>64000</v>
      </c>
      <c r="L1421" s="5" t="n">
        <v>76000</v>
      </c>
      <c r="M1421" s="6" t="n">
        <v>93000</v>
      </c>
      <c r="N1421" s="5" t="n"/>
      <c r="O1421" s="5">
        <f>IF(AND(ISNUMBER(N1421),ISNUMBER(M1421)),N1421-M1421,"")</f>
        <v/>
      </c>
      <c r="P1421" s="7">
        <f>IF(AND(ISNUMBER(N1421),ISNUMBER(M1421),M1421&gt;0),(N1421-M1421)/M1421,"")</f>
        <v/>
      </c>
      <c r="Q1421" s="3">
        <f>IF(P1421="","",IF(P1421&lt;-0.02,"🔴 Bán phá giá sàn",IF(P1421&gt;0.05,"🔵 Bán cao hơn","🟢 Đúng giá sàn TMĐT")))</f>
        <v/>
      </c>
      <c r="R1421" s="3" t="n"/>
      <c r="S1421" s="4" t="n"/>
      <c r="T1421" s="4" t="n"/>
    </row>
    <row r="1422">
      <c r="A1422" s="3" t="n">
        <v>1421</v>
      </c>
      <c r="B1422" s="3" t="inlineStr">
        <is>
          <t>DL013</t>
        </is>
      </c>
      <c r="C1422" s="4" t="inlineStr">
        <is>
          <t>Đồ Nghề Tự Chọn</t>
        </is>
      </c>
      <c r="D1422" s="3" t="inlineStr">
        <is>
          <t>Cần Thơ</t>
        </is>
      </c>
      <c r="E1422" s="3" t="inlineStr">
        <is>
          <t>Tường Vi</t>
        </is>
      </c>
      <c r="F1422" s="3" t="inlineStr">
        <is>
          <t>Tiktok</t>
        </is>
      </c>
      <c r="G1422" s="4" t="inlineStr">
        <is>
          <t>SHOPEE: TIKTOK: https://www.tiktok.com/@donghetuchon/video/7690516415886970130 LAZADA: WEBSITE BÁN HÀNG:</t>
        </is>
      </c>
      <c r="H1422" s="3" t="inlineStr">
        <is>
          <t>MD-80.25</t>
        </is>
      </c>
      <c r="I1422" s="4" t="inlineStr">
        <is>
          <t>Thước Cuộn tự hãm MD-80.25</t>
        </is>
      </c>
      <c r="J1422" s="3" t="inlineStr">
        <is>
          <t>Cái</t>
        </is>
      </c>
      <c r="K1422" s="5" t="n">
        <v>81000</v>
      </c>
      <c r="L1422" s="5" t="n">
        <v>96000</v>
      </c>
      <c r="M1422" s="6" t="n">
        <v>118000</v>
      </c>
      <c r="N1422" s="5" t="n"/>
      <c r="O1422" s="5">
        <f>IF(AND(ISNUMBER(N1422),ISNUMBER(M1422)),N1422-M1422,"")</f>
        <v/>
      </c>
      <c r="P1422" s="7">
        <f>IF(AND(ISNUMBER(N1422),ISNUMBER(M1422),M1422&gt;0),(N1422-M1422)/M1422,"")</f>
        <v/>
      </c>
      <c r="Q1422" s="3">
        <f>IF(P1422="","",IF(P1422&lt;-0.02,"🔴 Bán phá giá sàn",IF(P1422&gt;0.05,"🔵 Bán cao hơn","🟢 Đúng giá sàn TMĐT")))</f>
        <v/>
      </c>
      <c r="R1422" s="3" t="n"/>
      <c r="S1422" s="4" t="n"/>
      <c r="T1422" s="4" t="n"/>
    </row>
    <row r="1423">
      <c r="A1423" s="3" t="n">
        <v>1422</v>
      </c>
      <c r="B1423" s="3" t="inlineStr">
        <is>
          <t>DL013</t>
        </is>
      </c>
      <c r="C1423" s="4" t="inlineStr">
        <is>
          <t>Đồ Nghề Tự Chọn</t>
        </is>
      </c>
      <c r="D1423" s="3" t="inlineStr">
        <is>
          <t>Cần Thơ</t>
        </is>
      </c>
      <c r="E1423" s="3" t="inlineStr">
        <is>
          <t>Tường Vi</t>
        </is>
      </c>
      <c r="F1423" s="3" t="inlineStr">
        <is>
          <t>Tiktok</t>
        </is>
      </c>
      <c r="G1423" s="4" t="inlineStr">
        <is>
          <t>SHOPEE: TIKTOK: https://www.tiktok.com/@donghetuchon/video/7690516415886970130 LAZADA: WEBSITE BÁN HÀNG:</t>
        </is>
      </c>
      <c r="H1423" s="3" t="inlineStr">
        <is>
          <t>KFJ-432</t>
        </is>
      </c>
      <c r="I1423" s="4" t="inlineStr">
        <is>
          <t>Vít bê tông không dùng tắc kê KFJ-432</t>
        </is>
      </c>
      <c r="J1423" s="3" t="inlineStr">
        <is>
          <t>Hộp</t>
        </is>
      </c>
      <c r="K1423" s="5" t="n">
        <v>81000</v>
      </c>
      <c r="L1423" s="5" t="n">
        <v>101000</v>
      </c>
      <c r="M1423" s="6" t="n">
        <v>130000</v>
      </c>
      <c r="N1423" s="5" t="n"/>
      <c r="O1423" s="5">
        <f>IF(AND(ISNUMBER(N1423),ISNUMBER(M1423)),N1423-M1423,"")</f>
        <v/>
      </c>
      <c r="P1423" s="7">
        <f>IF(AND(ISNUMBER(N1423),ISNUMBER(M1423),M1423&gt;0),(N1423-M1423)/M1423,"")</f>
        <v/>
      </c>
      <c r="Q1423" s="3">
        <f>IF(P1423="","",IF(P1423&lt;-0.02,"🔴 Bán phá giá sàn",IF(P1423&gt;0.05,"🔵 Bán cao hơn","🟢 Đúng giá sàn TMĐT")))</f>
        <v/>
      </c>
      <c r="R1423" s="3" t="n"/>
      <c r="S1423" s="4" t="n"/>
      <c r="T1423" s="4" t="n"/>
    </row>
    <row r="1424">
      <c r="A1424" s="3" t="n">
        <v>1423</v>
      </c>
      <c r="B1424" s="3" t="inlineStr">
        <is>
          <t>DL013</t>
        </is>
      </c>
      <c r="C1424" s="4" t="inlineStr">
        <is>
          <t>Đồ Nghề Tự Chọn</t>
        </is>
      </c>
      <c r="D1424" s="3" t="inlineStr">
        <is>
          <t>Cần Thơ</t>
        </is>
      </c>
      <c r="E1424" s="3" t="inlineStr">
        <is>
          <t>Tường Vi</t>
        </is>
      </c>
      <c r="F1424" s="3" t="inlineStr">
        <is>
          <t>Tiktok</t>
        </is>
      </c>
      <c r="G1424" s="4" t="inlineStr">
        <is>
          <t>SHOPEE: TIKTOK: https://www.tiktok.com/@donghetuchon/video/7690516415886970130 LAZADA: WEBSITE BÁN HÀNG:</t>
        </is>
      </c>
      <c r="H1424" s="3" t="inlineStr">
        <is>
          <t>KFJ-438</t>
        </is>
      </c>
      <c r="I1424" s="4" t="inlineStr">
        <is>
          <t>Vít bê tông không dùng tắc kê KFJ-438</t>
        </is>
      </c>
      <c r="J1424" s="3" t="inlineStr">
        <is>
          <t>Hộp</t>
        </is>
      </c>
      <c r="K1424" s="5" t="n">
        <v>81000</v>
      </c>
      <c r="L1424" s="5" t="n">
        <v>101000</v>
      </c>
      <c r="M1424" s="6" t="n">
        <v>130000</v>
      </c>
      <c r="N1424" s="5" t="n"/>
      <c r="O1424" s="5">
        <f>IF(AND(ISNUMBER(N1424),ISNUMBER(M1424)),N1424-M1424,"")</f>
        <v/>
      </c>
      <c r="P1424" s="7">
        <f>IF(AND(ISNUMBER(N1424),ISNUMBER(M1424),M1424&gt;0),(N1424-M1424)/M1424,"")</f>
        <v/>
      </c>
      <c r="Q1424" s="3">
        <f>IF(P1424="","",IF(P1424&lt;-0.02,"🔴 Bán phá giá sàn",IF(P1424&gt;0.05,"🔵 Bán cao hơn","🟢 Đúng giá sàn TMĐT")))</f>
        <v/>
      </c>
      <c r="R1424" s="3" t="n"/>
      <c r="S1424" s="4" t="n"/>
      <c r="T1424" s="4" t="n"/>
    </row>
    <row r="1425">
      <c r="A1425" s="3" t="n">
        <v>1424</v>
      </c>
      <c r="B1425" s="3" t="inlineStr">
        <is>
          <t>DL013</t>
        </is>
      </c>
      <c r="C1425" s="4" t="inlineStr">
        <is>
          <t>Đồ Nghề Tự Chọn</t>
        </is>
      </c>
      <c r="D1425" s="3" t="inlineStr">
        <is>
          <t>Cần Thơ</t>
        </is>
      </c>
      <c r="E1425" s="3" t="inlineStr">
        <is>
          <t>Tường Vi</t>
        </is>
      </c>
      <c r="F1425" s="3" t="inlineStr">
        <is>
          <t>Tiktok</t>
        </is>
      </c>
      <c r="G1425" s="4" t="inlineStr">
        <is>
          <t>SHOPEE: TIKTOK: https://www.tiktok.com/@donghetuchon/video/7690516415886970130 LAZADA: WEBSITE BÁN HÀNG:</t>
        </is>
      </c>
      <c r="H1425" s="3" t="inlineStr">
        <is>
          <t>KFJ-445</t>
        </is>
      </c>
      <c r="I1425" s="4" t="inlineStr">
        <is>
          <t>Vít bê tông không dùng tắc kê KFJ-445</t>
        </is>
      </c>
      <c r="J1425" s="3" t="inlineStr">
        <is>
          <t>Hộp</t>
        </is>
      </c>
      <c r="K1425" s="5" t="n">
        <v>81000</v>
      </c>
      <c r="L1425" s="5" t="n">
        <v>101000</v>
      </c>
      <c r="M1425" s="6" t="n">
        <v>130000</v>
      </c>
      <c r="N1425" s="5" t="n"/>
      <c r="O1425" s="5">
        <f>IF(AND(ISNUMBER(N1425),ISNUMBER(M1425)),N1425-M1425,"")</f>
        <v/>
      </c>
      <c r="P1425" s="7">
        <f>IF(AND(ISNUMBER(N1425),ISNUMBER(M1425),M1425&gt;0),(N1425-M1425)/M1425,"")</f>
        <v/>
      </c>
      <c r="Q1425" s="3">
        <f>IF(P1425="","",IF(P1425&lt;-0.02,"🔴 Bán phá giá sàn",IF(P1425&gt;0.05,"🔵 Bán cao hơn","🟢 Đúng giá sàn TMĐT")))</f>
        <v/>
      </c>
      <c r="R1425" s="3" t="n"/>
      <c r="S1425" s="4" t="n"/>
      <c r="T1425" s="4" t="n"/>
    </row>
    <row r="1426">
      <c r="A1426" s="3" t="n">
        <v>1425</v>
      </c>
      <c r="B1426" s="3" t="inlineStr">
        <is>
          <t>DL013</t>
        </is>
      </c>
      <c r="C1426" s="4" t="inlineStr">
        <is>
          <t>Đồ Nghề Tự Chọn</t>
        </is>
      </c>
      <c r="D1426" s="3" t="inlineStr">
        <is>
          <t>Cần Thơ</t>
        </is>
      </c>
      <c r="E1426" s="3" t="inlineStr">
        <is>
          <t>Tường Vi</t>
        </is>
      </c>
      <c r="F1426" s="3" t="inlineStr">
        <is>
          <t>Tiktok</t>
        </is>
      </c>
      <c r="G1426" s="4" t="inlineStr">
        <is>
          <t>SHOPEE: TIKTOK: https://www.tiktok.com/@donghetuchon/video/7690516415886970130 LAZADA: WEBSITE BÁN HÀNG:</t>
        </is>
      </c>
      <c r="H1426" s="3" t="inlineStr">
        <is>
          <t>KFJ-535</t>
        </is>
      </c>
      <c r="I1426" s="4" t="inlineStr">
        <is>
          <t>Vít bê tông không dùng tắc kê KFJ-535</t>
        </is>
      </c>
      <c r="J1426" s="3" t="inlineStr">
        <is>
          <t>Hộp</t>
        </is>
      </c>
      <c r="K1426" s="5" t="n">
        <v>81000</v>
      </c>
      <c r="L1426" s="5" t="n">
        <v>101000</v>
      </c>
      <c r="M1426" s="6" t="n">
        <v>130000</v>
      </c>
      <c r="N1426" s="5" t="n"/>
      <c r="O1426" s="5">
        <f>IF(AND(ISNUMBER(N1426),ISNUMBER(M1426)),N1426-M1426,"")</f>
        <v/>
      </c>
      <c r="P1426" s="7">
        <f>IF(AND(ISNUMBER(N1426),ISNUMBER(M1426),M1426&gt;0),(N1426-M1426)/M1426,"")</f>
        <v/>
      </c>
      <c r="Q1426" s="3">
        <f>IF(P1426="","",IF(P1426&lt;-0.02,"🔴 Bán phá giá sàn",IF(P1426&gt;0.05,"🔵 Bán cao hơn","🟢 Đúng giá sàn TMĐT")))</f>
        <v/>
      </c>
      <c r="R1426" s="3" t="n"/>
      <c r="S1426" s="4" t="n"/>
      <c r="T1426" s="4" t="n"/>
    </row>
    <row r="1427">
      <c r="A1427" s="3" t="n">
        <v>1426</v>
      </c>
      <c r="B1427" s="3" t="inlineStr">
        <is>
          <t>DL013</t>
        </is>
      </c>
      <c r="C1427" s="4" t="inlineStr">
        <is>
          <t>Đồ Nghề Tự Chọn</t>
        </is>
      </c>
      <c r="D1427" s="3" t="inlineStr">
        <is>
          <t>Cần Thơ</t>
        </is>
      </c>
      <c r="E1427" s="3" t="inlineStr">
        <is>
          <t>Tường Vi</t>
        </is>
      </c>
      <c r="F1427" s="3" t="inlineStr">
        <is>
          <t>Tiktok</t>
        </is>
      </c>
      <c r="G1427" s="4" t="inlineStr">
        <is>
          <t>SHOPEE: TIKTOK: https://www.tiktok.com/@donghetuchon/video/7690516415886970130 LAZADA: WEBSITE BÁN HÀNG:</t>
        </is>
      </c>
      <c r="H1427" s="3" t="inlineStr">
        <is>
          <t>KFJ-545</t>
        </is>
      </c>
      <c r="I1427" s="4" t="inlineStr">
        <is>
          <t>Vít bê tông không dùng tắc kê KFJ-545</t>
        </is>
      </c>
      <c r="J1427" s="3" t="inlineStr">
        <is>
          <t>Hộp</t>
        </is>
      </c>
      <c r="K1427" s="5" t="n">
        <v>81000</v>
      </c>
      <c r="L1427" s="5" t="n">
        <v>101000</v>
      </c>
      <c r="M1427" s="6" t="n">
        <v>130000</v>
      </c>
      <c r="N1427" s="5" t="n"/>
      <c r="O1427" s="5">
        <f>IF(AND(ISNUMBER(N1427),ISNUMBER(M1427)),N1427-M1427,"")</f>
        <v/>
      </c>
      <c r="P1427" s="7">
        <f>IF(AND(ISNUMBER(N1427),ISNUMBER(M1427),M1427&gt;0),(N1427-M1427)/M1427,"")</f>
        <v/>
      </c>
      <c r="Q1427" s="3">
        <f>IF(P1427="","",IF(P1427&lt;-0.02,"🔴 Bán phá giá sàn",IF(P1427&gt;0.05,"🔵 Bán cao hơn","🟢 Đúng giá sàn TMĐT")))</f>
        <v/>
      </c>
      <c r="R1427" s="3" t="n"/>
      <c r="S1427" s="4" t="n"/>
      <c r="T1427" s="4" t="n"/>
    </row>
    <row r="1428">
      <c r="A1428" s="3" t="n">
        <v>1427</v>
      </c>
      <c r="B1428" s="3" t="inlineStr">
        <is>
          <t>DL014</t>
        </is>
      </c>
      <c r="C1428" s="4" t="inlineStr">
        <is>
          <t>Điện máy Anh Anh</t>
        </is>
      </c>
      <c r="D1428" s="3" t="inlineStr">
        <is>
          <t>HN</t>
        </is>
      </c>
      <c r="E1428" s="3" t="inlineStr">
        <is>
          <t>ĐIỆP</t>
        </is>
      </c>
      <c r="F1428" s="3" t="inlineStr">
        <is>
          <t>Tiktok</t>
        </is>
      </c>
      <c r="G1428" s="4" t="inlineStr">
        <is>
          <t>SHOPEE: TIKTOK: https://vt.tiktok.com/ZS9UMxDj8orfa-HFRLE/ LAZADA: WEBSITE BÁN HÀNG:</t>
        </is>
      </c>
      <c r="H1428" s="3" t="inlineStr">
        <is>
          <t>H03LT1722</t>
        </is>
      </c>
      <c r="I1428" s="4" t="inlineStr">
        <is>
          <t>Bộ cờ lê H03LT1722 gồm đầu 17mm và 22mm</t>
        </is>
      </c>
      <c r="J1428" s="3" t="inlineStr">
        <is>
          <t>Cái</t>
        </is>
      </c>
      <c r="K1428" s="5" t="n">
        <v>269000</v>
      </c>
      <c r="L1428" s="5" t="n">
        <v>317000</v>
      </c>
      <c r="M1428" s="6" t="n">
        <v>390000</v>
      </c>
      <c r="N1428" s="5" t="n"/>
      <c r="O1428" s="5">
        <f>IF(AND(ISNUMBER(N1428),ISNUMBER(M1428)),N1428-M1428,"")</f>
        <v/>
      </c>
      <c r="P1428" s="7">
        <f>IF(AND(ISNUMBER(N1428),ISNUMBER(M1428),M1428&gt;0),(N1428-M1428)/M1428,"")</f>
        <v/>
      </c>
      <c r="Q1428" s="3">
        <f>IF(P1428="","",IF(P1428&lt;-0.02,"🔴 Bán phá giá sàn",IF(P1428&gt;0.05,"🔵 Bán cao hơn","🟢 Đúng giá sàn TMĐT")))</f>
        <v/>
      </c>
      <c r="R1428" s="3" t="n"/>
      <c r="S1428" s="4" t="n"/>
      <c r="T1428" s="4" t="n"/>
    </row>
    <row r="1429">
      <c r="A1429" s="3" t="n">
        <v>1428</v>
      </c>
      <c r="B1429" s="3" t="inlineStr">
        <is>
          <t>DL014</t>
        </is>
      </c>
      <c r="C1429" s="4" t="inlineStr">
        <is>
          <t>Điện máy Anh Anh</t>
        </is>
      </c>
      <c r="D1429" s="3" t="inlineStr">
        <is>
          <t>HN</t>
        </is>
      </c>
      <c r="E1429" s="3" t="inlineStr">
        <is>
          <t>ĐIỆP</t>
        </is>
      </c>
      <c r="F1429" s="3" t="inlineStr">
        <is>
          <t>Tiktok</t>
        </is>
      </c>
      <c r="G1429" s="4" t="inlineStr">
        <is>
          <t>SHOPEE: TIKTOK: https://vt.tiktok.com/ZS9UMxDj8orfa-HFRLE/ LAZADA: WEBSITE BÁN HÀNG:</t>
        </is>
      </c>
      <c r="H1429" s="3" t="inlineStr">
        <is>
          <t>KM18QF</t>
        </is>
      </c>
      <c r="I1429" s="4" t="inlineStr">
        <is>
          <t>Bộ đầu chụp giữ mũi KM18QF</t>
        </is>
      </c>
      <c r="J1429" s="3" t="inlineStr">
        <is>
          <t>Cái</t>
        </is>
      </c>
      <c r="K1429" s="5" t="n">
        <v>2110000</v>
      </c>
      <c r="L1429" s="5" t="n">
        <v>2320000</v>
      </c>
      <c r="M1429" s="6" t="n">
        <v>2640000</v>
      </c>
      <c r="N1429" s="5" t="n"/>
      <c r="O1429" s="5">
        <f>IF(AND(ISNUMBER(N1429),ISNUMBER(M1429)),N1429-M1429,"")</f>
        <v/>
      </c>
      <c r="P1429" s="7">
        <f>IF(AND(ISNUMBER(N1429),ISNUMBER(M1429),M1429&gt;0),(N1429-M1429)/M1429,"")</f>
        <v/>
      </c>
      <c r="Q1429" s="3">
        <f>IF(P1429="","",IF(P1429&lt;-0.02,"🔴 Bán phá giá sàn",IF(P1429&gt;0.05,"🔵 Bán cao hơn","🟢 Đúng giá sàn TMĐT")))</f>
        <v/>
      </c>
      <c r="R1429" s="3" t="n"/>
      <c r="S1429" s="4" t="n"/>
      <c r="T1429" s="4" t="n"/>
    </row>
    <row r="1430">
      <c r="A1430" s="3" t="n">
        <v>1429</v>
      </c>
      <c r="B1430" s="3" t="inlineStr">
        <is>
          <t>DL014</t>
        </is>
      </c>
      <c r="C1430" s="4" t="inlineStr">
        <is>
          <t>Điện máy Anh Anh</t>
        </is>
      </c>
      <c r="D1430" s="3" t="inlineStr">
        <is>
          <t>HN</t>
        </is>
      </c>
      <c r="E1430" s="3" t="inlineStr">
        <is>
          <t>ĐIỆP</t>
        </is>
      </c>
      <c r="F1430" s="3" t="inlineStr">
        <is>
          <t>Tiktok</t>
        </is>
      </c>
      <c r="G1430" s="4" t="inlineStr">
        <is>
          <t>SHOPEE: TIKTOK: https://vt.tiktok.com/ZS9UMxDj8orfa-HFRLE/ LAZADA: WEBSITE BÁN HÀNG:</t>
        </is>
      </c>
      <c r="H1430" s="3" t="inlineStr">
        <is>
          <t>T9100E</t>
        </is>
      </c>
      <c r="I1430" s="4" t="inlineStr">
        <is>
          <t>Bộ đầu hoa thị T9100E</t>
        </is>
      </c>
      <c r="J1430" s="3" t="inlineStr">
        <is>
          <t>Bộ</t>
        </is>
      </c>
      <c r="K1430" s="5" t="n">
        <v>86000</v>
      </c>
      <c r="L1430" s="5" t="n">
        <v>108000</v>
      </c>
      <c r="M1430" s="6" t="n">
        <v>142000</v>
      </c>
      <c r="N1430" s="5" t="n"/>
      <c r="O1430" s="5">
        <f>IF(AND(ISNUMBER(N1430),ISNUMBER(M1430)),N1430-M1430,"")</f>
        <v/>
      </c>
      <c r="P1430" s="7">
        <f>IF(AND(ISNUMBER(N1430),ISNUMBER(M1430),M1430&gt;0),(N1430-M1430)/M1430,"")</f>
        <v/>
      </c>
      <c r="Q1430" s="3">
        <f>IF(P1430="","",IF(P1430&lt;-0.02,"🔴 Bán phá giá sàn",IF(P1430&gt;0.05,"🔵 Bán cao hơn","🟢 Đúng giá sàn TMĐT")))</f>
        <v/>
      </c>
      <c r="R1430" s="3" t="n"/>
      <c r="S1430" s="4" t="n"/>
      <c r="T1430" s="4" t="n"/>
    </row>
    <row r="1431">
      <c r="A1431" s="3" t="n">
        <v>1430</v>
      </c>
      <c r="B1431" s="3" t="inlineStr">
        <is>
          <t>DL014</t>
        </is>
      </c>
      <c r="C1431" s="4" t="inlineStr">
        <is>
          <t>Điện máy Anh Anh</t>
        </is>
      </c>
      <c r="D1431" s="3" t="inlineStr">
        <is>
          <t>HN</t>
        </is>
      </c>
      <c r="E1431" s="3" t="inlineStr">
        <is>
          <t>ĐIỆP</t>
        </is>
      </c>
      <c r="F1431" s="3" t="inlineStr">
        <is>
          <t>Tiktok</t>
        </is>
      </c>
      <c r="G1431" s="4" t="inlineStr">
        <is>
          <t>SHOPEE: TIKTOK: https://vt.tiktok.com/ZS9UMxDj8orfa-HFRLE/ LAZADA: WEBSITE BÁN HÀNG:</t>
        </is>
      </c>
      <c r="H1431" s="3" t="inlineStr">
        <is>
          <t>L8100E</t>
        </is>
      </c>
      <c r="I1431" s="4" t="inlineStr">
        <is>
          <t>Bộ đầu lục giác L8100E</t>
        </is>
      </c>
      <c r="J1431" s="3" t="inlineStr">
        <is>
          <t>Bộ</t>
        </is>
      </c>
      <c r="K1431" s="5" t="n">
        <v>86000</v>
      </c>
      <c r="L1431" s="5" t="n">
        <v>108000</v>
      </c>
      <c r="M1431" s="6" t="n">
        <v>142000</v>
      </c>
      <c r="N1431" s="5" t="n"/>
      <c r="O1431" s="5">
        <f>IF(AND(ISNUMBER(N1431),ISNUMBER(M1431)),N1431-M1431,"")</f>
        <v/>
      </c>
      <c r="P1431" s="7">
        <f>IF(AND(ISNUMBER(N1431),ISNUMBER(M1431),M1431&gt;0),(N1431-M1431)/M1431,"")</f>
        <v/>
      </c>
      <c r="Q1431" s="3">
        <f>IF(P1431="","",IF(P1431&lt;-0.02,"🔴 Bán phá giá sàn",IF(P1431&gt;0.05,"🔵 Bán cao hơn","🟢 Đúng giá sàn TMĐT")))</f>
        <v/>
      </c>
      <c r="R1431" s="3" t="n"/>
      <c r="S1431" s="4" t="n"/>
      <c r="T1431" s="4" t="n"/>
    </row>
    <row r="1432">
      <c r="A1432" s="3" t="n">
        <v>1431</v>
      </c>
      <c r="B1432" s="3" t="inlineStr">
        <is>
          <t>DL014</t>
        </is>
      </c>
      <c r="C1432" s="4" t="inlineStr">
        <is>
          <t>Điện máy Anh Anh</t>
        </is>
      </c>
      <c r="D1432" s="3" t="inlineStr">
        <is>
          <t>HN</t>
        </is>
      </c>
      <c r="E1432" s="3" t="inlineStr">
        <is>
          <t>ĐIỆP</t>
        </is>
      </c>
      <c r="F1432" s="3" t="inlineStr">
        <is>
          <t>Tiktok</t>
        </is>
      </c>
      <c r="G1432" s="4" t="inlineStr">
        <is>
          <t>SHOPEE: TIKTOK: https://vt.tiktok.com/ZS9UMxDj8orfa-HFRLE/ LAZADA: WEBSITE BÁN HÀNG:</t>
        </is>
      </c>
      <c r="H1432" s="3" t="inlineStr">
        <is>
          <t>KB-R1323</t>
        </is>
      </c>
      <c r="I1432" s="4" t="inlineStr">
        <is>
          <t>Bộ loe ống đồng 2 chức năng KingBlue KB-R1323</t>
        </is>
      </c>
      <c r="J1432" s="3" t="inlineStr">
        <is>
          <t>Cái</t>
        </is>
      </c>
      <c r="K1432" s="5" t="n">
        <v>1720000</v>
      </c>
      <c r="L1432" s="5" t="n">
        <v>1926000</v>
      </c>
      <c r="M1432" s="6" t="n">
        <v>2236000</v>
      </c>
      <c r="N1432" s="5" t="n"/>
      <c r="O1432" s="5">
        <f>IF(AND(ISNUMBER(N1432),ISNUMBER(M1432)),N1432-M1432,"")</f>
        <v/>
      </c>
      <c r="P1432" s="7">
        <f>IF(AND(ISNUMBER(N1432),ISNUMBER(M1432),M1432&gt;0),(N1432-M1432)/M1432,"")</f>
        <v/>
      </c>
      <c r="Q1432" s="3">
        <f>IF(P1432="","",IF(P1432&lt;-0.02,"🔴 Bán phá giá sàn",IF(P1432&gt;0.05,"🔵 Bán cao hơn","🟢 Đúng giá sàn TMĐT")))</f>
        <v/>
      </c>
      <c r="R1432" s="3" t="n"/>
      <c r="S1432" s="4" t="n"/>
      <c r="T1432" s="4" t="n"/>
    </row>
    <row r="1433">
      <c r="A1433" s="3" t="n">
        <v>1432</v>
      </c>
      <c r="B1433" s="3" t="inlineStr">
        <is>
          <t>DL014</t>
        </is>
      </c>
      <c r="C1433" s="4" t="inlineStr">
        <is>
          <t>Điện máy Anh Anh</t>
        </is>
      </c>
      <c r="D1433" s="3" t="inlineStr">
        <is>
          <t>HN</t>
        </is>
      </c>
      <c r="E1433" s="3" t="inlineStr">
        <is>
          <t>ĐIỆP</t>
        </is>
      </c>
      <c r="F1433" s="3" t="inlineStr">
        <is>
          <t>Tiktok</t>
        </is>
      </c>
      <c r="G1433" s="4" t="inlineStr">
        <is>
          <t>SHOPEE: TIKTOK: https://vt.tiktok.com/ZS9UMxDj8orfa-HFRLE/ LAZADA: WEBSITE BÁN HÀNG:</t>
        </is>
      </c>
      <c r="H1433" s="3" t="inlineStr">
        <is>
          <t>KB-C1323</t>
        </is>
      </c>
      <c r="I1433" s="4" t="inlineStr">
        <is>
          <t>Bộ loe ống đồng KingBlue KB-C1323</t>
        </is>
      </c>
      <c r="J1433" s="3" t="inlineStr">
        <is>
          <t>Cái</t>
        </is>
      </c>
      <c r="K1433" s="5" t="n">
        <v>1140000</v>
      </c>
      <c r="L1433" s="5" t="n">
        <v>1277000</v>
      </c>
      <c r="M1433" s="6" t="n">
        <v>1482000</v>
      </c>
      <c r="N1433" s="5" t="n"/>
      <c r="O1433" s="5">
        <f>IF(AND(ISNUMBER(N1433),ISNUMBER(M1433)),N1433-M1433,"")</f>
        <v/>
      </c>
      <c r="P1433" s="7">
        <f>IF(AND(ISNUMBER(N1433),ISNUMBER(M1433),M1433&gt;0),(N1433-M1433)/M1433,"")</f>
        <v/>
      </c>
      <c r="Q1433" s="3">
        <f>IF(P1433="","",IF(P1433&lt;-0.02,"🔴 Bán phá giá sàn",IF(P1433&gt;0.05,"🔵 Bán cao hơn","🟢 Đúng giá sàn TMĐT")))</f>
        <v/>
      </c>
      <c r="R1433" s="3" t="n"/>
      <c r="S1433" s="4" t="n"/>
      <c r="T1433" s="4" t="n"/>
    </row>
    <row r="1434">
      <c r="A1434" s="3" t="n">
        <v>1433</v>
      </c>
      <c r="B1434" s="3" t="inlineStr">
        <is>
          <t>DL014</t>
        </is>
      </c>
      <c r="C1434" s="4" t="inlineStr">
        <is>
          <t>Điện máy Anh Anh</t>
        </is>
      </c>
      <c r="D1434" s="3" t="inlineStr">
        <is>
          <t>HN</t>
        </is>
      </c>
      <c r="E1434" s="3" t="inlineStr">
        <is>
          <t>ĐIỆP</t>
        </is>
      </c>
      <c r="F1434" s="3" t="inlineStr">
        <is>
          <t>Tiktok</t>
        </is>
      </c>
      <c r="G1434" s="4" t="inlineStr">
        <is>
          <t>SHOPEE: TIKTOK: https://vt.tiktok.com/ZS9UMxDj8orfa-HFRLE/ LAZADA: WEBSITE BÁN HÀNG:</t>
        </is>
      </c>
      <c r="H1434" s="3" t="inlineStr">
        <is>
          <t>KIF160</t>
        </is>
      </c>
      <c r="I1434" s="4" t="inlineStr">
        <is>
          <t>Bút thử điện KIF160</t>
        </is>
      </c>
      <c r="J1434" s="3" t="inlineStr">
        <is>
          <t>Cái</t>
        </is>
      </c>
      <c r="K1434" s="5" t="n">
        <v>121000</v>
      </c>
      <c r="L1434" s="5" t="n">
        <v>143000</v>
      </c>
      <c r="M1434" s="6" t="n">
        <v>176000</v>
      </c>
      <c r="N1434" s="5" t="n"/>
      <c r="O1434" s="5">
        <f>IF(AND(ISNUMBER(N1434),ISNUMBER(M1434)),N1434-M1434,"")</f>
        <v/>
      </c>
      <c r="P1434" s="7">
        <f>IF(AND(ISNUMBER(N1434),ISNUMBER(M1434),M1434&gt;0),(N1434-M1434)/M1434,"")</f>
        <v/>
      </c>
      <c r="Q1434" s="3">
        <f>IF(P1434="","",IF(P1434&lt;-0.02,"🔴 Bán phá giá sàn",IF(P1434&gt;0.05,"🔵 Bán cao hơn","🟢 Đúng giá sàn TMĐT")))</f>
        <v/>
      </c>
      <c r="R1434" s="3" t="n"/>
      <c r="S1434" s="4" t="n"/>
      <c r="T1434" s="4" t="n"/>
    </row>
    <row r="1435">
      <c r="A1435" s="3" t="n">
        <v>1434</v>
      </c>
      <c r="B1435" s="3" t="inlineStr">
        <is>
          <t>DL014</t>
        </is>
      </c>
      <c r="C1435" s="4" t="inlineStr">
        <is>
          <t>Điện máy Anh Anh</t>
        </is>
      </c>
      <c r="D1435" s="3" t="inlineStr">
        <is>
          <t>HN</t>
        </is>
      </c>
      <c r="E1435" s="3" t="inlineStr">
        <is>
          <t>ĐIỆP</t>
        </is>
      </c>
      <c r="F1435" s="3" t="inlineStr">
        <is>
          <t>Tiktok</t>
        </is>
      </c>
      <c r="G1435" s="4" t="inlineStr">
        <is>
          <t>SHOPEE: TIKTOK: https://vt.tiktok.com/ZS9UMxDj8orfa-HFRLE/ LAZADA: WEBSITE BÁN HÀNG:</t>
        </is>
      </c>
      <c r="H1435" s="3" t="inlineStr">
        <is>
          <t>KB-05X</t>
        </is>
      </c>
      <c r="I1435" s="4" t="inlineStr">
        <is>
          <t>Chân máy laser KB-05X</t>
        </is>
      </c>
      <c r="J1435" s="3" t="inlineStr">
        <is>
          <t>Cái</t>
        </is>
      </c>
      <c r="K1435" s="5" t="n">
        <v>1350000</v>
      </c>
      <c r="L1435" s="5" t="n">
        <v>1510000</v>
      </c>
      <c r="M1435" s="6" t="n">
        <v>1760000</v>
      </c>
      <c r="N1435" s="5" t="n"/>
      <c r="O1435" s="5">
        <f>IF(AND(ISNUMBER(N1435),ISNUMBER(M1435)),N1435-M1435,"")</f>
        <v/>
      </c>
      <c r="P1435" s="7">
        <f>IF(AND(ISNUMBER(N1435),ISNUMBER(M1435),M1435&gt;0),(N1435-M1435)/M1435,"")</f>
        <v/>
      </c>
      <c r="Q1435" s="3">
        <f>IF(P1435="","",IF(P1435&lt;-0.02,"🔴 Bán phá giá sàn",IF(P1435&gt;0.05,"🔵 Bán cao hơn","🟢 Đúng giá sàn TMĐT")))</f>
        <v/>
      </c>
      <c r="R1435" s="3" t="n"/>
      <c r="S1435" s="4" t="n"/>
      <c r="T1435" s="4" t="n"/>
    </row>
    <row r="1436">
      <c r="A1436" s="3" t="n">
        <v>1435</v>
      </c>
      <c r="B1436" s="3" t="inlineStr">
        <is>
          <t>DL014</t>
        </is>
      </c>
      <c r="C1436" s="4" t="inlineStr">
        <is>
          <t>Điện máy Anh Anh</t>
        </is>
      </c>
      <c r="D1436" s="3" t="inlineStr">
        <is>
          <t>HN</t>
        </is>
      </c>
      <c r="E1436" s="3" t="inlineStr">
        <is>
          <t>ĐIỆP</t>
        </is>
      </c>
      <c r="F1436" s="3" t="inlineStr">
        <is>
          <t>Tiktok</t>
        </is>
      </c>
      <c r="G1436" s="4" t="inlineStr">
        <is>
          <t>SHOPEE: TIKTOK: https://vt.tiktok.com/ZS9UMxDj8orfa-HFRLE/ LAZADA: WEBSITE BÁN HÀNG:</t>
        </is>
      </c>
      <c r="H1436" s="3" t="inlineStr"/>
      <c r="I1436" s="4" t="inlineStr">
        <is>
          <t>Chuôi gài ngắn (không định tâm)</t>
        </is>
      </c>
      <c r="J1436" s="3" t="inlineStr">
        <is>
          <t>Cái</t>
        </is>
      </c>
      <c r="K1436" s="5" t="n">
        <v>269000</v>
      </c>
      <c r="L1436" s="5" t="n">
        <v>317000</v>
      </c>
      <c r="M1436" s="6" t="n">
        <v>390000</v>
      </c>
      <c r="N1436" s="5" t="n"/>
      <c r="O1436" s="5">
        <f>IF(AND(ISNUMBER(N1436),ISNUMBER(M1436)),N1436-M1436,"")</f>
        <v/>
      </c>
      <c r="P1436" s="7">
        <f>IF(AND(ISNUMBER(N1436),ISNUMBER(M1436),M1436&gt;0),(N1436-M1436)/M1436,"")</f>
        <v/>
      </c>
      <c r="Q1436" s="3">
        <f>IF(P1436="","",IF(P1436&lt;-0.02,"🔴 Bán phá giá sàn",IF(P1436&gt;0.05,"🔵 Bán cao hơn","🟢 Đúng giá sàn TMĐT")))</f>
        <v/>
      </c>
      <c r="R1436" s="3" t="n"/>
      <c r="S1436" s="4" t="n"/>
      <c r="T1436" s="4" t="n"/>
    </row>
    <row r="1437">
      <c r="A1437" s="3" t="n">
        <v>1436</v>
      </c>
      <c r="B1437" s="3" t="inlineStr">
        <is>
          <t>DL014</t>
        </is>
      </c>
      <c r="C1437" s="4" t="inlineStr">
        <is>
          <t>Điện máy Anh Anh</t>
        </is>
      </c>
      <c r="D1437" s="3" t="inlineStr">
        <is>
          <t>HN</t>
        </is>
      </c>
      <c r="E1437" s="3" t="inlineStr">
        <is>
          <t>ĐIỆP</t>
        </is>
      </c>
      <c r="F1437" s="3" t="inlineStr">
        <is>
          <t>Tiktok</t>
        </is>
      </c>
      <c r="G1437" s="4" t="inlineStr">
        <is>
          <t>SHOPEE: TIKTOK: https://vt.tiktok.com/ZS9UMxDj8orfa-HFRLE/ LAZADA: WEBSITE BÁN HÀNG:</t>
        </is>
      </c>
      <c r="H1437" s="3" t="inlineStr">
        <is>
          <t>SDST-M22</t>
        </is>
      </c>
      <c r="I1437" s="4" t="inlineStr">
        <is>
          <t>Chuôi khoan rút lõi gài SDST-M22</t>
        </is>
      </c>
      <c r="J1437" s="3" t="inlineStr">
        <is>
          <t>Cái</t>
        </is>
      </c>
      <c r="K1437" s="5" t="n">
        <v>24000</v>
      </c>
      <c r="L1437" s="5" t="n">
        <v>30000</v>
      </c>
      <c r="M1437" s="6" t="n">
        <v>38000</v>
      </c>
      <c r="N1437" s="5" t="n"/>
      <c r="O1437" s="5">
        <f>IF(AND(ISNUMBER(N1437),ISNUMBER(M1437)),N1437-M1437,"")</f>
        <v/>
      </c>
      <c r="P1437" s="7">
        <f>IF(AND(ISNUMBER(N1437),ISNUMBER(M1437),M1437&gt;0),(N1437-M1437)/M1437,"")</f>
        <v/>
      </c>
      <c r="Q1437" s="3">
        <f>IF(P1437="","",IF(P1437&lt;-0.02,"🔴 Bán phá giá sàn",IF(P1437&gt;0.05,"🔵 Bán cao hơn","🟢 Đúng giá sàn TMĐT")))</f>
        <v/>
      </c>
      <c r="R1437" s="3" t="n"/>
      <c r="S1437" s="4" t="n"/>
      <c r="T1437" s="4" t="n"/>
    </row>
    <row r="1438">
      <c r="A1438" s="3" t="n">
        <v>1437</v>
      </c>
      <c r="B1438" s="3" t="inlineStr">
        <is>
          <t>DL014</t>
        </is>
      </c>
      <c r="C1438" s="4" t="inlineStr">
        <is>
          <t>Điện máy Anh Anh</t>
        </is>
      </c>
      <c r="D1438" s="3" t="inlineStr">
        <is>
          <t>HN</t>
        </is>
      </c>
      <c r="E1438" s="3" t="inlineStr">
        <is>
          <t>ĐIỆP</t>
        </is>
      </c>
      <c r="F1438" s="3" t="inlineStr">
        <is>
          <t>Tiktok</t>
        </is>
      </c>
      <c r="G1438" s="4" t="inlineStr">
        <is>
          <t>SHOPEE: TIKTOK: https://vt.tiktok.com/ZS9UMxDj8orfa-HFRLE/ LAZADA: WEBSITE BÁN HÀNG:</t>
        </is>
      </c>
      <c r="H1438" s="3" t="inlineStr">
        <is>
          <t>KH1-08</t>
        </is>
      </c>
      <c r="I1438" s="4" t="inlineStr">
        <is>
          <t>Cờ lê KH1-08</t>
        </is>
      </c>
      <c r="J1438" s="3" t="inlineStr">
        <is>
          <t>Cái</t>
        </is>
      </c>
      <c r="K1438" s="5" t="n">
        <v>21000</v>
      </c>
      <c r="L1438" s="5" t="n">
        <v>25000</v>
      </c>
      <c r="M1438" s="6" t="n">
        <v>31000</v>
      </c>
      <c r="N1438" s="5" t="n"/>
      <c r="O1438" s="5">
        <f>IF(AND(ISNUMBER(N1438),ISNUMBER(M1438)),N1438-M1438,"")</f>
        <v/>
      </c>
      <c r="P1438" s="7">
        <f>IF(AND(ISNUMBER(N1438),ISNUMBER(M1438),M1438&gt;0),(N1438-M1438)/M1438,"")</f>
        <v/>
      </c>
      <c r="Q1438" s="3">
        <f>IF(P1438="","",IF(P1438&lt;-0.02,"🔴 Bán phá giá sàn",IF(P1438&gt;0.05,"🔵 Bán cao hơn","🟢 Đúng giá sàn TMĐT")))</f>
        <v/>
      </c>
      <c r="R1438" s="3" t="n"/>
      <c r="S1438" s="4" t="n"/>
      <c r="T1438" s="4" t="n"/>
    </row>
    <row r="1439">
      <c r="A1439" s="3" t="n">
        <v>1438</v>
      </c>
      <c r="B1439" s="3" t="inlineStr">
        <is>
          <t>DL014</t>
        </is>
      </c>
      <c r="C1439" s="4" t="inlineStr">
        <is>
          <t>Điện máy Anh Anh</t>
        </is>
      </c>
      <c r="D1439" s="3" t="inlineStr">
        <is>
          <t>HN</t>
        </is>
      </c>
      <c r="E1439" s="3" t="inlineStr">
        <is>
          <t>ĐIỆP</t>
        </is>
      </c>
      <c r="F1439" s="3" t="inlineStr">
        <is>
          <t>Tiktok</t>
        </is>
      </c>
      <c r="G1439" s="4" t="inlineStr">
        <is>
          <t>SHOPEE: TIKTOK: https://vt.tiktok.com/ZS9UMxDj8orfa-HFRLE/ LAZADA: WEBSITE BÁN HÀNG:</t>
        </is>
      </c>
      <c r="H1439" s="3" t="inlineStr">
        <is>
          <t>KH1-10</t>
        </is>
      </c>
      <c r="I1439" s="4" t="inlineStr">
        <is>
          <t>Cờ lê KH1-10</t>
        </is>
      </c>
      <c r="J1439" s="3" t="inlineStr">
        <is>
          <t>Cái</t>
        </is>
      </c>
      <c r="K1439" s="5" t="n">
        <v>24000</v>
      </c>
      <c r="L1439" s="5" t="n">
        <v>28000</v>
      </c>
      <c r="M1439" s="6" t="n">
        <v>35000</v>
      </c>
      <c r="N1439" s="5" t="n"/>
      <c r="O1439" s="5">
        <f>IF(AND(ISNUMBER(N1439),ISNUMBER(M1439)),N1439-M1439,"")</f>
        <v/>
      </c>
      <c r="P1439" s="7">
        <f>IF(AND(ISNUMBER(N1439),ISNUMBER(M1439),M1439&gt;0),(N1439-M1439)/M1439,"")</f>
        <v/>
      </c>
      <c r="Q1439" s="3">
        <f>IF(P1439="","",IF(P1439&lt;-0.02,"🔴 Bán phá giá sàn",IF(P1439&gt;0.05,"🔵 Bán cao hơn","🟢 Đúng giá sàn TMĐT")))</f>
        <v/>
      </c>
      <c r="R1439" s="3" t="n"/>
      <c r="S1439" s="4" t="n"/>
      <c r="T1439" s="4" t="n"/>
    </row>
    <row r="1440">
      <c r="A1440" s="3" t="n">
        <v>1439</v>
      </c>
      <c r="B1440" s="3" t="inlineStr">
        <is>
          <t>DL014</t>
        </is>
      </c>
      <c r="C1440" s="4" t="inlineStr">
        <is>
          <t>Điện máy Anh Anh</t>
        </is>
      </c>
      <c r="D1440" s="3" t="inlineStr">
        <is>
          <t>HN</t>
        </is>
      </c>
      <c r="E1440" s="3" t="inlineStr">
        <is>
          <t>ĐIỆP</t>
        </is>
      </c>
      <c r="F1440" s="3" t="inlineStr">
        <is>
          <t>Tiktok</t>
        </is>
      </c>
      <c r="G1440" s="4" t="inlineStr">
        <is>
          <t>SHOPEE: TIKTOK: https://vt.tiktok.com/ZS9UMxDj8orfa-HFRLE/ LAZADA: WEBSITE BÁN HÀNG:</t>
        </is>
      </c>
      <c r="H1440" s="3" t="inlineStr">
        <is>
          <t>KH1-12</t>
        </is>
      </c>
      <c r="I1440" s="4" t="inlineStr">
        <is>
          <t>Cờ lê KH1-12</t>
        </is>
      </c>
      <c r="J1440" s="3" t="inlineStr">
        <is>
          <t>Cái</t>
        </is>
      </c>
      <c r="K1440" s="5" t="n">
        <v>26000</v>
      </c>
      <c r="L1440" s="5" t="n">
        <v>31000</v>
      </c>
      <c r="M1440" s="6" t="n">
        <v>38000</v>
      </c>
      <c r="N1440" s="5" t="n"/>
      <c r="O1440" s="5">
        <f>IF(AND(ISNUMBER(N1440),ISNUMBER(M1440)),N1440-M1440,"")</f>
        <v/>
      </c>
      <c r="P1440" s="7">
        <f>IF(AND(ISNUMBER(N1440),ISNUMBER(M1440),M1440&gt;0),(N1440-M1440)/M1440,"")</f>
        <v/>
      </c>
      <c r="Q1440" s="3">
        <f>IF(P1440="","",IF(P1440&lt;-0.02,"🔴 Bán phá giá sàn",IF(P1440&gt;0.05,"🔵 Bán cao hơn","🟢 Đúng giá sàn TMĐT")))</f>
        <v/>
      </c>
      <c r="R1440" s="3" t="n"/>
      <c r="S1440" s="4" t="n"/>
      <c r="T1440" s="4" t="n"/>
    </row>
    <row r="1441">
      <c r="A1441" s="3" t="n">
        <v>1440</v>
      </c>
      <c r="B1441" s="3" t="inlineStr">
        <is>
          <t>DL014</t>
        </is>
      </c>
      <c r="C1441" s="4" t="inlineStr">
        <is>
          <t>Điện máy Anh Anh</t>
        </is>
      </c>
      <c r="D1441" s="3" t="inlineStr">
        <is>
          <t>HN</t>
        </is>
      </c>
      <c r="E1441" s="3" t="inlineStr">
        <is>
          <t>ĐIỆP</t>
        </is>
      </c>
      <c r="F1441" s="3" t="inlineStr">
        <is>
          <t>Tiktok</t>
        </is>
      </c>
      <c r="G1441" s="4" t="inlineStr">
        <is>
          <t>SHOPEE: TIKTOK: https://vt.tiktok.com/ZS9UMxDj8orfa-HFRLE/ LAZADA: WEBSITE BÁN HÀNG:</t>
        </is>
      </c>
      <c r="H1441" s="3" t="inlineStr">
        <is>
          <t>KH1-13</t>
        </is>
      </c>
      <c r="I1441" s="4" t="inlineStr">
        <is>
          <t>Cờ lê KH1-13</t>
        </is>
      </c>
      <c r="J1441" s="3" t="inlineStr">
        <is>
          <t>Cái</t>
        </is>
      </c>
      <c r="K1441" s="5" t="n">
        <v>28000</v>
      </c>
      <c r="L1441" s="5" t="n">
        <v>33000</v>
      </c>
      <c r="M1441" s="6" t="n">
        <v>41000</v>
      </c>
      <c r="N1441" s="5" t="n"/>
      <c r="O1441" s="5">
        <f>IF(AND(ISNUMBER(N1441),ISNUMBER(M1441)),N1441-M1441,"")</f>
        <v/>
      </c>
      <c r="P1441" s="7">
        <f>IF(AND(ISNUMBER(N1441),ISNUMBER(M1441),M1441&gt;0),(N1441-M1441)/M1441,"")</f>
        <v/>
      </c>
      <c r="Q1441" s="3">
        <f>IF(P1441="","",IF(P1441&lt;-0.02,"🔴 Bán phá giá sàn",IF(P1441&gt;0.05,"🔵 Bán cao hơn","🟢 Đúng giá sàn TMĐT")))</f>
        <v/>
      </c>
      <c r="R1441" s="3" t="n"/>
      <c r="S1441" s="4" t="n"/>
      <c r="T1441" s="4" t="n"/>
    </row>
    <row r="1442">
      <c r="A1442" s="3" t="n">
        <v>1441</v>
      </c>
      <c r="B1442" s="3" t="inlineStr">
        <is>
          <t>DL014</t>
        </is>
      </c>
      <c r="C1442" s="4" t="inlineStr">
        <is>
          <t>Điện máy Anh Anh</t>
        </is>
      </c>
      <c r="D1442" s="3" t="inlineStr">
        <is>
          <t>HN</t>
        </is>
      </c>
      <c r="E1442" s="3" t="inlineStr">
        <is>
          <t>ĐIỆP</t>
        </is>
      </c>
      <c r="F1442" s="3" t="inlineStr">
        <is>
          <t>Tiktok</t>
        </is>
      </c>
      <c r="G1442" s="4" t="inlineStr">
        <is>
          <t>SHOPEE: TIKTOK: https://vt.tiktok.com/ZS9UMxDj8orfa-HFRLE/ LAZADA: WEBSITE BÁN HÀNG:</t>
        </is>
      </c>
      <c r="H1442" s="3" t="inlineStr">
        <is>
          <t>KH1-14</t>
        </is>
      </c>
      <c r="I1442" s="4" t="inlineStr">
        <is>
          <t>Cờ lê KH1-14</t>
        </is>
      </c>
      <c r="J1442" s="3" t="inlineStr">
        <is>
          <t>Cái</t>
        </is>
      </c>
      <c r="K1442" s="5" t="n">
        <v>30000</v>
      </c>
      <c r="L1442" s="5" t="n">
        <v>36000</v>
      </c>
      <c r="M1442" s="6" t="n">
        <v>44000</v>
      </c>
      <c r="N1442" s="5" t="n"/>
      <c r="O1442" s="5">
        <f>IF(AND(ISNUMBER(N1442),ISNUMBER(M1442)),N1442-M1442,"")</f>
        <v/>
      </c>
      <c r="P1442" s="7">
        <f>IF(AND(ISNUMBER(N1442),ISNUMBER(M1442),M1442&gt;0),(N1442-M1442)/M1442,"")</f>
        <v/>
      </c>
      <c r="Q1442" s="3">
        <f>IF(P1442="","",IF(P1442&lt;-0.02,"🔴 Bán phá giá sàn",IF(P1442&gt;0.05,"🔵 Bán cao hơn","🟢 Đúng giá sàn TMĐT")))</f>
        <v/>
      </c>
      <c r="R1442" s="3" t="n"/>
      <c r="S1442" s="4" t="n"/>
      <c r="T1442" s="4" t="n"/>
    </row>
    <row r="1443">
      <c r="A1443" s="3" t="n">
        <v>1442</v>
      </c>
      <c r="B1443" s="3" t="inlineStr">
        <is>
          <t>DL014</t>
        </is>
      </c>
      <c r="C1443" s="4" t="inlineStr">
        <is>
          <t>Điện máy Anh Anh</t>
        </is>
      </c>
      <c r="D1443" s="3" t="inlineStr">
        <is>
          <t>HN</t>
        </is>
      </c>
      <c r="E1443" s="3" t="inlineStr">
        <is>
          <t>ĐIỆP</t>
        </is>
      </c>
      <c r="F1443" s="3" t="inlineStr">
        <is>
          <t>Tiktok</t>
        </is>
      </c>
      <c r="G1443" s="4" t="inlineStr">
        <is>
          <t>SHOPEE: TIKTOK: https://vt.tiktok.com/ZS9UMxDj8orfa-HFRLE/ LAZADA: WEBSITE BÁN HÀNG:</t>
        </is>
      </c>
      <c r="H1443" s="3" t="inlineStr">
        <is>
          <t>KH1-17</t>
        </is>
      </c>
      <c r="I1443" s="4" t="inlineStr">
        <is>
          <t>Cờ lê KH1-17</t>
        </is>
      </c>
      <c r="J1443" s="3" t="inlineStr">
        <is>
          <t>Cái</t>
        </is>
      </c>
      <c r="K1443" s="5" t="n">
        <v>40000</v>
      </c>
      <c r="L1443" s="5" t="n">
        <v>47000</v>
      </c>
      <c r="M1443" s="6" t="n">
        <v>58000</v>
      </c>
      <c r="N1443" s="5" t="n"/>
      <c r="O1443" s="5">
        <f>IF(AND(ISNUMBER(N1443),ISNUMBER(M1443)),N1443-M1443,"")</f>
        <v/>
      </c>
      <c r="P1443" s="7">
        <f>IF(AND(ISNUMBER(N1443),ISNUMBER(M1443),M1443&gt;0),(N1443-M1443)/M1443,"")</f>
        <v/>
      </c>
      <c r="Q1443" s="3">
        <f>IF(P1443="","",IF(P1443&lt;-0.02,"🔴 Bán phá giá sàn",IF(P1443&gt;0.05,"🔵 Bán cao hơn","🟢 Đúng giá sàn TMĐT")))</f>
        <v/>
      </c>
      <c r="R1443" s="3" t="n"/>
      <c r="S1443" s="4" t="n"/>
      <c r="T1443" s="4" t="n"/>
    </row>
    <row r="1444">
      <c r="A1444" s="3" t="n">
        <v>1443</v>
      </c>
      <c r="B1444" s="3" t="inlineStr">
        <is>
          <t>DL014</t>
        </is>
      </c>
      <c r="C1444" s="4" t="inlineStr">
        <is>
          <t>Điện máy Anh Anh</t>
        </is>
      </c>
      <c r="D1444" s="3" t="inlineStr">
        <is>
          <t>HN</t>
        </is>
      </c>
      <c r="E1444" s="3" t="inlineStr">
        <is>
          <t>ĐIỆP</t>
        </is>
      </c>
      <c r="F1444" s="3" t="inlineStr">
        <is>
          <t>Tiktok</t>
        </is>
      </c>
      <c r="G1444" s="4" t="inlineStr">
        <is>
          <t>SHOPEE: TIKTOK: https://vt.tiktok.com/ZS9UMxDj8orfa-HFRLE/ LAZADA: WEBSITE BÁN HÀNG:</t>
        </is>
      </c>
      <c r="H1444" s="3" t="inlineStr">
        <is>
          <t>KH1-19</t>
        </is>
      </c>
      <c r="I1444" s="4" t="inlineStr">
        <is>
          <t>Cờ lê KH1-19</t>
        </is>
      </c>
      <c r="J1444" s="3" t="inlineStr">
        <is>
          <t>Cái</t>
        </is>
      </c>
      <c r="K1444" s="5" t="n">
        <v>44000</v>
      </c>
      <c r="L1444" s="5" t="n">
        <v>52000</v>
      </c>
      <c r="M1444" s="6" t="n">
        <v>64000</v>
      </c>
      <c r="N1444" s="5" t="n"/>
      <c r="O1444" s="5">
        <f>IF(AND(ISNUMBER(N1444),ISNUMBER(M1444)),N1444-M1444,"")</f>
        <v/>
      </c>
      <c r="P1444" s="7">
        <f>IF(AND(ISNUMBER(N1444),ISNUMBER(M1444),M1444&gt;0),(N1444-M1444)/M1444,"")</f>
        <v/>
      </c>
      <c r="Q1444" s="3">
        <f>IF(P1444="","",IF(P1444&lt;-0.02,"🔴 Bán phá giá sàn",IF(P1444&gt;0.05,"🔵 Bán cao hơn","🟢 Đúng giá sàn TMĐT")))</f>
        <v/>
      </c>
      <c r="R1444" s="3" t="n"/>
      <c r="S1444" s="4" t="n"/>
      <c r="T1444" s="4" t="n"/>
    </row>
    <row r="1445">
      <c r="A1445" s="3" t="n">
        <v>1444</v>
      </c>
      <c r="B1445" s="3" t="inlineStr">
        <is>
          <t>DL014</t>
        </is>
      </c>
      <c r="C1445" s="4" t="inlineStr">
        <is>
          <t>Điện máy Anh Anh</t>
        </is>
      </c>
      <c r="D1445" s="3" t="inlineStr">
        <is>
          <t>HN</t>
        </is>
      </c>
      <c r="E1445" s="3" t="inlineStr">
        <is>
          <t>ĐIỆP</t>
        </is>
      </c>
      <c r="F1445" s="3" t="inlineStr">
        <is>
          <t>Tiktok</t>
        </is>
      </c>
      <c r="G1445" s="4" t="inlineStr">
        <is>
          <t>SHOPEE: TIKTOK: https://vt.tiktok.com/ZS9UMxDj8orfa-HFRLE/ LAZADA: WEBSITE BÁN HÀNG:</t>
        </is>
      </c>
      <c r="H1445" s="3" t="inlineStr">
        <is>
          <t>KH1-21</t>
        </is>
      </c>
      <c r="I1445" s="4" t="inlineStr">
        <is>
          <t>Cờ lê KH1-21</t>
        </is>
      </c>
      <c r="J1445" s="3" t="inlineStr">
        <is>
          <t>Cái</t>
        </is>
      </c>
      <c r="K1445" s="5" t="n">
        <v>57000</v>
      </c>
      <c r="L1445" s="5" t="n">
        <v>67000</v>
      </c>
      <c r="M1445" s="6" t="n">
        <v>83000</v>
      </c>
      <c r="N1445" s="5" t="n"/>
      <c r="O1445" s="5">
        <f>IF(AND(ISNUMBER(N1445),ISNUMBER(M1445)),N1445-M1445,"")</f>
        <v/>
      </c>
      <c r="P1445" s="7">
        <f>IF(AND(ISNUMBER(N1445),ISNUMBER(M1445),M1445&gt;0),(N1445-M1445)/M1445,"")</f>
        <v/>
      </c>
      <c r="Q1445" s="3">
        <f>IF(P1445="","",IF(P1445&lt;-0.02,"🔴 Bán phá giá sàn",IF(P1445&gt;0.05,"🔵 Bán cao hơn","🟢 Đúng giá sàn TMĐT")))</f>
        <v/>
      </c>
      <c r="R1445" s="3" t="n"/>
      <c r="S1445" s="4" t="n"/>
      <c r="T1445" s="4" t="n"/>
    </row>
    <row r="1446">
      <c r="A1446" s="3" t="n">
        <v>1445</v>
      </c>
      <c r="B1446" s="3" t="inlineStr">
        <is>
          <t>DL014</t>
        </is>
      </c>
      <c r="C1446" s="4" t="inlineStr">
        <is>
          <t>Điện máy Anh Anh</t>
        </is>
      </c>
      <c r="D1446" s="3" t="inlineStr">
        <is>
          <t>HN</t>
        </is>
      </c>
      <c r="E1446" s="3" t="inlineStr">
        <is>
          <t>ĐIỆP</t>
        </is>
      </c>
      <c r="F1446" s="3" t="inlineStr">
        <is>
          <t>Tiktok</t>
        </is>
      </c>
      <c r="G1446" s="4" t="inlineStr">
        <is>
          <t>SHOPEE: TIKTOK: https://vt.tiktok.com/ZS9UMxDj8orfa-HFRLE/ LAZADA: WEBSITE BÁN HÀNG:</t>
        </is>
      </c>
      <c r="H1446" s="3" t="inlineStr">
        <is>
          <t>KH1-22</t>
        </is>
      </c>
      <c r="I1446" s="4" t="inlineStr">
        <is>
          <t>Cờ lê KH1-22</t>
        </is>
      </c>
      <c r="J1446" s="3" t="inlineStr">
        <is>
          <t>Cái</t>
        </is>
      </c>
      <c r="K1446" s="5" t="n">
        <v>59000</v>
      </c>
      <c r="L1446" s="5" t="n">
        <v>70000</v>
      </c>
      <c r="M1446" s="6" t="n">
        <v>86000</v>
      </c>
      <c r="N1446" s="5" t="n"/>
      <c r="O1446" s="5">
        <f>IF(AND(ISNUMBER(N1446),ISNUMBER(M1446)),N1446-M1446,"")</f>
        <v/>
      </c>
      <c r="P1446" s="7">
        <f>IF(AND(ISNUMBER(N1446),ISNUMBER(M1446),M1446&gt;0),(N1446-M1446)/M1446,"")</f>
        <v/>
      </c>
      <c r="Q1446" s="3">
        <f>IF(P1446="","",IF(P1446&lt;-0.02,"🔴 Bán phá giá sàn",IF(P1446&gt;0.05,"🔵 Bán cao hơn","🟢 Đúng giá sàn TMĐT")))</f>
        <v/>
      </c>
      <c r="R1446" s="3" t="n"/>
      <c r="S1446" s="4" t="n"/>
      <c r="T1446" s="4" t="n"/>
    </row>
    <row r="1447">
      <c r="A1447" s="3" t="n">
        <v>1446</v>
      </c>
      <c r="B1447" s="3" t="inlineStr">
        <is>
          <t>DL014</t>
        </is>
      </c>
      <c r="C1447" s="4" t="inlineStr">
        <is>
          <t>Điện máy Anh Anh</t>
        </is>
      </c>
      <c r="D1447" s="3" t="inlineStr">
        <is>
          <t>HN</t>
        </is>
      </c>
      <c r="E1447" s="3" t="inlineStr">
        <is>
          <t>ĐIỆP</t>
        </is>
      </c>
      <c r="F1447" s="3" t="inlineStr">
        <is>
          <t>Tiktok</t>
        </is>
      </c>
      <c r="G1447" s="4" t="inlineStr">
        <is>
          <t>SHOPEE: TIKTOK: https://vt.tiktok.com/ZS9UMxDj8orfa-HFRLE/ LAZADA: WEBSITE BÁN HÀNG:</t>
        </is>
      </c>
      <c r="H1447" s="3" t="inlineStr">
        <is>
          <t>KH1-24</t>
        </is>
      </c>
      <c r="I1447" s="4" t="inlineStr">
        <is>
          <t>Cờ lê KH1-24</t>
        </is>
      </c>
      <c r="J1447" s="3" t="inlineStr">
        <is>
          <t>Cái</t>
        </is>
      </c>
      <c r="K1447" s="5" t="n">
        <v>76000</v>
      </c>
      <c r="L1447" s="5" t="n">
        <v>90000</v>
      </c>
      <c r="M1447" s="6" t="n">
        <v>110000</v>
      </c>
      <c r="N1447" s="5" t="n"/>
      <c r="O1447" s="5">
        <f>IF(AND(ISNUMBER(N1447),ISNUMBER(M1447)),N1447-M1447,"")</f>
        <v/>
      </c>
      <c r="P1447" s="7">
        <f>IF(AND(ISNUMBER(N1447),ISNUMBER(M1447),M1447&gt;0),(N1447-M1447)/M1447,"")</f>
        <v/>
      </c>
      <c r="Q1447" s="3">
        <f>IF(P1447="","",IF(P1447&lt;-0.02,"🔴 Bán phá giá sàn",IF(P1447&gt;0.05,"🔵 Bán cao hơn","🟢 Đúng giá sàn TMĐT")))</f>
        <v/>
      </c>
      <c r="R1447" s="3" t="n"/>
      <c r="S1447" s="4" t="n"/>
      <c r="T1447" s="4" t="n"/>
    </row>
    <row r="1448">
      <c r="A1448" s="3" t="n">
        <v>1447</v>
      </c>
      <c r="B1448" s="3" t="inlineStr">
        <is>
          <t>DL014</t>
        </is>
      </c>
      <c r="C1448" s="4" t="inlineStr">
        <is>
          <t>Điện máy Anh Anh</t>
        </is>
      </c>
      <c r="D1448" s="3" t="inlineStr">
        <is>
          <t>HN</t>
        </is>
      </c>
      <c r="E1448" s="3" t="inlineStr">
        <is>
          <t>ĐIỆP</t>
        </is>
      </c>
      <c r="F1448" s="3" t="inlineStr">
        <is>
          <t>Tiktok</t>
        </is>
      </c>
      <c r="G1448" s="4" t="inlineStr">
        <is>
          <t>SHOPEE: TIKTOK: https://vt.tiktok.com/ZS9UMxDj8orfa-HFRLE/ LAZADA: WEBSITE BÁN HÀNG:</t>
        </is>
      </c>
      <c r="H1448" s="3" t="inlineStr"/>
      <c r="I1448" s="4" t="inlineStr">
        <is>
          <t>Cờ lê lực 17mm</t>
        </is>
      </c>
      <c r="J1448" s="3" t="inlineStr">
        <is>
          <t>Cái</t>
        </is>
      </c>
      <c r="K1448" s="5" t="n">
        <v>269000</v>
      </c>
      <c r="L1448" s="5" t="n">
        <v>317000</v>
      </c>
      <c r="M1448" s="6" t="n">
        <v>390000</v>
      </c>
      <c r="N1448" s="5" t="n"/>
      <c r="O1448" s="5">
        <f>IF(AND(ISNUMBER(N1448),ISNUMBER(M1448)),N1448-M1448,"")</f>
        <v/>
      </c>
      <c r="P1448" s="7">
        <f>IF(AND(ISNUMBER(N1448),ISNUMBER(M1448),M1448&gt;0),(N1448-M1448)/M1448,"")</f>
        <v/>
      </c>
      <c r="Q1448" s="3">
        <f>IF(P1448="","",IF(P1448&lt;-0.02,"🔴 Bán phá giá sàn",IF(P1448&gt;0.05,"🔵 Bán cao hơn","🟢 Đúng giá sàn TMĐT")))</f>
        <v/>
      </c>
      <c r="R1448" s="3" t="n"/>
      <c r="S1448" s="4" t="n"/>
      <c r="T1448" s="4" t="n"/>
    </row>
    <row r="1449">
      <c r="A1449" s="3" t="n">
        <v>1448</v>
      </c>
      <c r="B1449" s="3" t="inlineStr">
        <is>
          <t>DL014</t>
        </is>
      </c>
      <c r="C1449" s="4" t="inlineStr">
        <is>
          <t>Điện máy Anh Anh</t>
        </is>
      </c>
      <c r="D1449" s="3" t="inlineStr">
        <is>
          <t>HN</t>
        </is>
      </c>
      <c r="E1449" s="3" t="inlineStr">
        <is>
          <t>ĐIỆP</t>
        </is>
      </c>
      <c r="F1449" s="3" t="inlineStr">
        <is>
          <t>Tiktok</t>
        </is>
      </c>
      <c r="G1449" s="4" t="inlineStr">
        <is>
          <t>SHOPEE: TIKTOK: https://vt.tiktok.com/ZS9UMxDj8orfa-HFRLE/ LAZADA: WEBSITE BÁN HÀNG:</t>
        </is>
      </c>
      <c r="H1449" s="3" t="inlineStr"/>
      <c r="I1449" s="4" t="inlineStr">
        <is>
          <t>Cờ lê lực 22mm</t>
        </is>
      </c>
      <c r="J1449" s="3" t="inlineStr">
        <is>
          <t>Cái</t>
        </is>
      </c>
      <c r="K1449" s="5" t="n">
        <v>269000</v>
      </c>
      <c r="L1449" s="5" t="n">
        <v>317000</v>
      </c>
      <c r="M1449" s="6" t="n">
        <v>390000</v>
      </c>
      <c r="N1449" s="5" t="n"/>
      <c r="O1449" s="5">
        <f>IF(AND(ISNUMBER(N1449),ISNUMBER(M1449)),N1449-M1449,"")</f>
        <v/>
      </c>
      <c r="P1449" s="7">
        <f>IF(AND(ISNUMBER(N1449),ISNUMBER(M1449),M1449&gt;0),(N1449-M1449)/M1449,"")</f>
        <v/>
      </c>
      <c r="Q1449" s="3">
        <f>IF(P1449="","",IF(P1449&lt;-0.02,"🔴 Bán phá giá sàn",IF(P1449&gt;0.05,"🔵 Bán cao hơn","🟢 Đúng giá sàn TMĐT")))</f>
        <v/>
      </c>
      <c r="R1449" s="3" t="n"/>
      <c r="S1449" s="4" t="n"/>
      <c r="T1449" s="4" t="n"/>
    </row>
    <row r="1450">
      <c r="A1450" s="3" t="n">
        <v>1449</v>
      </c>
      <c r="B1450" s="3" t="inlineStr">
        <is>
          <t>DL014</t>
        </is>
      </c>
      <c r="C1450" s="4" t="inlineStr">
        <is>
          <t>Điện máy Anh Anh</t>
        </is>
      </c>
      <c r="D1450" s="3" t="inlineStr">
        <is>
          <t>HN</t>
        </is>
      </c>
      <c r="E1450" s="3" t="inlineStr">
        <is>
          <t>ĐIỆP</t>
        </is>
      </c>
      <c r="F1450" s="3" t="inlineStr">
        <is>
          <t>Tiktok</t>
        </is>
      </c>
      <c r="G1450" s="4" t="inlineStr">
        <is>
          <t>SHOPEE: TIKTOK: https://vt.tiktok.com/ZS9UMxDj8orfa-HFRLE/ LAZADA: WEBSITE BÁN HÀNG:</t>
        </is>
      </c>
      <c r="H1450" s="3" t="inlineStr"/>
      <c r="I1450" s="4" t="inlineStr">
        <is>
          <t>Cờ lê lực 24mm</t>
        </is>
      </c>
      <c r="J1450" s="3" t="inlineStr">
        <is>
          <t>Cái</t>
        </is>
      </c>
      <c r="K1450" s="5" t="n">
        <v>269000</v>
      </c>
      <c r="L1450" s="5" t="n">
        <v>317000</v>
      </c>
      <c r="M1450" s="6" t="n">
        <v>390000</v>
      </c>
      <c r="N1450" s="5" t="n"/>
      <c r="O1450" s="5">
        <f>IF(AND(ISNUMBER(N1450),ISNUMBER(M1450)),N1450-M1450,"")</f>
        <v/>
      </c>
      <c r="P1450" s="7">
        <f>IF(AND(ISNUMBER(N1450),ISNUMBER(M1450),M1450&gt;0),(N1450-M1450)/M1450,"")</f>
        <v/>
      </c>
      <c r="Q1450" s="3">
        <f>IF(P1450="","",IF(P1450&lt;-0.02,"🔴 Bán phá giá sàn",IF(P1450&gt;0.05,"🔵 Bán cao hơn","🟢 Đúng giá sàn TMĐT")))</f>
        <v/>
      </c>
      <c r="R1450" s="3" t="n"/>
      <c r="S1450" s="4" t="n"/>
      <c r="T1450" s="4" t="n"/>
    </row>
    <row r="1451">
      <c r="A1451" s="3" t="n">
        <v>1450</v>
      </c>
      <c r="B1451" s="3" t="inlineStr">
        <is>
          <t>DL014</t>
        </is>
      </c>
      <c r="C1451" s="4" t="inlineStr">
        <is>
          <t>Điện máy Anh Anh</t>
        </is>
      </c>
      <c r="D1451" s="3" t="inlineStr">
        <is>
          <t>HN</t>
        </is>
      </c>
      <c r="E1451" s="3" t="inlineStr">
        <is>
          <t>ĐIỆP</t>
        </is>
      </c>
      <c r="F1451" s="3" t="inlineStr">
        <is>
          <t>Tiktok</t>
        </is>
      </c>
      <c r="G1451" s="4" t="inlineStr">
        <is>
          <t>SHOPEE: TIKTOK: https://vt.tiktok.com/ZS9UMxDj8orfa-HFRLE/ LAZADA: WEBSITE BÁN HÀNG:</t>
        </is>
      </c>
      <c r="H1451" s="3" t="inlineStr"/>
      <c r="I1451" s="4" t="inlineStr">
        <is>
          <t>Cờ lê lực 26mm</t>
        </is>
      </c>
      <c r="J1451" s="3" t="inlineStr">
        <is>
          <t>Cái</t>
        </is>
      </c>
      <c r="K1451" s="5" t="n">
        <v>269000</v>
      </c>
      <c r="L1451" s="5" t="n">
        <v>317000</v>
      </c>
      <c r="M1451" s="6" t="n">
        <v>390000</v>
      </c>
      <c r="N1451" s="5" t="n"/>
      <c r="O1451" s="5">
        <f>IF(AND(ISNUMBER(N1451),ISNUMBER(M1451)),N1451-M1451,"")</f>
        <v/>
      </c>
      <c r="P1451" s="7">
        <f>IF(AND(ISNUMBER(N1451),ISNUMBER(M1451),M1451&gt;0),(N1451-M1451)/M1451,"")</f>
        <v/>
      </c>
      <c r="Q1451" s="3">
        <f>IF(P1451="","",IF(P1451&lt;-0.02,"🔴 Bán phá giá sàn",IF(P1451&gt;0.05,"🔵 Bán cao hơn","🟢 Đúng giá sàn TMĐT")))</f>
        <v/>
      </c>
      <c r="R1451" s="3" t="n"/>
      <c r="S1451" s="4" t="n"/>
      <c r="T1451" s="4" t="n"/>
    </row>
    <row r="1452">
      <c r="A1452" s="3" t="n">
        <v>1451</v>
      </c>
      <c r="B1452" s="3" t="inlineStr">
        <is>
          <t>DL014</t>
        </is>
      </c>
      <c r="C1452" s="4" t="inlineStr">
        <is>
          <t>Điện máy Anh Anh</t>
        </is>
      </c>
      <c r="D1452" s="3" t="inlineStr">
        <is>
          <t>HN</t>
        </is>
      </c>
      <c r="E1452" s="3" t="inlineStr">
        <is>
          <t>ĐIỆP</t>
        </is>
      </c>
      <c r="F1452" s="3" t="inlineStr">
        <is>
          <t>Tiktok</t>
        </is>
      </c>
      <c r="G1452" s="4" t="inlineStr">
        <is>
          <t>SHOPEE: TIKTOK: https://vt.tiktok.com/ZS9UMxDj8orfa-HFRLE/ LAZADA: WEBSITE BÁN HÀNG:</t>
        </is>
      </c>
      <c r="H1452" s="3" t="inlineStr"/>
      <c r="I1452" s="4" t="inlineStr">
        <is>
          <t>Cờ lê lực thao tác nhanh 24mm</t>
        </is>
      </c>
      <c r="J1452" s="3" t="inlineStr">
        <is>
          <t>Cái</t>
        </is>
      </c>
      <c r="K1452" s="5" t="n">
        <v>269000</v>
      </c>
      <c r="L1452" s="5" t="n">
        <v>317000</v>
      </c>
      <c r="M1452" s="6" t="n">
        <v>390000</v>
      </c>
      <c r="N1452" s="5" t="n"/>
      <c r="O1452" s="5">
        <f>IF(AND(ISNUMBER(N1452),ISNUMBER(M1452)),N1452-M1452,"")</f>
        <v/>
      </c>
      <c r="P1452" s="7">
        <f>IF(AND(ISNUMBER(N1452),ISNUMBER(M1452),M1452&gt;0),(N1452-M1452)/M1452,"")</f>
        <v/>
      </c>
      <c r="Q1452" s="3">
        <f>IF(P1452="","",IF(P1452&lt;-0.02,"🔴 Bán phá giá sàn",IF(P1452&gt;0.05,"🔵 Bán cao hơn","🟢 Đúng giá sàn TMĐT")))</f>
        <v/>
      </c>
      <c r="R1452" s="3" t="n"/>
      <c r="S1452" s="4" t="n"/>
      <c r="T1452" s="4" t="n"/>
    </row>
    <row r="1453">
      <c r="A1453" s="3" t="n">
        <v>1452</v>
      </c>
      <c r="B1453" s="3" t="inlineStr">
        <is>
          <t>DL014</t>
        </is>
      </c>
      <c r="C1453" s="4" t="inlineStr">
        <is>
          <t>Điện máy Anh Anh</t>
        </is>
      </c>
      <c r="D1453" s="3" t="inlineStr">
        <is>
          <t>HN</t>
        </is>
      </c>
      <c r="E1453" s="3" t="inlineStr">
        <is>
          <t>ĐIỆP</t>
        </is>
      </c>
      <c r="F1453" s="3" t="inlineStr">
        <is>
          <t>Tiktok</t>
        </is>
      </c>
      <c r="G1453" s="4" t="inlineStr">
        <is>
          <t>SHOPEE: TIKTOK: https://vt.tiktok.com/ZS9UMxDj8orfa-HFRLE/ LAZADA: WEBSITE BÁN HÀNG:</t>
        </is>
      </c>
      <c r="H1453" s="3" t="inlineStr">
        <is>
          <t>KRS-55N</t>
        </is>
      </c>
      <c r="I1453" s="4" t="inlineStr">
        <is>
          <t>Combo máy khoan 3 Chức Năng 18V K18QES (thân máy + KRS-55N + Pin 6.0Ah + Sạc nhanh</t>
        </is>
      </c>
      <c r="J1453" s="3" t="inlineStr">
        <is>
          <t>Cái</t>
        </is>
      </c>
      <c r="K1453" s="5" t="n">
        <v>269000</v>
      </c>
      <c r="L1453" s="5" t="n">
        <v>317000</v>
      </c>
      <c r="M1453" s="6" t="n">
        <v>390000</v>
      </c>
      <c r="N1453" s="5" t="n"/>
      <c r="O1453" s="5">
        <f>IF(AND(ISNUMBER(N1453),ISNUMBER(M1453)),N1453-M1453,"")</f>
        <v/>
      </c>
      <c r="P1453" s="7">
        <f>IF(AND(ISNUMBER(N1453),ISNUMBER(M1453),M1453&gt;0),(N1453-M1453)/M1453,"")</f>
        <v/>
      </c>
      <c r="Q1453" s="3">
        <f>IF(P1453="","",IF(P1453&lt;-0.02,"🔴 Bán phá giá sàn",IF(P1453&gt;0.05,"🔵 Bán cao hơn","🟢 Đúng giá sàn TMĐT")))</f>
        <v/>
      </c>
      <c r="R1453" s="3" t="n"/>
      <c r="S1453" s="4" t="n"/>
      <c r="T1453" s="4" t="n"/>
    </row>
    <row r="1454">
      <c r="A1454" s="3" t="n">
        <v>1453</v>
      </c>
      <c r="B1454" s="3" t="inlineStr">
        <is>
          <t>DL014</t>
        </is>
      </c>
      <c r="C1454" s="4" t="inlineStr">
        <is>
          <t>Điện máy Anh Anh</t>
        </is>
      </c>
      <c r="D1454" s="3" t="inlineStr">
        <is>
          <t>HN</t>
        </is>
      </c>
      <c r="E1454" s="3" t="inlineStr">
        <is>
          <t>ĐIỆP</t>
        </is>
      </c>
      <c r="F1454" s="3" t="inlineStr">
        <is>
          <t>Tiktok</t>
        </is>
      </c>
      <c r="G1454" s="4" t="inlineStr">
        <is>
          <t>SHOPEE: TIKTOK: https://vt.tiktok.com/ZS9UMxDj8orfa-HFRLE/ LAZADA: WEBSITE BÁN HÀNG:</t>
        </is>
      </c>
      <c r="H1454" s="3" t="inlineStr">
        <is>
          <t>KRS-55N</t>
        </is>
      </c>
      <c r="I1454" s="4" t="inlineStr">
        <is>
          <t>Combo máy khoan 3 Chức Năng 18V K18QES (thân máy + KRS-55N)</t>
        </is>
      </c>
      <c r="J1454" s="3" t="inlineStr">
        <is>
          <t>Cái</t>
        </is>
      </c>
      <c r="K1454" s="5" t="n">
        <v>269000</v>
      </c>
      <c r="L1454" s="5" t="n">
        <v>317000</v>
      </c>
      <c r="M1454" s="6" t="n">
        <v>390000</v>
      </c>
      <c r="N1454" s="5" t="n"/>
      <c r="O1454" s="5">
        <f>IF(AND(ISNUMBER(N1454),ISNUMBER(M1454)),N1454-M1454,"")</f>
        <v/>
      </c>
      <c r="P1454" s="7">
        <f>IF(AND(ISNUMBER(N1454),ISNUMBER(M1454),M1454&gt;0),(N1454-M1454)/M1454,"")</f>
        <v/>
      </c>
      <c r="Q1454" s="3">
        <f>IF(P1454="","",IF(P1454&lt;-0.02,"🔴 Bán phá giá sàn",IF(P1454&gt;0.05,"🔵 Bán cao hơn","🟢 Đúng giá sàn TMĐT")))</f>
        <v/>
      </c>
      <c r="R1454" s="3" t="n"/>
      <c r="S1454" s="4" t="n"/>
      <c r="T1454" s="4" t="n"/>
    </row>
    <row r="1455">
      <c r="A1455" s="3" t="n">
        <v>1454</v>
      </c>
      <c r="B1455" s="3" t="inlineStr">
        <is>
          <t>DL014</t>
        </is>
      </c>
      <c r="C1455" s="4" t="inlineStr">
        <is>
          <t>Điện máy Anh Anh</t>
        </is>
      </c>
      <c r="D1455" s="3" t="inlineStr">
        <is>
          <t>HN</t>
        </is>
      </c>
      <c r="E1455" s="3" t="inlineStr">
        <is>
          <t>ĐIỆP</t>
        </is>
      </c>
      <c r="F1455" s="3" t="inlineStr">
        <is>
          <t>Tiktok</t>
        </is>
      </c>
      <c r="G1455" s="4" t="inlineStr">
        <is>
          <t>SHOPEE: TIKTOK: https://vt.tiktok.com/ZS9UMxDj8orfa-HFRLE/ LAZADA: WEBSITE BÁN HÀNG:</t>
        </is>
      </c>
      <c r="H1455" s="3" t="inlineStr">
        <is>
          <t>KRS-60N</t>
        </is>
      </c>
      <c r="I1455" s="4" t="inlineStr">
        <is>
          <t>Combo máy khoan 3 Chức Năng 18V K18QES (thân máy + KRS-60N)</t>
        </is>
      </c>
      <c r="J1455" s="3" t="inlineStr">
        <is>
          <t>Cái</t>
        </is>
      </c>
      <c r="K1455" s="5" t="n">
        <v>269000</v>
      </c>
      <c r="L1455" s="5" t="n">
        <v>317000</v>
      </c>
      <c r="M1455" s="6" t="n">
        <v>390000</v>
      </c>
      <c r="N1455" s="5" t="n"/>
      <c r="O1455" s="5">
        <f>IF(AND(ISNUMBER(N1455),ISNUMBER(M1455)),N1455-M1455,"")</f>
        <v/>
      </c>
      <c r="P1455" s="7">
        <f>IF(AND(ISNUMBER(N1455),ISNUMBER(M1455),M1455&gt;0),(N1455-M1455)/M1455,"")</f>
        <v/>
      </c>
      <c r="Q1455" s="3">
        <f>IF(P1455="","",IF(P1455&lt;-0.02,"🔴 Bán phá giá sàn",IF(P1455&gt;0.05,"🔵 Bán cao hơn","🟢 Đúng giá sàn TMĐT")))</f>
        <v/>
      </c>
      <c r="R1455" s="3" t="n"/>
      <c r="S1455" s="4" t="n"/>
      <c r="T1455" s="4" t="n"/>
    </row>
    <row r="1456">
      <c r="A1456" s="3" t="n">
        <v>1455</v>
      </c>
      <c r="B1456" s="3" t="inlineStr">
        <is>
          <t>DL014</t>
        </is>
      </c>
      <c r="C1456" s="4" t="inlineStr">
        <is>
          <t>Điện máy Anh Anh</t>
        </is>
      </c>
      <c r="D1456" s="3" t="inlineStr">
        <is>
          <t>HN</t>
        </is>
      </c>
      <c r="E1456" s="3" t="inlineStr">
        <is>
          <t>ĐIỆP</t>
        </is>
      </c>
      <c r="F1456" s="3" t="inlineStr">
        <is>
          <t>Tiktok</t>
        </is>
      </c>
      <c r="G1456" s="4" t="inlineStr">
        <is>
          <t>SHOPEE: TIKTOK: https://vt.tiktok.com/ZS9UMxDj8orfa-HFRLE/ LAZADA: WEBSITE BÁN HÀNG:</t>
        </is>
      </c>
      <c r="H1456" s="3" t="inlineStr">
        <is>
          <t>KB-ST18</t>
        </is>
      </c>
      <c r="I1456" s="4" t="inlineStr">
        <is>
          <t>Công cụ đóng đinh bán tự động KB-ST18</t>
        </is>
      </c>
      <c r="J1456" s="3" t="inlineStr">
        <is>
          <t>Cái</t>
        </is>
      </c>
      <c r="K1456" s="5" t="n">
        <v>242000</v>
      </c>
      <c r="L1456" s="5" t="n">
        <v>286000</v>
      </c>
      <c r="M1456" s="6" t="n">
        <v>351000</v>
      </c>
      <c r="N1456" s="5" t="n"/>
      <c r="O1456" s="5">
        <f>IF(AND(ISNUMBER(N1456),ISNUMBER(M1456)),N1456-M1456,"")</f>
        <v/>
      </c>
      <c r="P1456" s="7">
        <f>IF(AND(ISNUMBER(N1456),ISNUMBER(M1456),M1456&gt;0),(N1456-M1456)/M1456,"")</f>
        <v/>
      </c>
      <c r="Q1456" s="3">
        <f>IF(P1456="","",IF(P1456&lt;-0.02,"🔴 Bán phá giá sàn",IF(P1456&gt;0.05,"🔵 Bán cao hơn","🟢 Đúng giá sàn TMĐT")))</f>
        <v/>
      </c>
      <c r="R1456" s="3" t="n"/>
      <c r="S1456" s="4" t="n"/>
      <c r="T1456" s="4" t="n"/>
    </row>
    <row r="1457">
      <c r="A1457" s="3" t="n">
        <v>1456</v>
      </c>
      <c r="B1457" s="3" t="inlineStr">
        <is>
          <t>DL014</t>
        </is>
      </c>
      <c r="C1457" s="4" t="inlineStr">
        <is>
          <t>Điện máy Anh Anh</t>
        </is>
      </c>
      <c r="D1457" s="3" t="inlineStr">
        <is>
          <t>HN</t>
        </is>
      </c>
      <c r="E1457" s="3" t="inlineStr">
        <is>
          <t>ĐIỆP</t>
        </is>
      </c>
      <c r="F1457" s="3" t="inlineStr">
        <is>
          <t>Tiktok</t>
        </is>
      </c>
      <c r="G1457" s="4" t="inlineStr">
        <is>
          <t>SHOPEE: TIKTOK: https://vt.tiktok.com/ZS9UMxDj8orfa-HFRLE/ LAZADA: WEBSITE BÁN HÀNG:</t>
        </is>
      </c>
      <c r="H1457" s="3" t="inlineStr">
        <is>
          <t>ES180i</t>
        </is>
      </c>
      <c r="I1457" s="4" t="inlineStr">
        <is>
          <t>Cưa gấp KingBlue ES180i</t>
        </is>
      </c>
      <c r="J1457" s="3" t="inlineStr">
        <is>
          <t>Cái</t>
        </is>
      </c>
      <c r="K1457" s="5" t="n">
        <v>139000</v>
      </c>
      <c r="L1457" s="5" t="n">
        <v>164000</v>
      </c>
      <c r="M1457" s="6" t="n">
        <v>202000</v>
      </c>
      <c r="N1457" s="5" t="n"/>
      <c r="O1457" s="5">
        <f>IF(AND(ISNUMBER(N1457),ISNUMBER(M1457)),N1457-M1457,"")</f>
        <v/>
      </c>
      <c r="P1457" s="7">
        <f>IF(AND(ISNUMBER(N1457),ISNUMBER(M1457),M1457&gt;0),(N1457-M1457)/M1457,"")</f>
        <v/>
      </c>
      <c r="Q1457" s="3">
        <f>IF(P1457="","",IF(P1457&lt;-0.02,"🔴 Bán phá giá sàn",IF(P1457&gt;0.05,"🔵 Bán cao hơn","🟢 Đúng giá sàn TMĐT")))</f>
        <v/>
      </c>
      <c r="R1457" s="3" t="n"/>
      <c r="S1457" s="4" t="n"/>
      <c r="T1457" s="4" t="n"/>
    </row>
    <row r="1458">
      <c r="A1458" s="3" t="n">
        <v>1457</v>
      </c>
      <c r="B1458" s="3" t="inlineStr">
        <is>
          <t>DL014</t>
        </is>
      </c>
      <c r="C1458" s="4" t="inlineStr">
        <is>
          <t>Điện máy Anh Anh</t>
        </is>
      </c>
      <c r="D1458" s="3" t="inlineStr">
        <is>
          <t>HN</t>
        </is>
      </c>
      <c r="E1458" s="3" t="inlineStr">
        <is>
          <t>ĐIỆP</t>
        </is>
      </c>
      <c r="F1458" s="3" t="inlineStr">
        <is>
          <t>Tiktok</t>
        </is>
      </c>
      <c r="G1458" s="4" t="inlineStr">
        <is>
          <t>SHOPEE: TIKTOK: https://vt.tiktok.com/ZS9UMxDj8orfa-HFRLE/ LAZADA: WEBSITE BÁN HÀNG:</t>
        </is>
      </c>
      <c r="H1458" s="3" t="inlineStr">
        <is>
          <t>ES250</t>
        </is>
      </c>
      <c r="I1458" s="4" t="inlineStr">
        <is>
          <t>Cưa gấp KingBlue ES250</t>
        </is>
      </c>
      <c r="J1458" s="3" t="inlineStr">
        <is>
          <t>Cái</t>
        </is>
      </c>
      <c r="K1458" s="5" t="n">
        <v>185000</v>
      </c>
      <c r="L1458" s="5" t="n">
        <v>218000</v>
      </c>
      <c r="M1458" s="6" t="n">
        <v>268000</v>
      </c>
      <c r="N1458" s="5" t="n"/>
      <c r="O1458" s="5">
        <f>IF(AND(ISNUMBER(N1458),ISNUMBER(M1458)),N1458-M1458,"")</f>
        <v/>
      </c>
      <c r="P1458" s="7">
        <f>IF(AND(ISNUMBER(N1458),ISNUMBER(M1458),M1458&gt;0),(N1458-M1458)/M1458,"")</f>
        <v/>
      </c>
      <c r="Q1458" s="3">
        <f>IF(P1458="","",IF(P1458&lt;-0.02,"🔴 Bán phá giá sàn",IF(P1458&gt;0.05,"🔵 Bán cao hơn","🟢 Đúng giá sàn TMĐT")))</f>
        <v/>
      </c>
      <c r="R1458" s="3" t="n"/>
      <c r="S1458" s="4" t="n"/>
      <c r="T1458" s="4" t="n"/>
    </row>
    <row r="1459">
      <c r="A1459" s="3" t="n">
        <v>1458</v>
      </c>
      <c r="B1459" s="3" t="inlineStr">
        <is>
          <t>DL014</t>
        </is>
      </c>
      <c r="C1459" s="4" t="inlineStr">
        <is>
          <t>Điện máy Anh Anh</t>
        </is>
      </c>
      <c r="D1459" s="3" t="inlineStr">
        <is>
          <t>HN</t>
        </is>
      </c>
      <c r="E1459" s="3" t="inlineStr">
        <is>
          <t>ĐIỆP</t>
        </is>
      </c>
      <c r="F1459" s="3" t="inlineStr">
        <is>
          <t>Tiktok</t>
        </is>
      </c>
      <c r="G1459" s="4" t="inlineStr">
        <is>
          <t>SHOPEE: TIKTOK: https://vt.tiktok.com/ZS9UMxDj8orfa-HFRLE/ LAZADA: WEBSITE BÁN HÀNG:</t>
        </is>
      </c>
      <c r="H1459" s="3" t="inlineStr">
        <is>
          <t>D3-180x2.0x22mm</t>
        </is>
      </c>
      <c r="I1459" s="4" t="inlineStr">
        <is>
          <t>Đá cắt sắt, inox Kingblue D3-180x2.0x22mm</t>
        </is>
      </c>
      <c r="J1459" s="3" t="inlineStr">
        <is>
          <t>Cái</t>
        </is>
      </c>
      <c r="K1459" s="5" t="n">
        <v>269000</v>
      </c>
      <c r="L1459" s="5" t="n">
        <v>317000</v>
      </c>
      <c r="M1459" s="6" t="n">
        <v>390000</v>
      </c>
      <c r="N1459" s="5" t="n"/>
      <c r="O1459" s="5">
        <f>IF(AND(ISNUMBER(N1459),ISNUMBER(M1459)),N1459-M1459,"")</f>
        <v/>
      </c>
      <c r="P1459" s="7">
        <f>IF(AND(ISNUMBER(N1459),ISNUMBER(M1459),M1459&gt;0),(N1459-M1459)/M1459,"")</f>
        <v/>
      </c>
      <c r="Q1459" s="3">
        <f>IF(P1459="","",IF(P1459&lt;-0.02,"🔴 Bán phá giá sàn",IF(P1459&gt;0.05,"🔵 Bán cao hơn","🟢 Đúng giá sàn TMĐT")))</f>
        <v/>
      </c>
      <c r="R1459" s="3" t="n"/>
      <c r="S1459" s="4" t="n"/>
      <c r="T1459" s="4" t="n"/>
    </row>
    <row r="1460">
      <c r="A1460" s="3" t="n">
        <v>1459</v>
      </c>
      <c r="B1460" s="3" t="inlineStr">
        <is>
          <t>DL014</t>
        </is>
      </c>
      <c r="C1460" s="4" t="inlineStr">
        <is>
          <t>Điện máy Anh Anh</t>
        </is>
      </c>
      <c r="D1460" s="3" t="inlineStr">
        <is>
          <t>HN</t>
        </is>
      </c>
      <c r="E1460" s="3" t="inlineStr">
        <is>
          <t>ĐIỆP</t>
        </is>
      </c>
      <c r="F1460" s="3" t="inlineStr">
        <is>
          <t>Tiktok</t>
        </is>
      </c>
      <c r="G1460" s="4" t="inlineStr">
        <is>
          <t>SHOPEE: TIKTOK: https://vt.tiktok.com/ZS9UMxDj8orfa-HFRLE/ LAZADA: WEBSITE BÁN HÀNG:</t>
        </is>
      </c>
      <c r="H1460" s="3" t="inlineStr">
        <is>
          <t>KPG-022</t>
        </is>
      </c>
      <c r="I1460" s="4" t="inlineStr">
        <is>
          <t>Dao cắt ống đồng KPG-022</t>
        </is>
      </c>
      <c r="J1460" s="3" t="inlineStr">
        <is>
          <t>Cái</t>
        </is>
      </c>
      <c r="K1460" s="5" t="n">
        <v>269000</v>
      </c>
      <c r="L1460" s="5" t="n">
        <v>317000</v>
      </c>
      <c r="M1460" s="6" t="n">
        <v>390000</v>
      </c>
      <c r="N1460" s="5" t="n"/>
      <c r="O1460" s="5">
        <f>IF(AND(ISNUMBER(N1460),ISNUMBER(M1460)),N1460-M1460,"")</f>
        <v/>
      </c>
      <c r="P1460" s="7">
        <f>IF(AND(ISNUMBER(N1460),ISNUMBER(M1460),M1460&gt;0),(N1460-M1460)/M1460,"")</f>
        <v/>
      </c>
      <c r="Q1460" s="3">
        <f>IF(P1460="","",IF(P1460&lt;-0.02,"🔴 Bán phá giá sàn",IF(P1460&gt;0.05,"🔵 Bán cao hơn","🟢 Đúng giá sàn TMĐT")))</f>
        <v/>
      </c>
      <c r="R1460" s="3" t="n"/>
      <c r="S1460" s="4" t="n"/>
      <c r="T1460" s="4" t="n"/>
    </row>
    <row r="1461">
      <c r="A1461" s="3" t="n">
        <v>1460</v>
      </c>
      <c r="B1461" s="3" t="inlineStr">
        <is>
          <t>DL014</t>
        </is>
      </c>
      <c r="C1461" s="4" t="inlineStr">
        <is>
          <t>Điện máy Anh Anh</t>
        </is>
      </c>
      <c r="D1461" s="3" t="inlineStr">
        <is>
          <t>HN</t>
        </is>
      </c>
      <c r="E1461" s="3" t="inlineStr">
        <is>
          <t>ĐIỆP</t>
        </is>
      </c>
      <c r="F1461" s="3" t="inlineStr">
        <is>
          <t>Tiktok</t>
        </is>
      </c>
      <c r="G1461" s="4" t="inlineStr">
        <is>
          <t>SHOPEE: TIKTOK: https://vt.tiktok.com/ZS9UMxDj8orfa-HFRLE/ LAZADA: WEBSITE BÁN HÀNG:</t>
        </is>
      </c>
      <c r="H1461" s="3" t="inlineStr">
        <is>
          <t>KPG-032</t>
        </is>
      </c>
      <c r="I1461" s="4" t="inlineStr">
        <is>
          <t>Dao cắt ống kim loại KPG-032</t>
        </is>
      </c>
      <c r="J1461" s="3" t="inlineStr">
        <is>
          <t>Cái</t>
        </is>
      </c>
      <c r="K1461" s="5" t="n">
        <v>259000</v>
      </c>
      <c r="L1461" s="5" t="n">
        <v>306000</v>
      </c>
      <c r="M1461" s="6" t="n">
        <v>376000</v>
      </c>
      <c r="N1461" s="5" t="n"/>
      <c r="O1461" s="5">
        <f>IF(AND(ISNUMBER(N1461),ISNUMBER(M1461)),N1461-M1461,"")</f>
        <v/>
      </c>
      <c r="P1461" s="7">
        <f>IF(AND(ISNUMBER(N1461),ISNUMBER(M1461),M1461&gt;0),(N1461-M1461)/M1461,"")</f>
        <v/>
      </c>
      <c r="Q1461" s="3">
        <f>IF(P1461="","",IF(P1461&lt;-0.02,"🔴 Bán phá giá sàn",IF(P1461&gt;0.05,"🔵 Bán cao hơn","🟢 Đúng giá sàn TMĐT")))</f>
        <v/>
      </c>
      <c r="R1461" s="3" t="n"/>
      <c r="S1461" s="4" t="n"/>
      <c r="T1461" s="4" t="n"/>
    </row>
    <row r="1462">
      <c r="A1462" s="3" t="n">
        <v>1461</v>
      </c>
      <c r="B1462" s="3" t="inlineStr">
        <is>
          <t>DL014</t>
        </is>
      </c>
      <c r="C1462" s="4" t="inlineStr">
        <is>
          <t>Điện máy Anh Anh</t>
        </is>
      </c>
      <c r="D1462" s="3" t="inlineStr">
        <is>
          <t>HN</t>
        </is>
      </c>
      <c r="E1462" s="3" t="inlineStr">
        <is>
          <t>ĐIỆP</t>
        </is>
      </c>
      <c r="F1462" s="3" t="inlineStr">
        <is>
          <t>Tiktok</t>
        </is>
      </c>
      <c r="G1462" s="4" t="inlineStr">
        <is>
          <t>SHOPEE: TIKTOK: https://vt.tiktok.com/ZS9UMxDj8orfa-HFRLE/ LAZADA: WEBSITE BÁN HÀNG:</t>
        </is>
      </c>
      <c r="H1462" s="3" t="inlineStr">
        <is>
          <t>KJH-05</t>
        </is>
      </c>
      <c r="I1462" s="4" t="inlineStr">
        <is>
          <t>Dao rọc cáp đa năng KJH-05</t>
        </is>
      </c>
      <c r="J1462" s="3" t="inlineStr">
        <is>
          <t>Cái</t>
        </is>
      </c>
      <c r="K1462" s="5" t="n">
        <v>119000</v>
      </c>
      <c r="L1462" s="5" t="n">
        <v>141000</v>
      </c>
      <c r="M1462" s="6" t="n">
        <v>173000</v>
      </c>
      <c r="N1462" s="5" t="n"/>
      <c r="O1462" s="5">
        <f>IF(AND(ISNUMBER(N1462),ISNUMBER(M1462)),N1462-M1462,"")</f>
        <v/>
      </c>
      <c r="P1462" s="7">
        <f>IF(AND(ISNUMBER(N1462),ISNUMBER(M1462),M1462&gt;0),(N1462-M1462)/M1462,"")</f>
        <v/>
      </c>
      <c r="Q1462" s="3">
        <f>IF(P1462="","",IF(P1462&lt;-0.02,"🔴 Bán phá giá sàn",IF(P1462&gt;0.05,"🔵 Bán cao hơn","🟢 Đúng giá sàn TMĐT")))</f>
        <v/>
      </c>
      <c r="R1462" s="3" t="n"/>
      <c r="S1462" s="4" t="n"/>
      <c r="T1462" s="4" t="n"/>
    </row>
    <row r="1463">
      <c r="A1463" s="3" t="n">
        <v>1462</v>
      </c>
      <c r="B1463" s="3" t="inlineStr">
        <is>
          <t>DL014</t>
        </is>
      </c>
      <c r="C1463" s="4" t="inlineStr">
        <is>
          <t>Điện máy Anh Anh</t>
        </is>
      </c>
      <c r="D1463" s="3" t="inlineStr">
        <is>
          <t>HN</t>
        </is>
      </c>
      <c r="E1463" s="3" t="inlineStr">
        <is>
          <t>ĐIỆP</t>
        </is>
      </c>
      <c r="F1463" s="3" t="inlineStr">
        <is>
          <t>Tiktok</t>
        </is>
      </c>
      <c r="G1463" s="4" t="inlineStr">
        <is>
          <t>SHOPEE: TIKTOK: https://vt.tiktok.com/ZS9UMxDj8orfa-HFRLE/ LAZADA: WEBSITE BÁN HÀNG:</t>
        </is>
      </c>
      <c r="H1463" s="3" t="inlineStr">
        <is>
          <t>CM07</t>
        </is>
      </c>
      <c r="I1463" s="4" t="inlineStr">
        <is>
          <t>Đầu chụp bulon KingBlue CM07</t>
        </is>
      </c>
      <c r="J1463" s="3" t="inlineStr">
        <is>
          <t>Hộp</t>
        </is>
      </c>
      <c r="K1463" s="5" t="n">
        <v>143000</v>
      </c>
      <c r="L1463" s="5" t="n">
        <v>180000</v>
      </c>
      <c r="M1463" s="6" t="n">
        <v>236000</v>
      </c>
      <c r="N1463" s="5" t="n"/>
      <c r="O1463" s="5">
        <f>IF(AND(ISNUMBER(N1463),ISNUMBER(M1463)),N1463-M1463,"")</f>
        <v/>
      </c>
      <c r="P1463" s="7">
        <f>IF(AND(ISNUMBER(N1463),ISNUMBER(M1463),M1463&gt;0),(N1463-M1463)/M1463,"")</f>
        <v/>
      </c>
      <c r="Q1463" s="3">
        <f>IF(P1463="","",IF(P1463&lt;-0.02,"🔴 Bán phá giá sàn",IF(P1463&gt;0.05,"🔵 Bán cao hơn","🟢 Đúng giá sàn TMĐT")))</f>
        <v/>
      </c>
      <c r="R1463" s="3" t="n"/>
      <c r="S1463" s="4" t="n"/>
      <c r="T1463" s="4" t="n"/>
    </row>
    <row r="1464">
      <c r="A1464" s="3" t="n">
        <v>1463</v>
      </c>
      <c r="B1464" s="3" t="inlineStr">
        <is>
          <t>DL014</t>
        </is>
      </c>
      <c r="C1464" s="4" t="inlineStr">
        <is>
          <t>Điện máy Anh Anh</t>
        </is>
      </c>
      <c r="D1464" s="3" t="inlineStr">
        <is>
          <t>HN</t>
        </is>
      </c>
      <c r="E1464" s="3" t="inlineStr">
        <is>
          <t>ĐIỆP</t>
        </is>
      </c>
      <c r="F1464" s="3" t="inlineStr">
        <is>
          <t>Tiktok</t>
        </is>
      </c>
      <c r="G1464" s="4" t="inlineStr">
        <is>
          <t>SHOPEE: TIKTOK: https://vt.tiktok.com/ZS9UMxDj8orfa-HFRLE/ LAZADA: WEBSITE BÁN HÀNG:</t>
        </is>
      </c>
      <c r="H1464" s="3" t="inlineStr">
        <is>
          <t>CM08</t>
        </is>
      </c>
      <c r="I1464" s="4" t="inlineStr">
        <is>
          <t>Đầu chụp bulon KingBlue CM08</t>
        </is>
      </c>
      <c r="J1464" s="3" t="inlineStr">
        <is>
          <t>Hộp</t>
        </is>
      </c>
      <c r="K1464" s="5" t="n">
        <v>154000</v>
      </c>
      <c r="L1464" s="5" t="n">
        <v>194000</v>
      </c>
      <c r="M1464" s="6" t="n">
        <v>254000</v>
      </c>
      <c r="N1464" s="5" t="n"/>
      <c r="O1464" s="5">
        <f>IF(AND(ISNUMBER(N1464),ISNUMBER(M1464)),N1464-M1464,"")</f>
        <v/>
      </c>
      <c r="P1464" s="7">
        <f>IF(AND(ISNUMBER(N1464),ISNUMBER(M1464),M1464&gt;0),(N1464-M1464)/M1464,"")</f>
        <v/>
      </c>
      <c r="Q1464" s="3">
        <f>IF(P1464="","",IF(P1464&lt;-0.02,"🔴 Bán phá giá sàn",IF(P1464&gt;0.05,"🔵 Bán cao hơn","🟢 Đúng giá sàn TMĐT")))</f>
        <v/>
      </c>
      <c r="R1464" s="3" t="n"/>
      <c r="S1464" s="4" t="n"/>
      <c r="T1464" s="4" t="n"/>
    </row>
    <row r="1465">
      <c r="A1465" s="3" t="n">
        <v>1464</v>
      </c>
      <c r="B1465" s="3" t="inlineStr">
        <is>
          <t>DL014</t>
        </is>
      </c>
      <c r="C1465" s="4" t="inlineStr">
        <is>
          <t>Điện máy Anh Anh</t>
        </is>
      </c>
      <c r="D1465" s="3" t="inlineStr">
        <is>
          <t>HN</t>
        </is>
      </c>
      <c r="E1465" s="3" t="inlineStr">
        <is>
          <t>ĐIỆP</t>
        </is>
      </c>
      <c r="F1465" s="3" t="inlineStr">
        <is>
          <t>Tiktok</t>
        </is>
      </c>
      <c r="G1465" s="4" t="inlineStr">
        <is>
          <t>SHOPEE: TIKTOK: https://vt.tiktok.com/ZS9UMxDj8orfa-HFRLE/ LAZADA: WEBSITE BÁN HÀNG:</t>
        </is>
      </c>
      <c r="H1465" s="3" t="inlineStr">
        <is>
          <t>CM10</t>
        </is>
      </c>
      <c r="I1465" s="4" t="inlineStr">
        <is>
          <t>Đầu chụp bulon KingBlue CM10</t>
        </is>
      </c>
      <c r="J1465" s="3" t="inlineStr">
        <is>
          <t>Hộp</t>
        </is>
      </c>
      <c r="K1465" s="5" t="n">
        <v>176000</v>
      </c>
      <c r="L1465" s="5" t="n">
        <v>222000</v>
      </c>
      <c r="M1465" s="6" t="n">
        <v>290000</v>
      </c>
      <c r="N1465" s="5" t="n"/>
      <c r="O1465" s="5">
        <f>IF(AND(ISNUMBER(N1465),ISNUMBER(M1465)),N1465-M1465,"")</f>
        <v/>
      </c>
      <c r="P1465" s="7">
        <f>IF(AND(ISNUMBER(N1465),ISNUMBER(M1465),M1465&gt;0),(N1465-M1465)/M1465,"")</f>
        <v/>
      </c>
      <c r="Q1465" s="3">
        <f>IF(P1465="","",IF(P1465&lt;-0.02,"🔴 Bán phá giá sàn",IF(P1465&gt;0.05,"🔵 Bán cao hơn","🟢 Đúng giá sàn TMĐT")))</f>
        <v/>
      </c>
      <c r="R1465" s="3" t="n"/>
      <c r="S1465" s="4" t="n"/>
      <c r="T1465" s="4" t="n"/>
    </row>
    <row r="1466">
      <c r="A1466" s="3" t="n">
        <v>1465</v>
      </c>
      <c r="B1466" s="3" t="inlineStr">
        <is>
          <t>DL014</t>
        </is>
      </c>
      <c r="C1466" s="4" t="inlineStr">
        <is>
          <t>Điện máy Anh Anh</t>
        </is>
      </c>
      <c r="D1466" s="3" t="inlineStr">
        <is>
          <t>HN</t>
        </is>
      </c>
      <c r="E1466" s="3" t="inlineStr">
        <is>
          <t>ĐIỆP</t>
        </is>
      </c>
      <c r="F1466" s="3" t="inlineStr">
        <is>
          <t>Tiktok</t>
        </is>
      </c>
      <c r="G1466" s="4" t="inlineStr">
        <is>
          <t>SHOPEE: TIKTOK: https://vt.tiktok.com/ZS9UMxDj8orfa-HFRLE/ LAZADA: WEBSITE BÁN HÀNG:</t>
        </is>
      </c>
      <c r="H1466" s="3" t="inlineStr">
        <is>
          <t>CM12</t>
        </is>
      </c>
      <c r="I1466" s="4" t="inlineStr">
        <is>
          <t>Đầu chụp bulon KingBlue CM12</t>
        </is>
      </c>
      <c r="J1466" s="3" t="inlineStr">
        <is>
          <t>Hộp</t>
        </is>
      </c>
      <c r="K1466" s="5" t="n">
        <v>99000</v>
      </c>
      <c r="L1466" s="5" t="n">
        <v>125000</v>
      </c>
      <c r="M1466" s="6" t="n">
        <v>163000</v>
      </c>
      <c r="N1466" s="5" t="n"/>
      <c r="O1466" s="5">
        <f>IF(AND(ISNUMBER(N1466),ISNUMBER(M1466)),N1466-M1466,"")</f>
        <v/>
      </c>
      <c r="P1466" s="7">
        <f>IF(AND(ISNUMBER(N1466),ISNUMBER(M1466),M1466&gt;0),(N1466-M1466)/M1466,"")</f>
        <v/>
      </c>
      <c r="Q1466" s="3">
        <f>IF(P1466="","",IF(P1466&lt;-0.02,"🔴 Bán phá giá sàn",IF(P1466&gt;0.05,"🔵 Bán cao hơn","🟢 Đúng giá sàn TMĐT")))</f>
        <v/>
      </c>
      <c r="R1466" s="3" t="n"/>
      <c r="S1466" s="4" t="n"/>
      <c r="T1466" s="4" t="n"/>
    </row>
    <row r="1467">
      <c r="A1467" s="3" t="n">
        <v>1466</v>
      </c>
      <c r="B1467" s="3" t="inlineStr">
        <is>
          <t>DL014</t>
        </is>
      </c>
      <c r="C1467" s="4" t="inlineStr">
        <is>
          <t>Điện máy Anh Anh</t>
        </is>
      </c>
      <c r="D1467" s="3" t="inlineStr">
        <is>
          <t>HN</t>
        </is>
      </c>
      <c r="E1467" s="3" t="inlineStr">
        <is>
          <t>ĐIỆP</t>
        </is>
      </c>
      <c r="F1467" s="3" t="inlineStr">
        <is>
          <t>Tiktok</t>
        </is>
      </c>
      <c r="G1467" s="4" t="inlineStr">
        <is>
          <t>SHOPEE: TIKTOK: https://vt.tiktok.com/ZS9UMxDj8orfa-HFRLE/ LAZADA: WEBSITE BÁN HÀNG:</t>
        </is>
      </c>
      <c r="H1467" s="3" t="inlineStr">
        <is>
          <t>CM13</t>
        </is>
      </c>
      <c r="I1467" s="4" t="inlineStr">
        <is>
          <t>Đầu chụp bulon KingBlue CM13</t>
        </is>
      </c>
      <c r="J1467" s="3" t="inlineStr">
        <is>
          <t>Hộp</t>
        </is>
      </c>
      <c r="K1467" s="5" t="n">
        <v>105000</v>
      </c>
      <c r="L1467" s="5" t="n">
        <v>132000</v>
      </c>
      <c r="M1467" s="6" t="n">
        <v>173000</v>
      </c>
      <c r="N1467" s="5" t="n"/>
      <c r="O1467" s="5">
        <f>IF(AND(ISNUMBER(N1467),ISNUMBER(M1467)),N1467-M1467,"")</f>
        <v/>
      </c>
      <c r="P1467" s="7">
        <f>IF(AND(ISNUMBER(N1467),ISNUMBER(M1467),M1467&gt;0),(N1467-M1467)/M1467,"")</f>
        <v/>
      </c>
      <c r="Q1467" s="3">
        <f>IF(P1467="","",IF(P1467&lt;-0.02,"🔴 Bán phá giá sàn",IF(P1467&gt;0.05,"🔵 Bán cao hơn","🟢 Đúng giá sàn TMĐT")))</f>
        <v/>
      </c>
      <c r="R1467" s="3" t="n"/>
      <c r="S1467" s="4" t="n"/>
      <c r="T1467" s="4" t="n"/>
    </row>
    <row r="1468">
      <c r="A1468" s="3" t="n">
        <v>1467</v>
      </c>
      <c r="B1468" s="3" t="inlineStr">
        <is>
          <t>DL014</t>
        </is>
      </c>
      <c r="C1468" s="4" t="inlineStr">
        <is>
          <t>Điện máy Anh Anh</t>
        </is>
      </c>
      <c r="D1468" s="3" t="inlineStr">
        <is>
          <t>HN</t>
        </is>
      </c>
      <c r="E1468" s="3" t="inlineStr">
        <is>
          <t>ĐIỆP</t>
        </is>
      </c>
      <c r="F1468" s="3" t="inlineStr">
        <is>
          <t>Tiktok</t>
        </is>
      </c>
      <c r="G1468" s="4" t="inlineStr">
        <is>
          <t>SHOPEE: TIKTOK: https://vt.tiktok.com/ZS9UMxDj8orfa-HFRLE/ LAZADA: WEBSITE BÁN HÀNG:</t>
        </is>
      </c>
      <c r="H1468" s="3" t="inlineStr">
        <is>
          <t>CM14</t>
        </is>
      </c>
      <c r="I1468" s="4" t="inlineStr">
        <is>
          <t>Đầu chụp bulon KingBlue CM14</t>
        </is>
      </c>
      <c r="J1468" s="3" t="inlineStr">
        <is>
          <t>Hộp</t>
        </is>
      </c>
      <c r="K1468" s="5" t="n">
        <v>105000</v>
      </c>
      <c r="L1468" s="5" t="n">
        <v>132000</v>
      </c>
      <c r="M1468" s="6" t="n">
        <v>173000</v>
      </c>
      <c r="N1468" s="5" t="n"/>
      <c r="O1468" s="5">
        <f>IF(AND(ISNUMBER(N1468),ISNUMBER(M1468)),N1468-M1468,"")</f>
        <v/>
      </c>
      <c r="P1468" s="7">
        <f>IF(AND(ISNUMBER(N1468),ISNUMBER(M1468),M1468&gt;0),(N1468-M1468)/M1468,"")</f>
        <v/>
      </c>
      <c r="Q1468" s="3">
        <f>IF(P1468="","",IF(P1468&lt;-0.02,"🔴 Bán phá giá sàn",IF(P1468&gt;0.05,"🔵 Bán cao hơn","🟢 Đúng giá sàn TMĐT")))</f>
        <v/>
      </c>
      <c r="R1468" s="3" t="n"/>
      <c r="S1468" s="4" t="n"/>
      <c r="T1468" s="4" t="n"/>
    </row>
    <row r="1469">
      <c r="A1469" s="3" t="n">
        <v>1468</v>
      </c>
      <c r="B1469" s="3" t="inlineStr">
        <is>
          <t>DL014</t>
        </is>
      </c>
      <c r="C1469" s="4" t="inlineStr">
        <is>
          <t>Điện máy Anh Anh</t>
        </is>
      </c>
      <c r="D1469" s="3" t="inlineStr">
        <is>
          <t>HN</t>
        </is>
      </c>
      <c r="E1469" s="3" t="inlineStr">
        <is>
          <t>ĐIỆP</t>
        </is>
      </c>
      <c r="F1469" s="3" t="inlineStr">
        <is>
          <t>Tiktok</t>
        </is>
      </c>
      <c r="G1469" s="4" t="inlineStr">
        <is>
          <t>SHOPEE: TIKTOK: https://vt.tiktok.com/ZS9UMxDj8orfa-HFRLE/ LAZADA: WEBSITE BÁN HÀNG:</t>
        </is>
      </c>
      <c r="H1469" s="3" t="inlineStr">
        <is>
          <t>CM17</t>
        </is>
      </c>
      <c r="I1469" s="4" t="inlineStr">
        <is>
          <t>Đầu chụp bulon KingBlue CM17</t>
        </is>
      </c>
      <c r="J1469" s="3" t="inlineStr">
        <is>
          <t>Hộp</t>
        </is>
      </c>
      <c r="K1469" s="5" t="n">
        <v>110000</v>
      </c>
      <c r="L1469" s="5" t="n">
        <v>139000</v>
      </c>
      <c r="M1469" s="6" t="n">
        <v>182000</v>
      </c>
      <c r="N1469" s="5" t="n"/>
      <c r="O1469" s="5">
        <f>IF(AND(ISNUMBER(N1469),ISNUMBER(M1469)),N1469-M1469,"")</f>
        <v/>
      </c>
      <c r="P1469" s="7">
        <f>IF(AND(ISNUMBER(N1469),ISNUMBER(M1469),M1469&gt;0),(N1469-M1469)/M1469,"")</f>
        <v/>
      </c>
      <c r="Q1469" s="3">
        <f>IF(P1469="","",IF(P1469&lt;-0.02,"🔴 Bán phá giá sàn",IF(P1469&gt;0.05,"🔵 Bán cao hơn","🟢 Đúng giá sàn TMĐT")))</f>
        <v/>
      </c>
      <c r="R1469" s="3" t="n"/>
      <c r="S1469" s="4" t="n"/>
      <c r="T1469" s="4" t="n"/>
    </row>
    <row r="1470">
      <c r="A1470" s="3" t="n">
        <v>1469</v>
      </c>
      <c r="B1470" s="3" t="inlineStr">
        <is>
          <t>DL014</t>
        </is>
      </c>
      <c r="C1470" s="4" t="inlineStr">
        <is>
          <t>Điện máy Anh Anh</t>
        </is>
      </c>
      <c r="D1470" s="3" t="inlineStr">
        <is>
          <t>HN</t>
        </is>
      </c>
      <c r="E1470" s="3" t="inlineStr">
        <is>
          <t>ĐIỆP</t>
        </is>
      </c>
      <c r="F1470" s="3" t="inlineStr">
        <is>
          <t>Tiktok</t>
        </is>
      </c>
      <c r="G1470" s="4" t="inlineStr">
        <is>
          <t>SHOPEE: TIKTOK: https://vt.tiktok.com/ZS9UMxDj8orfa-HFRLE/ LAZADA: WEBSITE BÁN HÀNG:</t>
        </is>
      </c>
      <c r="H1470" s="3" t="inlineStr">
        <is>
          <t>CM19</t>
        </is>
      </c>
      <c r="I1470" s="4" t="inlineStr">
        <is>
          <t>Đầu chụp bulon KingBlue CM19</t>
        </is>
      </c>
      <c r="J1470" s="3" t="inlineStr">
        <is>
          <t>Hộp</t>
        </is>
      </c>
      <c r="K1470" s="5" t="n">
        <v>86000</v>
      </c>
      <c r="L1470" s="5" t="n">
        <v>108000</v>
      </c>
      <c r="M1470" s="6" t="n">
        <v>142000</v>
      </c>
      <c r="N1470" s="5" t="n"/>
      <c r="O1470" s="5">
        <f>IF(AND(ISNUMBER(N1470),ISNUMBER(M1470)),N1470-M1470,"")</f>
        <v/>
      </c>
      <c r="P1470" s="7">
        <f>IF(AND(ISNUMBER(N1470),ISNUMBER(M1470),M1470&gt;0),(N1470-M1470)/M1470,"")</f>
        <v/>
      </c>
      <c r="Q1470" s="3">
        <f>IF(P1470="","",IF(P1470&lt;-0.02,"🔴 Bán phá giá sàn",IF(P1470&gt;0.05,"🔵 Bán cao hơn","🟢 Đúng giá sàn TMĐT")))</f>
        <v/>
      </c>
      <c r="R1470" s="3" t="n"/>
      <c r="S1470" s="4" t="n"/>
      <c r="T1470" s="4" t="n"/>
    </row>
    <row r="1471">
      <c r="A1471" s="3" t="n">
        <v>1470</v>
      </c>
      <c r="B1471" s="3" t="inlineStr">
        <is>
          <t>DL014</t>
        </is>
      </c>
      <c r="C1471" s="4" t="inlineStr">
        <is>
          <t>Điện máy Anh Anh</t>
        </is>
      </c>
      <c r="D1471" s="3" t="inlineStr">
        <is>
          <t>HN</t>
        </is>
      </c>
      <c r="E1471" s="3" t="inlineStr">
        <is>
          <t>ĐIỆP</t>
        </is>
      </c>
      <c r="F1471" s="3" t="inlineStr">
        <is>
          <t>Tiktok</t>
        </is>
      </c>
      <c r="G1471" s="4" t="inlineStr">
        <is>
          <t>SHOPEE: TIKTOK: https://vt.tiktok.com/ZS9UMxDj8orfa-HFRLE/ LAZADA: WEBSITE BÁN HÀNG:</t>
        </is>
      </c>
      <c r="H1471" s="3" t="inlineStr"/>
      <c r="I1471" s="4" t="inlineStr">
        <is>
          <t>Đầu nạp gas</t>
        </is>
      </c>
      <c r="J1471" s="3" t="inlineStr">
        <is>
          <t>Cái</t>
        </is>
      </c>
      <c r="K1471" s="5" t="n">
        <v>269000</v>
      </c>
      <c r="L1471" s="5" t="n">
        <v>317000</v>
      </c>
      <c r="M1471" s="6" t="n">
        <v>390000</v>
      </c>
      <c r="N1471" s="5" t="n"/>
      <c r="O1471" s="5">
        <f>IF(AND(ISNUMBER(N1471),ISNUMBER(M1471)),N1471-M1471,"")</f>
        <v/>
      </c>
      <c r="P1471" s="7">
        <f>IF(AND(ISNUMBER(N1471),ISNUMBER(M1471),M1471&gt;0),(N1471-M1471)/M1471,"")</f>
        <v/>
      </c>
      <c r="Q1471" s="3">
        <f>IF(P1471="","",IF(P1471&lt;-0.02,"🔴 Bán phá giá sàn",IF(P1471&gt;0.05,"🔵 Bán cao hơn","🟢 Đúng giá sàn TMĐT")))</f>
        <v/>
      </c>
      <c r="R1471" s="3" t="n"/>
      <c r="S1471" s="4" t="n"/>
      <c r="T1471" s="4" t="n"/>
    </row>
    <row r="1472">
      <c r="A1472" s="3" t="n">
        <v>1471</v>
      </c>
      <c r="B1472" s="3" t="inlineStr">
        <is>
          <t>DL014</t>
        </is>
      </c>
      <c r="C1472" s="4" t="inlineStr">
        <is>
          <t>Điện máy Anh Anh</t>
        </is>
      </c>
      <c r="D1472" s="3" t="inlineStr">
        <is>
          <t>HN</t>
        </is>
      </c>
      <c r="E1472" s="3" t="inlineStr">
        <is>
          <t>ĐIỆP</t>
        </is>
      </c>
      <c r="F1472" s="3" t="inlineStr">
        <is>
          <t>Tiktok</t>
        </is>
      </c>
      <c r="G1472" s="4" t="inlineStr">
        <is>
          <t>SHOPEE: TIKTOK: https://vt.tiktok.com/ZS9UMxDj8orfa-HFRLE/ LAZADA: WEBSITE BÁN HÀNG:</t>
        </is>
      </c>
      <c r="H1472" s="3" t="inlineStr">
        <is>
          <t>T265E-T10</t>
        </is>
      </c>
      <c r="I1472" s="4" t="inlineStr">
        <is>
          <t>Đầu vít hoa thị KingBlue T265E-T10</t>
        </is>
      </c>
      <c r="J1472" s="3" t="inlineStr">
        <is>
          <t>Vỉ</t>
        </is>
      </c>
      <c r="K1472" s="5" t="n">
        <v>17000</v>
      </c>
      <c r="L1472" s="5" t="n">
        <v>22000</v>
      </c>
      <c r="M1472" s="6" t="n">
        <v>29000</v>
      </c>
      <c r="N1472" s="5" t="n"/>
      <c r="O1472" s="5">
        <f>IF(AND(ISNUMBER(N1472),ISNUMBER(M1472)),N1472-M1472,"")</f>
        <v/>
      </c>
      <c r="P1472" s="7">
        <f>IF(AND(ISNUMBER(N1472),ISNUMBER(M1472),M1472&gt;0),(N1472-M1472)/M1472,"")</f>
        <v/>
      </c>
      <c r="Q1472" s="3">
        <f>IF(P1472="","",IF(P1472&lt;-0.02,"🔴 Bán phá giá sàn",IF(P1472&gt;0.05,"🔵 Bán cao hơn","🟢 Đúng giá sàn TMĐT")))</f>
        <v/>
      </c>
      <c r="R1472" s="3" t="n"/>
      <c r="S1472" s="4" t="n"/>
      <c r="T1472" s="4" t="n"/>
    </row>
    <row r="1473">
      <c r="A1473" s="3" t="n">
        <v>1472</v>
      </c>
      <c r="B1473" s="3" t="inlineStr">
        <is>
          <t>DL014</t>
        </is>
      </c>
      <c r="C1473" s="4" t="inlineStr">
        <is>
          <t>Điện máy Anh Anh</t>
        </is>
      </c>
      <c r="D1473" s="3" t="inlineStr">
        <is>
          <t>HN</t>
        </is>
      </c>
      <c r="E1473" s="3" t="inlineStr">
        <is>
          <t>ĐIỆP</t>
        </is>
      </c>
      <c r="F1473" s="3" t="inlineStr">
        <is>
          <t>Tiktok</t>
        </is>
      </c>
      <c r="G1473" s="4" t="inlineStr">
        <is>
          <t>SHOPEE: TIKTOK: https://vt.tiktok.com/ZS9UMxDj8orfa-HFRLE/ LAZADA: WEBSITE BÁN HÀNG:</t>
        </is>
      </c>
      <c r="H1473" s="3" t="inlineStr">
        <is>
          <t>T265E-T15</t>
        </is>
      </c>
      <c r="I1473" s="4" t="inlineStr">
        <is>
          <t>Đầu vít hoa thị KingBlue T265E-T15</t>
        </is>
      </c>
      <c r="J1473" s="3" t="inlineStr">
        <is>
          <t>Vỉ</t>
        </is>
      </c>
      <c r="K1473" s="5" t="n">
        <v>17000</v>
      </c>
      <c r="L1473" s="5" t="n">
        <v>22000</v>
      </c>
      <c r="M1473" s="6" t="n">
        <v>29000</v>
      </c>
      <c r="N1473" s="5" t="n"/>
      <c r="O1473" s="5">
        <f>IF(AND(ISNUMBER(N1473),ISNUMBER(M1473)),N1473-M1473,"")</f>
        <v/>
      </c>
      <c r="P1473" s="7">
        <f>IF(AND(ISNUMBER(N1473),ISNUMBER(M1473),M1473&gt;0),(N1473-M1473)/M1473,"")</f>
        <v/>
      </c>
      <c r="Q1473" s="3">
        <f>IF(P1473="","",IF(P1473&lt;-0.02,"🔴 Bán phá giá sàn",IF(P1473&gt;0.05,"🔵 Bán cao hơn","🟢 Đúng giá sàn TMĐT")))</f>
        <v/>
      </c>
      <c r="R1473" s="3" t="n"/>
      <c r="S1473" s="4" t="n"/>
      <c r="T1473" s="4" t="n"/>
    </row>
    <row r="1474">
      <c r="A1474" s="3" t="n">
        <v>1473</v>
      </c>
      <c r="B1474" s="3" t="inlineStr">
        <is>
          <t>DL014</t>
        </is>
      </c>
      <c r="C1474" s="4" t="inlineStr">
        <is>
          <t>Điện máy Anh Anh</t>
        </is>
      </c>
      <c r="D1474" s="3" t="inlineStr">
        <is>
          <t>HN</t>
        </is>
      </c>
      <c r="E1474" s="3" t="inlineStr">
        <is>
          <t>ĐIỆP</t>
        </is>
      </c>
      <c r="F1474" s="3" t="inlineStr">
        <is>
          <t>Tiktok</t>
        </is>
      </c>
      <c r="G1474" s="4" t="inlineStr">
        <is>
          <t>SHOPEE: TIKTOK: https://vt.tiktok.com/ZS9UMxDj8orfa-HFRLE/ LAZADA: WEBSITE BÁN HÀNG:</t>
        </is>
      </c>
      <c r="H1474" s="3" t="inlineStr">
        <is>
          <t>T265E-T20</t>
        </is>
      </c>
      <c r="I1474" s="4" t="inlineStr">
        <is>
          <t>Đầu vít hoa thị KingBlue T265E-T20</t>
        </is>
      </c>
      <c r="J1474" s="3" t="inlineStr">
        <is>
          <t>Vỉ</t>
        </is>
      </c>
      <c r="K1474" s="5" t="n">
        <v>17000</v>
      </c>
      <c r="L1474" s="5" t="n">
        <v>22000</v>
      </c>
      <c r="M1474" s="6" t="n">
        <v>29000</v>
      </c>
      <c r="N1474" s="5" t="n"/>
      <c r="O1474" s="5">
        <f>IF(AND(ISNUMBER(N1474),ISNUMBER(M1474)),N1474-M1474,"")</f>
        <v/>
      </c>
      <c r="P1474" s="7">
        <f>IF(AND(ISNUMBER(N1474),ISNUMBER(M1474),M1474&gt;0),(N1474-M1474)/M1474,"")</f>
        <v/>
      </c>
      <c r="Q1474" s="3">
        <f>IF(P1474="","",IF(P1474&lt;-0.02,"🔴 Bán phá giá sàn",IF(P1474&gt;0.05,"🔵 Bán cao hơn","🟢 Đúng giá sàn TMĐT")))</f>
        <v/>
      </c>
      <c r="R1474" s="3" t="n"/>
      <c r="S1474" s="4" t="n"/>
      <c r="T1474" s="4" t="n"/>
    </row>
    <row r="1475">
      <c r="A1475" s="3" t="n">
        <v>1474</v>
      </c>
      <c r="B1475" s="3" t="inlineStr">
        <is>
          <t>DL014</t>
        </is>
      </c>
      <c r="C1475" s="4" t="inlineStr">
        <is>
          <t>Điện máy Anh Anh</t>
        </is>
      </c>
      <c r="D1475" s="3" t="inlineStr">
        <is>
          <t>HN</t>
        </is>
      </c>
      <c r="E1475" s="3" t="inlineStr">
        <is>
          <t>ĐIỆP</t>
        </is>
      </c>
      <c r="F1475" s="3" t="inlineStr">
        <is>
          <t>Tiktok</t>
        </is>
      </c>
      <c r="G1475" s="4" t="inlineStr">
        <is>
          <t>SHOPEE: TIKTOK: https://vt.tiktok.com/ZS9UMxDj8orfa-HFRLE/ LAZADA: WEBSITE BÁN HÀNG:</t>
        </is>
      </c>
      <c r="H1475" s="3" t="inlineStr">
        <is>
          <t>T265E-T25</t>
        </is>
      </c>
      <c r="I1475" s="4" t="inlineStr">
        <is>
          <t>Đầu vít hoa thị KingBlue T265E-T25</t>
        </is>
      </c>
      <c r="J1475" s="3" t="inlineStr">
        <is>
          <t>Vỉ</t>
        </is>
      </c>
      <c r="K1475" s="5" t="n">
        <v>17000</v>
      </c>
      <c r="L1475" s="5" t="n">
        <v>22000</v>
      </c>
      <c r="M1475" s="6" t="n">
        <v>29000</v>
      </c>
      <c r="N1475" s="5" t="n"/>
      <c r="O1475" s="5">
        <f>IF(AND(ISNUMBER(N1475),ISNUMBER(M1475)),N1475-M1475,"")</f>
        <v/>
      </c>
      <c r="P1475" s="7">
        <f>IF(AND(ISNUMBER(N1475),ISNUMBER(M1475),M1475&gt;0),(N1475-M1475)/M1475,"")</f>
        <v/>
      </c>
      <c r="Q1475" s="3">
        <f>IF(P1475="","",IF(P1475&lt;-0.02,"🔴 Bán phá giá sàn",IF(P1475&gt;0.05,"🔵 Bán cao hơn","🟢 Đúng giá sàn TMĐT")))</f>
        <v/>
      </c>
      <c r="R1475" s="3" t="n"/>
      <c r="S1475" s="4" t="n"/>
      <c r="T1475" s="4" t="n"/>
    </row>
    <row r="1476">
      <c r="A1476" s="3" t="n">
        <v>1475</v>
      </c>
      <c r="B1476" s="3" t="inlineStr">
        <is>
          <t>DL014</t>
        </is>
      </c>
      <c r="C1476" s="4" t="inlineStr">
        <is>
          <t>Điện máy Anh Anh</t>
        </is>
      </c>
      <c r="D1476" s="3" t="inlineStr">
        <is>
          <t>HN</t>
        </is>
      </c>
      <c r="E1476" s="3" t="inlineStr">
        <is>
          <t>ĐIỆP</t>
        </is>
      </c>
      <c r="F1476" s="3" t="inlineStr">
        <is>
          <t>Tiktok</t>
        </is>
      </c>
      <c r="G1476" s="4" t="inlineStr">
        <is>
          <t>SHOPEE: TIKTOK: https://vt.tiktok.com/ZS9UMxDj8orfa-HFRLE/ LAZADA: WEBSITE BÁN HÀNG:</t>
        </is>
      </c>
      <c r="H1476" s="3" t="inlineStr">
        <is>
          <t>T265E-T27</t>
        </is>
      </c>
      <c r="I1476" s="4" t="inlineStr">
        <is>
          <t>Đầu vít hoa thị KingBlue T265E-T27</t>
        </is>
      </c>
      <c r="J1476" s="3" t="inlineStr">
        <is>
          <t>Vỉ</t>
        </is>
      </c>
      <c r="K1476" s="5" t="n">
        <v>17000</v>
      </c>
      <c r="L1476" s="5" t="n">
        <v>22000</v>
      </c>
      <c r="M1476" s="6" t="n">
        <v>29000</v>
      </c>
      <c r="N1476" s="5" t="n"/>
      <c r="O1476" s="5">
        <f>IF(AND(ISNUMBER(N1476),ISNUMBER(M1476)),N1476-M1476,"")</f>
        <v/>
      </c>
      <c r="P1476" s="7">
        <f>IF(AND(ISNUMBER(N1476),ISNUMBER(M1476),M1476&gt;0),(N1476-M1476)/M1476,"")</f>
        <v/>
      </c>
      <c r="Q1476" s="3">
        <f>IF(P1476="","",IF(P1476&lt;-0.02,"🔴 Bán phá giá sàn",IF(P1476&gt;0.05,"🔵 Bán cao hơn","🟢 Đúng giá sàn TMĐT")))</f>
        <v/>
      </c>
      <c r="R1476" s="3" t="n"/>
      <c r="S1476" s="4" t="n"/>
      <c r="T1476" s="4" t="n"/>
    </row>
    <row r="1477">
      <c r="A1477" s="3" t="n">
        <v>1476</v>
      </c>
      <c r="B1477" s="3" t="inlineStr">
        <is>
          <t>DL014</t>
        </is>
      </c>
      <c r="C1477" s="4" t="inlineStr">
        <is>
          <t>Điện máy Anh Anh</t>
        </is>
      </c>
      <c r="D1477" s="3" t="inlineStr">
        <is>
          <t>HN</t>
        </is>
      </c>
      <c r="E1477" s="3" t="inlineStr">
        <is>
          <t>ĐIỆP</t>
        </is>
      </c>
      <c r="F1477" s="3" t="inlineStr">
        <is>
          <t>Tiktok</t>
        </is>
      </c>
      <c r="G1477" s="4" t="inlineStr">
        <is>
          <t>SHOPEE: TIKTOK: https://vt.tiktok.com/ZS9UMxDj8orfa-HFRLE/ LAZADA: WEBSITE BÁN HÀNG:</t>
        </is>
      </c>
      <c r="H1477" s="3" t="inlineStr">
        <is>
          <t>T265E-T30</t>
        </is>
      </c>
      <c r="I1477" s="4" t="inlineStr">
        <is>
          <t>Đầu vít hoa thị KingBlue T265E-T30</t>
        </is>
      </c>
      <c r="J1477" s="3" t="inlineStr">
        <is>
          <t>Vỉ</t>
        </is>
      </c>
      <c r="K1477" s="5" t="n">
        <v>17000</v>
      </c>
      <c r="L1477" s="5" t="n">
        <v>22000</v>
      </c>
      <c r="M1477" s="6" t="n">
        <v>29000</v>
      </c>
      <c r="N1477" s="5" t="n"/>
      <c r="O1477" s="5">
        <f>IF(AND(ISNUMBER(N1477),ISNUMBER(M1477)),N1477-M1477,"")</f>
        <v/>
      </c>
      <c r="P1477" s="7">
        <f>IF(AND(ISNUMBER(N1477),ISNUMBER(M1477),M1477&gt;0),(N1477-M1477)/M1477,"")</f>
        <v/>
      </c>
      <c r="Q1477" s="3">
        <f>IF(P1477="","",IF(P1477&lt;-0.02,"🔴 Bán phá giá sàn",IF(P1477&gt;0.05,"🔵 Bán cao hơn","🟢 Đúng giá sàn TMĐT")))</f>
        <v/>
      </c>
      <c r="R1477" s="3" t="n"/>
      <c r="S1477" s="4" t="n"/>
      <c r="T1477" s="4" t="n"/>
    </row>
    <row r="1478">
      <c r="A1478" s="3" t="n">
        <v>1477</v>
      </c>
      <c r="B1478" s="3" t="inlineStr">
        <is>
          <t>DL014</t>
        </is>
      </c>
      <c r="C1478" s="4" t="inlineStr">
        <is>
          <t>Điện máy Anh Anh</t>
        </is>
      </c>
      <c r="D1478" s="3" t="inlineStr">
        <is>
          <t>HN</t>
        </is>
      </c>
      <c r="E1478" s="3" t="inlineStr">
        <is>
          <t>ĐIỆP</t>
        </is>
      </c>
      <c r="F1478" s="3" t="inlineStr">
        <is>
          <t>Tiktok</t>
        </is>
      </c>
      <c r="G1478" s="4" t="inlineStr">
        <is>
          <t>SHOPEE: TIKTOK: https://vt.tiktok.com/ZS9UMxDj8orfa-HFRLE/ LAZADA: WEBSITE BÁN HÀNG:</t>
        </is>
      </c>
      <c r="H1478" s="3" t="inlineStr">
        <is>
          <t>T265E-T40</t>
        </is>
      </c>
      <c r="I1478" s="4" t="inlineStr">
        <is>
          <t>Đầu vít hoa thị KingBlue T265E-T40</t>
        </is>
      </c>
      <c r="J1478" s="3" t="inlineStr">
        <is>
          <t>Vỉ</t>
        </is>
      </c>
      <c r="K1478" s="5" t="n">
        <v>17000</v>
      </c>
      <c r="L1478" s="5" t="n">
        <v>22000</v>
      </c>
      <c r="M1478" s="6" t="n">
        <v>29000</v>
      </c>
      <c r="N1478" s="5" t="n"/>
      <c r="O1478" s="5">
        <f>IF(AND(ISNUMBER(N1478),ISNUMBER(M1478)),N1478-M1478,"")</f>
        <v/>
      </c>
      <c r="P1478" s="7">
        <f>IF(AND(ISNUMBER(N1478),ISNUMBER(M1478),M1478&gt;0),(N1478-M1478)/M1478,"")</f>
        <v/>
      </c>
      <c r="Q1478" s="3">
        <f>IF(P1478="","",IF(P1478&lt;-0.02,"🔴 Bán phá giá sàn",IF(P1478&gt;0.05,"🔵 Bán cao hơn","🟢 Đúng giá sàn TMĐT")))</f>
        <v/>
      </c>
      <c r="R1478" s="3" t="n"/>
      <c r="S1478" s="4" t="n"/>
      <c r="T1478" s="4" t="n"/>
    </row>
    <row r="1479">
      <c r="A1479" s="3" t="n">
        <v>1478</v>
      </c>
      <c r="B1479" s="3" t="inlineStr">
        <is>
          <t>DL014</t>
        </is>
      </c>
      <c r="C1479" s="4" t="inlineStr">
        <is>
          <t>Điện máy Anh Anh</t>
        </is>
      </c>
      <c r="D1479" s="3" t="inlineStr">
        <is>
          <t>HN</t>
        </is>
      </c>
      <c r="E1479" s="3" t="inlineStr">
        <is>
          <t>ĐIỆP</t>
        </is>
      </c>
      <c r="F1479" s="3" t="inlineStr">
        <is>
          <t>Tiktok</t>
        </is>
      </c>
      <c r="G1479" s="4" t="inlineStr">
        <is>
          <t>SHOPEE: TIKTOK: https://vt.tiktok.com/ZS9UMxDj8orfa-HFRLE/ LAZADA: WEBSITE BÁN HÀNG:</t>
        </is>
      </c>
      <c r="H1479" s="3" t="inlineStr">
        <is>
          <t>T265E-T50</t>
        </is>
      </c>
      <c r="I1479" s="4" t="inlineStr">
        <is>
          <t>Đầu vít hoa thị KingBlue T265E-T50</t>
        </is>
      </c>
      <c r="J1479" s="3" t="inlineStr">
        <is>
          <t>Vỉ</t>
        </is>
      </c>
      <c r="K1479" s="5" t="n">
        <v>41000</v>
      </c>
      <c r="L1479" s="5" t="n">
        <v>53000</v>
      </c>
      <c r="M1479" s="6" t="n">
        <v>70000</v>
      </c>
      <c r="N1479" s="5" t="n"/>
      <c r="O1479" s="5">
        <f>IF(AND(ISNUMBER(N1479),ISNUMBER(M1479)),N1479-M1479,"")</f>
        <v/>
      </c>
      <c r="P1479" s="7">
        <f>IF(AND(ISNUMBER(N1479),ISNUMBER(M1479),M1479&gt;0),(N1479-M1479)/M1479,"")</f>
        <v/>
      </c>
      <c r="Q1479" s="3">
        <f>IF(P1479="","",IF(P1479&lt;-0.02,"🔴 Bán phá giá sàn",IF(P1479&gt;0.05,"🔵 Bán cao hơn","🟢 Đúng giá sàn TMĐT")))</f>
        <v/>
      </c>
      <c r="R1479" s="3" t="n"/>
      <c r="S1479" s="4" t="n"/>
      <c r="T1479" s="4" t="n"/>
    </row>
    <row r="1480">
      <c r="A1480" s="3" t="n">
        <v>1479</v>
      </c>
      <c r="B1480" s="3" t="inlineStr">
        <is>
          <t>DL014</t>
        </is>
      </c>
      <c r="C1480" s="4" t="inlineStr">
        <is>
          <t>Điện máy Anh Anh</t>
        </is>
      </c>
      <c r="D1480" s="3" t="inlineStr">
        <is>
          <t>HN</t>
        </is>
      </c>
      <c r="E1480" s="3" t="inlineStr">
        <is>
          <t>ĐIỆP</t>
        </is>
      </c>
      <c r="F1480" s="3" t="inlineStr">
        <is>
          <t>Tiktok</t>
        </is>
      </c>
      <c r="G1480" s="4" t="inlineStr">
        <is>
          <t>SHOPEE: TIKTOK: https://vt.tiktok.com/ZS9UMxDj8orfa-HFRLE/ LAZADA: WEBSITE BÁN HÀNG:</t>
        </is>
      </c>
      <c r="H1480" s="3" t="inlineStr">
        <is>
          <t>L265E-H3</t>
        </is>
      </c>
      <c r="I1480" s="4" t="inlineStr">
        <is>
          <t>Đầu vít lục giác KingBlue L265E-H3</t>
        </is>
      </c>
      <c r="J1480" s="3" t="inlineStr">
        <is>
          <t>Vỉ</t>
        </is>
      </c>
      <c r="K1480" s="5" t="n">
        <v>17000</v>
      </c>
      <c r="L1480" s="5" t="n">
        <v>22000</v>
      </c>
      <c r="M1480" s="6" t="n">
        <v>29000</v>
      </c>
      <c r="N1480" s="5" t="n"/>
      <c r="O1480" s="5">
        <f>IF(AND(ISNUMBER(N1480),ISNUMBER(M1480)),N1480-M1480,"")</f>
        <v/>
      </c>
      <c r="P1480" s="7">
        <f>IF(AND(ISNUMBER(N1480),ISNUMBER(M1480),M1480&gt;0),(N1480-M1480)/M1480,"")</f>
        <v/>
      </c>
      <c r="Q1480" s="3">
        <f>IF(P1480="","",IF(P1480&lt;-0.02,"🔴 Bán phá giá sàn",IF(P1480&gt;0.05,"🔵 Bán cao hơn","🟢 Đúng giá sàn TMĐT")))</f>
        <v/>
      </c>
      <c r="R1480" s="3" t="n"/>
      <c r="S1480" s="4" t="n"/>
      <c r="T1480" s="4" t="n"/>
    </row>
    <row r="1481">
      <c r="A1481" s="3" t="n">
        <v>1480</v>
      </c>
      <c r="B1481" s="3" t="inlineStr">
        <is>
          <t>DL014</t>
        </is>
      </c>
      <c r="C1481" s="4" t="inlineStr">
        <is>
          <t>Điện máy Anh Anh</t>
        </is>
      </c>
      <c r="D1481" s="3" t="inlineStr">
        <is>
          <t>HN</t>
        </is>
      </c>
      <c r="E1481" s="3" t="inlineStr">
        <is>
          <t>ĐIỆP</t>
        </is>
      </c>
      <c r="F1481" s="3" t="inlineStr">
        <is>
          <t>Tiktok</t>
        </is>
      </c>
      <c r="G1481" s="4" t="inlineStr">
        <is>
          <t>SHOPEE: TIKTOK: https://vt.tiktok.com/ZS9UMxDj8orfa-HFRLE/ LAZADA: WEBSITE BÁN HÀNG:</t>
        </is>
      </c>
      <c r="H1481" s="3" t="inlineStr">
        <is>
          <t>L265E-H4</t>
        </is>
      </c>
      <c r="I1481" s="4" t="inlineStr">
        <is>
          <t>Đầu vít lục giác KingBlue L265E-H4</t>
        </is>
      </c>
      <c r="J1481" s="3" t="inlineStr">
        <is>
          <t>Vỉ</t>
        </is>
      </c>
      <c r="K1481" s="5" t="n">
        <v>17000</v>
      </c>
      <c r="L1481" s="5" t="n">
        <v>22000</v>
      </c>
      <c r="M1481" s="6" t="n">
        <v>29000</v>
      </c>
      <c r="N1481" s="5" t="n"/>
      <c r="O1481" s="5">
        <f>IF(AND(ISNUMBER(N1481),ISNUMBER(M1481)),N1481-M1481,"")</f>
        <v/>
      </c>
      <c r="P1481" s="7">
        <f>IF(AND(ISNUMBER(N1481),ISNUMBER(M1481),M1481&gt;0),(N1481-M1481)/M1481,"")</f>
        <v/>
      </c>
      <c r="Q1481" s="3">
        <f>IF(P1481="","",IF(P1481&lt;-0.02,"🔴 Bán phá giá sàn",IF(P1481&gt;0.05,"🔵 Bán cao hơn","🟢 Đúng giá sàn TMĐT")))</f>
        <v/>
      </c>
      <c r="R1481" s="3" t="n"/>
      <c r="S1481" s="4" t="n"/>
      <c r="T1481" s="4" t="n"/>
    </row>
    <row r="1482">
      <c r="A1482" s="3" t="n">
        <v>1481</v>
      </c>
      <c r="B1482" s="3" t="inlineStr">
        <is>
          <t>DL014</t>
        </is>
      </c>
      <c r="C1482" s="4" t="inlineStr">
        <is>
          <t>Điện máy Anh Anh</t>
        </is>
      </c>
      <c r="D1482" s="3" t="inlineStr">
        <is>
          <t>HN</t>
        </is>
      </c>
      <c r="E1482" s="3" t="inlineStr">
        <is>
          <t>ĐIỆP</t>
        </is>
      </c>
      <c r="F1482" s="3" t="inlineStr">
        <is>
          <t>Tiktok</t>
        </is>
      </c>
      <c r="G1482" s="4" t="inlineStr">
        <is>
          <t>SHOPEE: TIKTOK: https://vt.tiktok.com/ZS9UMxDj8orfa-HFRLE/ LAZADA: WEBSITE BÁN HÀNG:</t>
        </is>
      </c>
      <c r="H1482" s="3" t="inlineStr">
        <is>
          <t>L265E-H5</t>
        </is>
      </c>
      <c r="I1482" s="4" t="inlineStr">
        <is>
          <t>Đầu vít lục giác KingBlue L265E-H5</t>
        </is>
      </c>
      <c r="J1482" s="3" t="inlineStr">
        <is>
          <t>Vỉ</t>
        </is>
      </c>
      <c r="K1482" s="5" t="n">
        <v>17000</v>
      </c>
      <c r="L1482" s="5" t="n">
        <v>22000</v>
      </c>
      <c r="M1482" s="6" t="n">
        <v>29000</v>
      </c>
      <c r="N1482" s="5" t="n"/>
      <c r="O1482" s="5">
        <f>IF(AND(ISNUMBER(N1482),ISNUMBER(M1482)),N1482-M1482,"")</f>
        <v/>
      </c>
      <c r="P1482" s="7">
        <f>IF(AND(ISNUMBER(N1482),ISNUMBER(M1482),M1482&gt;0),(N1482-M1482)/M1482,"")</f>
        <v/>
      </c>
      <c r="Q1482" s="3">
        <f>IF(P1482="","",IF(P1482&lt;-0.02,"🔴 Bán phá giá sàn",IF(P1482&gt;0.05,"🔵 Bán cao hơn","🟢 Đúng giá sàn TMĐT")))</f>
        <v/>
      </c>
      <c r="R1482" s="3" t="n"/>
      <c r="S1482" s="4" t="n"/>
      <c r="T1482" s="4" t="n"/>
    </row>
    <row r="1483">
      <c r="A1483" s="3" t="n">
        <v>1482</v>
      </c>
      <c r="B1483" s="3" t="inlineStr">
        <is>
          <t>DL014</t>
        </is>
      </c>
      <c r="C1483" s="4" t="inlineStr">
        <is>
          <t>Điện máy Anh Anh</t>
        </is>
      </c>
      <c r="D1483" s="3" t="inlineStr">
        <is>
          <t>HN</t>
        </is>
      </c>
      <c r="E1483" s="3" t="inlineStr">
        <is>
          <t>ĐIỆP</t>
        </is>
      </c>
      <c r="F1483" s="3" t="inlineStr">
        <is>
          <t>Tiktok</t>
        </is>
      </c>
      <c r="G1483" s="4" t="inlineStr">
        <is>
          <t>SHOPEE: TIKTOK: https://vt.tiktok.com/ZS9UMxDj8orfa-HFRLE/ LAZADA: WEBSITE BÁN HÀNG:</t>
        </is>
      </c>
      <c r="H1483" s="3" t="inlineStr">
        <is>
          <t>L265E-H6</t>
        </is>
      </c>
      <c r="I1483" s="4" t="inlineStr">
        <is>
          <t>Đầu vít lục giác KingBlue L265E-H6</t>
        </is>
      </c>
      <c r="J1483" s="3" t="inlineStr">
        <is>
          <t>Vỉ</t>
        </is>
      </c>
      <c r="K1483" s="5" t="n">
        <v>17000</v>
      </c>
      <c r="L1483" s="5" t="n">
        <v>22000</v>
      </c>
      <c r="M1483" s="6" t="n">
        <v>29000</v>
      </c>
      <c r="N1483" s="5" t="n"/>
      <c r="O1483" s="5">
        <f>IF(AND(ISNUMBER(N1483),ISNUMBER(M1483)),N1483-M1483,"")</f>
        <v/>
      </c>
      <c r="P1483" s="7">
        <f>IF(AND(ISNUMBER(N1483),ISNUMBER(M1483),M1483&gt;0),(N1483-M1483)/M1483,"")</f>
        <v/>
      </c>
      <c r="Q1483" s="3">
        <f>IF(P1483="","",IF(P1483&lt;-0.02,"🔴 Bán phá giá sàn",IF(P1483&gt;0.05,"🔵 Bán cao hơn","🟢 Đúng giá sàn TMĐT")))</f>
        <v/>
      </c>
      <c r="R1483" s="3" t="n"/>
      <c r="S1483" s="4" t="n"/>
      <c r="T1483" s="4" t="n"/>
    </row>
    <row r="1484">
      <c r="A1484" s="3" t="n">
        <v>1483</v>
      </c>
      <c r="B1484" s="3" t="inlineStr">
        <is>
          <t>DL014</t>
        </is>
      </c>
      <c r="C1484" s="4" t="inlineStr">
        <is>
          <t>Điện máy Anh Anh</t>
        </is>
      </c>
      <c r="D1484" s="3" t="inlineStr">
        <is>
          <t>HN</t>
        </is>
      </c>
      <c r="E1484" s="3" t="inlineStr">
        <is>
          <t>ĐIỆP</t>
        </is>
      </c>
      <c r="F1484" s="3" t="inlineStr">
        <is>
          <t>Tiktok</t>
        </is>
      </c>
      <c r="G1484" s="4" t="inlineStr">
        <is>
          <t>SHOPEE: TIKTOK: https://vt.tiktok.com/ZS9UMxDj8orfa-HFRLE/ LAZADA: WEBSITE BÁN HÀNG:</t>
        </is>
      </c>
      <c r="H1484" s="3" t="inlineStr">
        <is>
          <t>L265E-H8</t>
        </is>
      </c>
      <c r="I1484" s="4" t="inlineStr">
        <is>
          <t>Đầu vít lục giác KingBlue L265E-H8</t>
        </is>
      </c>
      <c r="J1484" s="3" t="inlineStr">
        <is>
          <t>Vỉ</t>
        </is>
      </c>
      <c r="K1484" s="5" t="n">
        <v>41000</v>
      </c>
      <c r="L1484" s="5" t="n">
        <v>53000</v>
      </c>
      <c r="M1484" s="6" t="n">
        <v>70000</v>
      </c>
      <c r="N1484" s="5" t="n"/>
      <c r="O1484" s="5">
        <f>IF(AND(ISNUMBER(N1484),ISNUMBER(M1484)),N1484-M1484,"")</f>
        <v/>
      </c>
      <c r="P1484" s="7">
        <f>IF(AND(ISNUMBER(N1484),ISNUMBER(M1484),M1484&gt;0),(N1484-M1484)/M1484,"")</f>
        <v/>
      </c>
      <c r="Q1484" s="3">
        <f>IF(P1484="","",IF(P1484&lt;-0.02,"🔴 Bán phá giá sàn",IF(P1484&gt;0.05,"🔵 Bán cao hơn","🟢 Đúng giá sàn TMĐT")))</f>
        <v/>
      </c>
      <c r="R1484" s="3" t="n"/>
      <c r="S1484" s="4" t="n"/>
      <c r="T1484" s="4" t="n"/>
    </row>
    <row r="1485">
      <c r="A1485" s="3" t="n">
        <v>1484</v>
      </c>
      <c r="B1485" s="3" t="inlineStr">
        <is>
          <t>DL014</t>
        </is>
      </c>
      <c r="C1485" s="4" t="inlineStr">
        <is>
          <t>Điện máy Anh Anh</t>
        </is>
      </c>
      <c r="D1485" s="3" t="inlineStr">
        <is>
          <t>HN</t>
        </is>
      </c>
      <c r="E1485" s="3" t="inlineStr">
        <is>
          <t>ĐIỆP</t>
        </is>
      </c>
      <c r="F1485" s="3" t="inlineStr">
        <is>
          <t>Tiktok</t>
        </is>
      </c>
      <c r="G1485" s="4" t="inlineStr">
        <is>
          <t>SHOPEE: TIKTOK: https://vt.tiktok.com/ZS9UMxDj8orfa-HFRLE/ LAZADA: WEBSITE BÁN HÀNG:</t>
        </is>
      </c>
      <c r="H1485" s="3" t="inlineStr">
        <is>
          <t>LED500</t>
        </is>
      </c>
      <c r="I1485" s="4" t="inlineStr">
        <is>
          <t>Đèn Led đội đầu LED500</t>
        </is>
      </c>
      <c r="J1485" s="3" t="inlineStr">
        <is>
          <t>Cái</t>
        </is>
      </c>
      <c r="K1485" s="5" t="n">
        <v>440000</v>
      </c>
      <c r="L1485" s="5" t="n">
        <v>502000</v>
      </c>
      <c r="M1485" s="6" t="n">
        <v>594000</v>
      </c>
      <c r="N1485" s="5" t="n"/>
      <c r="O1485" s="5">
        <f>IF(AND(ISNUMBER(N1485),ISNUMBER(M1485)),N1485-M1485,"")</f>
        <v/>
      </c>
      <c r="P1485" s="7">
        <f>IF(AND(ISNUMBER(N1485),ISNUMBER(M1485),M1485&gt;0),(N1485-M1485)/M1485,"")</f>
        <v/>
      </c>
      <c r="Q1485" s="3">
        <f>IF(P1485="","",IF(P1485&lt;-0.02,"🔴 Bán phá giá sàn",IF(P1485&gt;0.05,"🔵 Bán cao hơn","🟢 Đúng giá sàn TMĐT")))</f>
        <v/>
      </c>
      <c r="R1485" s="3" t="n"/>
      <c r="S1485" s="4" t="n"/>
      <c r="T1485" s="4" t="n"/>
    </row>
    <row r="1486">
      <c r="A1486" s="3" t="n">
        <v>1485</v>
      </c>
      <c r="B1486" s="3" t="inlineStr">
        <is>
          <t>DL014</t>
        </is>
      </c>
      <c r="C1486" s="4" t="inlineStr">
        <is>
          <t>Điện máy Anh Anh</t>
        </is>
      </c>
      <c r="D1486" s="3" t="inlineStr">
        <is>
          <t>HN</t>
        </is>
      </c>
      <c r="E1486" s="3" t="inlineStr">
        <is>
          <t>ĐIỆP</t>
        </is>
      </c>
      <c r="F1486" s="3" t="inlineStr">
        <is>
          <t>Tiktok</t>
        </is>
      </c>
      <c r="G1486" s="4" t="inlineStr">
        <is>
          <t>SHOPEE: TIKTOK: https://vt.tiktok.com/ZS9UMxDj8orfa-HFRLE/ LAZADA: WEBSITE BÁN HÀNG:</t>
        </is>
      </c>
      <c r="H1486" s="3" t="inlineStr">
        <is>
          <t>LED600</t>
        </is>
      </c>
      <c r="I1486" s="4" t="inlineStr">
        <is>
          <t>Đèn Led soi sửa chữa máy móc LED600</t>
        </is>
      </c>
      <c r="J1486" s="3" t="inlineStr">
        <is>
          <t>Cái</t>
        </is>
      </c>
      <c r="K1486" s="5" t="n">
        <v>650000</v>
      </c>
      <c r="L1486" s="5" t="n">
        <v>741000</v>
      </c>
      <c r="M1486" s="6" t="n">
        <v>878000</v>
      </c>
      <c r="N1486" s="5" t="n"/>
      <c r="O1486" s="5">
        <f>IF(AND(ISNUMBER(N1486),ISNUMBER(M1486)),N1486-M1486,"")</f>
        <v/>
      </c>
      <c r="P1486" s="7">
        <f>IF(AND(ISNUMBER(N1486),ISNUMBER(M1486),M1486&gt;0),(N1486-M1486)/M1486,"")</f>
        <v/>
      </c>
      <c r="Q1486" s="3">
        <f>IF(P1486="","",IF(P1486&lt;-0.02,"🔴 Bán phá giá sàn",IF(P1486&gt;0.05,"🔵 Bán cao hơn","🟢 Đúng giá sàn TMĐT")))</f>
        <v/>
      </c>
      <c r="R1486" s="3" t="n"/>
      <c r="S1486" s="4" t="n"/>
      <c r="T1486" s="4" t="n"/>
    </row>
    <row r="1487">
      <c r="A1487" s="3" t="n">
        <v>1486</v>
      </c>
      <c r="B1487" s="3" t="inlineStr">
        <is>
          <t>DL014</t>
        </is>
      </c>
      <c r="C1487" s="4" t="inlineStr">
        <is>
          <t>Điện máy Anh Anh</t>
        </is>
      </c>
      <c r="D1487" s="3" t="inlineStr">
        <is>
          <t>HN</t>
        </is>
      </c>
      <c r="E1487" s="3" t="inlineStr">
        <is>
          <t>ĐIỆP</t>
        </is>
      </c>
      <c r="F1487" s="3" t="inlineStr">
        <is>
          <t>Tiktok</t>
        </is>
      </c>
      <c r="G1487" s="4" t="inlineStr">
        <is>
          <t>SHOPEE: TIKTOK: https://vt.tiktok.com/ZS9UMxDj8orfa-HFRLE/ LAZADA: WEBSITE BÁN HÀNG:</t>
        </is>
      </c>
      <c r="H1487" s="3" t="inlineStr"/>
      <c r="I1487" s="4" t="inlineStr">
        <is>
          <t>Định tâm</t>
        </is>
      </c>
      <c r="J1487" s="3" t="inlineStr">
        <is>
          <t>Cái</t>
        </is>
      </c>
      <c r="K1487" s="5" t="n">
        <v>269000</v>
      </c>
      <c r="L1487" s="5" t="n">
        <v>317000</v>
      </c>
      <c r="M1487" s="6" t="n">
        <v>390000</v>
      </c>
      <c r="N1487" s="5" t="n"/>
      <c r="O1487" s="5">
        <f>IF(AND(ISNUMBER(N1487),ISNUMBER(M1487)),N1487-M1487,"")</f>
        <v/>
      </c>
      <c r="P1487" s="7">
        <f>IF(AND(ISNUMBER(N1487),ISNUMBER(M1487),M1487&gt;0),(N1487-M1487)/M1487,"")</f>
        <v/>
      </c>
      <c r="Q1487" s="3">
        <f>IF(P1487="","",IF(P1487&lt;-0.02,"🔴 Bán phá giá sàn",IF(P1487&gt;0.05,"🔵 Bán cao hơn","🟢 Đúng giá sàn TMĐT")))</f>
        <v/>
      </c>
      <c r="R1487" s="3" t="n"/>
      <c r="S1487" s="4" t="n"/>
      <c r="T1487" s="4" t="n"/>
    </row>
    <row r="1488">
      <c r="A1488" s="3" t="n">
        <v>1487</v>
      </c>
      <c r="B1488" s="3" t="inlineStr">
        <is>
          <t>DL014</t>
        </is>
      </c>
      <c r="C1488" s="4" t="inlineStr">
        <is>
          <t>Điện máy Anh Anh</t>
        </is>
      </c>
      <c r="D1488" s="3" t="inlineStr">
        <is>
          <t>HN</t>
        </is>
      </c>
      <c r="E1488" s="3" t="inlineStr">
        <is>
          <t>ĐIỆP</t>
        </is>
      </c>
      <c r="F1488" s="3" t="inlineStr">
        <is>
          <t>Tiktok</t>
        </is>
      </c>
      <c r="G1488" s="4" t="inlineStr">
        <is>
          <t>SHOPEE: TIKTOK: https://vt.tiktok.com/ZS9UMxDj8orfa-HFRLE/ LAZADA: WEBSITE BÁN HÀNG:</t>
        </is>
      </c>
      <c r="H1488" s="3" t="inlineStr">
        <is>
          <t>K54M</t>
        </is>
      </c>
      <c r="I1488" s="4" t="inlineStr">
        <is>
          <t>Dụng cụ khò gas mini K54M</t>
        </is>
      </c>
      <c r="J1488" s="3" t="inlineStr">
        <is>
          <t>Cái</t>
        </is>
      </c>
      <c r="K1488" s="5" t="n">
        <v>209000</v>
      </c>
      <c r="L1488" s="5" t="n">
        <v>247000</v>
      </c>
      <c r="M1488" s="6" t="n">
        <v>303000</v>
      </c>
      <c r="N1488" s="5" t="n"/>
      <c r="O1488" s="5">
        <f>IF(AND(ISNUMBER(N1488),ISNUMBER(M1488)),N1488-M1488,"")</f>
        <v/>
      </c>
      <c r="P1488" s="7">
        <f>IF(AND(ISNUMBER(N1488),ISNUMBER(M1488),M1488&gt;0),(N1488-M1488)/M1488,"")</f>
        <v/>
      </c>
      <c r="Q1488" s="3">
        <f>IF(P1488="","",IF(P1488&lt;-0.02,"🔴 Bán phá giá sàn",IF(P1488&gt;0.05,"🔵 Bán cao hơn","🟢 Đúng giá sàn TMĐT")))</f>
        <v/>
      </c>
      <c r="R1488" s="3" t="n"/>
      <c r="S1488" s="4" t="n"/>
      <c r="T1488" s="4" t="n"/>
    </row>
    <row r="1489">
      <c r="A1489" s="3" t="n">
        <v>1488</v>
      </c>
      <c r="B1489" s="3" t="inlineStr">
        <is>
          <t>DL014</t>
        </is>
      </c>
      <c r="C1489" s="4" t="inlineStr">
        <is>
          <t>Điện máy Anh Anh</t>
        </is>
      </c>
      <c r="D1489" s="3" t="inlineStr">
        <is>
          <t>HN</t>
        </is>
      </c>
      <c r="E1489" s="3" t="inlineStr">
        <is>
          <t>ĐIỆP</t>
        </is>
      </c>
      <c r="F1489" s="3" t="inlineStr">
        <is>
          <t>Tiktok</t>
        </is>
      </c>
      <c r="G1489" s="4" t="inlineStr">
        <is>
          <t>SHOPEE: TIKTOK: https://vt.tiktok.com/ZS9UMxDj8orfa-HFRLE/ LAZADA: WEBSITE BÁN HÀNG:</t>
        </is>
      </c>
      <c r="H1489" s="3" t="inlineStr">
        <is>
          <t>KB-1301</t>
        </is>
      </c>
      <c r="I1489" s="4" t="inlineStr">
        <is>
          <t>Dụng cụ vát mép (ba via) ống đồng KingBlue, KB-1301</t>
        </is>
      </c>
      <c r="J1489" s="3" t="inlineStr">
        <is>
          <t>Cái</t>
        </is>
      </c>
      <c r="K1489" s="5" t="n">
        <v>135000</v>
      </c>
      <c r="L1489" s="5" t="n">
        <v>159000</v>
      </c>
      <c r="M1489" s="6" t="n">
        <v>196000</v>
      </c>
      <c r="N1489" s="5" t="n"/>
      <c r="O1489" s="5">
        <f>IF(AND(ISNUMBER(N1489),ISNUMBER(M1489)),N1489-M1489,"")</f>
        <v/>
      </c>
      <c r="P1489" s="7">
        <f>IF(AND(ISNUMBER(N1489),ISNUMBER(M1489),M1489&gt;0),(N1489-M1489)/M1489,"")</f>
        <v/>
      </c>
      <c r="Q1489" s="3">
        <f>IF(P1489="","",IF(P1489&lt;-0.02,"🔴 Bán phá giá sàn",IF(P1489&gt;0.05,"🔵 Bán cao hơn","🟢 Đúng giá sàn TMĐT")))</f>
        <v/>
      </c>
      <c r="R1489" s="3" t="n"/>
      <c r="S1489" s="4" t="n"/>
      <c r="T1489" s="4" t="n"/>
    </row>
    <row r="1490">
      <c r="A1490" s="3" t="n">
        <v>1489</v>
      </c>
      <c r="B1490" s="3" t="inlineStr">
        <is>
          <t>DL014</t>
        </is>
      </c>
      <c r="C1490" s="4" t="inlineStr">
        <is>
          <t>Điện máy Anh Anh</t>
        </is>
      </c>
      <c r="D1490" s="3" t="inlineStr">
        <is>
          <t>HN</t>
        </is>
      </c>
      <c r="E1490" s="3" t="inlineStr">
        <is>
          <t>ĐIỆP</t>
        </is>
      </c>
      <c r="F1490" s="3" t="inlineStr">
        <is>
          <t>Tiktok</t>
        </is>
      </c>
      <c r="G1490" s="4" t="inlineStr">
        <is>
          <t>SHOPEE: TIKTOK: https://vt.tiktok.com/ZS9UMxDj8orfa-HFRLE/ LAZADA: WEBSITE BÁN HÀNG:</t>
        </is>
      </c>
      <c r="H1490" s="3" t="inlineStr">
        <is>
          <t>HK1-50</t>
        </is>
      </c>
      <c r="I1490" s="4" t="inlineStr">
        <is>
          <t>Hít kính HK1-50</t>
        </is>
      </c>
      <c r="J1490" s="3" t="inlineStr">
        <is>
          <t>Cái</t>
        </is>
      </c>
      <c r="K1490" s="5" t="n">
        <v>182000</v>
      </c>
      <c r="L1490" s="5" t="n">
        <v>215000</v>
      </c>
      <c r="M1490" s="6" t="n">
        <v>264000</v>
      </c>
      <c r="N1490" s="5" t="n"/>
      <c r="O1490" s="5">
        <f>IF(AND(ISNUMBER(N1490),ISNUMBER(M1490)),N1490-M1490,"")</f>
        <v/>
      </c>
      <c r="P1490" s="7">
        <f>IF(AND(ISNUMBER(N1490),ISNUMBER(M1490),M1490&gt;0),(N1490-M1490)/M1490,"")</f>
        <v/>
      </c>
      <c r="Q1490" s="3">
        <f>IF(P1490="","",IF(P1490&lt;-0.02,"🔴 Bán phá giá sàn",IF(P1490&gt;0.05,"🔵 Bán cao hơn","🟢 Đúng giá sàn TMĐT")))</f>
        <v/>
      </c>
      <c r="R1490" s="3" t="n"/>
      <c r="S1490" s="4" t="n"/>
      <c r="T1490" s="4" t="n"/>
    </row>
    <row r="1491">
      <c r="A1491" s="3" t="n">
        <v>1490</v>
      </c>
      <c r="B1491" s="3" t="inlineStr">
        <is>
          <t>DL014</t>
        </is>
      </c>
      <c r="C1491" s="4" t="inlineStr">
        <is>
          <t>Điện máy Anh Anh</t>
        </is>
      </c>
      <c r="D1491" s="3" t="inlineStr">
        <is>
          <t>HN</t>
        </is>
      </c>
      <c r="E1491" s="3" t="inlineStr">
        <is>
          <t>ĐIỆP</t>
        </is>
      </c>
      <c r="F1491" s="3" t="inlineStr">
        <is>
          <t>Tiktok</t>
        </is>
      </c>
      <c r="G1491" s="4" t="inlineStr">
        <is>
          <t>SHOPEE: TIKTOK: https://vt.tiktok.com/ZS9UMxDj8orfa-HFRLE/ LAZADA: WEBSITE BÁN HÀNG:</t>
        </is>
      </c>
      <c r="H1491" s="3" t="inlineStr">
        <is>
          <t>HK2-130</t>
        </is>
      </c>
      <c r="I1491" s="4" t="inlineStr">
        <is>
          <t>Hít kính HK2-130</t>
        </is>
      </c>
      <c r="J1491" s="3" t="inlineStr">
        <is>
          <t>Cái</t>
        </is>
      </c>
      <c r="K1491" s="5" t="n">
        <v>308000</v>
      </c>
      <c r="L1491" s="5" t="n">
        <v>364000</v>
      </c>
      <c r="M1491" s="6" t="n">
        <v>447000</v>
      </c>
      <c r="N1491" s="5" t="n"/>
      <c r="O1491" s="5">
        <f>IF(AND(ISNUMBER(N1491),ISNUMBER(M1491)),N1491-M1491,"")</f>
        <v/>
      </c>
      <c r="P1491" s="7">
        <f>IF(AND(ISNUMBER(N1491),ISNUMBER(M1491),M1491&gt;0),(N1491-M1491)/M1491,"")</f>
        <v/>
      </c>
      <c r="Q1491" s="3">
        <f>IF(P1491="","",IF(P1491&lt;-0.02,"🔴 Bán phá giá sàn",IF(P1491&gt;0.05,"🔵 Bán cao hơn","🟢 Đúng giá sàn TMĐT")))</f>
        <v/>
      </c>
      <c r="R1491" s="3" t="n"/>
      <c r="S1491" s="4" t="n"/>
      <c r="T1491" s="4" t="n"/>
    </row>
    <row r="1492">
      <c r="A1492" s="3" t="n">
        <v>1491</v>
      </c>
      <c r="B1492" s="3" t="inlineStr">
        <is>
          <t>DL014</t>
        </is>
      </c>
      <c r="C1492" s="4" t="inlineStr">
        <is>
          <t>Điện máy Anh Anh</t>
        </is>
      </c>
      <c r="D1492" s="3" t="inlineStr">
        <is>
          <t>HN</t>
        </is>
      </c>
      <c r="E1492" s="3" t="inlineStr">
        <is>
          <t>ĐIỆP</t>
        </is>
      </c>
      <c r="F1492" s="3" t="inlineStr">
        <is>
          <t>Tiktok</t>
        </is>
      </c>
      <c r="G1492" s="4" t="inlineStr">
        <is>
          <t>SHOPEE: TIKTOK: https://vt.tiktok.com/ZS9UMxDj8orfa-HFRLE/ LAZADA: WEBSITE BÁN HÀNG:</t>
        </is>
      </c>
      <c r="H1492" s="3" t="inlineStr">
        <is>
          <t>KBE-BL2816</t>
        </is>
      </c>
      <c r="I1492" s="4" t="inlineStr">
        <is>
          <t>Kéo cắt cành pin KBE-BL2816</t>
        </is>
      </c>
      <c r="J1492" s="3" t="inlineStr">
        <is>
          <t>Cái</t>
        </is>
      </c>
      <c r="K1492" s="5" t="n">
        <v>1600000</v>
      </c>
      <c r="L1492" s="5" t="n">
        <v>1760000</v>
      </c>
      <c r="M1492" s="6" t="n">
        <v>2000000</v>
      </c>
      <c r="N1492" s="5" t="n"/>
      <c r="O1492" s="5">
        <f>IF(AND(ISNUMBER(N1492),ISNUMBER(M1492)),N1492-M1492,"")</f>
        <v/>
      </c>
      <c r="P1492" s="7">
        <f>IF(AND(ISNUMBER(N1492),ISNUMBER(M1492),M1492&gt;0),(N1492-M1492)/M1492,"")</f>
        <v/>
      </c>
      <c r="Q1492" s="3">
        <f>IF(P1492="","",IF(P1492&lt;-0.02,"🔴 Bán phá giá sàn",IF(P1492&gt;0.05,"🔵 Bán cao hơn","🟢 Đúng giá sàn TMĐT")))</f>
        <v/>
      </c>
      <c r="R1492" s="3" t="n"/>
      <c r="S1492" s="4" t="n"/>
      <c r="T1492" s="4" t="n"/>
    </row>
    <row r="1493">
      <c r="A1493" s="3" t="n">
        <v>1492</v>
      </c>
      <c r="B1493" s="3" t="inlineStr">
        <is>
          <t>DL014</t>
        </is>
      </c>
      <c r="C1493" s="4" t="inlineStr">
        <is>
          <t>Điện máy Anh Anh</t>
        </is>
      </c>
      <c r="D1493" s="3" t="inlineStr">
        <is>
          <t>HN</t>
        </is>
      </c>
      <c r="E1493" s="3" t="inlineStr">
        <is>
          <t>ĐIỆP</t>
        </is>
      </c>
      <c r="F1493" s="3" t="inlineStr">
        <is>
          <t>Tiktok</t>
        </is>
      </c>
      <c r="G1493" s="4" t="inlineStr">
        <is>
          <t>SHOPEE: TIKTOK: https://vt.tiktok.com/ZS9UMxDj8orfa-HFRLE/ LAZADA: WEBSITE BÁN HÀNG:</t>
        </is>
      </c>
      <c r="H1493" s="3" t="inlineStr">
        <is>
          <t>QC4</t>
        </is>
      </c>
      <c r="I1493" s="4" t="inlineStr">
        <is>
          <t>Kéo cắt đa năng QC4</t>
        </is>
      </c>
      <c r="J1493" s="3" t="inlineStr">
        <is>
          <t>Cái</t>
        </is>
      </c>
      <c r="K1493" s="5" t="n">
        <v>103000</v>
      </c>
      <c r="L1493" s="5" t="n">
        <v>121000</v>
      </c>
      <c r="M1493" s="6" t="n">
        <v>149000</v>
      </c>
      <c r="N1493" s="5" t="n"/>
      <c r="O1493" s="5">
        <f>IF(AND(ISNUMBER(N1493),ISNUMBER(M1493)),N1493-M1493,"")</f>
        <v/>
      </c>
      <c r="P1493" s="7">
        <f>IF(AND(ISNUMBER(N1493),ISNUMBER(M1493),M1493&gt;0),(N1493-M1493)/M1493,"")</f>
        <v/>
      </c>
      <c r="Q1493" s="3">
        <f>IF(P1493="","",IF(P1493&lt;-0.02,"🔴 Bán phá giá sàn",IF(P1493&gt;0.05,"🔵 Bán cao hơn","🟢 Đúng giá sàn TMĐT")))</f>
        <v/>
      </c>
      <c r="R1493" s="3" t="n"/>
      <c r="S1493" s="4" t="n"/>
      <c r="T1493" s="4" t="n"/>
    </row>
    <row r="1494">
      <c r="A1494" s="3" t="n">
        <v>1493</v>
      </c>
      <c r="B1494" s="3" t="inlineStr">
        <is>
          <t>DL014</t>
        </is>
      </c>
      <c r="C1494" s="4" t="inlineStr">
        <is>
          <t>Điện máy Anh Anh</t>
        </is>
      </c>
      <c r="D1494" s="3" t="inlineStr">
        <is>
          <t>HN</t>
        </is>
      </c>
      <c r="E1494" s="3" t="inlineStr">
        <is>
          <t>ĐIỆP</t>
        </is>
      </c>
      <c r="F1494" s="3" t="inlineStr">
        <is>
          <t>Tiktok</t>
        </is>
      </c>
      <c r="G1494" s="4" t="inlineStr">
        <is>
          <t>SHOPEE: TIKTOK: https://vt.tiktok.com/ZS9UMxDj8orfa-HFRLE/ LAZADA: WEBSITE BÁN HÀNG:</t>
        </is>
      </c>
      <c r="H1494" s="3" t="inlineStr">
        <is>
          <t>KPC-142</t>
        </is>
      </c>
      <c r="I1494" s="4" t="inlineStr">
        <is>
          <t>Kéo cắt ống KPC-142 (NEW)</t>
        </is>
      </c>
      <c r="J1494" s="3" t="inlineStr">
        <is>
          <t>Cái</t>
        </is>
      </c>
      <c r="K1494" s="5" t="n">
        <v>269000</v>
      </c>
      <c r="L1494" s="5" t="n">
        <v>317000</v>
      </c>
      <c r="M1494" s="6" t="n">
        <v>390000</v>
      </c>
      <c r="N1494" s="5" t="n"/>
      <c r="O1494" s="5">
        <f>IF(AND(ISNUMBER(N1494),ISNUMBER(M1494)),N1494-M1494,"")</f>
        <v/>
      </c>
      <c r="P1494" s="7">
        <f>IF(AND(ISNUMBER(N1494),ISNUMBER(M1494),M1494&gt;0),(N1494-M1494)/M1494,"")</f>
        <v/>
      </c>
      <c r="Q1494" s="3">
        <f>IF(P1494="","",IF(P1494&lt;-0.02,"🔴 Bán phá giá sàn",IF(P1494&gt;0.05,"🔵 Bán cao hơn","🟢 Đúng giá sàn TMĐT")))</f>
        <v/>
      </c>
      <c r="R1494" s="3" t="n"/>
      <c r="S1494" s="4" t="n"/>
      <c r="T1494" s="4" t="n"/>
    </row>
    <row r="1495">
      <c r="A1495" s="3" t="n">
        <v>1494</v>
      </c>
      <c r="B1495" s="3" t="inlineStr">
        <is>
          <t>DL014</t>
        </is>
      </c>
      <c r="C1495" s="4" t="inlineStr">
        <is>
          <t>Điện máy Anh Anh</t>
        </is>
      </c>
      <c r="D1495" s="3" t="inlineStr">
        <is>
          <t>HN</t>
        </is>
      </c>
      <c r="E1495" s="3" t="inlineStr">
        <is>
          <t>ĐIỆP</t>
        </is>
      </c>
      <c r="F1495" s="3" t="inlineStr">
        <is>
          <t>Tiktok</t>
        </is>
      </c>
      <c r="G1495" s="4" t="inlineStr">
        <is>
          <t>SHOPEE: TIKTOK: https://vt.tiktok.com/ZS9UMxDj8orfa-HFRLE/ LAZADA: WEBSITE BÁN HÀNG:</t>
        </is>
      </c>
      <c r="H1495" s="3" t="inlineStr">
        <is>
          <t>KPC-164</t>
        </is>
      </c>
      <c r="I1495" s="4" t="inlineStr">
        <is>
          <t>Kéo cắt ống KPC-164</t>
        </is>
      </c>
      <c r="J1495" s="3" t="inlineStr">
        <is>
          <t>Cái</t>
        </is>
      </c>
      <c r="K1495" s="5" t="n">
        <v>262000</v>
      </c>
      <c r="L1495" s="5" t="n">
        <v>309000</v>
      </c>
      <c r="M1495" s="6" t="n">
        <v>380000</v>
      </c>
      <c r="N1495" s="5" t="n"/>
      <c r="O1495" s="5">
        <f>IF(AND(ISNUMBER(N1495),ISNUMBER(M1495)),N1495-M1495,"")</f>
        <v/>
      </c>
      <c r="P1495" s="7">
        <f>IF(AND(ISNUMBER(N1495),ISNUMBER(M1495),M1495&gt;0),(N1495-M1495)/M1495,"")</f>
        <v/>
      </c>
      <c r="Q1495" s="3">
        <f>IF(P1495="","",IF(P1495&lt;-0.02,"🔴 Bán phá giá sàn",IF(P1495&gt;0.05,"🔵 Bán cao hơn","🟢 Đúng giá sàn TMĐT")))</f>
        <v/>
      </c>
      <c r="R1495" s="3" t="n"/>
      <c r="S1495" s="4" t="n"/>
      <c r="T1495" s="4" t="n"/>
    </row>
    <row r="1496">
      <c r="A1496" s="3" t="n">
        <v>1495</v>
      </c>
      <c r="B1496" s="3" t="inlineStr">
        <is>
          <t>DL014</t>
        </is>
      </c>
      <c r="C1496" s="4" t="inlineStr">
        <is>
          <t>Điện máy Anh Anh</t>
        </is>
      </c>
      <c r="D1496" s="3" t="inlineStr">
        <is>
          <t>HN</t>
        </is>
      </c>
      <c r="E1496" s="3" t="inlineStr">
        <is>
          <t>ĐIỆP</t>
        </is>
      </c>
      <c r="F1496" s="3" t="inlineStr">
        <is>
          <t>Tiktok</t>
        </is>
      </c>
      <c r="G1496" s="4" t="inlineStr">
        <is>
          <t>SHOPEE: TIKTOK: https://vt.tiktok.com/ZS9UMxDj8orfa-HFRLE/ LAZADA: WEBSITE BÁN HÀNG:</t>
        </is>
      </c>
      <c r="H1496" s="3" t="inlineStr">
        <is>
          <t>KPC-242</t>
        </is>
      </c>
      <c r="I1496" s="4" t="inlineStr">
        <is>
          <t>Kéo cắt ống KPC-242</t>
        </is>
      </c>
      <c r="J1496" s="3" t="inlineStr">
        <is>
          <t>Cái</t>
        </is>
      </c>
      <c r="K1496" s="5" t="n">
        <v>172000</v>
      </c>
      <c r="L1496" s="5" t="n">
        <v>203000</v>
      </c>
      <c r="M1496" s="6" t="n">
        <v>249000</v>
      </c>
      <c r="N1496" s="5" t="n"/>
      <c r="O1496" s="5">
        <f>IF(AND(ISNUMBER(N1496),ISNUMBER(M1496)),N1496-M1496,"")</f>
        <v/>
      </c>
      <c r="P1496" s="7">
        <f>IF(AND(ISNUMBER(N1496),ISNUMBER(M1496),M1496&gt;0),(N1496-M1496)/M1496,"")</f>
        <v/>
      </c>
      <c r="Q1496" s="3">
        <f>IF(P1496="","",IF(P1496&lt;-0.02,"🔴 Bán phá giá sàn",IF(P1496&gt;0.05,"🔵 Bán cao hơn","🟢 Đúng giá sàn TMĐT")))</f>
        <v/>
      </c>
      <c r="R1496" s="3" t="n"/>
      <c r="S1496" s="4" t="n"/>
      <c r="T1496" s="4" t="n"/>
    </row>
    <row r="1497">
      <c r="A1497" s="3" t="n">
        <v>1496</v>
      </c>
      <c r="B1497" s="3" t="inlineStr">
        <is>
          <t>DL014</t>
        </is>
      </c>
      <c r="C1497" s="4" t="inlineStr">
        <is>
          <t>Điện máy Anh Anh</t>
        </is>
      </c>
      <c r="D1497" s="3" t="inlineStr">
        <is>
          <t>HN</t>
        </is>
      </c>
      <c r="E1497" s="3" t="inlineStr">
        <is>
          <t>ĐIỆP</t>
        </is>
      </c>
      <c r="F1497" s="3" t="inlineStr">
        <is>
          <t>Tiktok</t>
        </is>
      </c>
      <c r="G1497" s="4" t="inlineStr">
        <is>
          <t>SHOPEE: TIKTOK: https://vt.tiktok.com/ZS9UMxDj8orfa-HFRLE/ LAZADA: WEBSITE BÁN HÀNG:</t>
        </is>
      </c>
      <c r="H1497" s="3" t="inlineStr">
        <is>
          <t>QC1</t>
        </is>
      </c>
      <c r="I1497" s="4" t="inlineStr">
        <is>
          <t>Kéo cắt trái cây QC1</t>
        </is>
      </c>
      <c r="J1497" s="3" t="inlineStr">
        <is>
          <t>Cái</t>
        </is>
      </c>
      <c r="K1497" s="5" t="n">
        <v>38000</v>
      </c>
      <c r="L1497" s="5" t="n">
        <v>45000</v>
      </c>
      <c r="M1497" s="6" t="n">
        <v>55000</v>
      </c>
      <c r="N1497" s="5" t="n"/>
      <c r="O1497" s="5">
        <f>IF(AND(ISNUMBER(N1497),ISNUMBER(M1497)),N1497-M1497,"")</f>
        <v/>
      </c>
      <c r="P1497" s="7">
        <f>IF(AND(ISNUMBER(N1497),ISNUMBER(M1497),M1497&gt;0),(N1497-M1497)/M1497,"")</f>
        <v/>
      </c>
      <c r="Q1497" s="3">
        <f>IF(P1497="","",IF(P1497&lt;-0.02,"🔴 Bán phá giá sàn",IF(P1497&gt;0.05,"🔵 Bán cao hơn","🟢 Đúng giá sàn TMĐT")))</f>
        <v/>
      </c>
      <c r="R1497" s="3" t="n"/>
      <c r="S1497" s="4" t="n"/>
      <c r="T1497" s="4" t="n"/>
    </row>
    <row r="1498">
      <c r="A1498" s="3" t="n">
        <v>1497</v>
      </c>
      <c r="B1498" s="3" t="inlineStr">
        <is>
          <t>DL014</t>
        </is>
      </c>
      <c r="C1498" s="4" t="inlineStr">
        <is>
          <t>Điện máy Anh Anh</t>
        </is>
      </c>
      <c r="D1498" s="3" t="inlineStr">
        <is>
          <t>HN</t>
        </is>
      </c>
      <c r="E1498" s="3" t="inlineStr">
        <is>
          <t>ĐIỆP</t>
        </is>
      </c>
      <c r="F1498" s="3" t="inlineStr">
        <is>
          <t>Tiktok</t>
        </is>
      </c>
      <c r="G1498" s="4" t="inlineStr">
        <is>
          <t>SHOPEE: TIKTOK: https://vt.tiktok.com/ZS9UMxDj8orfa-HFRLE/ LAZADA: WEBSITE BÁN HÀNG:</t>
        </is>
      </c>
      <c r="H1498" s="3" t="inlineStr">
        <is>
          <t>KB002-E7</t>
        </is>
      </c>
      <c r="I1498" s="4" t="inlineStr">
        <is>
          <t>Kéo KB002-E7</t>
        </is>
      </c>
      <c r="J1498" s="3" t="inlineStr">
        <is>
          <t>Cái</t>
        </is>
      </c>
      <c r="K1498" s="5" t="n">
        <v>145000</v>
      </c>
      <c r="L1498" s="5" t="n">
        <v>171000</v>
      </c>
      <c r="M1498" s="6" t="n">
        <v>210000</v>
      </c>
      <c r="N1498" s="5" t="n"/>
      <c r="O1498" s="5">
        <f>IF(AND(ISNUMBER(N1498),ISNUMBER(M1498)),N1498-M1498,"")</f>
        <v/>
      </c>
      <c r="P1498" s="7">
        <f>IF(AND(ISNUMBER(N1498),ISNUMBER(M1498),M1498&gt;0),(N1498-M1498)/M1498,"")</f>
        <v/>
      </c>
      <c r="Q1498" s="3">
        <f>IF(P1498="","",IF(P1498&lt;-0.02,"🔴 Bán phá giá sàn",IF(P1498&gt;0.05,"🔵 Bán cao hơn","🟢 Đúng giá sàn TMĐT")))</f>
        <v/>
      </c>
      <c r="R1498" s="3" t="n"/>
      <c r="S1498" s="4" t="n"/>
      <c r="T1498" s="4" t="n"/>
    </row>
    <row r="1499">
      <c r="A1499" s="3" t="n">
        <v>1498</v>
      </c>
      <c r="B1499" s="3" t="inlineStr">
        <is>
          <t>DL014</t>
        </is>
      </c>
      <c r="C1499" s="4" t="inlineStr">
        <is>
          <t>Điện máy Anh Anh</t>
        </is>
      </c>
      <c r="D1499" s="3" t="inlineStr">
        <is>
          <t>HN</t>
        </is>
      </c>
      <c r="E1499" s="3" t="inlineStr">
        <is>
          <t>ĐIỆP</t>
        </is>
      </c>
      <c r="F1499" s="3" t="inlineStr">
        <is>
          <t>Tiktok</t>
        </is>
      </c>
      <c r="G1499" s="4" t="inlineStr">
        <is>
          <t>SHOPEE: TIKTOK: https://vt.tiktok.com/ZS9UMxDj8orfa-HFRLE/ LAZADA: WEBSITE BÁN HÀNG:</t>
        </is>
      </c>
      <c r="H1499" s="3" t="inlineStr">
        <is>
          <t>KB003-Q2</t>
        </is>
      </c>
      <c r="I1499" s="4" t="inlineStr">
        <is>
          <t>Kéo KB003-Q2</t>
        </is>
      </c>
      <c r="J1499" s="3" t="inlineStr">
        <is>
          <t>Cái</t>
        </is>
      </c>
      <c r="K1499" s="5" t="n">
        <v>98000</v>
      </c>
      <c r="L1499" s="5" t="n">
        <v>116000</v>
      </c>
      <c r="M1499" s="6" t="n">
        <v>142000</v>
      </c>
      <c r="N1499" s="5" t="n"/>
      <c r="O1499" s="5">
        <f>IF(AND(ISNUMBER(N1499),ISNUMBER(M1499)),N1499-M1499,"")</f>
        <v/>
      </c>
      <c r="P1499" s="7">
        <f>IF(AND(ISNUMBER(N1499),ISNUMBER(M1499),M1499&gt;0),(N1499-M1499)/M1499,"")</f>
        <v/>
      </c>
      <c r="Q1499" s="3">
        <f>IF(P1499="","",IF(P1499&lt;-0.02,"🔴 Bán phá giá sàn",IF(P1499&gt;0.05,"🔵 Bán cao hơn","🟢 Đúng giá sàn TMĐT")))</f>
        <v/>
      </c>
      <c r="R1499" s="3" t="n"/>
      <c r="S1499" s="4" t="n"/>
      <c r="T1499" s="4" t="n"/>
    </row>
    <row r="1500">
      <c r="A1500" s="3" t="n">
        <v>1499</v>
      </c>
      <c r="B1500" s="3" t="inlineStr">
        <is>
          <t>DL014</t>
        </is>
      </c>
      <c r="C1500" s="4" t="inlineStr">
        <is>
          <t>Điện máy Anh Anh</t>
        </is>
      </c>
      <c r="D1500" s="3" t="inlineStr">
        <is>
          <t>HN</t>
        </is>
      </c>
      <c r="E1500" s="3" t="inlineStr">
        <is>
          <t>ĐIỆP</t>
        </is>
      </c>
      <c r="F1500" s="3" t="inlineStr">
        <is>
          <t>Tiktok</t>
        </is>
      </c>
      <c r="G1500" s="4" t="inlineStr">
        <is>
          <t>SHOPEE: TIKTOK: https://vt.tiktok.com/ZS9UMxDj8orfa-HFRLE/ LAZADA: WEBSITE BÁN HÀNG:</t>
        </is>
      </c>
      <c r="H1500" s="3" t="inlineStr">
        <is>
          <t>KBB-06MM</t>
        </is>
      </c>
      <c r="I1500" s="4" t="inlineStr">
        <is>
          <t>Khoan Kính KingBlue KBB-06MM</t>
        </is>
      </c>
      <c r="J1500" s="3" t="inlineStr">
        <is>
          <t>Cái</t>
        </is>
      </c>
      <c r="K1500" s="5" t="n">
        <v>269000</v>
      </c>
      <c r="L1500" s="5" t="n">
        <v>317000</v>
      </c>
      <c r="M1500" s="6" t="n">
        <v>390000</v>
      </c>
      <c r="N1500" s="5" t="n"/>
      <c r="O1500" s="5">
        <f>IF(AND(ISNUMBER(N1500),ISNUMBER(M1500)),N1500-M1500,"")</f>
        <v/>
      </c>
      <c r="P1500" s="7">
        <f>IF(AND(ISNUMBER(N1500),ISNUMBER(M1500),M1500&gt;0),(N1500-M1500)/M1500,"")</f>
        <v/>
      </c>
      <c r="Q1500" s="3">
        <f>IF(P1500="","",IF(P1500&lt;-0.02,"🔴 Bán phá giá sàn",IF(P1500&gt;0.05,"🔵 Bán cao hơn","🟢 Đúng giá sàn TMĐT")))</f>
        <v/>
      </c>
      <c r="R1500" s="3" t="n"/>
      <c r="S1500" s="4" t="n"/>
      <c r="T1500" s="4" t="n"/>
    </row>
    <row r="1501">
      <c r="A1501" s="3" t="n">
        <v>1500</v>
      </c>
      <c r="B1501" s="3" t="inlineStr">
        <is>
          <t>DL014</t>
        </is>
      </c>
      <c r="C1501" s="4" t="inlineStr">
        <is>
          <t>Điện máy Anh Anh</t>
        </is>
      </c>
      <c r="D1501" s="3" t="inlineStr">
        <is>
          <t>HN</t>
        </is>
      </c>
      <c r="E1501" s="3" t="inlineStr">
        <is>
          <t>ĐIỆP</t>
        </is>
      </c>
      <c r="F1501" s="3" t="inlineStr">
        <is>
          <t>Tiktok</t>
        </is>
      </c>
      <c r="G1501" s="4" t="inlineStr">
        <is>
          <t>SHOPEE: TIKTOK: https://vt.tiktok.com/ZS9UMxDj8orfa-HFRLE/ LAZADA: WEBSITE BÁN HÀNG:</t>
        </is>
      </c>
      <c r="H1501" s="3" t="inlineStr">
        <is>
          <t>KBB-08MM</t>
        </is>
      </c>
      <c r="I1501" s="4" t="inlineStr">
        <is>
          <t>Khoan Kính KingBlue KBB-08MM</t>
        </is>
      </c>
      <c r="J1501" s="3" t="inlineStr">
        <is>
          <t>Cái</t>
        </is>
      </c>
      <c r="K1501" s="5" t="n">
        <v>269000</v>
      </c>
      <c r="L1501" s="5" t="n">
        <v>317000</v>
      </c>
      <c r="M1501" s="6" t="n">
        <v>390000</v>
      </c>
      <c r="N1501" s="5" t="n"/>
      <c r="O1501" s="5">
        <f>IF(AND(ISNUMBER(N1501),ISNUMBER(M1501)),N1501-M1501,"")</f>
        <v/>
      </c>
      <c r="P1501" s="7">
        <f>IF(AND(ISNUMBER(N1501),ISNUMBER(M1501),M1501&gt;0),(N1501-M1501)/M1501,"")</f>
        <v/>
      </c>
      <c r="Q1501" s="3">
        <f>IF(P1501="","",IF(P1501&lt;-0.02,"🔴 Bán phá giá sàn",IF(P1501&gt;0.05,"🔵 Bán cao hơn","🟢 Đúng giá sàn TMĐT")))</f>
        <v/>
      </c>
      <c r="R1501" s="3" t="n"/>
      <c r="S1501" s="4" t="n"/>
      <c r="T1501" s="4" t="n"/>
    </row>
    <row r="1502">
      <c r="A1502" s="3" t="n">
        <v>1501</v>
      </c>
      <c r="B1502" s="3" t="inlineStr">
        <is>
          <t>DL014</t>
        </is>
      </c>
      <c r="C1502" s="4" t="inlineStr">
        <is>
          <t>Điện máy Anh Anh</t>
        </is>
      </c>
      <c r="D1502" s="3" t="inlineStr">
        <is>
          <t>HN</t>
        </is>
      </c>
      <c r="E1502" s="3" t="inlineStr">
        <is>
          <t>ĐIỆP</t>
        </is>
      </c>
      <c r="F1502" s="3" t="inlineStr">
        <is>
          <t>Tiktok</t>
        </is>
      </c>
      <c r="G1502" s="4" t="inlineStr">
        <is>
          <t>SHOPEE: TIKTOK: https://vt.tiktok.com/ZS9UMxDj8orfa-HFRLE/ LAZADA: WEBSITE BÁN HÀNG:</t>
        </is>
      </c>
      <c r="H1502" s="3" t="inlineStr">
        <is>
          <t>KBB-10MM</t>
        </is>
      </c>
      <c r="I1502" s="4" t="inlineStr">
        <is>
          <t>Khoan Kính KingBlue KBB-10MM</t>
        </is>
      </c>
      <c r="J1502" s="3" t="inlineStr">
        <is>
          <t>Cái</t>
        </is>
      </c>
      <c r="K1502" s="5" t="n">
        <v>269000</v>
      </c>
      <c r="L1502" s="5" t="n">
        <v>317000</v>
      </c>
      <c r="M1502" s="6" t="n">
        <v>390000</v>
      </c>
      <c r="N1502" s="5" t="n"/>
      <c r="O1502" s="5">
        <f>IF(AND(ISNUMBER(N1502),ISNUMBER(M1502)),N1502-M1502,"")</f>
        <v/>
      </c>
      <c r="P1502" s="7">
        <f>IF(AND(ISNUMBER(N1502),ISNUMBER(M1502),M1502&gt;0),(N1502-M1502)/M1502,"")</f>
        <v/>
      </c>
      <c r="Q1502" s="3">
        <f>IF(P1502="","",IF(P1502&lt;-0.02,"🔴 Bán phá giá sàn",IF(P1502&gt;0.05,"🔵 Bán cao hơn","🟢 Đúng giá sàn TMĐT")))</f>
        <v/>
      </c>
      <c r="R1502" s="3" t="n"/>
      <c r="S1502" s="4" t="n"/>
      <c r="T1502" s="4" t="n"/>
    </row>
    <row r="1503">
      <c r="A1503" s="3" t="n">
        <v>1502</v>
      </c>
      <c r="B1503" s="3" t="inlineStr">
        <is>
          <t>DL014</t>
        </is>
      </c>
      <c r="C1503" s="4" t="inlineStr">
        <is>
          <t>Điện máy Anh Anh</t>
        </is>
      </c>
      <c r="D1503" s="3" t="inlineStr">
        <is>
          <t>HN</t>
        </is>
      </c>
      <c r="E1503" s="3" t="inlineStr">
        <is>
          <t>ĐIỆP</t>
        </is>
      </c>
      <c r="F1503" s="3" t="inlineStr">
        <is>
          <t>Tiktok</t>
        </is>
      </c>
      <c r="G1503" s="4" t="inlineStr">
        <is>
          <t>SHOPEE: TIKTOK: https://vt.tiktok.com/ZS9UMxDj8orfa-HFRLE/ LAZADA: WEBSITE BÁN HÀNG:</t>
        </is>
      </c>
      <c r="H1503" s="3" t="inlineStr">
        <is>
          <t>KBB-14MM</t>
        </is>
      </c>
      <c r="I1503" s="4" t="inlineStr">
        <is>
          <t>Khoan Kính KingBlue KBB-14MM</t>
        </is>
      </c>
      <c r="J1503" s="3" t="inlineStr">
        <is>
          <t>Cái</t>
        </is>
      </c>
      <c r="K1503" s="5" t="n">
        <v>269000</v>
      </c>
      <c r="L1503" s="5" t="n">
        <v>317000</v>
      </c>
      <c r="M1503" s="6" t="n">
        <v>390000</v>
      </c>
      <c r="N1503" s="5" t="n"/>
      <c r="O1503" s="5">
        <f>IF(AND(ISNUMBER(N1503),ISNUMBER(M1503)),N1503-M1503,"")</f>
        <v/>
      </c>
      <c r="P1503" s="7">
        <f>IF(AND(ISNUMBER(N1503),ISNUMBER(M1503),M1503&gt;0),(N1503-M1503)/M1503,"")</f>
        <v/>
      </c>
      <c r="Q1503" s="3">
        <f>IF(P1503="","",IF(P1503&lt;-0.02,"🔴 Bán phá giá sàn",IF(P1503&gt;0.05,"🔵 Bán cao hơn","🟢 Đúng giá sàn TMĐT")))</f>
        <v/>
      </c>
      <c r="R1503" s="3" t="n"/>
      <c r="S1503" s="4" t="n"/>
      <c r="T1503" s="4" t="n"/>
    </row>
    <row r="1504">
      <c r="A1504" s="3" t="n">
        <v>1503</v>
      </c>
      <c r="B1504" s="3" t="inlineStr">
        <is>
          <t>DL014</t>
        </is>
      </c>
      <c r="C1504" s="4" t="inlineStr">
        <is>
          <t>Điện máy Anh Anh</t>
        </is>
      </c>
      <c r="D1504" s="3" t="inlineStr">
        <is>
          <t>HN</t>
        </is>
      </c>
      <c r="E1504" s="3" t="inlineStr">
        <is>
          <t>ĐIỆP</t>
        </is>
      </c>
      <c r="F1504" s="3" t="inlineStr">
        <is>
          <t>Tiktok</t>
        </is>
      </c>
      <c r="G1504" s="4" t="inlineStr">
        <is>
          <t>SHOPEE: TIKTOK: https://vt.tiktok.com/ZS9UMxDj8orfa-HFRLE/ LAZADA: WEBSITE BÁN HÀNG:</t>
        </is>
      </c>
      <c r="H1504" s="3" t="inlineStr">
        <is>
          <t>KBB-16MM</t>
        </is>
      </c>
      <c r="I1504" s="4" t="inlineStr">
        <is>
          <t>Khoan Kính KingBlue KBB-16MM</t>
        </is>
      </c>
      <c r="J1504" s="3" t="inlineStr">
        <is>
          <t>Cái</t>
        </is>
      </c>
      <c r="K1504" s="5" t="n">
        <v>269000</v>
      </c>
      <c r="L1504" s="5" t="n">
        <v>317000</v>
      </c>
      <c r="M1504" s="6" t="n">
        <v>390000</v>
      </c>
      <c r="N1504" s="5" t="n"/>
      <c r="O1504" s="5">
        <f>IF(AND(ISNUMBER(N1504),ISNUMBER(M1504)),N1504-M1504,"")</f>
        <v/>
      </c>
      <c r="P1504" s="7">
        <f>IF(AND(ISNUMBER(N1504),ISNUMBER(M1504),M1504&gt;0),(N1504-M1504)/M1504,"")</f>
        <v/>
      </c>
      <c r="Q1504" s="3">
        <f>IF(P1504="","",IF(P1504&lt;-0.02,"🔴 Bán phá giá sàn",IF(P1504&gt;0.05,"🔵 Bán cao hơn","🟢 Đúng giá sàn TMĐT")))</f>
        <v/>
      </c>
      <c r="R1504" s="3" t="n"/>
      <c r="S1504" s="4" t="n"/>
      <c r="T1504" s="4" t="n"/>
    </row>
    <row r="1505">
      <c r="A1505" s="3" t="n">
        <v>1504</v>
      </c>
      <c r="B1505" s="3" t="inlineStr">
        <is>
          <t>DL014</t>
        </is>
      </c>
      <c r="C1505" s="4" t="inlineStr">
        <is>
          <t>Điện máy Anh Anh</t>
        </is>
      </c>
      <c r="D1505" s="3" t="inlineStr">
        <is>
          <t>HN</t>
        </is>
      </c>
      <c r="E1505" s="3" t="inlineStr">
        <is>
          <t>ĐIỆP</t>
        </is>
      </c>
      <c r="F1505" s="3" t="inlineStr">
        <is>
          <t>Tiktok</t>
        </is>
      </c>
      <c r="G1505" s="4" t="inlineStr">
        <is>
          <t>SHOPEE: TIKTOK: https://vt.tiktok.com/ZS9UMxDj8orfa-HFRLE/ LAZADA: WEBSITE BÁN HÀNG:</t>
        </is>
      </c>
      <c r="H1505" s="3" t="inlineStr">
        <is>
          <t>KBB-20MM</t>
        </is>
      </c>
      <c r="I1505" s="4" t="inlineStr">
        <is>
          <t>Khoan Kính KingBlue KBB-20MM</t>
        </is>
      </c>
      <c r="J1505" s="3" t="inlineStr">
        <is>
          <t>Cái</t>
        </is>
      </c>
      <c r="K1505" s="5" t="n">
        <v>269000</v>
      </c>
      <c r="L1505" s="5" t="n">
        <v>317000</v>
      </c>
      <c r="M1505" s="6" t="n">
        <v>390000</v>
      </c>
      <c r="N1505" s="5" t="n"/>
      <c r="O1505" s="5">
        <f>IF(AND(ISNUMBER(N1505),ISNUMBER(M1505)),N1505-M1505,"")</f>
        <v/>
      </c>
      <c r="P1505" s="7">
        <f>IF(AND(ISNUMBER(N1505),ISNUMBER(M1505),M1505&gt;0),(N1505-M1505)/M1505,"")</f>
        <v/>
      </c>
      <c r="Q1505" s="3">
        <f>IF(P1505="","",IF(P1505&lt;-0.02,"🔴 Bán phá giá sàn",IF(P1505&gt;0.05,"🔵 Bán cao hơn","🟢 Đúng giá sàn TMĐT")))</f>
        <v/>
      </c>
      <c r="R1505" s="3" t="n"/>
      <c r="S1505" s="4" t="n"/>
      <c r="T1505" s="4" t="n"/>
    </row>
    <row r="1506">
      <c r="A1506" s="3" t="n">
        <v>1505</v>
      </c>
      <c r="B1506" s="3" t="inlineStr">
        <is>
          <t>DL014</t>
        </is>
      </c>
      <c r="C1506" s="4" t="inlineStr">
        <is>
          <t>Điện máy Anh Anh</t>
        </is>
      </c>
      <c r="D1506" s="3" t="inlineStr">
        <is>
          <t>HN</t>
        </is>
      </c>
      <c r="E1506" s="3" t="inlineStr">
        <is>
          <t>ĐIỆP</t>
        </is>
      </c>
      <c r="F1506" s="3" t="inlineStr">
        <is>
          <t>Tiktok</t>
        </is>
      </c>
      <c r="G1506" s="4" t="inlineStr">
        <is>
          <t>SHOPEE: TIKTOK: https://vt.tiktok.com/ZS9UMxDj8orfa-HFRLE/ LAZADA: WEBSITE BÁN HÀNG:</t>
        </is>
      </c>
      <c r="H1506" s="3" t="inlineStr">
        <is>
          <t>KBB-21MM</t>
        </is>
      </c>
      <c r="I1506" s="4" t="inlineStr">
        <is>
          <t>Khoan Kính KingBlue KBB-21MM</t>
        </is>
      </c>
      <c r="J1506" s="3" t="inlineStr">
        <is>
          <t>Cái</t>
        </is>
      </c>
      <c r="K1506" s="5" t="n">
        <v>269000</v>
      </c>
      <c r="L1506" s="5" t="n">
        <v>317000</v>
      </c>
      <c r="M1506" s="6" t="n">
        <v>390000</v>
      </c>
      <c r="N1506" s="5" t="n"/>
      <c r="O1506" s="5">
        <f>IF(AND(ISNUMBER(N1506),ISNUMBER(M1506)),N1506-M1506,"")</f>
        <v/>
      </c>
      <c r="P1506" s="7">
        <f>IF(AND(ISNUMBER(N1506),ISNUMBER(M1506),M1506&gt;0),(N1506-M1506)/M1506,"")</f>
        <v/>
      </c>
      <c r="Q1506" s="3">
        <f>IF(P1506="","",IF(P1506&lt;-0.02,"🔴 Bán phá giá sàn",IF(P1506&gt;0.05,"🔵 Bán cao hơn","🟢 Đúng giá sàn TMĐT")))</f>
        <v/>
      </c>
      <c r="R1506" s="3" t="n"/>
      <c r="S1506" s="4" t="n"/>
      <c r="T1506" s="4" t="n"/>
    </row>
    <row r="1507">
      <c r="A1507" s="3" t="n">
        <v>1506</v>
      </c>
      <c r="B1507" s="3" t="inlineStr">
        <is>
          <t>DL014</t>
        </is>
      </c>
      <c r="C1507" s="4" t="inlineStr">
        <is>
          <t>Điện máy Anh Anh</t>
        </is>
      </c>
      <c r="D1507" s="3" t="inlineStr">
        <is>
          <t>HN</t>
        </is>
      </c>
      <c r="E1507" s="3" t="inlineStr">
        <is>
          <t>ĐIỆP</t>
        </is>
      </c>
      <c r="F1507" s="3" t="inlineStr">
        <is>
          <t>Tiktok</t>
        </is>
      </c>
      <c r="G1507" s="4" t="inlineStr">
        <is>
          <t>SHOPEE: TIKTOK: https://vt.tiktok.com/ZS9UMxDj8orfa-HFRLE/ LAZADA: WEBSITE BÁN HÀNG:</t>
        </is>
      </c>
      <c r="H1507" s="3" t="inlineStr">
        <is>
          <t>KBB-22MM</t>
        </is>
      </c>
      <c r="I1507" s="4" t="inlineStr">
        <is>
          <t>Khoan Kính KingBlue KBB-22MM</t>
        </is>
      </c>
      <c r="J1507" s="3" t="inlineStr">
        <is>
          <t>Cái</t>
        </is>
      </c>
      <c r="K1507" s="5" t="n">
        <v>269000</v>
      </c>
      <c r="L1507" s="5" t="n">
        <v>317000</v>
      </c>
      <c r="M1507" s="6" t="n">
        <v>390000</v>
      </c>
      <c r="N1507" s="5" t="n"/>
      <c r="O1507" s="5">
        <f>IF(AND(ISNUMBER(N1507),ISNUMBER(M1507)),N1507-M1507,"")</f>
        <v/>
      </c>
      <c r="P1507" s="7">
        <f>IF(AND(ISNUMBER(N1507),ISNUMBER(M1507),M1507&gt;0),(N1507-M1507)/M1507,"")</f>
        <v/>
      </c>
      <c r="Q1507" s="3">
        <f>IF(P1507="","",IF(P1507&lt;-0.02,"🔴 Bán phá giá sàn",IF(P1507&gt;0.05,"🔵 Bán cao hơn","🟢 Đúng giá sàn TMĐT")))</f>
        <v/>
      </c>
      <c r="R1507" s="3" t="n"/>
      <c r="S1507" s="4" t="n"/>
      <c r="T1507" s="4" t="n"/>
    </row>
    <row r="1508">
      <c r="A1508" s="3" t="n">
        <v>1507</v>
      </c>
      <c r="B1508" s="3" t="inlineStr">
        <is>
          <t>DL014</t>
        </is>
      </c>
      <c r="C1508" s="4" t="inlineStr">
        <is>
          <t>Điện máy Anh Anh</t>
        </is>
      </c>
      <c r="D1508" s="3" t="inlineStr">
        <is>
          <t>HN</t>
        </is>
      </c>
      <c r="E1508" s="3" t="inlineStr">
        <is>
          <t>ĐIỆP</t>
        </is>
      </c>
      <c r="F1508" s="3" t="inlineStr">
        <is>
          <t>Tiktok</t>
        </is>
      </c>
      <c r="G1508" s="4" t="inlineStr">
        <is>
          <t>SHOPEE: TIKTOK: https://vt.tiktok.com/ZS9UMxDj8orfa-HFRLE/ LAZADA: WEBSITE BÁN HÀNG:</t>
        </is>
      </c>
      <c r="H1508" s="3" t="inlineStr">
        <is>
          <t>KBB-25MM</t>
        </is>
      </c>
      <c r="I1508" s="4" t="inlineStr">
        <is>
          <t>Khoan Kính KingBlue KBB-25MM</t>
        </is>
      </c>
      <c r="J1508" s="3" t="inlineStr">
        <is>
          <t>Cái</t>
        </is>
      </c>
      <c r="K1508" s="5" t="n">
        <v>269000</v>
      </c>
      <c r="L1508" s="5" t="n">
        <v>317000</v>
      </c>
      <c r="M1508" s="6" t="n">
        <v>390000</v>
      </c>
      <c r="N1508" s="5" t="n"/>
      <c r="O1508" s="5">
        <f>IF(AND(ISNUMBER(N1508),ISNUMBER(M1508)),N1508-M1508,"")</f>
        <v/>
      </c>
      <c r="P1508" s="7">
        <f>IF(AND(ISNUMBER(N1508),ISNUMBER(M1508),M1508&gt;0),(N1508-M1508)/M1508,"")</f>
        <v/>
      </c>
      <c r="Q1508" s="3">
        <f>IF(P1508="","",IF(P1508&lt;-0.02,"🔴 Bán phá giá sàn",IF(P1508&gt;0.05,"🔵 Bán cao hơn","🟢 Đúng giá sàn TMĐT")))</f>
        <v/>
      </c>
      <c r="R1508" s="3" t="n"/>
      <c r="S1508" s="4" t="n"/>
      <c r="T1508" s="4" t="n"/>
    </row>
    <row r="1509">
      <c r="A1509" s="3" t="n">
        <v>1508</v>
      </c>
      <c r="B1509" s="3" t="inlineStr">
        <is>
          <t>DL014</t>
        </is>
      </c>
      <c r="C1509" s="4" t="inlineStr">
        <is>
          <t>Điện máy Anh Anh</t>
        </is>
      </c>
      <c r="D1509" s="3" t="inlineStr">
        <is>
          <t>HN</t>
        </is>
      </c>
      <c r="E1509" s="3" t="inlineStr">
        <is>
          <t>ĐIỆP</t>
        </is>
      </c>
      <c r="F1509" s="3" t="inlineStr">
        <is>
          <t>Tiktok</t>
        </is>
      </c>
      <c r="G1509" s="4" t="inlineStr">
        <is>
          <t>SHOPEE: TIKTOK: https://vt.tiktok.com/ZS9UMxDj8orfa-HFRLE/ LAZADA: WEBSITE BÁN HÀNG:</t>
        </is>
      </c>
      <c r="H1509" s="3" t="inlineStr">
        <is>
          <t>KBB-27MM</t>
        </is>
      </c>
      <c r="I1509" s="4" t="inlineStr">
        <is>
          <t>Khoan Kính KingBlue KBB-27MM</t>
        </is>
      </c>
      <c r="J1509" s="3" t="inlineStr">
        <is>
          <t>Cái</t>
        </is>
      </c>
      <c r="K1509" s="5" t="n">
        <v>269000</v>
      </c>
      <c r="L1509" s="5" t="n">
        <v>317000</v>
      </c>
      <c r="M1509" s="6" t="n">
        <v>390000</v>
      </c>
      <c r="N1509" s="5" t="n"/>
      <c r="O1509" s="5">
        <f>IF(AND(ISNUMBER(N1509),ISNUMBER(M1509)),N1509-M1509,"")</f>
        <v/>
      </c>
      <c r="P1509" s="7">
        <f>IF(AND(ISNUMBER(N1509),ISNUMBER(M1509),M1509&gt;0),(N1509-M1509)/M1509,"")</f>
        <v/>
      </c>
      <c r="Q1509" s="3">
        <f>IF(P1509="","",IF(P1509&lt;-0.02,"🔴 Bán phá giá sàn",IF(P1509&gt;0.05,"🔵 Bán cao hơn","🟢 Đúng giá sàn TMĐT")))</f>
        <v/>
      </c>
      <c r="R1509" s="3" t="n"/>
      <c r="S1509" s="4" t="n"/>
      <c r="T1509" s="4" t="n"/>
    </row>
    <row r="1510">
      <c r="A1510" s="3" t="n">
        <v>1509</v>
      </c>
      <c r="B1510" s="3" t="inlineStr">
        <is>
          <t>DL014</t>
        </is>
      </c>
      <c r="C1510" s="4" t="inlineStr">
        <is>
          <t>Điện máy Anh Anh</t>
        </is>
      </c>
      <c r="D1510" s="3" t="inlineStr">
        <is>
          <t>HN</t>
        </is>
      </c>
      <c r="E1510" s="3" t="inlineStr">
        <is>
          <t>ĐIỆP</t>
        </is>
      </c>
      <c r="F1510" s="3" t="inlineStr">
        <is>
          <t>Tiktok</t>
        </is>
      </c>
      <c r="G1510" s="4" t="inlineStr">
        <is>
          <t>SHOPEE: TIKTOK: https://vt.tiktok.com/ZS9UMxDj8orfa-HFRLE/ LAZADA: WEBSITE BÁN HÀNG:</t>
        </is>
      </c>
      <c r="H1510" s="3" t="inlineStr">
        <is>
          <t>KBB-30MM</t>
        </is>
      </c>
      <c r="I1510" s="4" t="inlineStr">
        <is>
          <t>Khoan Kính KingBlue KBB-30MM</t>
        </is>
      </c>
      <c r="J1510" s="3" t="inlineStr">
        <is>
          <t>Cái</t>
        </is>
      </c>
      <c r="K1510" s="5" t="n">
        <v>269000</v>
      </c>
      <c r="L1510" s="5" t="n">
        <v>317000</v>
      </c>
      <c r="M1510" s="6" t="n">
        <v>390000</v>
      </c>
      <c r="N1510" s="5" t="n"/>
      <c r="O1510" s="5">
        <f>IF(AND(ISNUMBER(N1510),ISNUMBER(M1510)),N1510-M1510,"")</f>
        <v/>
      </c>
      <c r="P1510" s="7">
        <f>IF(AND(ISNUMBER(N1510),ISNUMBER(M1510),M1510&gt;0),(N1510-M1510)/M1510,"")</f>
        <v/>
      </c>
      <c r="Q1510" s="3">
        <f>IF(P1510="","",IF(P1510&lt;-0.02,"🔴 Bán phá giá sàn",IF(P1510&gt;0.05,"🔵 Bán cao hơn","🟢 Đúng giá sàn TMĐT")))</f>
        <v/>
      </c>
      <c r="R1510" s="3" t="n"/>
      <c r="S1510" s="4" t="n"/>
      <c r="T1510" s="4" t="n"/>
    </row>
    <row r="1511">
      <c r="A1511" s="3" t="n">
        <v>1510</v>
      </c>
      <c r="B1511" s="3" t="inlineStr">
        <is>
          <t>DL014</t>
        </is>
      </c>
      <c r="C1511" s="4" t="inlineStr">
        <is>
          <t>Điện máy Anh Anh</t>
        </is>
      </c>
      <c r="D1511" s="3" t="inlineStr">
        <is>
          <t>HN</t>
        </is>
      </c>
      <c r="E1511" s="3" t="inlineStr">
        <is>
          <t>ĐIỆP</t>
        </is>
      </c>
      <c r="F1511" s="3" t="inlineStr">
        <is>
          <t>Tiktok</t>
        </is>
      </c>
      <c r="G1511" s="4" t="inlineStr">
        <is>
          <t>SHOPEE: TIKTOK: https://vt.tiktok.com/ZS9UMxDj8orfa-HFRLE/ LAZADA: WEBSITE BÁN HÀNG:</t>
        </is>
      </c>
      <c r="H1511" s="3" t="inlineStr">
        <is>
          <t>KBB-32MM</t>
        </is>
      </c>
      <c r="I1511" s="4" t="inlineStr">
        <is>
          <t>Khoan Kính KingBlue KBB-32MM</t>
        </is>
      </c>
      <c r="J1511" s="3" t="inlineStr">
        <is>
          <t>Cái</t>
        </is>
      </c>
      <c r="K1511" s="5" t="n">
        <v>269000</v>
      </c>
      <c r="L1511" s="5" t="n">
        <v>317000</v>
      </c>
      <c r="M1511" s="6" t="n">
        <v>390000</v>
      </c>
      <c r="N1511" s="5" t="n"/>
      <c r="O1511" s="5">
        <f>IF(AND(ISNUMBER(N1511),ISNUMBER(M1511)),N1511-M1511,"")</f>
        <v/>
      </c>
      <c r="P1511" s="7">
        <f>IF(AND(ISNUMBER(N1511),ISNUMBER(M1511),M1511&gt;0),(N1511-M1511)/M1511,"")</f>
        <v/>
      </c>
      <c r="Q1511" s="3">
        <f>IF(P1511="","",IF(P1511&lt;-0.02,"🔴 Bán phá giá sàn",IF(P1511&gt;0.05,"🔵 Bán cao hơn","🟢 Đúng giá sàn TMĐT")))</f>
        <v/>
      </c>
      <c r="R1511" s="3" t="n"/>
      <c r="S1511" s="4" t="n"/>
      <c r="T1511" s="4" t="n"/>
    </row>
    <row r="1512">
      <c r="A1512" s="3" t="n">
        <v>1511</v>
      </c>
      <c r="B1512" s="3" t="inlineStr">
        <is>
          <t>DL014</t>
        </is>
      </c>
      <c r="C1512" s="4" t="inlineStr">
        <is>
          <t>Điện máy Anh Anh</t>
        </is>
      </c>
      <c r="D1512" s="3" t="inlineStr">
        <is>
          <t>HN</t>
        </is>
      </c>
      <c r="E1512" s="3" t="inlineStr">
        <is>
          <t>ĐIỆP</t>
        </is>
      </c>
      <c r="F1512" s="3" t="inlineStr">
        <is>
          <t>Tiktok</t>
        </is>
      </c>
      <c r="G1512" s="4" t="inlineStr">
        <is>
          <t>SHOPEE: TIKTOK: https://vt.tiktok.com/ZS9UMxDj8orfa-HFRLE/ LAZADA: WEBSITE BÁN HÀNG:</t>
        </is>
      </c>
      <c r="H1512" s="3" t="inlineStr">
        <is>
          <t>KBB-35MM</t>
        </is>
      </c>
      <c r="I1512" s="4" t="inlineStr">
        <is>
          <t>Khoan Kính KingBlue KBB-35MM</t>
        </is>
      </c>
      <c r="J1512" s="3" t="inlineStr">
        <is>
          <t>Cái</t>
        </is>
      </c>
      <c r="K1512" s="5" t="n">
        <v>269000</v>
      </c>
      <c r="L1512" s="5" t="n">
        <v>317000</v>
      </c>
      <c r="M1512" s="6" t="n">
        <v>390000</v>
      </c>
      <c r="N1512" s="5" t="n"/>
      <c r="O1512" s="5">
        <f>IF(AND(ISNUMBER(N1512),ISNUMBER(M1512)),N1512-M1512,"")</f>
        <v/>
      </c>
      <c r="P1512" s="7">
        <f>IF(AND(ISNUMBER(N1512),ISNUMBER(M1512),M1512&gt;0),(N1512-M1512)/M1512,"")</f>
        <v/>
      </c>
      <c r="Q1512" s="3">
        <f>IF(P1512="","",IF(P1512&lt;-0.02,"🔴 Bán phá giá sàn",IF(P1512&gt;0.05,"🔵 Bán cao hơn","🟢 Đúng giá sàn TMĐT")))</f>
        <v/>
      </c>
      <c r="R1512" s="3" t="n"/>
      <c r="S1512" s="4" t="n"/>
      <c r="T1512" s="4" t="n"/>
    </row>
    <row r="1513">
      <c r="A1513" s="3" t="n">
        <v>1512</v>
      </c>
      <c r="B1513" s="3" t="inlineStr">
        <is>
          <t>DL014</t>
        </is>
      </c>
      <c r="C1513" s="4" t="inlineStr">
        <is>
          <t>Điện máy Anh Anh</t>
        </is>
      </c>
      <c r="D1513" s="3" t="inlineStr">
        <is>
          <t>HN</t>
        </is>
      </c>
      <c r="E1513" s="3" t="inlineStr">
        <is>
          <t>ĐIỆP</t>
        </is>
      </c>
      <c r="F1513" s="3" t="inlineStr">
        <is>
          <t>Tiktok</t>
        </is>
      </c>
      <c r="G1513" s="4" t="inlineStr">
        <is>
          <t>SHOPEE: TIKTOK: https://vt.tiktok.com/ZS9UMxDj8orfa-HFRLE/ LAZADA: WEBSITE BÁN HÀNG:</t>
        </is>
      </c>
      <c r="H1513" s="3" t="inlineStr">
        <is>
          <t>KBB-40MM</t>
        </is>
      </c>
      <c r="I1513" s="4" t="inlineStr">
        <is>
          <t>Khoan Kính KingBlue KBB-40MM</t>
        </is>
      </c>
      <c r="J1513" s="3" t="inlineStr">
        <is>
          <t>Cái</t>
        </is>
      </c>
      <c r="K1513" s="5" t="n">
        <v>269000</v>
      </c>
      <c r="L1513" s="5" t="n">
        <v>317000</v>
      </c>
      <c r="M1513" s="6" t="n">
        <v>390000</v>
      </c>
      <c r="N1513" s="5" t="n"/>
      <c r="O1513" s="5">
        <f>IF(AND(ISNUMBER(N1513),ISNUMBER(M1513)),N1513-M1513,"")</f>
        <v/>
      </c>
      <c r="P1513" s="7">
        <f>IF(AND(ISNUMBER(N1513),ISNUMBER(M1513),M1513&gt;0),(N1513-M1513)/M1513,"")</f>
        <v/>
      </c>
      <c r="Q1513" s="3">
        <f>IF(P1513="","",IF(P1513&lt;-0.02,"🔴 Bán phá giá sàn",IF(P1513&gt;0.05,"🔵 Bán cao hơn","🟢 Đúng giá sàn TMĐT")))</f>
        <v/>
      </c>
      <c r="R1513" s="3" t="n"/>
      <c r="S1513" s="4" t="n"/>
      <c r="T1513" s="4" t="n"/>
    </row>
    <row r="1514">
      <c r="A1514" s="3" t="n">
        <v>1513</v>
      </c>
      <c r="B1514" s="3" t="inlineStr">
        <is>
          <t>DL014</t>
        </is>
      </c>
      <c r="C1514" s="4" t="inlineStr">
        <is>
          <t>Điện máy Anh Anh</t>
        </is>
      </c>
      <c r="D1514" s="3" t="inlineStr">
        <is>
          <t>HN</t>
        </is>
      </c>
      <c r="E1514" s="3" t="inlineStr">
        <is>
          <t>ĐIỆP</t>
        </is>
      </c>
      <c r="F1514" s="3" t="inlineStr">
        <is>
          <t>Tiktok</t>
        </is>
      </c>
      <c r="G1514" s="4" t="inlineStr">
        <is>
          <t>SHOPEE: TIKTOK: https://vt.tiktok.com/ZS9UMxDj8orfa-HFRLE/ LAZADA: WEBSITE BÁN HÀNG:</t>
        </is>
      </c>
      <c r="H1514" s="3" t="inlineStr">
        <is>
          <t>KBB-45MM</t>
        </is>
      </c>
      <c r="I1514" s="4" t="inlineStr">
        <is>
          <t>Khoan Kính KingBlue KBB-45MM</t>
        </is>
      </c>
      <c r="J1514" s="3" t="inlineStr">
        <is>
          <t>Cái</t>
        </is>
      </c>
      <c r="K1514" s="5" t="n">
        <v>269000</v>
      </c>
      <c r="L1514" s="5" t="n">
        <v>317000</v>
      </c>
      <c r="M1514" s="6" t="n">
        <v>390000</v>
      </c>
      <c r="N1514" s="5" t="n"/>
      <c r="O1514" s="5">
        <f>IF(AND(ISNUMBER(N1514),ISNUMBER(M1514)),N1514-M1514,"")</f>
        <v/>
      </c>
      <c r="P1514" s="7">
        <f>IF(AND(ISNUMBER(N1514),ISNUMBER(M1514),M1514&gt;0),(N1514-M1514)/M1514,"")</f>
        <v/>
      </c>
      <c r="Q1514" s="3">
        <f>IF(P1514="","",IF(P1514&lt;-0.02,"🔴 Bán phá giá sàn",IF(P1514&gt;0.05,"🔵 Bán cao hơn","🟢 Đúng giá sàn TMĐT")))</f>
        <v/>
      </c>
      <c r="R1514" s="3" t="n"/>
      <c r="S1514" s="4" t="n"/>
      <c r="T1514" s="4" t="n"/>
    </row>
    <row r="1515">
      <c r="A1515" s="3" t="n">
        <v>1514</v>
      </c>
      <c r="B1515" s="3" t="inlineStr">
        <is>
          <t>DL014</t>
        </is>
      </c>
      <c r="C1515" s="4" t="inlineStr">
        <is>
          <t>Điện máy Anh Anh</t>
        </is>
      </c>
      <c r="D1515" s="3" t="inlineStr">
        <is>
          <t>HN</t>
        </is>
      </c>
      <c r="E1515" s="3" t="inlineStr">
        <is>
          <t>ĐIỆP</t>
        </is>
      </c>
      <c r="F1515" s="3" t="inlineStr">
        <is>
          <t>Tiktok</t>
        </is>
      </c>
      <c r="G1515" s="4" t="inlineStr">
        <is>
          <t>SHOPEE: TIKTOK: https://vt.tiktok.com/ZS9UMxDj8orfa-HFRLE/ LAZADA: WEBSITE BÁN HÀNG:</t>
        </is>
      </c>
      <c r="H1515" s="3" t="inlineStr">
        <is>
          <t>KBB-55MM</t>
        </is>
      </c>
      <c r="I1515" s="4" t="inlineStr">
        <is>
          <t>Khoan Kính KingBlue KBB-55MM</t>
        </is>
      </c>
      <c r="J1515" s="3" t="inlineStr">
        <is>
          <t>Cái</t>
        </is>
      </c>
      <c r="K1515" s="5" t="n">
        <v>269000</v>
      </c>
      <c r="L1515" s="5" t="n">
        <v>317000</v>
      </c>
      <c r="M1515" s="6" t="n">
        <v>390000</v>
      </c>
      <c r="N1515" s="5" t="n"/>
      <c r="O1515" s="5">
        <f>IF(AND(ISNUMBER(N1515),ISNUMBER(M1515)),N1515-M1515,"")</f>
        <v/>
      </c>
      <c r="P1515" s="7">
        <f>IF(AND(ISNUMBER(N1515),ISNUMBER(M1515),M1515&gt;0),(N1515-M1515)/M1515,"")</f>
        <v/>
      </c>
      <c r="Q1515" s="3">
        <f>IF(P1515="","",IF(P1515&lt;-0.02,"🔴 Bán phá giá sàn",IF(P1515&gt;0.05,"🔵 Bán cao hơn","🟢 Đúng giá sàn TMĐT")))</f>
        <v/>
      </c>
      <c r="R1515" s="3" t="n"/>
      <c r="S1515" s="4" t="n"/>
      <c r="T1515" s="4" t="n"/>
    </row>
    <row r="1516">
      <c r="A1516" s="3" t="n">
        <v>1515</v>
      </c>
      <c r="B1516" s="3" t="inlineStr">
        <is>
          <t>DL014</t>
        </is>
      </c>
      <c r="C1516" s="4" t="inlineStr">
        <is>
          <t>Điện máy Anh Anh</t>
        </is>
      </c>
      <c r="D1516" s="3" t="inlineStr">
        <is>
          <t>HN</t>
        </is>
      </c>
      <c r="E1516" s="3" t="inlineStr">
        <is>
          <t>ĐIỆP</t>
        </is>
      </c>
      <c r="F1516" s="3" t="inlineStr">
        <is>
          <t>Tiktok</t>
        </is>
      </c>
      <c r="G1516" s="4" t="inlineStr">
        <is>
          <t>SHOPEE: TIKTOK: https://vt.tiktok.com/ZS9UMxDj8orfa-HFRLE/ LAZADA: WEBSITE BÁN HÀNG:</t>
        </is>
      </c>
      <c r="H1516" s="3" t="inlineStr">
        <is>
          <t>KBB-60MM</t>
        </is>
      </c>
      <c r="I1516" s="4" t="inlineStr">
        <is>
          <t>Khoan Kính KingBlue KBB-60MM</t>
        </is>
      </c>
      <c r="J1516" s="3" t="inlineStr">
        <is>
          <t>Cái</t>
        </is>
      </c>
      <c r="K1516" s="5" t="n">
        <v>269000</v>
      </c>
      <c r="L1516" s="5" t="n">
        <v>317000</v>
      </c>
      <c r="M1516" s="6" t="n">
        <v>390000</v>
      </c>
      <c r="N1516" s="5" t="n"/>
      <c r="O1516" s="5">
        <f>IF(AND(ISNUMBER(N1516),ISNUMBER(M1516)),N1516-M1516,"")</f>
        <v/>
      </c>
      <c r="P1516" s="7">
        <f>IF(AND(ISNUMBER(N1516),ISNUMBER(M1516),M1516&gt;0),(N1516-M1516)/M1516,"")</f>
        <v/>
      </c>
      <c r="Q1516" s="3">
        <f>IF(P1516="","",IF(P1516&lt;-0.02,"🔴 Bán phá giá sàn",IF(P1516&gt;0.05,"🔵 Bán cao hơn","🟢 Đúng giá sàn TMĐT")))</f>
        <v/>
      </c>
      <c r="R1516" s="3" t="n"/>
      <c r="S1516" s="4" t="n"/>
      <c r="T1516" s="4" t="n"/>
    </row>
    <row r="1517">
      <c r="A1517" s="3" t="n">
        <v>1516</v>
      </c>
      <c r="B1517" s="3" t="inlineStr">
        <is>
          <t>DL014</t>
        </is>
      </c>
      <c r="C1517" s="4" t="inlineStr">
        <is>
          <t>Điện máy Anh Anh</t>
        </is>
      </c>
      <c r="D1517" s="3" t="inlineStr">
        <is>
          <t>HN</t>
        </is>
      </c>
      <c r="E1517" s="3" t="inlineStr">
        <is>
          <t>ĐIỆP</t>
        </is>
      </c>
      <c r="F1517" s="3" t="inlineStr">
        <is>
          <t>Tiktok</t>
        </is>
      </c>
      <c r="G1517" s="4" t="inlineStr">
        <is>
          <t>SHOPEE: TIKTOK: https://vt.tiktok.com/ZS9UMxDj8orfa-HFRLE/ LAZADA: WEBSITE BÁN HÀNG:</t>
        </is>
      </c>
      <c r="H1517" s="3" t="inlineStr">
        <is>
          <t>KBB-65MM</t>
        </is>
      </c>
      <c r="I1517" s="4" t="inlineStr">
        <is>
          <t>Khoan Kính KingBlue KBB-65MM</t>
        </is>
      </c>
      <c r="J1517" s="3" t="inlineStr">
        <is>
          <t>Cái</t>
        </is>
      </c>
      <c r="K1517" s="5" t="n">
        <v>269000</v>
      </c>
      <c r="L1517" s="5" t="n">
        <v>317000</v>
      </c>
      <c r="M1517" s="6" t="n">
        <v>390000</v>
      </c>
      <c r="N1517" s="5" t="n"/>
      <c r="O1517" s="5">
        <f>IF(AND(ISNUMBER(N1517),ISNUMBER(M1517)),N1517-M1517,"")</f>
        <v/>
      </c>
      <c r="P1517" s="7">
        <f>IF(AND(ISNUMBER(N1517),ISNUMBER(M1517),M1517&gt;0),(N1517-M1517)/M1517,"")</f>
        <v/>
      </c>
      <c r="Q1517" s="3">
        <f>IF(P1517="","",IF(P1517&lt;-0.02,"🔴 Bán phá giá sàn",IF(P1517&gt;0.05,"🔵 Bán cao hơn","🟢 Đúng giá sàn TMĐT")))</f>
        <v/>
      </c>
      <c r="R1517" s="3" t="n"/>
      <c r="S1517" s="4" t="n"/>
      <c r="T1517" s="4" t="n"/>
    </row>
    <row r="1518">
      <c r="A1518" s="3" t="n">
        <v>1517</v>
      </c>
      <c r="B1518" s="3" t="inlineStr">
        <is>
          <t>DL014</t>
        </is>
      </c>
      <c r="C1518" s="4" t="inlineStr">
        <is>
          <t>Điện máy Anh Anh</t>
        </is>
      </c>
      <c r="D1518" s="3" t="inlineStr">
        <is>
          <t>HN</t>
        </is>
      </c>
      <c r="E1518" s="3" t="inlineStr">
        <is>
          <t>ĐIỆP</t>
        </is>
      </c>
      <c r="F1518" s="3" t="inlineStr">
        <is>
          <t>Tiktok</t>
        </is>
      </c>
      <c r="G1518" s="4" t="inlineStr">
        <is>
          <t>SHOPEE: TIKTOK: https://vt.tiktok.com/ZS9UMxDj8orfa-HFRLE/ LAZADA: WEBSITE BÁN HÀNG:</t>
        </is>
      </c>
      <c r="H1518" s="3" t="inlineStr">
        <is>
          <t>KBB-75MM</t>
        </is>
      </c>
      <c r="I1518" s="4" t="inlineStr">
        <is>
          <t>Khoan Kính KingBlue KBB-75MM</t>
        </is>
      </c>
      <c r="J1518" s="3" t="inlineStr">
        <is>
          <t>Cái</t>
        </is>
      </c>
      <c r="K1518" s="5" t="n">
        <v>269000</v>
      </c>
      <c r="L1518" s="5" t="n">
        <v>317000</v>
      </c>
      <c r="M1518" s="6" t="n">
        <v>390000</v>
      </c>
      <c r="N1518" s="5" t="n"/>
      <c r="O1518" s="5">
        <f>IF(AND(ISNUMBER(N1518),ISNUMBER(M1518)),N1518-M1518,"")</f>
        <v/>
      </c>
      <c r="P1518" s="7">
        <f>IF(AND(ISNUMBER(N1518),ISNUMBER(M1518),M1518&gt;0),(N1518-M1518)/M1518,"")</f>
        <v/>
      </c>
      <c r="Q1518" s="3">
        <f>IF(P1518="","",IF(P1518&lt;-0.02,"🔴 Bán phá giá sàn",IF(P1518&gt;0.05,"🔵 Bán cao hơn","🟢 Đúng giá sàn TMĐT")))</f>
        <v/>
      </c>
      <c r="R1518" s="3" t="n"/>
      <c r="S1518" s="4" t="n"/>
      <c r="T1518" s="4" t="n"/>
    </row>
    <row r="1519">
      <c r="A1519" s="3" t="n">
        <v>1518</v>
      </c>
      <c r="B1519" s="3" t="inlineStr">
        <is>
          <t>DL014</t>
        </is>
      </c>
      <c r="C1519" s="4" t="inlineStr">
        <is>
          <t>Điện máy Anh Anh</t>
        </is>
      </c>
      <c r="D1519" s="3" t="inlineStr">
        <is>
          <t>HN</t>
        </is>
      </c>
      <c r="E1519" s="3" t="inlineStr">
        <is>
          <t>ĐIỆP</t>
        </is>
      </c>
      <c r="F1519" s="3" t="inlineStr">
        <is>
          <t>Tiktok</t>
        </is>
      </c>
      <c r="G1519" s="4" t="inlineStr">
        <is>
          <t>SHOPEE: TIKTOK: https://vt.tiktok.com/ZS9UMxDj8orfa-HFRLE/ LAZADA: WEBSITE BÁN HÀNG:</t>
        </is>
      </c>
      <c r="H1519" s="3" t="inlineStr">
        <is>
          <t>KBB-80MM</t>
        </is>
      </c>
      <c r="I1519" s="4" t="inlineStr">
        <is>
          <t>Khoan Kính KingBlue KBB-80MM</t>
        </is>
      </c>
      <c r="J1519" s="3" t="inlineStr">
        <is>
          <t>Cái</t>
        </is>
      </c>
      <c r="K1519" s="5" t="n">
        <v>269000</v>
      </c>
      <c r="L1519" s="5" t="n">
        <v>317000</v>
      </c>
      <c r="M1519" s="6" t="n">
        <v>390000</v>
      </c>
      <c r="N1519" s="5" t="n"/>
      <c r="O1519" s="5">
        <f>IF(AND(ISNUMBER(N1519),ISNUMBER(M1519)),N1519-M1519,"")</f>
        <v/>
      </c>
      <c r="P1519" s="7">
        <f>IF(AND(ISNUMBER(N1519),ISNUMBER(M1519),M1519&gt;0),(N1519-M1519)/M1519,"")</f>
        <v/>
      </c>
      <c r="Q1519" s="3">
        <f>IF(P1519="","",IF(P1519&lt;-0.02,"🔴 Bán phá giá sàn",IF(P1519&gt;0.05,"🔵 Bán cao hơn","🟢 Đúng giá sàn TMĐT")))</f>
        <v/>
      </c>
      <c r="R1519" s="3" t="n"/>
      <c r="S1519" s="4" t="n"/>
      <c r="T1519" s="4" t="n"/>
    </row>
    <row r="1520">
      <c r="A1520" s="3" t="n">
        <v>1519</v>
      </c>
      <c r="B1520" s="3" t="inlineStr">
        <is>
          <t>DL014</t>
        </is>
      </c>
      <c r="C1520" s="4" t="inlineStr">
        <is>
          <t>Điện máy Anh Anh</t>
        </is>
      </c>
      <c r="D1520" s="3" t="inlineStr">
        <is>
          <t>HN</t>
        </is>
      </c>
      <c r="E1520" s="3" t="inlineStr">
        <is>
          <t>ĐIỆP</t>
        </is>
      </c>
      <c r="F1520" s="3" t="inlineStr">
        <is>
          <t>Tiktok</t>
        </is>
      </c>
      <c r="G1520" s="4" t="inlineStr">
        <is>
          <t>SHOPEE: TIKTOK: https://vt.tiktok.com/ZS9UMxDj8orfa-HFRLE/ LAZADA: WEBSITE BÁN HÀNG:</t>
        </is>
      </c>
      <c r="H1520" s="3" t="inlineStr">
        <is>
          <t>KBB-90MM</t>
        </is>
      </c>
      <c r="I1520" s="4" t="inlineStr">
        <is>
          <t>Khoan Kính KingBlue KBB-90MM</t>
        </is>
      </c>
      <c r="J1520" s="3" t="inlineStr">
        <is>
          <t>Cái</t>
        </is>
      </c>
      <c r="K1520" s="5" t="n">
        <v>269000</v>
      </c>
      <c r="L1520" s="5" t="n">
        <v>317000</v>
      </c>
      <c r="M1520" s="6" t="n">
        <v>390000</v>
      </c>
      <c r="N1520" s="5" t="n"/>
      <c r="O1520" s="5">
        <f>IF(AND(ISNUMBER(N1520),ISNUMBER(M1520)),N1520-M1520,"")</f>
        <v/>
      </c>
      <c r="P1520" s="7">
        <f>IF(AND(ISNUMBER(N1520),ISNUMBER(M1520),M1520&gt;0),(N1520-M1520)/M1520,"")</f>
        <v/>
      </c>
      <c r="Q1520" s="3">
        <f>IF(P1520="","",IF(P1520&lt;-0.02,"🔴 Bán phá giá sàn",IF(P1520&gt;0.05,"🔵 Bán cao hơn","🟢 Đúng giá sàn TMĐT")))</f>
        <v/>
      </c>
      <c r="R1520" s="3" t="n"/>
      <c r="S1520" s="4" t="n"/>
      <c r="T1520" s="4" t="n"/>
    </row>
    <row r="1521">
      <c r="A1521" s="3" t="n">
        <v>1520</v>
      </c>
      <c r="B1521" s="3" t="inlineStr">
        <is>
          <t>DL014</t>
        </is>
      </c>
      <c r="C1521" s="4" t="inlineStr">
        <is>
          <t>Điện máy Anh Anh</t>
        </is>
      </c>
      <c r="D1521" s="3" t="inlineStr">
        <is>
          <t>HN</t>
        </is>
      </c>
      <c r="E1521" s="3" t="inlineStr">
        <is>
          <t>ĐIỆP</t>
        </is>
      </c>
      <c r="F1521" s="3" t="inlineStr">
        <is>
          <t>Tiktok</t>
        </is>
      </c>
      <c r="G1521" s="4" t="inlineStr">
        <is>
          <t>SHOPEE: TIKTOK: https://vt.tiktok.com/ZS9UMxDj8orfa-HFRLE/ LAZADA: WEBSITE BÁN HÀNG:</t>
        </is>
      </c>
      <c r="H1521" s="3" t="inlineStr">
        <is>
          <t>KBB-95MM</t>
        </is>
      </c>
      <c r="I1521" s="4" t="inlineStr">
        <is>
          <t>Khoan kính KingBlue KBB-95MM</t>
        </is>
      </c>
      <c r="J1521" s="3" t="inlineStr">
        <is>
          <t>Cái</t>
        </is>
      </c>
      <c r="K1521" s="5" t="n">
        <v>269000</v>
      </c>
      <c r="L1521" s="5" t="n">
        <v>317000</v>
      </c>
      <c r="M1521" s="6" t="n">
        <v>390000</v>
      </c>
      <c r="N1521" s="5" t="n"/>
      <c r="O1521" s="5">
        <f>IF(AND(ISNUMBER(N1521),ISNUMBER(M1521)),N1521-M1521,"")</f>
        <v/>
      </c>
      <c r="P1521" s="7">
        <f>IF(AND(ISNUMBER(N1521),ISNUMBER(M1521),M1521&gt;0),(N1521-M1521)/M1521,"")</f>
        <v/>
      </c>
      <c r="Q1521" s="3">
        <f>IF(P1521="","",IF(P1521&lt;-0.02,"🔴 Bán phá giá sàn",IF(P1521&gt;0.05,"🔵 Bán cao hơn","🟢 Đúng giá sàn TMĐT")))</f>
        <v/>
      </c>
      <c r="R1521" s="3" t="n"/>
      <c r="S1521" s="4" t="n"/>
      <c r="T1521" s="4" t="n"/>
    </row>
    <row r="1522">
      <c r="A1522" s="3" t="n">
        <v>1521</v>
      </c>
      <c r="B1522" s="3" t="inlineStr">
        <is>
          <t>DL014</t>
        </is>
      </c>
      <c r="C1522" s="4" t="inlineStr">
        <is>
          <t>Điện máy Anh Anh</t>
        </is>
      </c>
      <c r="D1522" s="3" t="inlineStr">
        <is>
          <t>HN</t>
        </is>
      </c>
      <c r="E1522" s="3" t="inlineStr">
        <is>
          <t>ĐIỆP</t>
        </is>
      </c>
      <c r="F1522" s="3" t="inlineStr">
        <is>
          <t>Tiktok</t>
        </is>
      </c>
      <c r="G1522" s="4" t="inlineStr">
        <is>
          <t>SHOPEE: TIKTOK: https://vt.tiktok.com/ZS9UMxDj8orfa-HFRLE/ LAZADA: WEBSITE BÁN HÀNG:</t>
        </is>
      </c>
      <c r="H1522" s="3" t="inlineStr">
        <is>
          <t>KKB-110MM</t>
        </is>
      </c>
      <c r="I1522" s="4" t="inlineStr">
        <is>
          <t>Khoan Kính KingBlue KKB-110MM</t>
        </is>
      </c>
      <c r="J1522" s="3" t="inlineStr">
        <is>
          <t>Cái</t>
        </is>
      </c>
      <c r="K1522" s="5" t="n">
        <v>269000</v>
      </c>
      <c r="L1522" s="5" t="n">
        <v>317000</v>
      </c>
      <c r="M1522" s="6" t="n">
        <v>390000</v>
      </c>
      <c r="N1522" s="5" t="n"/>
      <c r="O1522" s="5">
        <f>IF(AND(ISNUMBER(N1522),ISNUMBER(M1522)),N1522-M1522,"")</f>
        <v/>
      </c>
      <c r="P1522" s="7">
        <f>IF(AND(ISNUMBER(N1522),ISNUMBER(M1522),M1522&gt;0),(N1522-M1522)/M1522,"")</f>
        <v/>
      </c>
      <c r="Q1522" s="3">
        <f>IF(P1522="","",IF(P1522&lt;-0.02,"🔴 Bán phá giá sàn",IF(P1522&gt;0.05,"🔵 Bán cao hơn","🟢 Đúng giá sàn TMĐT")))</f>
        <v/>
      </c>
      <c r="R1522" s="3" t="n"/>
      <c r="S1522" s="4" t="n"/>
      <c r="T1522" s="4" t="n"/>
    </row>
    <row r="1523">
      <c r="A1523" s="3" t="n">
        <v>1522</v>
      </c>
      <c r="B1523" s="3" t="inlineStr">
        <is>
          <t>DL014</t>
        </is>
      </c>
      <c r="C1523" s="4" t="inlineStr">
        <is>
          <t>Điện máy Anh Anh</t>
        </is>
      </c>
      <c r="D1523" s="3" t="inlineStr">
        <is>
          <t>HN</t>
        </is>
      </c>
      <c r="E1523" s="3" t="inlineStr">
        <is>
          <t>ĐIỆP</t>
        </is>
      </c>
      <c r="F1523" s="3" t="inlineStr">
        <is>
          <t>Tiktok</t>
        </is>
      </c>
      <c r="G1523" s="4" t="inlineStr">
        <is>
          <t>SHOPEE: TIKTOK: https://vt.tiktok.com/ZS9UMxDj8orfa-HFRLE/ LAZADA: WEBSITE BÁN HÀNG:</t>
        </is>
      </c>
      <c r="H1523" s="3" t="inlineStr">
        <is>
          <t>KKB-12MM</t>
        </is>
      </c>
      <c r="I1523" s="4" t="inlineStr">
        <is>
          <t>Khoan Kính KingBlue KKB-12MM</t>
        </is>
      </c>
      <c r="J1523" s="3" t="inlineStr">
        <is>
          <t>Cái</t>
        </is>
      </c>
      <c r="K1523" s="5" t="n">
        <v>269000</v>
      </c>
      <c r="L1523" s="5" t="n">
        <v>317000</v>
      </c>
      <c r="M1523" s="6" t="n">
        <v>390000</v>
      </c>
      <c r="N1523" s="5" t="n"/>
      <c r="O1523" s="5">
        <f>IF(AND(ISNUMBER(N1523),ISNUMBER(M1523)),N1523-M1523,"")</f>
        <v/>
      </c>
      <c r="P1523" s="7">
        <f>IF(AND(ISNUMBER(N1523),ISNUMBER(M1523),M1523&gt;0),(N1523-M1523)/M1523,"")</f>
        <v/>
      </c>
      <c r="Q1523" s="3">
        <f>IF(P1523="","",IF(P1523&lt;-0.02,"🔴 Bán phá giá sàn",IF(P1523&gt;0.05,"🔵 Bán cao hơn","🟢 Đúng giá sàn TMĐT")))</f>
        <v/>
      </c>
      <c r="R1523" s="3" t="n"/>
      <c r="S1523" s="4" t="n"/>
      <c r="T1523" s="4" t="n"/>
    </row>
    <row r="1524">
      <c r="A1524" s="3" t="n">
        <v>1523</v>
      </c>
      <c r="B1524" s="3" t="inlineStr">
        <is>
          <t>DL014</t>
        </is>
      </c>
      <c r="C1524" s="4" t="inlineStr">
        <is>
          <t>Điện máy Anh Anh</t>
        </is>
      </c>
      <c r="D1524" s="3" t="inlineStr">
        <is>
          <t>HN</t>
        </is>
      </c>
      <c r="E1524" s="3" t="inlineStr">
        <is>
          <t>ĐIỆP</t>
        </is>
      </c>
      <c r="F1524" s="3" t="inlineStr">
        <is>
          <t>Tiktok</t>
        </is>
      </c>
      <c r="G1524" s="4" t="inlineStr">
        <is>
          <t>SHOPEE: TIKTOK: https://vt.tiktok.com/ZS9UMxDj8orfa-HFRLE/ LAZADA: WEBSITE BÁN HÀNG:</t>
        </is>
      </c>
      <c r="H1524" s="3" t="inlineStr">
        <is>
          <t>KKB-140MM</t>
        </is>
      </c>
      <c r="I1524" s="4" t="inlineStr">
        <is>
          <t>Khoan kính KingBlue KKB-140MM</t>
        </is>
      </c>
      <c r="J1524" s="3" t="inlineStr">
        <is>
          <t>Cái</t>
        </is>
      </c>
      <c r="K1524" s="5" t="n">
        <v>269000</v>
      </c>
      <c r="L1524" s="5" t="n">
        <v>317000</v>
      </c>
      <c r="M1524" s="6" t="n">
        <v>390000</v>
      </c>
      <c r="N1524" s="5" t="n"/>
      <c r="O1524" s="5">
        <f>IF(AND(ISNUMBER(N1524),ISNUMBER(M1524)),N1524-M1524,"")</f>
        <v/>
      </c>
      <c r="P1524" s="7">
        <f>IF(AND(ISNUMBER(N1524),ISNUMBER(M1524),M1524&gt;0),(N1524-M1524)/M1524,"")</f>
        <v/>
      </c>
      <c r="Q1524" s="3">
        <f>IF(P1524="","",IF(P1524&lt;-0.02,"🔴 Bán phá giá sàn",IF(P1524&gt;0.05,"🔵 Bán cao hơn","🟢 Đúng giá sàn TMĐT")))</f>
        <v/>
      </c>
      <c r="R1524" s="3" t="n"/>
      <c r="S1524" s="4" t="n"/>
      <c r="T1524" s="4" t="n"/>
    </row>
    <row r="1525">
      <c r="A1525" s="3" t="n">
        <v>1524</v>
      </c>
      <c r="B1525" s="3" t="inlineStr">
        <is>
          <t>DL014</t>
        </is>
      </c>
      <c r="C1525" s="4" t="inlineStr">
        <is>
          <t>Điện máy Anh Anh</t>
        </is>
      </c>
      <c r="D1525" s="3" t="inlineStr">
        <is>
          <t>HN</t>
        </is>
      </c>
      <c r="E1525" s="3" t="inlineStr">
        <is>
          <t>ĐIỆP</t>
        </is>
      </c>
      <c r="F1525" s="3" t="inlineStr">
        <is>
          <t>Tiktok</t>
        </is>
      </c>
      <c r="G1525" s="4" t="inlineStr">
        <is>
          <t>SHOPEE: TIKTOK: https://vt.tiktok.com/ZS9UMxDj8orfa-HFRLE/ LAZADA: WEBSITE BÁN HÀNG:</t>
        </is>
      </c>
      <c r="H1525" s="3" t="inlineStr">
        <is>
          <t>KKB-17MM</t>
        </is>
      </c>
      <c r="I1525" s="4" t="inlineStr">
        <is>
          <t>Khoan Kính KingBlue KKB-17MM</t>
        </is>
      </c>
      <c r="J1525" s="3" t="inlineStr">
        <is>
          <t>Cái</t>
        </is>
      </c>
      <c r="K1525" s="5" t="n">
        <v>269000</v>
      </c>
      <c r="L1525" s="5" t="n">
        <v>317000</v>
      </c>
      <c r="M1525" s="6" t="n">
        <v>390000</v>
      </c>
      <c r="N1525" s="5" t="n"/>
      <c r="O1525" s="5">
        <f>IF(AND(ISNUMBER(N1525),ISNUMBER(M1525)),N1525-M1525,"")</f>
        <v/>
      </c>
      <c r="P1525" s="7">
        <f>IF(AND(ISNUMBER(N1525),ISNUMBER(M1525),M1525&gt;0),(N1525-M1525)/M1525,"")</f>
        <v/>
      </c>
      <c r="Q1525" s="3">
        <f>IF(P1525="","",IF(P1525&lt;-0.02,"🔴 Bán phá giá sàn",IF(P1525&gt;0.05,"🔵 Bán cao hơn","🟢 Đúng giá sàn TMĐT")))</f>
        <v/>
      </c>
      <c r="R1525" s="3" t="n"/>
      <c r="S1525" s="4" t="n"/>
      <c r="T1525" s="4" t="n"/>
    </row>
    <row r="1526">
      <c r="A1526" s="3" t="n">
        <v>1525</v>
      </c>
      <c r="B1526" s="3" t="inlineStr">
        <is>
          <t>DL014</t>
        </is>
      </c>
      <c r="C1526" s="4" t="inlineStr">
        <is>
          <t>Điện máy Anh Anh</t>
        </is>
      </c>
      <c r="D1526" s="3" t="inlineStr">
        <is>
          <t>HN</t>
        </is>
      </c>
      <c r="E1526" s="3" t="inlineStr">
        <is>
          <t>ĐIỆP</t>
        </is>
      </c>
      <c r="F1526" s="3" t="inlineStr">
        <is>
          <t>Tiktok</t>
        </is>
      </c>
      <c r="G1526" s="4" t="inlineStr">
        <is>
          <t>SHOPEE: TIKTOK: https://vt.tiktok.com/ZS9UMxDj8orfa-HFRLE/ LAZADA: WEBSITE BÁN HÀNG:</t>
        </is>
      </c>
      <c r="H1526" s="3" t="inlineStr">
        <is>
          <t>KKB-24MM</t>
        </is>
      </c>
      <c r="I1526" s="4" t="inlineStr">
        <is>
          <t>Khoan Kính KingBlue KKB-24MM</t>
        </is>
      </c>
      <c r="J1526" s="3" t="inlineStr">
        <is>
          <t>Cái</t>
        </is>
      </c>
      <c r="K1526" s="5" t="n">
        <v>269000</v>
      </c>
      <c r="L1526" s="5" t="n">
        <v>317000</v>
      </c>
      <c r="M1526" s="6" t="n">
        <v>390000</v>
      </c>
      <c r="N1526" s="5" t="n"/>
      <c r="O1526" s="5">
        <f>IF(AND(ISNUMBER(N1526),ISNUMBER(M1526)),N1526-M1526,"")</f>
        <v/>
      </c>
      <c r="P1526" s="7">
        <f>IF(AND(ISNUMBER(N1526),ISNUMBER(M1526),M1526&gt;0),(N1526-M1526)/M1526,"")</f>
        <v/>
      </c>
      <c r="Q1526" s="3">
        <f>IF(P1526="","",IF(P1526&lt;-0.02,"🔴 Bán phá giá sàn",IF(P1526&gt;0.05,"🔵 Bán cao hơn","🟢 Đúng giá sàn TMĐT")))</f>
        <v/>
      </c>
      <c r="R1526" s="3" t="n"/>
      <c r="S1526" s="4" t="n"/>
      <c r="T1526" s="4" t="n"/>
    </row>
    <row r="1527">
      <c r="A1527" s="3" t="n">
        <v>1526</v>
      </c>
      <c r="B1527" s="3" t="inlineStr">
        <is>
          <t>DL014</t>
        </is>
      </c>
      <c r="C1527" s="4" t="inlineStr">
        <is>
          <t>Điện máy Anh Anh</t>
        </is>
      </c>
      <c r="D1527" s="3" t="inlineStr">
        <is>
          <t>HN</t>
        </is>
      </c>
      <c r="E1527" s="3" t="inlineStr">
        <is>
          <t>ĐIỆP</t>
        </is>
      </c>
      <c r="F1527" s="3" t="inlineStr">
        <is>
          <t>Tiktok</t>
        </is>
      </c>
      <c r="G1527" s="4" t="inlineStr">
        <is>
          <t>SHOPEE: TIKTOK: https://vt.tiktok.com/ZS9UMxDj8orfa-HFRLE/ LAZADA: WEBSITE BÁN HÀNG:</t>
        </is>
      </c>
      <c r="H1527" s="3" t="inlineStr">
        <is>
          <t>KKB-26MM</t>
        </is>
      </c>
      <c r="I1527" s="4" t="inlineStr">
        <is>
          <t>Khoan Kính KingBlue KKB-26MM</t>
        </is>
      </c>
      <c r="J1527" s="3" t="inlineStr">
        <is>
          <t>Cái</t>
        </is>
      </c>
      <c r="K1527" s="5" t="n">
        <v>269000</v>
      </c>
      <c r="L1527" s="5" t="n">
        <v>317000</v>
      </c>
      <c r="M1527" s="6" t="n">
        <v>390000</v>
      </c>
      <c r="N1527" s="5" t="n"/>
      <c r="O1527" s="5">
        <f>IF(AND(ISNUMBER(N1527),ISNUMBER(M1527)),N1527-M1527,"")</f>
        <v/>
      </c>
      <c r="P1527" s="7">
        <f>IF(AND(ISNUMBER(N1527),ISNUMBER(M1527),M1527&gt;0),(N1527-M1527)/M1527,"")</f>
        <v/>
      </c>
      <c r="Q1527" s="3">
        <f>IF(P1527="","",IF(P1527&lt;-0.02,"🔴 Bán phá giá sàn",IF(P1527&gt;0.05,"🔵 Bán cao hơn","🟢 Đúng giá sàn TMĐT")))</f>
        <v/>
      </c>
      <c r="R1527" s="3" t="n"/>
      <c r="S1527" s="4" t="n"/>
      <c r="T1527" s="4" t="n"/>
    </row>
    <row r="1528">
      <c r="A1528" s="3" t="n">
        <v>1527</v>
      </c>
      <c r="B1528" s="3" t="inlineStr">
        <is>
          <t>DL014</t>
        </is>
      </c>
      <c r="C1528" s="4" t="inlineStr">
        <is>
          <t>Điện máy Anh Anh</t>
        </is>
      </c>
      <c r="D1528" s="3" t="inlineStr">
        <is>
          <t>HN</t>
        </is>
      </c>
      <c r="E1528" s="3" t="inlineStr">
        <is>
          <t>ĐIỆP</t>
        </is>
      </c>
      <c r="F1528" s="3" t="inlineStr">
        <is>
          <t>Tiktok</t>
        </is>
      </c>
      <c r="G1528" s="4" t="inlineStr">
        <is>
          <t>SHOPEE: TIKTOK: https://vt.tiktok.com/ZS9UMxDj8orfa-HFRLE/ LAZADA: WEBSITE BÁN HÀNG:</t>
        </is>
      </c>
      <c r="H1528" s="3" t="inlineStr">
        <is>
          <t>KKB-28MM</t>
        </is>
      </c>
      <c r="I1528" s="4" t="inlineStr">
        <is>
          <t>Khoan Kính KingBlue KKB-28MM</t>
        </is>
      </c>
      <c r="J1528" s="3" t="inlineStr">
        <is>
          <t>Cái</t>
        </is>
      </c>
      <c r="K1528" s="5" t="n">
        <v>269000</v>
      </c>
      <c r="L1528" s="5" t="n">
        <v>317000</v>
      </c>
      <c r="M1528" s="6" t="n">
        <v>390000</v>
      </c>
      <c r="N1528" s="5" t="n"/>
      <c r="O1528" s="5">
        <f>IF(AND(ISNUMBER(N1528),ISNUMBER(M1528)),N1528-M1528,"")</f>
        <v/>
      </c>
      <c r="P1528" s="7">
        <f>IF(AND(ISNUMBER(N1528),ISNUMBER(M1528),M1528&gt;0),(N1528-M1528)/M1528,"")</f>
        <v/>
      </c>
      <c r="Q1528" s="3">
        <f>IF(P1528="","",IF(P1528&lt;-0.02,"🔴 Bán phá giá sàn",IF(P1528&gt;0.05,"🔵 Bán cao hơn","🟢 Đúng giá sàn TMĐT")))</f>
        <v/>
      </c>
      <c r="R1528" s="3" t="n"/>
      <c r="S1528" s="4" t="n"/>
      <c r="T1528" s="4" t="n"/>
    </row>
    <row r="1529">
      <c r="A1529" s="3" t="n">
        <v>1528</v>
      </c>
      <c r="B1529" s="3" t="inlineStr">
        <is>
          <t>DL014</t>
        </is>
      </c>
      <c r="C1529" s="4" t="inlineStr">
        <is>
          <t>Điện máy Anh Anh</t>
        </is>
      </c>
      <c r="D1529" s="3" t="inlineStr">
        <is>
          <t>HN</t>
        </is>
      </c>
      <c r="E1529" s="3" t="inlineStr">
        <is>
          <t>ĐIỆP</t>
        </is>
      </c>
      <c r="F1529" s="3" t="inlineStr">
        <is>
          <t>Tiktok</t>
        </is>
      </c>
      <c r="G1529" s="4" t="inlineStr">
        <is>
          <t>SHOPEE: TIKTOK: https://vt.tiktok.com/ZS9UMxDj8orfa-HFRLE/ LAZADA: WEBSITE BÁN HÀNG:</t>
        </is>
      </c>
      <c r="H1529" s="3" t="inlineStr">
        <is>
          <t>KKB-50MM</t>
        </is>
      </c>
      <c r="I1529" s="4" t="inlineStr">
        <is>
          <t>Khoan Kính KingBlue KKB-50MM</t>
        </is>
      </c>
      <c r="J1529" s="3" t="inlineStr">
        <is>
          <t>Cái</t>
        </is>
      </c>
      <c r="K1529" s="5" t="n">
        <v>269000</v>
      </c>
      <c r="L1529" s="5" t="n">
        <v>317000</v>
      </c>
      <c r="M1529" s="6" t="n">
        <v>390000</v>
      </c>
      <c r="N1529" s="5" t="n"/>
      <c r="O1529" s="5">
        <f>IF(AND(ISNUMBER(N1529),ISNUMBER(M1529)),N1529-M1529,"")</f>
        <v/>
      </c>
      <c r="P1529" s="7">
        <f>IF(AND(ISNUMBER(N1529),ISNUMBER(M1529),M1529&gt;0),(N1529-M1529)/M1529,"")</f>
        <v/>
      </c>
      <c r="Q1529" s="3">
        <f>IF(P1529="","",IF(P1529&lt;-0.02,"🔴 Bán phá giá sàn",IF(P1529&gt;0.05,"🔵 Bán cao hơn","🟢 Đúng giá sàn TMĐT")))</f>
        <v/>
      </c>
      <c r="R1529" s="3" t="n"/>
      <c r="S1529" s="4" t="n"/>
      <c r="T1529" s="4" t="n"/>
    </row>
    <row r="1530">
      <c r="A1530" s="3" t="n">
        <v>1529</v>
      </c>
      <c r="B1530" s="3" t="inlineStr">
        <is>
          <t>DL014</t>
        </is>
      </c>
      <c r="C1530" s="4" t="inlineStr">
        <is>
          <t>Điện máy Anh Anh</t>
        </is>
      </c>
      <c r="D1530" s="3" t="inlineStr">
        <is>
          <t>HN</t>
        </is>
      </c>
      <c r="E1530" s="3" t="inlineStr">
        <is>
          <t>ĐIỆP</t>
        </is>
      </c>
      <c r="F1530" s="3" t="inlineStr">
        <is>
          <t>Tiktok</t>
        </is>
      </c>
      <c r="G1530" s="4" t="inlineStr">
        <is>
          <t>SHOPEE: TIKTOK: https://vt.tiktok.com/ZS9UMxDj8orfa-HFRLE/ LAZADA: WEBSITE BÁN HÀNG:</t>
        </is>
      </c>
      <c r="H1530" s="3" t="inlineStr">
        <is>
          <t>KKB-75MM</t>
        </is>
      </c>
      <c r="I1530" s="4" t="inlineStr">
        <is>
          <t>Khoan Kính KingBlue KKB-75MM</t>
        </is>
      </c>
      <c r="J1530" s="3" t="inlineStr">
        <is>
          <t>Cái</t>
        </is>
      </c>
      <c r="K1530" s="5" t="n">
        <v>269000</v>
      </c>
      <c r="L1530" s="5" t="n">
        <v>317000</v>
      </c>
      <c r="M1530" s="6" t="n">
        <v>390000</v>
      </c>
      <c r="N1530" s="5" t="n"/>
      <c r="O1530" s="5">
        <f>IF(AND(ISNUMBER(N1530),ISNUMBER(M1530)),N1530-M1530,"")</f>
        <v/>
      </c>
      <c r="P1530" s="7">
        <f>IF(AND(ISNUMBER(N1530),ISNUMBER(M1530),M1530&gt;0),(N1530-M1530)/M1530,"")</f>
        <v/>
      </c>
      <c r="Q1530" s="3">
        <f>IF(P1530="","",IF(P1530&lt;-0.02,"🔴 Bán phá giá sàn",IF(P1530&gt;0.05,"🔵 Bán cao hơn","🟢 Đúng giá sàn TMĐT")))</f>
        <v/>
      </c>
      <c r="R1530" s="3" t="n"/>
      <c r="S1530" s="4" t="n"/>
      <c r="T1530" s="4" t="n"/>
    </row>
    <row r="1531">
      <c r="A1531" s="3" t="n">
        <v>1530</v>
      </c>
      <c r="B1531" s="3" t="inlineStr">
        <is>
          <t>DL014</t>
        </is>
      </c>
      <c r="C1531" s="4" t="inlineStr">
        <is>
          <t>Điện máy Anh Anh</t>
        </is>
      </c>
      <c r="D1531" s="3" t="inlineStr">
        <is>
          <t>HN</t>
        </is>
      </c>
      <c r="E1531" s="3" t="inlineStr">
        <is>
          <t>ĐIỆP</t>
        </is>
      </c>
      <c r="F1531" s="3" t="inlineStr">
        <is>
          <t>Tiktok</t>
        </is>
      </c>
      <c r="G1531" s="4" t="inlineStr">
        <is>
          <t>SHOPEE: TIKTOK: https://vt.tiktok.com/ZS9UMxDj8orfa-HFRLE/ LAZADA: WEBSITE BÁN HÀNG:</t>
        </is>
      </c>
      <c r="H1531" s="3" t="inlineStr">
        <is>
          <t>KKB-80MM</t>
        </is>
      </c>
      <c r="I1531" s="4" t="inlineStr">
        <is>
          <t>Khoan Kính KingBlue KKB-80MM</t>
        </is>
      </c>
      <c r="J1531" s="3" t="inlineStr">
        <is>
          <t>Cái</t>
        </is>
      </c>
      <c r="K1531" s="5" t="n">
        <v>269000</v>
      </c>
      <c r="L1531" s="5" t="n">
        <v>317000</v>
      </c>
      <c r="M1531" s="6" t="n">
        <v>390000</v>
      </c>
      <c r="N1531" s="5" t="n"/>
      <c r="O1531" s="5">
        <f>IF(AND(ISNUMBER(N1531),ISNUMBER(M1531)),N1531-M1531,"")</f>
        <v/>
      </c>
      <c r="P1531" s="7">
        <f>IF(AND(ISNUMBER(N1531),ISNUMBER(M1531),M1531&gt;0),(N1531-M1531)/M1531,"")</f>
        <v/>
      </c>
      <c r="Q1531" s="3">
        <f>IF(P1531="","",IF(P1531&lt;-0.02,"🔴 Bán phá giá sàn",IF(P1531&gt;0.05,"🔵 Bán cao hơn","🟢 Đúng giá sàn TMĐT")))</f>
        <v/>
      </c>
      <c r="R1531" s="3" t="n"/>
      <c r="S1531" s="4" t="n"/>
      <c r="T1531" s="4" t="n"/>
    </row>
    <row r="1532">
      <c r="A1532" s="3" t="n">
        <v>1531</v>
      </c>
      <c r="B1532" s="3" t="inlineStr">
        <is>
          <t>DL014</t>
        </is>
      </c>
      <c r="C1532" s="4" t="inlineStr">
        <is>
          <t>Điện máy Anh Anh</t>
        </is>
      </c>
      <c r="D1532" s="3" t="inlineStr">
        <is>
          <t>HN</t>
        </is>
      </c>
      <c r="E1532" s="3" t="inlineStr">
        <is>
          <t>ĐIỆP</t>
        </is>
      </c>
      <c r="F1532" s="3" t="inlineStr">
        <is>
          <t>Tiktok</t>
        </is>
      </c>
      <c r="G1532" s="4" t="inlineStr">
        <is>
          <t>SHOPEE: TIKTOK: https://vt.tiktok.com/ZS9UMxDj8orfa-HFRLE/ LAZADA: WEBSITE BÁN HÀNG:</t>
        </is>
      </c>
      <c r="H1532" s="3" t="inlineStr">
        <is>
          <t>KRLK-63250</t>
        </is>
      </c>
      <c r="I1532" s="4" t="inlineStr">
        <is>
          <t>Khoan rút lõi bê tông khô KRLK-63*250</t>
        </is>
      </c>
      <c r="J1532" s="3" t="inlineStr">
        <is>
          <t>Cái</t>
        </is>
      </c>
      <c r="K1532" s="5" t="n">
        <v>303000</v>
      </c>
      <c r="L1532" s="5" t="n">
        <v>364000</v>
      </c>
      <c r="M1532" s="6" t="n">
        <v>455000</v>
      </c>
      <c r="N1532" s="5" t="n"/>
      <c r="O1532" s="5">
        <f>IF(AND(ISNUMBER(N1532),ISNUMBER(M1532)),N1532-M1532,"")</f>
        <v/>
      </c>
      <c r="P1532" s="7">
        <f>IF(AND(ISNUMBER(N1532),ISNUMBER(M1532),M1532&gt;0),(N1532-M1532)/M1532,"")</f>
        <v/>
      </c>
      <c r="Q1532" s="3">
        <f>IF(P1532="","",IF(P1532&lt;-0.02,"🔴 Bán phá giá sàn",IF(P1532&gt;0.05,"🔵 Bán cao hơn","🟢 Đúng giá sàn TMĐT")))</f>
        <v/>
      </c>
      <c r="R1532" s="3" t="n"/>
      <c r="S1532" s="4" t="n"/>
      <c r="T1532" s="4" t="n"/>
    </row>
    <row r="1533">
      <c r="A1533" s="3" t="n">
        <v>1532</v>
      </c>
      <c r="B1533" s="3" t="inlineStr">
        <is>
          <t>DL014</t>
        </is>
      </c>
      <c r="C1533" s="4" t="inlineStr">
        <is>
          <t>Điện máy Anh Anh</t>
        </is>
      </c>
      <c r="D1533" s="3" t="inlineStr">
        <is>
          <t>HN</t>
        </is>
      </c>
      <c r="E1533" s="3" t="inlineStr">
        <is>
          <t>ĐIỆP</t>
        </is>
      </c>
      <c r="F1533" s="3" t="inlineStr">
        <is>
          <t>Tiktok</t>
        </is>
      </c>
      <c r="G1533" s="4" t="inlineStr">
        <is>
          <t>SHOPEE: TIKTOK: https://vt.tiktok.com/ZS9UMxDj8orfa-HFRLE/ LAZADA: WEBSITE BÁN HÀNG:</t>
        </is>
      </c>
      <c r="H1533" s="3" t="inlineStr">
        <is>
          <t>KC1-09</t>
        </is>
      </c>
      <c r="I1533" s="4" t="inlineStr">
        <is>
          <t>Kìm điện đa năng KC1-09</t>
        </is>
      </c>
      <c r="J1533" s="3" t="inlineStr">
        <is>
          <t>Cái</t>
        </is>
      </c>
      <c r="K1533" s="5" t="n">
        <v>127000</v>
      </c>
      <c r="L1533" s="5" t="n">
        <v>150000</v>
      </c>
      <c r="M1533" s="6" t="n">
        <v>184000</v>
      </c>
      <c r="N1533" s="5" t="n"/>
      <c r="O1533" s="5">
        <f>IF(AND(ISNUMBER(N1533),ISNUMBER(M1533)),N1533-M1533,"")</f>
        <v/>
      </c>
      <c r="P1533" s="7">
        <f>IF(AND(ISNUMBER(N1533),ISNUMBER(M1533),M1533&gt;0),(N1533-M1533)/M1533,"")</f>
        <v/>
      </c>
      <c r="Q1533" s="3">
        <f>IF(P1533="","",IF(P1533&lt;-0.02,"🔴 Bán phá giá sàn",IF(P1533&gt;0.05,"🔵 Bán cao hơn","🟢 Đúng giá sàn TMĐT")))</f>
        <v/>
      </c>
      <c r="R1533" s="3" t="n"/>
      <c r="S1533" s="4" t="n"/>
      <c r="T1533" s="4" t="n"/>
    </row>
    <row r="1534">
      <c r="A1534" s="3" t="n">
        <v>1533</v>
      </c>
      <c r="B1534" s="3" t="inlineStr">
        <is>
          <t>DL014</t>
        </is>
      </c>
      <c r="C1534" s="4" t="inlineStr">
        <is>
          <t>Điện máy Anh Anh</t>
        </is>
      </c>
      <c r="D1534" s="3" t="inlineStr">
        <is>
          <t>HN</t>
        </is>
      </c>
      <c r="E1534" s="3" t="inlineStr">
        <is>
          <t>ĐIỆP</t>
        </is>
      </c>
      <c r="F1534" s="3" t="inlineStr">
        <is>
          <t>Tiktok</t>
        </is>
      </c>
      <c r="G1534" s="4" t="inlineStr">
        <is>
          <t>SHOPEE: TIKTOK: https://vt.tiktok.com/ZS9UMxDj8orfa-HFRLE/ LAZADA: WEBSITE BÁN HÀNG:</t>
        </is>
      </c>
      <c r="H1534" s="3" t="inlineStr">
        <is>
          <t>KC2-09</t>
        </is>
      </c>
      <c r="I1534" s="4" t="inlineStr">
        <is>
          <t>Kìm mỏ nhọn đa năng KC2-09</t>
        </is>
      </c>
      <c r="J1534" s="3" t="inlineStr">
        <is>
          <t>Cái</t>
        </is>
      </c>
      <c r="K1534" s="5" t="n">
        <v>127000</v>
      </c>
      <c r="L1534" s="5" t="n">
        <v>150000</v>
      </c>
      <c r="M1534" s="6" t="n">
        <v>184000</v>
      </c>
      <c r="N1534" s="5" t="n"/>
      <c r="O1534" s="5">
        <f>IF(AND(ISNUMBER(N1534),ISNUMBER(M1534)),N1534-M1534,"")</f>
        <v/>
      </c>
      <c r="P1534" s="7">
        <f>IF(AND(ISNUMBER(N1534),ISNUMBER(M1534),M1534&gt;0),(N1534-M1534)/M1534,"")</f>
        <v/>
      </c>
      <c r="Q1534" s="3">
        <f>IF(P1534="","",IF(P1534&lt;-0.02,"🔴 Bán phá giá sàn",IF(P1534&gt;0.05,"🔵 Bán cao hơn","🟢 Đúng giá sàn TMĐT")))</f>
        <v/>
      </c>
      <c r="R1534" s="3" t="n"/>
      <c r="S1534" s="4" t="n"/>
      <c r="T1534" s="4" t="n"/>
    </row>
    <row r="1535">
      <c r="A1535" s="3" t="n">
        <v>1534</v>
      </c>
      <c r="B1535" s="3" t="inlineStr">
        <is>
          <t>DL014</t>
        </is>
      </c>
      <c r="C1535" s="4" t="inlineStr">
        <is>
          <t>Điện máy Anh Anh</t>
        </is>
      </c>
      <c r="D1535" s="3" t="inlineStr">
        <is>
          <t>HN</t>
        </is>
      </c>
      <c r="E1535" s="3" t="inlineStr">
        <is>
          <t>ĐIỆP</t>
        </is>
      </c>
      <c r="F1535" s="3" t="inlineStr">
        <is>
          <t>Tiktok</t>
        </is>
      </c>
      <c r="G1535" s="4" t="inlineStr">
        <is>
          <t>SHOPEE: TIKTOK: https://vt.tiktok.com/ZS9UMxDj8orfa-HFRLE/ LAZADA: WEBSITE BÁN HÀNG:</t>
        </is>
      </c>
      <c r="H1535" s="3" t="inlineStr">
        <is>
          <t>VJ02</t>
        </is>
      </c>
      <c r="I1535" s="4" t="inlineStr">
        <is>
          <t>Lưỡi cắt gạch bàn VJ02</t>
        </is>
      </c>
      <c r="J1535" s="3" t="inlineStr">
        <is>
          <t>Cái</t>
        </is>
      </c>
      <c r="K1535" s="5" t="n">
        <v>101000</v>
      </c>
      <c r="L1535" s="5" t="n">
        <v>119000</v>
      </c>
      <c r="M1535" s="6" t="n">
        <v>147000</v>
      </c>
      <c r="N1535" s="5" t="n"/>
      <c r="O1535" s="5">
        <f>IF(AND(ISNUMBER(N1535),ISNUMBER(M1535)),N1535-M1535,"")</f>
        <v/>
      </c>
      <c r="P1535" s="7">
        <f>IF(AND(ISNUMBER(N1535),ISNUMBER(M1535),M1535&gt;0),(N1535-M1535)/M1535,"")</f>
        <v/>
      </c>
      <c r="Q1535" s="3">
        <f>IF(P1535="","",IF(P1535&lt;-0.02,"🔴 Bán phá giá sàn",IF(P1535&gt;0.05,"🔵 Bán cao hơn","🟢 Đúng giá sàn TMĐT")))</f>
        <v/>
      </c>
      <c r="R1535" s="3" t="n"/>
      <c r="S1535" s="4" t="n"/>
      <c r="T1535" s="4" t="n"/>
    </row>
    <row r="1536">
      <c r="A1536" s="3" t="n">
        <v>1535</v>
      </c>
      <c r="B1536" s="3" t="inlineStr">
        <is>
          <t>DL014</t>
        </is>
      </c>
      <c r="C1536" s="4" t="inlineStr">
        <is>
          <t>Điện máy Anh Anh</t>
        </is>
      </c>
      <c r="D1536" s="3" t="inlineStr">
        <is>
          <t>HN</t>
        </is>
      </c>
      <c r="E1536" s="3" t="inlineStr">
        <is>
          <t>ĐIỆP</t>
        </is>
      </c>
      <c r="F1536" s="3" t="inlineStr">
        <is>
          <t>Tiktok</t>
        </is>
      </c>
      <c r="G1536" s="4" t="inlineStr">
        <is>
          <t>SHOPEE: TIKTOK: https://vt.tiktok.com/ZS9UMxDj8orfa-HFRLE/ LAZADA: WEBSITE BÁN HÀNG:</t>
        </is>
      </c>
      <c r="H1536" s="3" t="inlineStr">
        <is>
          <t>G1-125R</t>
        </is>
      </c>
      <c r="I1536" s="4" t="inlineStr">
        <is>
          <t>Lưỡi cắt Kingblue G1-125R</t>
        </is>
      </c>
      <c r="J1536" s="3" t="inlineStr">
        <is>
          <t>Cái</t>
        </is>
      </c>
      <c r="K1536" s="5" t="n">
        <v>83000</v>
      </c>
      <c r="L1536" s="5" t="n">
        <v>98000</v>
      </c>
      <c r="M1536" s="6" t="n">
        <v>120000</v>
      </c>
      <c r="N1536" s="5" t="n"/>
      <c r="O1536" s="5">
        <f>IF(AND(ISNUMBER(N1536),ISNUMBER(M1536)),N1536-M1536,"")</f>
        <v/>
      </c>
      <c r="P1536" s="7">
        <f>IF(AND(ISNUMBER(N1536),ISNUMBER(M1536),M1536&gt;0),(N1536-M1536)/M1536,"")</f>
        <v/>
      </c>
      <c r="Q1536" s="3">
        <f>IF(P1536="","",IF(P1536&lt;-0.02,"🔴 Bán phá giá sàn",IF(P1536&gt;0.05,"🔵 Bán cao hơn","🟢 Đúng giá sàn TMĐT")))</f>
        <v/>
      </c>
      <c r="R1536" s="3" t="n"/>
      <c r="S1536" s="4" t="n"/>
      <c r="T1536" s="4" t="n"/>
    </row>
    <row r="1537">
      <c r="A1537" s="3" t="n">
        <v>1536</v>
      </c>
      <c r="B1537" s="3" t="inlineStr">
        <is>
          <t>DL014</t>
        </is>
      </c>
      <c r="C1537" s="4" t="inlineStr">
        <is>
          <t>Điện máy Anh Anh</t>
        </is>
      </c>
      <c r="D1537" s="3" t="inlineStr">
        <is>
          <t>HN</t>
        </is>
      </c>
      <c r="E1537" s="3" t="inlineStr">
        <is>
          <t>ĐIỆP</t>
        </is>
      </c>
      <c r="F1537" s="3" t="inlineStr">
        <is>
          <t>Tiktok</t>
        </is>
      </c>
      <c r="G1537" s="4" t="inlineStr">
        <is>
          <t>SHOPEE: TIKTOK: https://vt.tiktok.com/ZS9UMxDj8orfa-HFRLE/ LAZADA: WEBSITE BÁN HÀNG:</t>
        </is>
      </c>
      <c r="H1537" s="3" t="inlineStr">
        <is>
          <t>G1-156R</t>
        </is>
      </c>
      <c r="I1537" s="4" t="inlineStr">
        <is>
          <t>Lưỡi cắt KingBlue G1-156R</t>
        </is>
      </c>
      <c r="J1537" s="3" t="inlineStr">
        <is>
          <t>Cái</t>
        </is>
      </c>
      <c r="K1537" s="5" t="n">
        <v>125000</v>
      </c>
      <c r="L1537" s="5" t="n">
        <v>147000</v>
      </c>
      <c r="M1537" s="6" t="n">
        <v>181000</v>
      </c>
      <c r="N1537" s="5" t="n"/>
      <c r="O1537" s="5">
        <f>IF(AND(ISNUMBER(N1537),ISNUMBER(M1537)),N1537-M1537,"")</f>
        <v/>
      </c>
      <c r="P1537" s="7">
        <f>IF(AND(ISNUMBER(N1537),ISNUMBER(M1537),M1537&gt;0),(N1537-M1537)/M1537,"")</f>
        <v/>
      </c>
      <c r="Q1537" s="3">
        <f>IF(P1537="","",IF(P1537&lt;-0.02,"🔴 Bán phá giá sàn",IF(P1537&gt;0.05,"🔵 Bán cao hơn","🟢 Đúng giá sàn TMĐT")))</f>
        <v/>
      </c>
      <c r="R1537" s="3" t="n"/>
      <c r="S1537" s="4" t="n"/>
      <c r="T1537" s="4" t="n"/>
    </row>
    <row r="1538">
      <c r="A1538" s="3" t="n">
        <v>1537</v>
      </c>
      <c r="B1538" s="3" t="inlineStr">
        <is>
          <t>DL014</t>
        </is>
      </c>
      <c r="C1538" s="4" t="inlineStr">
        <is>
          <t>Điện máy Anh Anh</t>
        </is>
      </c>
      <c r="D1538" s="3" t="inlineStr">
        <is>
          <t>HN</t>
        </is>
      </c>
      <c r="E1538" s="3" t="inlineStr">
        <is>
          <t>ĐIỆP</t>
        </is>
      </c>
      <c r="F1538" s="3" t="inlineStr">
        <is>
          <t>Tiktok</t>
        </is>
      </c>
      <c r="G1538" s="4" t="inlineStr">
        <is>
          <t>SHOPEE: TIKTOK: https://vt.tiktok.com/ZS9UMxDj8orfa-HFRLE/ LAZADA: WEBSITE BÁN HÀNG:</t>
        </is>
      </c>
      <c r="H1538" s="3" t="inlineStr">
        <is>
          <t>S3</t>
        </is>
      </c>
      <c r="I1538" s="4" t="inlineStr">
        <is>
          <t>Lưỡi cắt KingBlue S3 105DN (xanh dương) (NEW)</t>
        </is>
      </c>
      <c r="J1538" s="3" t="inlineStr">
        <is>
          <t>Cái</t>
        </is>
      </c>
      <c r="K1538" s="5" t="n">
        <v>263000</v>
      </c>
      <c r="L1538" s="5" t="n">
        <v>310000</v>
      </c>
      <c r="M1538" s="6" t="n">
        <v>381000</v>
      </c>
      <c r="N1538" s="5" t="n"/>
      <c r="O1538" s="5">
        <f>IF(AND(ISNUMBER(N1538),ISNUMBER(M1538)),N1538-M1538,"")</f>
        <v/>
      </c>
      <c r="P1538" s="7">
        <f>IF(AND(ISNUMBER(N1538),ISNUMBER(M1538),M1538&gt;0),(N1538-M1538)/M1538,"")</f>
        <v/>
      </c>
      <c r="Q1538" s="3">
        <f>IF(P1538="","",IF(P1538&lt;-0.02,"🔴 Bán phá giá sàn",IF(P1538&gt;0.05,"🔵 Bán cao hơn","🟢 Đúng giá sàn TMĐT")))</f>
        <v/>
      </c>
      <c r="R1538" s="3" t="n"/>
      <c r="S1538" s="4" t="n"/>
      <c r="T1538" s="4" t="n"/>
    </row>
    <row r="1539">
      <c r="A1539" s="3" t="n">
        <v>1538</v>
      </c>
      <c r="B1539" s="3" t="inlineStr">
        <is>
          <t>DL014</t>
        </is>
      </c>
      <c r="C1539" s="4" t="inlineStr">
        <is>
          <t>Điện máy Anh Anh</t>
        </is>
      </c>
      <c r="D1539" s="3" t="inlineStr">
        <is>
          <t>HN</t>
        </is>
      </c>
      <c r="E1539" s="3" t="inlineStr">
        <is>
          <t>ĐIỆP</t>
        </is>
      </c>
      <c r="F1539" s="3" t="inlineStr">
        <is>
          <t>Tiktok</t>
        </is>
      </c>
      <c r="G1539" s="4" t="inlineStr">
        <is>
          <t>SHOPEE: TIKTOK: https://vt.tiktok.com/ZS9UMxDj8orfa-HFRLE/ LAZADA: WEBSITE BÁN HÀNG:</t>
        </is>
      </c>
      <c r="H1539" s="3" t="inlineStr">
        <is>
          <t>T1-150L</t>
        </is>
      </c>
      <c r="I1539" s="4" t="inlineStr">
        <is>
          <t>Lưỡi cắt Kingblue T1-150L</t>
        </is>
      </c>
      <c r="J1539" s="3" t="inlineStr">
        <is>
          <t>Cái</t>
        </is>
      </c>
      <c r="K1539" s="5" t="n">
        <v>117000</v>
      </c>
      <c r="L1539" s="5" t="n">
        <v>138000</v>
      </c>
      <c r="M1539" s="6" t="n">
        <v>170000</v>
      </c>
      <c r="N1539" s="5" t="n"/>
      <c r="O1539" s="5">
        <f>IF(AND(ISNUMBER(N1539),ISNUMBER(M1539)),N1539-M1539,"")</f>
        <v/>
      </c>
      <c r="P1539" s="7">
        <f>IF(AND(ISNUMBER(N1539),ISNUMBER(M1539),M1539&gt;0),(N1539-M1539)/M1539,"")</f>
        <v/>
      </c>
      <c r="Q1539" s="3">
        <f>IF(P1539="","",IF(P1539&lt;-0.02,"🔴 Bán phá giá sàn",IF(P1539&gt;0.05,"🔵 Bán cao hơn","🟢 Đúng giá sàn TMĐT")))</f>
        <v/>
      </c>
      <c r="R1539" s="3" t="n"/>
      <c r="S1539" s="4" t="n"/>
      <c r="T1539" s="4" t="n"/>
    </row>
    <row r="1540">
      <c r="A1540" s="3" t="n">
        <v>1539</v>
      </c>
      <c r="B1540" s="3" t="inlineStr">
        <is>
          <t>DL014</t>
        </is>
      </c>
      <c r="C1540" s="4" t="inlineStr">
        <is>
          <t>Điện máy Anh Anh</t>
        </is>
      </c>
      <c r="D1540" s="3" t="inlineStr">
        <is>
          <t>HN</t>
        </is>
      </c>
      <c r="E1540" s="3" t="inlineStr">
        <is>
          <t>ĐIỆP</t>
        </is>
      </c>
      <c r="F1540" s="3" t="inlineStr">
        <is>
          <t>Tiktok</t>
        </is>
      </c>
      <c r="G1540" s="4" t="inlineStr">
        <is>
          <t>SHOPEE: TIKTOK: https://vt.tiktok.com/ZS9UMxDj8orfa-HFRLE/ LAZADA: WEBSITE BÁN HÀNG:</t>
        </is>
      </c>
      <c r="H1540" s="3" t="inlineStr">
        <is>
          <t>T1-180R</t>
        </is>
      </c>
      <c r="I1540" s="4" t="inlineStr">
        <is>
          <t>Lưỡi cắt KingBlue T1-180R</t>
        </is>
      </c>
      <c r="J1540" s="3" t="inlineStr">
        <is>
          <t>Cái</t>
        </is>
      </c>
      <c r="K1540" s="5" t="n">
        <v>141000</v>
      </c>
      <c r="L1540" s="5" t="n">
        <v>167000</v>
      </c>
      <c r="M1540" s="6" t="n">
        <v>205000</v>
      </c>
      <c r="N1540" s="5" t="n"/>
      <c r="O1540" s="5">
        <f>IF(AND(ISNUMBER(N1540),ISNUMBER(M1540)),N1540-M1540,"")</f>
        <v/>
      </c>
      <c r="P1540" s="7">
        <f>IF(AND(ISNUMBER(N1540),ISNUMBER(M1540),M1540&gt;0),(N1540-M1540)/M1540,"")</f>
        <v/>
      </c>
      <c r="Q1540" s="3">
        <f>IF(P1540="","",IF(P1540&lt;-0.02,"🔴 Bán phá giá sàn",IF(P1540&gt;0.05,"🔵 Bán cao hơn","🟢 Đúng giá sàn TMĐT")))</f>
        <v/>
      </c>
      <c r="R1540" s="3" t="n"/>
      <c r="S1540" s="4" t="n"/>
      <c r="T1540" s="4" t="n"/>
    </row>
    <row r="1541">
      <c r="A1541" s="3" t="n">
        <v>1540</v>
      </c>
      <c r="B1541" s="3" t="inlineStr">
        <is>
          <t>DL014</t>
        </is>
      </c>
      <c r="C1541" s="4" t="inlineStr">
        <is>
          <t>Điện máy Anh Anh</t>
        </is>
      </c>
      <c r="D1541" s="3" t="inlineStr">
        <is>
          <t>HN</t>
        </is>
      </c>
      <c r="E1541" s="3" t="inlineStr">
        <is>
          <t>ĐIỆP</t>
        </is>
      </c>
      <c r="F1541" s="3" t="inlineStr">
        <is>
          <t>Tiktok</t>
        </is>
      </c>
      <c r="G1541" s="4" t="inlineStr">
        <is>
          <t>SHOPEE: TIKTOK: https://vt.tiktok.com/ZS9UMxDj8orfa-HFRLE/ LAZADA: WEBSITE BÁN HÀNG:</t>
        </is>
      </c>
      <c r="H1541" s="3" t="inlineStr">
        <is>
          <t>T1-250R</t>
        </is>
      </c>
      <c r="I1541" s="4" t="inlineStr">
        <is>
          <t>Lưỡi cắt Kingblue T1-250R</t>
        </is>
      </c>
      <c r="J1541" s="3" t="inlineStr">
        <is>
          <t>Cái</t>
        </is>
      </c>
      <c r="K1541" s="5" t="n">
        <v>269000</v>
      </c>
      <c r="L1541" s="5" t="n">
        <v>317000</v>
      </c>
      <c r="M1541" s="6" t="n">
        <v>390000</v>
      </c>
      <c r="N1541" s="5" t="n"/>
      <c r="O1541" s="5">
        <f>IF(AND(ISNUMBER(N1541),ISNUMBER(M1541)),N1541-M1541,"")</f>
        <v/>
      </c>
      <c r="P1541" s="7">
        <f>IF(AND(ISNUMBER(N1541),ISNUMBER(M1541),M1541&gt;0),(N1541-M1541)/M1541,"")</f>
        <v/>
      </c>
      <c r="Q1541" s="3">
        <f>IF(P1541="","",IF(P1541&lt;-0.02,"🔴 Bán phá giá sàn",IF(P1541&gt;0.05,"🔵 Bán cao hơn","🟢 Đúng giá sàn TMĐT")))</f>
        <v/>
      </c>
      <c r="R1541" s="3" t="n"/>
      <c r="S1541" s="4" t="n"/>
      <c r="T1541" s="4" t="n"/>
    </row>
    <row r="1542">
      <c r="A1542" s="3" t="n">
        <v>1541</v>
      </c>
      <c r="B1542" s="3" t="inlineStr">
        <is>
          <t>DL014</t>
        </is>
      </c>
      <c r="C1542" s="4" t="inlineStr">
        <is>
          <t>Điện máy Anh Anh</t>
        </is>
      </c>
      <c r="D1542" s="3" t="inlineStr">
        <is>
          <t>HN</t>
        </is>
      </c>
      <c r="E1542" s="3" t="inlineStr">
        <is>
          <t>ĐIỆP</t>
        </is>
      </c>
      <c r="F1542" s="3" t="inlineStr">
        <is>
          <t>Tiktok</t>
        </is>
      </c>
      <c r="G1542" s="4" t="inlineStr">
        <is>
          <t>SHOPEE: TIKTOK: https://vt.tiktok.com/ZS9UMxDj8orfa-HFRLE/ LAZADA: WEBSITE BÁN HÀNG:</t>
        </is>
      </c>
      <c r="H1542" s="3" t="inlineStr">
        <is>
          <t>T1-300R</t>
        </is>
      </c>
      <c r="I1542" s="4" t="inlineStr">
        <is>
          <t>Lưỡi cắt KingBlue T1-300R</t>
        </is>
      </c>
      <c r="J1542" s="3" t="inlineStr">
        <is>
          <t>Cái</t>
        </is>
      </c>
      <c r="K1542" s="5" t="n">
        <v>428000</v>
      </c>
      <c r="L1542" s="5" t="n">
        <v>505000</v>
      </c>
      <c r="M1542" s="6" t="n">
        <v>621000</v>
      </c>
      <c r="N1542" s="5" t="n"/>
      <c r="O1542" s="5">
        <f>IF(AND(ISNUMBER(N1542),ISNUMBER(M1542)),N1542-M1542,"")</f>
        <v/>
      </c>
      <c r="P1542" s="7">
        <f>IF(AND(ISNUMBER(N1542),ISNUMBER(M1542),M1542&gt;0),(N1542-M1542)/M1542,"")</f>
        <v/>
      </c>
      <c r="Q1542" s="3">
        <f>IF(P1542="","",IF(P1542&lt;-0.02,"🔴 Bán phá giá sàn",IF(P1542&gt;0.05,"🔵 Bán cao hơn","🟢 Đúng giá sàn TMĐT")))</f>
        <v/>
      </c>
      <c r="R1542" s="3" t="n"/>
      <c r="S1542" s="4" t="n"/>
      <c r="T1542" s="4" t="n"/>
    </row>
    <row r="1543">
      <c r="A1543" s="3" t="n">
        <v>1542</v>
      </c>
      <c r="B1543" s="3" t="inlineStr">
        <is>
          <t>DL014</t>
        </is>
      </c>
      <c r="C1543" s="4" t="inlineStr">
        <is>
          <t>Điện máy Anh Anh</t>
        </is>
      </c>
      <c r="D1543" s="3" t="inlineStr">
        <is>
          <t>HN</t>
        </is>
      </c>
      <c r="E1543" s="3" t="inlineStr">
        <is>
          <t>ĐIỆP</t>
        </is>
      </c>
      <c r="F1543" s="3" t="inlineStr">
        <is>
          <t>Tiktok</t>
        </is>
      </c>
      <c r="G1543" s="4" t="inlineStr">
        <is>
          <t>SHOPEE: TIKTOK: https://vt.tiktok.com/ZS9UMxDj8orfa-HFRLE/ LAZADA: WEBSITE BÁN HÀNG:</t>
        </is>
      </c>
      <c r="H1543" s="3" t="inlineStr">
        <is>
          <t>T1-350R</t>
        </is>
      </c>
      <c r="I1543" s="4" t="inlineStr">
        <is>
          <t>Lưỡi cắt KingBlue T1-350R</t>
        </is>
      </c>
      <c r="J1543" s="3" t="inlineStr">
        <is>
          <t>Cái</t>
        </is>
      </c>
      <c r="K1543" s="5" t="n">
        <v>649000</v>
      </c>
      <c r="L1543" s="5" t="n">
        <v>766000</v>
      </c>
      <c r="M1543" s="6" t="n">
        <v>941000</v>
      </c>
      <c r="N1543" s="5" t="n"/>
      <c r="O1543" s="5">
        <f>IF(AND(ISNUMBER(N1543),ISNUMBER(M1543)),N1543-M1543,"")</f>
        <v/>
      </c>
      <c r="P1543" s="7">
        <f>IF(AND(ISNUMBER(N1543),ISNUMBER(M1543),M1543&gt;0),(N1543-M1543)/M1543,"")</f>
        <v/>
      </c>
      <c r="Q1543" s="3">
        <f>IF(P1543="","",IF(P1543&lt;-0.02,"🔴 Bán phá giá sàn",IF(P1543&gt;0.05,"🔵 Bán cao hơn","🟢 Đúng giá sàn TMĐT")))</f>
        <v/>
      </c>
      <c r="R1543" s="3" t="n"/>
      <c r="S1543" s="4" t="n"/>
      <c r="T1543" s="4" t="n"/>
    </row>
    <row r="1544">
      <c r="A1544" s="3" t="n">
        <v>1543</v>
      </c>
      <c r="B1544" s="3" t="inlineStr">
        <is>
          <t>DL014</t>
        </is>
      </c>
      <c r="C1544" s="4" t="inlineStr">
        <is>
          <t>Điện máy Anh Anh</t>
        </is>
      </c>
      <c r="D1544" s="3" t="inlineStr">
        <is>
          <t>HN</t>
        </is>
      </c>
      <c r="E1544" s="3" t="inlineStr">
        <is>
          <t>ĐIỆP</t>
        </is>
      </c>
      <c r="F1544" s="3" t="inlineStr">
        <is>
          <t>Tiktok</t>
        </is>
      </c>
      <c r="G1544" s="4" t="inlineStr">
        <is>
          <t>SHOPEE: TIKTOK: https://vt.tiktok.com/ZS9UMxDj8orfa-HFRLE/ LAZADA: WEBSITE BÁN HÀNG:</t>
        </is>
      </c>
      <c r="H1544" s="3" t="inlineStr">
        <is>
          <t>T1-400R</t>
        </is>
      </c>
      <c r="I1544" s="4" t="inlineStr">
        <is>
          <t>Lưỡi cắt KingBlue T1-400R</t>
        </is>
      </c>
      <c r="J1544" s="3" t="inlineStr">
        <is>
          <t>Cái</t>
        </is>
      </c>
      <c r="K1544" s="5" t="n">
        <v>857000</v>
      </c>
      <c r="L1544" s="5" t="n">
        <v>1011000</v>
      </c>
      <c r="M1544" s="6" t="n">
        <v>1243000</v>
      </c>
      <c r="N1544" s="5" t="n"/>
      <c r="O1544" s="5">
        <f>IF(AND(ISNUMBER(N1544),ISNUMBER(M1544)),N1544-M1544,"")</f>
        <v/>
      </c>
      <c r="P1544" s="7">
        <f>IF(AND(ISNUMBER(N1544),ISNUMBER(M1544),M1544&gt;0),(N1544-M1544)/M1544,"")</f>
        <v/>
      </c>
      <c r="Q1544" s="3">
        <f>IF(P1544="","",IF(P1544&lt;-0.02,"🔴 Bán phá giá sàn",IF(P1544&gt;0.05,"🔵 Bán cao hơn","🟢 Đúng giá sàn TMĐT")))</f>
        <v/>
      </c>
      <c r="R1544" s="3" t="n"/>
      <c r="S1544" s="4" t="n"/>
      <c r="T1544" s="4" t="n"/>
    </row>
    <row r="1545">
      <c r="A1545" s="3" t="n">
        <v>1544</v>
      </c>
      <c r="B1545" s="3" t="inlineStr">
        <is>
          <t>DL014</t>
        </is>
      </c>
      <c r="C1545" s="4" t="inlineStr">
        <is>
          <t>Điện máy Anh Anh</t>
        </is>
      </c>
      <c r="D1545" s="3" t="inlineStr">
        <is>
          <t>HN</t>
        </is>
      </c>
      <c r="E1545" s="3" t="inlineStr">
        <is>
          <t>ĐIỆP</t>
        </is>
      </c>
      <c r="F1545" s="3" t="inlineStr">
        <is>
          <t>Tiktok</t>
        </is>
      </c>
      <c r="G1545" s="4" t="inlineStr">
        <is>
          <t>SHOPEE: TIKTOK: https://vt.tiktok.com/ZS9UMxDj8orfa-HFRLE/ LAZADA: WEBSITE BÁN HÀNG:</t>
        </is>
      </c>
      <c r="H1545" s="3" t="inlineStr">
        <is>
          <t>K2-110X40T</t>
        </is>
      </c>
      <c r="I1545" s="4" t="inlineStr">
        <is>
          <t>Lưỡi cưa đa năng KingBlue K2-110X40T</t>
        </is>
      </c>
      <c r="J1545" s="3" t="inlineStr">
        <is>
          <t>Cái</t>
        </is>
      </c>
      <c r="K1545" s="5" t="n">
        <v>132000</v>
      </c>
      <c r="L1545" s="5" t="n">
        <v>156000</v>
      </c>
      <c r="M1545" s="6" t="n">
        <v>191000</v>
      </c>
      <c r="N1545" s="5" t="n"/>
      <c r="O1545" s="5">
        <f>IF(AND(ISNUMBER(N1545),ISNUMBER(M1545)),N1545-M1545,"")</f>
        <v/>
      </c>
      <c r="P1545" s="7">
        <f>IF(AND(ISNUMBER(N1545),ISNUMBER(M1545),M1545&gt;0),(N1545-M1545)/M1545,"")</f>
        <v/>
      </c>
      <c r="Q1545" s="3">
        <f>IF(P1545="","",IF(P1545&lt;-0.02,"🔴 Bán phá giá sàn",IF(P1545&gt;0.05,"🔵 Bán cao hơn","🟢 Đúng giá sàn TMĐT")))</f>
        <v/>
      </c>
      <c r="R1545" s="3" t="n"/>
      <c r="S1545" s="4" t="n"/>
      <c r="T1545" s="4" t="n"/>
    </row>
    <row r="1546">
      <c r="A1546" s="3" t="n">
        <v>1545</v>
      </c>
      <c r="B1546" s="3" t="inlineStr">
        <is>
          <t>DL014</t>
        </is>
      </c>
      <c r="C1546" s="4" t="inlineStr">
        <is>
          <t>Điện máy Anh Anh</t>
        </is>
      </c>
      <c r="D1546" s="3" t="inlineStr">
        <is>
          <t>HN</t>
        </is>
      </c>
      <c r="E1546" s="3" t="inlineStr">
        <is>
          <t>ĐIỆP</t>
        </is>
      </c>
      <c r="F1546" s="3" t="inlineStr">
        <is>
          <t>Tiktok</t>
        </is>
      </c>
      <c r="G1546" s="4" t="inlineStr">
        <is>
          <t>SHOPEE: TIKTOK: https://vt.tiktok.com/ZS9UMxDj8orfa-HFRLE/ LAZADA: WEBSITE BÁN HÀNG:</t>
        </is>
      </c>
      <c r="H1546" s="3" t="inlineStr">
        <is>
          <t>K1-185x32T</t>
        </is>
      </c>
      <c r="I1546" s="4" t="inlineStr">
        <is>
          <t>Lưỡi cưa kim loại KingBlue K1-185x32T (Cưa sắt)</t>
        </is>
      </c>
      <c r="J1546" s="3" t="inlineStr">
        <is>
          <t>Cái</t>
        </is>
      </c>
      <c r="K1546" s="5" t="n">
        <v>273000</v>
      </c>
      <c r="L1546" s="5" t="n">
        <v>322000</v>
      </c>
      <c r="M1546" s="6" t="n">
        <v>396000</v>
      </c>
      <c r="N1546" s="5" t="n"/>
      <c r="O1546" s="5">
        <f>IF(AND(ISNUMBER(N1546),ISNUMBER(M1546)),N1546-M1546,"")</f>
        <v/>
      </c>
      <c r="P1546" s="7">
        <f>IF(AND(ISNUMBER(N1546),ISNUMBER(M1546),M1546&gt;0),(N1546-M1546)/M1546,"")</f>
        <v/>
      </c>
      <c r="Q1546" s="3">
        <f>IF(P1546="","",IF(P1546&lt;-0.02,"🔴 Bán phá giá sàn",IF(P1546&gt;0.05,"🔵 Bán cao hơn","🟢 Đúng giá sàn TMĐT")))</f>
        <v/>
      </c>
      <c r="R1546" s="3" t="n"/>
      <c r="S1546" s="4" t="n"/>
      <c r="T1546" s="4" t="n"/>
    </row>
    <row r="1547">
      <c r="A1547" s="3" t="n">
        <v>1546</v>
      </c>
      <c r="B1547" s="3" t="inlineStr">
        <is>
          <t>DL014</t>
        </is>
      </c>
      <c r="C1547" s="4" t="inlineStr">
        <is>
          <t>Điện máy Anh Anh</t>
        </is>
      </c>
      <c r="D1547" s="3" t="inlineStr">
        <is>
          <t>HN</t>
        </is>
      </c>
      <c r="E1547" s="3" t="inlineStr">
        <is>
          <t>ĐIỆP</t>
        </is>
      </c>
      <c r="F1547" s="3" t="inlineStr">
        <is>
          <t>Tiktok</t>
        </is>
      </c>
      <c r="G1547" s="4" t="inlineStr">
        <is>
          <t>SHOPEE: TIKTOK: https://vt.tiktok.com/ZS9UMxDj8orfa-HFRLE/ LAZADA: WEBSITE BÁN HÀNG:</t>
        </is>
      </c>
      <c r="H1547" s="3" t="inlineStr">
        <is>
          <t>X1-150x40T</t>
        </is>
      </c>
      <c r="I1547" s="4" t="inlineStr">
        <is>
          <t>Lưỡi cưa Kingblue X1-150x40T (Cưa gỗ)-NEW</t>
        </is>
      </c>
      <c r="J1547" s="3" t="inlineStr">
        <is>
          <t>Cái</t>
        </is>
      </c>
      <c r="K1547" s="5" t="n">
        <v>135000</v>
      </c>
      <c r="L1547" s="5" t="n">
        <v>159000</v>
      </c>
      <c r="M1547" s="6" t="n">
        <v>196000</v>
      </c>
      <c r="N1547" s="5" t="n"/>
      <c r="O1547" s="5">
        <f>IF(AND(ISNUMBER(N1547),ISNUMBER(M1547)),N1547-M1547,"")</f>
        <v/>
      </c>
      <c r="P1547" s="7">
        <f>IF(AND(ISNUMBER(N1547),ISNUMBER(M1547),M1547&gt;0),(N1547-M1547)/M1547,"")</f>
        <v/>
      </c>
      <c r="Q1547" s="3">
        <f>IF(P1547="","",IF(P1547&lt;-0.02,"🔴 Bán phá giá sàn",IF(P1547&gt;0.05,"🔵 Bán cao hơn","🟢 Đúng giá sàn TMĐT")))</f>
        <v/>
      </c>
      <c r="R1547" s="3" t="n"/>
      <c r="S1547" s="4" t="n"/>
      <c r="T1547" s="4" t="n"/>
    </row>
    <row r="1548">
      <c r="A1548" s="3" t="n">
        <v>1547</v>
      </c>
      <c r="B1548" s="3" t="inlineStr">
        <is>
          <t>DL014</t>
        </is>
      </c>
      <c r="C1548" s="4" t="inlineStr">
        <is>
          <t>Điện máy Anh Anh</t>
        </is>
      </c>
      <c r="D1548" s="3" t="inlineStr">
        <is>
          <t>HN</t>
        </is>
      </c>
      <c r="E1548" s="3" t="inlineStr">
        <is>
          <t>ĐIỆP</t>
        </is>
      </c>
      <c r="F1548" s="3" t="inlineStr">
        <is>
          <t>Tiktok</t>
        </is>
      </c>
      <c r="G1548" s="4" t="inlineStr">
        <is>
          <t>SHOPEE: TIKTOK: https://vt.tiktok.com/ZS9UMxDj8orfa-HFRLE/ LAZADA: WEBSITE BÁN HÀNG:</t>
        </is>
      </c>
      <c r="H1548" s="3" t="inlineStr">
        <is>
          <t>X1-180x40T</t>
        </is>
      </c>
      <c r="I1548" s="4" t="inlineStr">
        <is>
          <t>Lưỡi cưa Kingblue X1-180x40T (Cưa gỗ)-NEW</t>
        </is>
      </c>
      <c r="J1548" s="3" t="inlineStr">
        <is>
          <t>Cái</t>
        </is>
      </c>
      <c r="K1548" s="5" t="n">
        <v>190000</v>
      </c>
      <c r="L1548" s="5" t="n">
        <v>224000</v>
      </c>
      <c r="M1548" s="6" t="n">
        <v>276000</v>
      </c>
      <c r="N1548" s="5" t="n"/>
      <c r="O1548" s="5">
        <f>IF(AND(ISNUMBER(N1548),ISNUMBER(M1548)),N1548-M1548,"")</f>
        <v/>
      </c>
      <c r="P1548" s="7">
        <f>IF(AND(ISNUMBER(N1548),ISNUMBER(M1548),M1548&gt;0),(N1548-M1548)/M1548,"")</f>
        <v/>
      </c>
      <c r="Q1548" s="3">
        <f>IF(P1548="","",IF(P1548&lt;-0.02,"🔴 Bán phá giá sàn",IF(P1548&gt;0.05,"🔵 Bán cao hơn","🟢 Đúng giá sàn TMĐT")))</f>
        <v/>
      </c>
      <c r="R1548" s="3" t="n"/>
      <c r="S1548" s="4" t="n"/>
      <c r="T1548" s="4" t="n"/>
    </row>
    <row r="1549">
      <c r="A1549" s="3" t="n">
        <v>1548</v>
      </c>
      <c r="B1549" s="3" t="inlineStr">
        <is>
          <t>DL014</t>
        </is>
      </c>
      <c r="C1549" s="4" t="inlineStr">
        <is>
          <t>Điện máy Anh Anh</t>
        </is>
      </c>
      <c r="D1549" s="3" t="inlineStr">
        <is>
          <t>HN</t>
        </is>
      </c>
      <c r="E1549" s="3" t="inlineStr">
        <is>
          <t>ĐIỆP</t>
        </is>
      </c>
      <c r="F1549" s="3" t="inlineStr">
        <is>
          <t>Tiktok</t>
        </is>
      </c>
      <c r="G1549" s="4" t="inlineStr">
        <is>
          <t>SHOPEE: TIKTOK: https://vt.tiktok.com/ZS9UMxDj8orfa-HFRLE/ LAZADA: WEBSITE BÁN HÀNG:</t>
        </is>
      </c>
      <c r="H1549" s="3" t="inlineStr">
        <is>
          <t>X1-300x40T</t>
        </is>
      </c>
      <c r="I1549" s="4" t="inlineStr">
        <is>
          <t>Lưỡi cưa Kingblue X1-300x40T (Cưa gỗ)-NEW</t>
        </is>
      </c>
      <c r="J1549" s="3" t="inlineStr">
        <is>
          <t>Cái</t>
        </is>
      </c>
      <c r="K1549" s="5" t="n">
        <v>557000</v>
      </c>
      <c r="L1549" s="5" t="n">
        <v>657000</v>
      </c>
      <c r="M1549" s="6" t="n">
        <v>808000</v>
      </c>
      <c r="N1549" s="5" t="n"/>
      <c r="O1549" s="5">
        <f>IF(AND(ISNUMBER(N1549),ISNUMBER(M1549)),N1549-M1549,"")</f>
        <v/>
      </c>
      <c r="P1549" s="7">
        <f>IF(AND(ISNUMBER(N1549),ISNUMBER(M1549),M1549&gt;0),(N1549-M1549)/M1549,"")</f>
        <v/>
      </c>
      <c r="Q1549" s="3">
        <f>IF(P1549="","",IF(P1549&lt;-0.02,"🔴 Bán phá giá sàn",IF(P1549&gt;0.05,"🔵 Bán cao hơn","🟢 Đúng giá sàn TMĐT")))</f>
        <v/>
      </c>
      <c r="R1549" s="3" t="n"/>
      <c r="S1549" s="4" t="n"/>
      <c r="T1549" s="4" t="n"/>
    </row>
    <row r="1550">
      <c r="A1550" s="3" t="n">
        <v>1549</v>
      </c>
      <c r="B1550" s="3" t="inlineStr">
        <is>
          <t>DL014</t>
        </is>
      </c>
      <c r="C1550" s="4" t="inlineStr">
        <is>
          <t>Điện máy Anh Anh</t>
        </is>
      </c>
      <c r="D1550" s="3" t="inlineStr">
        <is>
          <t>HN</t>
        </is>
      </c>
      <c r="E1550" s="3" t="inlineStr">
        <is>
          <t>ĐIỆP</t>
        </is>
      </c>
      <c r="F1550" s="3" t="inlineStr">
        <is>
          <t>Tiktok</t>
        </is>
      </c>
      <c r="G1550" s="4" t="inlineStr">
        <is>
          <t>SHOPEE: TIKTOK: https://vt.tiktok.com/ZS9UMxDj8orfa-HFRLE/ LAZADA: WEBSITE BÁN HÀNG:</t>
        </is>
      </c>
      <c r="H1550" s="3" t="inlineStr">
        <is>
          <t>X1-350x60T</t>
        </is>
      </c>
      <c r="I1550" s="4" t="inlineStr">
        <is>
          <t>Lưỡi cưa KingBlue X1-350x60T (Cưa gỗ)-NEW</t>
        </is>
      </c>
      <c r="J1550" s="3" t="inlineStr">
        <is>
          <t>Cái</t>
        </is>
      </c>
      <c r="K1550" s="5" t="n">
        <v>668000</v>
      </c>
      <c r="L1550" s="5" t="n">
        <v>788000</v>
      </c>
      <c r="M1550" s="6" t="n">
        <v>969000</v>
      </c>
      <c r="N1550" s="5" t="n"/>
      <c r="O1550" s="5">
        <f>IF(AND(ISNUMBER(N1550),ISNUMBER(M1550)),N1550-M1550,"")</f>
        <v/>
      </c>
      <c r="P1550" s="7">
        <f>IF(AND(ISNUMBER(N1550),ISNUMBER(M1550),M1550&gt;0),(N1550-M1550)/M1550,"")</f>
        <v/>
      </c>
      <c r="Q1550" s="3">
        <f>IF(P1550="","",IF(P1550&lt;-0.02,"🔴 Bán phá giá sàn",IF(P1550&gt;0.05,"🔵 Bán cao hơn","🟢 Đúng giá sàn TMĐT")))</f>
        <v/>
      </c>
      <c r="R1550" s="3" t="n"/>
      <c r="S1550" s="4" t="n"/>
      <c r="T1550" s="4" t="n"/>
    </row>
    <row r="1551">
      <c r="A1551" s="3" t="n">
        <v>1550</v>
      </c>
      <c r="B1551" s="3" t="inlineStr">
        <is>
          <t>DL014</t>
        </is>
      </c>
      <c r="C1551" s="4" t="inlineStr">
        <is>
          <t>Điện máy Anh Anh</t>
        </is>
      </c>
      <c r="D1551" s="3" t="inlineStr">
        <is>
          <t>HN</t>
        </is>
      </c>
      <c r="E1551" s="3" t="inlineStr">
        <is>
          <t>ĐIỆP</t>
        </is>
      </c>
      <c r="F1551" s="3" t="inlineStr">
        <is>
          <t>Tiktok</t>
        </is>
      </c>
      <c r="G1551" s="4" t="inlineStr">
        <is>
          <t>SHOPEE: TIKTOK: https://vt.tiktok.com/ZS9UMxDj8orfa-HFRLE/ LAZADA: WEBSITE BÁN HÀNG:</t>
        </is>
      </c>
      <c r="H1551" s="3" t="inlineStr">
        <is>
          <t>XS-125x40T</t>
        </is>
      </c>
      <c r="I1551" s="4" t="inlineStr">
        <is>
          <t>Lưỡi cưa Kingblue XS-125x40T (Cưa gỗ)</t>
        </is>
      </c>
      <c r="J1551" s="3" t="inlineStr">
        <is>
          <t>Cái</t>
        </is>
      </c>
      <c r="K1551" s="5" t="n">
        <v>77000</v>
      </c>
      <c r="L1551" s="5" t="n">
        <v>91000</v>
      </c>
      <c r="M1551" s="6" t="n">
        <v>112000</v>
      </c>
      <c r="N1551" s="5" t="n"/>
      <c r="O1551" s="5">
        <f>IF(AND(ISNUMBER(N1551),ISNUMBER(M1551)),N1551-M1551,"")</f>
        <v/>
      </c>
      <c r="P1551" s="7">
        <f>IF(AND(ISNUMBER(N1551),ISNUMBER(M1551),M1551&gt;0),(N1551-M1551)/M1551,"")</f>
        <v/>
      </c>
      <c r="Q1551" s="3">
        <f>IF(P1551="","",IF(P1551&lt;-0.02,"🔴 Bán phá giá sàn",IF(P1551&gt;0.05,"🔵 Bán cao hơn","🟢 Đúng giá sàn TMĐT")))</f>
        <v/>
      </c>
      <c r="R1551" s="3" t="n"/>
      <c r="S1551" s="4" t="n"/>
      <c r="T1551" s="4" t="n"/>
    </row>
    <row r="1552">
      <c r="A1552" s="3" t="n">
        <v>1551</v>
      </c>
      <c r="B1552" s="3" t="inlineStr">
        <is>
          <t>DL014</t>
        </is>
      </c>
      <c r="C1552" s="4" t="inlineStr">
        <is>
          <t>Điện máy Anh Anh</t>
        </is>
      </c>
      <c r="D1552" s="3" t="inlineStr">
        <is>
          <t>HN</t>
        </is>
      </c>
      <c r="E1552" s="3" t="inlineStr">
        <is>
          <t>ĐIỆP</t>
        </is>
      </c>
      <c r="F1552" s="3" t="inlineStr">
        <is>
          <t>Tiktok</t>
        </is>
      </c>
      <c r="G1552" s="4" t="inlineStr">
        <is>
          <t>SHOPEE: TIKTOK: https://vt.tiktok.com/ZS9UMxDj8orfa-HFRLE/ LAZADA: WEBSITE BÁN HÀNG:</t>
        </is>
      </c>
      <c r="H1552" s="3" t="inlineStr">
        <is>
          <t>Y1-305x120T</t>
        </is>
      </c>
      <c r="I1552" s="4" t="inlineStr">
        <is>
          <t>Lưỡi cưa KingBlue Y1-305x120T (Cưa nhôm)-NEW</t>
        </is>
      </c>
      <c r="J1552" s="3" t="inlineStr">
        <is>
          <t>Cái</t>
        </is>
      </c>
      <c r="K1552" s="5" t="n">
        <v>1080000</v>
      </c>
      <c r="L1552" s="5" t="n">
        <v>1274000</v>
      </c>
      <c r="M1552" s="6" t="n">
        <v>1566000</v>
      </c>
      <c r="N1552" s="5" t="n"/>
      <c r="O1552" s="5">
        <f>IF(AND(ISNUMBER(N1552),ISNUMBER(M1552)),N1552-M1552,"")</f>
        <v/>
      </c>
      <c r="P1552" s="7">
        <f>IF(AND(ISNUMBER(N1552),ISNUMBER(M1552),M1552&gt;0),(N1552-M1552)/M1552,"")</f>
        <v/>
      </c>
      <c r="Q1552" s="3">
        <f>IF(P1552="","",IF(P1552&lt;-0.02,"🔴 Bán phá giá sàn",IF(P1552&gt;0.05,"🔵 Bán cao hơn","🟢 Đúng giá sàn TMĐT")))</f>
        <v/>
      </c>
      <c r="R1552" s="3" t="n"/>
      <c r="S1552" s="4" t="n"/>
      <c r="T1552" s="4" t="n"/>
    </row>
    <row r="1553">
      <c r="A1553" s="3" t="n">
        <v>1552</v>
      </c>
      <c r="B1553" s="3" t="inlineStr">
        <is>
          <t>DL014</t>
        </is>
      </c>
      <c r="C1553" s="4" t="inlineStr">
        <is>
          <t>Điện máy Anh Anh</t>
        </is>
      </c>
      <c r="D1553" s="3" t="inlineStr">
        <is>
          <t>HN</t>
        </is>
      </c>
      <c r="E1553" s="3" t="inlineStr">
        <is>
          <t>ĐIỆP</t>
        </is>
      </c>
      <c r="F1553" s="3" t="inlineStr">
        <is>
          <t>Tiktok</t>
        </is>
      </c>
      <c r="G1553" s="4" t="inlineStr">
        <is>
          <t>SHOPEE: TIKTOK: https://vt.tiktok.com/ZS9UMxDj8orfa-HFRLE/ LAZADA: WEBSITE BÁN HÀNG:</t>
        </is>
      </c>
      <c r="H1553" s="3" t="inlineStr">
        <is>
          <t>K18VFS</t>
        </is>
      </c>
      <c r="I1553" s="4" t="inlineStr">
        <is>
          <t>Máy Bắn Vít 18V K18VFS</t>
        </is>
      </c>
      <c r="J1553" s="3" t="inlineStr">
        <is>
          <t>Cái</t>
        </is>
      </c>
      <c r="K1553" s="5" t="n">
        <v>1540000</v>
      </c>
      <c r="L1553" s="5" t="n">
        <v>1690000</v>
      </c>
      <c r="M1553" s="6" t="n">
        <v>1930000</v>
      </c>
      <c r="N1553" s="5" t="n"/>
      <c r="O1553" s="5">
        <f>IF(AND(ISNUMBER(N1553),ISNUMBER(M1553)),N1553-M1553,"")</f>
        <v/>
      </c>
      <c r="P1553" s="7">
        <f>IF(AND(ISNUMBER(N1553),ISNUMBER(M1553),M1553&gt;0),(N1553-M1553)/M1553,"")</f>
        <v/>
      </c>
      <c r="Q1553" s="3">
        <f>IF(P1553="","",IF(P1553&lt;-0.02,"🔴 Bán phá giá sàn",IF(P1553&gt;0.05,"🔵 Bán cao hơn","🟢 Đúng giá sàn TMĐT")))</f>
        <v/>
      </c>
      <c r="R1553" s="3" t="n"/>
      <c r="S1553" s="4" t="n"/>
      <c r="T1553" s="4" t="n"/>
    </row>
    <row r="1554">
      <c r="A1554" s="3" t="n">
        <v>1553</v>
      </c>
      <c r="B1554" s="3" t="inlineStr">
        <is>
          <t>DL014</t>
        </is>
      </c>
      <c r="C1554" s="4" t="inlineStr">
        <is>
          <t>Điện máy Anh Anh</t>
        </is>
      </c>
      <c r="D1554" s="3" t="inlineStr">
        <is>
          <t>HN</t>
        </is>
      </c>
      <c r="E1554" s="3" t="inlineStr">
        <is>
          <t>ĐIỆP</t>
        </is>
      </c>
      <c r="F1554" s="3" t="inlineStr">
        <is>
          <t>Tiktok</t>
        </is>
      </c>
      <c r="G1554" s="4" t="inlineStr">
        <is>
          <t>SHOPEE: TIKTOK: https://vt.tiktok.com/ZS9UMxDj8orfa-HFRLE/ LAZADA: WEBSITE BÁN HÀNG:</t>
        </is>
      </c>
      <c r="H1554" s="3" t="inlineStr">
        <is>
          <t>KM18VF</t>
        </is>
      </c>
      <c r="I1554" s="4" t="inlineStr">
        <is>
          <t>Máy Bắn Vít 18V KM18VF</t>
        </is>
      </c>
      <c r="J1554" s="3" t="inlineStr">
        <is>
          <t>Cái</t>
        </is>
      </c>
      <c r="K1554" s="5" t="n">
        <v>1450000</v>
      </c>
      <c r="L1554" s="5" t="n">
        <v>1600000</v>
      </c>
      <c r="M1554" s="6" t="n">
        <v>1820000</v>
      </c>
      <c r="N1554" s="5" t="n"/>
      <c r="O1554" s="5">
        <f>IF(AND(ISNUMBER(N1554),ISNUMBER(M1554)),N1554-M1554,"")</f>
        <v/>
      </c>
      <c r="P1554" s="7">
        <f>IF(AND(ISNUMBER(N1554),ISNUMBER(M1554),M1554&gt;0),(N1554-M1554)/M1554,"")</f>
        <v/>
      </c>
      <c r="Q1554" s="3">
        <f>IF(P1554="","",IF(P1554&lt;-0.02,"🔴 Bán phá giá sàn",IF(P1554&gt;0.05,"🔵 Bán cao hơn","🟢 Đúng giá sàn TMĐT")))</f>
        <v/>
      </c>
      <c r="R1554" s="3" t="n"/>
      <c r="S1554" s="4" t="n"/>
      <c r="T1554" s="4" t="n"/>
    </row>
    <row r="1555">
      <c r="A1555" s="3" t="n">
        <v>1554</v>
      </c>
      <c r="B1555" s="3" t="inlineStr">
        <is>
          <t>DL014</t>
        </is>
      </c>
      <c r="C1555" s="4" t="inlineStr">
        <is>
          <t>Điện máy Anh Anh</t>
        </is>
      </c>
      <c r="D1555" s="3" t="inlineStr">
        <is>
          <t>HN</t>
        </is>
      </c>
      <c r="E1555" s="3" t="inlineStr">
        <is>
          <t>ĐIỆP</t>
        </is>
      </c>
      <c r="F1555" s="3" t="inlineStr">
        <is>
          <t>Tiktok</t>
        </is>
      </c>
      <c r="G1555" s="4" t="inlineStr">
        <is>
          <t>SHOPEE: TIKTOK: https://vt.tiktok.com/ZS9UMxDj8orfa-HFRLE/ LAZADA: WEBSITE BÁN HÀNG:</t>
        </is>
      </c>
      <c r="H1555" s="3" t="inlineStr">
        <is>
          <t>KB-12XV</t>
        </is>
      </c>
      <c r="I1555" s="4" t="inlineStr">
        <is>
          <t>Máy cân bằng 12 tia KB-12XV</t>
        </is>
      </c>
      <c r="J1555" s="3" t="inlineStr">
        <is>
          <t>Cái</t>
        </is>
      </c>
      <c r="K1555" s="5" t="n">
        <v>2300000</v>
      </c>
      <c r="L1555" s="5" t="n">
        <v>2580000</v>
      </c>
      <c r="M1555" s="6" t="n">
        <v>2990000</v>
      </c>
      <c r="N1555" s="5" t="n"/>
      <c r="O1555" s="5">
        <f>IF(AND(ISNUMBER(N1555),ISNUMBER(M1555)),N1555-M1555,"")</f>
        <v/>
      </c>
      <c r="P1555" s="7">
        <f>IF(AND(ISNUMBER(N1555),ISNUMBER(M1555),M1555&gt;0),(N1555-M1555)/M1555,"")</f>
        <v/>
      </c>
      <c r="Q1555" s="3">
        <f>IF(P1555="","",IF(P1555&lt;-0.02,"🔴 Bán phá giá sàn",IF(P1555&gt;0.05,"🔵 Bán cao hơn","🟢 Đúng giá sàn TMĐT")))</f>
        <v/>
      </c>
      <c r="R1555" s="3" t="n"/>
      <c r="S1555" s="4" t="n"/>
      <c r="T1555" s="4" t="n"/>
    </row>
    <row r="1556">
      <c r="A1556" s="3" t="n">
        <v>1555</v>
      </c>
      <c r="B1556" s="3" t="inlineStr">
        <is>
          <t>DL014</t>
        </is>
      </c>
      <c r="C1556" s="4" t="inlineStr">
        <is>
          <t>Điện máy Anh Anh</t>
        </is>
      </c>
      <c r="D1556" s="3" t="inlineStr">
        <is>
          <t>HN</t>
        </is>
      </c>
      <c r="E1556" s="3" t="inlineStr">
        <is>
          <t>ĐIỆP</t>
        </is>
      </c>
      <c r="F1556" s="3" t="inlineStr">
        <is>
          <t>Tiktok</t>
        </is>
      </c>
      <c r="G1556" s="4" t="inlineStr">
        <is>
          <t>SHOPEE: TIKTOK: https://vt.tiktok.com/ZS9UMxDj8orfa-HFRLE/ LAZADA: WEBSITE BÁN HÀNG:</t>
        </is>
      </c>
      <c r="H1556" s="3" t="inlineStr">
        <is>
          <t>KB-02XS</t>
        </is>
      </c>
      <c r="I1556" s="4" t="inlineStr">
        <is>
          <t>Máy cân bằng KB-02XS</t>
        </is>
      </c>
      <c r="J1556" s="3" t="inlineStr">
        <is>
          <t>Cái</t>
        </is>
      </c>
      <c r="K1556" s="5" t="n">
        <v>269000</v>
      </c>
      <c r="L1556" s="5" t="n">
        <v>317000</v>
      </c>
      <c r="M1556" s="6" t="n">
        <v>390000</v>
      </c>
      <c r="N1556" s="5" t="n"/>
      <c r="O1556" s="5">
        <f>IF(AND(ISNUMBER(N1556),ISNUMBER(M1556)),N1556-M1556,"")</f>
        <v/>
      </c>
      <c r="P1556" s="7">
        <f>IF(AND(ISNUMBER(N1556),ISNUMBER(M1556),M1556&gt;0),(N1556-M1556)/M1556,"")</f>
        <v/>
      </c>
      <c r="Q1556" s="3">
        <f>IF(P1556="","",IF(P1556&lt;-0.02,"🔴 Bán phá giá sàn",IF(P1556&gt;0.05,"🔵 Bán cao hơn","🟢 Đúng giá sàn TMĐT")))</f>
        <v/>
      </c>
      <c r="R1556" s="3" t="n"/>
      <c r="S1556" s="4" t="n"/>
      <c r="T1556" s="4" t="n"/>
    </row>
    <row r="1557">
      <c r="A1557" s="3" t="n">
        <v>1556</v>
      </c>
      <c r="B1557" s="3" t="inlineStr">
        <is>
          <t>DL014</t>
        </is>
      </c>
      <c r="C1557" s="4" t="inlineStr">
        <is>
          <t>Điện máy Anh Anh</t>
        </is>
      </c>
      <c r="D1557" s="3" t="inlineStr">
        <is>
          <t>HN</t>
        </is>
      </c>
      <c r="E1557" s="3" t="inlineStr">
        <is>
          <t>ĐIỆP</t>
        </is>
      </c>
      <c r="F1557" s="3" t="inlineStr">
        <is>
          <t>Tiktok</t>
        </is>
      </c>
      <c r="G1557" s="4" t="inlineStr">
        <is>
          <t>SHOPEE: TIKTOK: https://vt.tiktok.com/ZS9UMxDj8orfa-HFRLE/ LAZADA: WEBSITE BÁN HÀNG:</t>
        </is>
      </c>
      <c r="H1557" s="3" t="inlineStr">
        <is>
          <t>KB-05X</t>
        </is>
      </c>
      <c r="I1557" s="4" t="inlineStr">
        <is>
          <t>Máy cân bằng KB-05X (NEW)</t>
        </is>
      </c>
      <c r="J1557" s="3" t="inlineStr">
        <is>
          <t>Cái</t>
        </is>
      </c>
      <c r="K1557" s="5" t="n">
        <v>1350000</v>
      </c>
      <c r="L1557" s="5" t="n">
        <v>1510000</v>
      </c>
      <c r="M1557" s="6" t="n">
        <v>1760000</v>
      </c>
      <c r="N1557" s="5" t="n"/>
      <c r="O1557" s="5">
        <f>IF(AND(ISNUMBER(N1557),ISNUMBER(M1557)),N1557-M1557,"")</f>
        <v/>
      </c>
      <c r="P1557" s="7">
        <f>IF(AND(ISNUMBER(N1557),ISNUMBER(M1557),M1557&gt;0),(N1557-M1557)/M1557,"")</f>
        <v/>
      </c>
      <c r="Q1557" s="3">
        <f>IF(P1557="","",IF(P1557&lt;-0.02,"🔴 Bán phá giá sàn",IF(P1557&gt;0.05,"🔵 Bán cao hơn","🟢 Đúng giá sàn TMĐT")))</f>
        <v/>
      </c>
      <c r="R1557" s="3" t="n"/>
      <c r="S1557" s="4" t="n"/>
      <c r="T1557" s="4" t="n"/>
    </row>
    <row r="1558">
      <c r="A1558" s="3" t="n">
        <v>1557</v>
      </c>
      <c r="B1558" s="3" t="inlineStr">
        <is>
          <t>DL014</t>
        </is>
      </c>
      <c r="C1558" s="4" t="inlineStr">
        <is>
          <t>Điện máy Anh Anh</t>
        </is>
      </c>
      <c r="D1558" s="3" t="inlineStr">
        <is>
          <t>HN</t>
        </is>
      </c>
      <c r="E1558" s="3" t="inlineStr">
        <is>
          <t>ĐIỆP</t>
        </is>
      </c>
      <c r="F1558" s="3" t="inlineStr">
        <is>
          <t>Tiktok</t>
        </is>
      </c>
      <c r="G1558" s="4" t="inlineStr">
        <is>
          <t>SHOPEE: TIKTOK: https://vt.tiktok.com/ZS9UMxDj8orfa-HFRLE/ LAZADA: WEBSITE BÁN HÀNG:</t>
        </is>
      </c>
      <c r="H1558" s="3" t="inlineStr">
        <is>
          <t>KB-05XS</t>
        </is>
      </c>
      <c r="I1558" s="4" t="inlineStr">
        <is>
          <t>Máy cân bằng KB-05XS</t>
        </is>
      </c>
      <c r="J1558" s="3" t="inlineStr">
        <is>
          <t>Cái</t>
        </is>
      </c>
      <c r="K1558" s="5" t="n">
        <v>2090000</v>
      </c>
      <c r="L1558" s="5" t="n">
        <v>2340000</v>
      </c>
      <c r="M1558" s="6" t="n">
        <v>2720000</v>
      </c>
      <c r="N1558" s="5" t="n"/>
      <c r="O1558" s="5">
        <f>IF(AND(ISNUMBER(N1558),ISNUMBER(M1558)),N1558-M1558,"")</f>
        <v/>
      </c>
      <c r="P1558" s="7">
        <f>IF(AND(ISNUMBER(N1558),ISNUMBER(M1558),M1558&gt;0),(N1558-M1558)/M1558,"")</f>
        <v/>
      </c>
      <c r="Q1558" s="3">
        <f>IF(P1558="","",IF(P1558&lt;-0.02,"🔴 Bán phá giá sàn",IF(P1558&gt;0.05,"🔵 Bán cao hơn","🟢 Đúng giá sàn TMĐT")))</f>
        <v/>
      </c>
      <c r="R1558" s="3" t="n"/>
      <c r="S1558" s="4" t="n"/>
      <c r="T1558" s="4" t="n"/>
    </row>
    <row r="1559">
      <c r="A1559" s="3" t="n">
        <v>1558</v>
      </c>
      <c r="B1559" s="3" t="inlineStr">
        <is>
          <t>DL014</t>
        </is>
      </c>
      <c r="C1559" s="4" t="inlineStr">
        <is>
          <t>Điện máy Anh Anh</t>
        </is>
      </c>
      <c r="D1559" s="3" t="inlineStr">
        <is>
          <t>HN</t>
        </is>
      </c>
      <c r="E1559" s="3" t="inlineStr">
        <is>
          <t>ĐIỆP</t>
        </is>
      </c>
      <c r="F1559" s="3" t="inlineStr">
        <is>
          <t>Tiktok</t>
        </is>
      </c>
      <c r="G1559" s="4" t="inlineStr">
        <is>
          <t>SHOPEE: TIKTOK: https://vt.tiktok.com/ZS9UMxDj8orfa-HFRLE/ LAZADA: WEBSITE BÁN HÀNG:</t>
        </is>
      </c>
      <c r="H1559" s="3" t="inlineStr">
        <is>
          <t>KB-2.5CFM</t>
        </is>
      </c>
      <c r="I1559" s="4" t="inlineStr">
        <is>
          <t>Máy hút chân không dùng pin KingBlue KB-2.5CFM</t>
        </is>
      </c>
      <c r="J1559" s="3" t="inlineStr">
        <is>
          <t>Cái</t>
        </is>
      </c>
      <c r="K1559" s="5" t="n">
        <v>269000</v>
      </c>
      <c r="L1559" s="5" t="n">
        <v>317000</v>
      </c>
      <c r="M1559" s="6" t="n">
        <v>390000</v>
      </c>
      <c r="N1559" s="5" t="n"/>
      <c r="O1559" s="5">
        <f>IF(AND(ISNUMBER(N1559),ISNUMBER(M1559)),N1559-M1559,"")</f>
        <v/>
      </c>
      <c r="P1559" s="7">
        <f>IF(AND(ISNUMBER(N1559),ISNUMBER(M1559),M1559&gt;0),(N1559-M1559)/M1559,"")</f>
        <v/>
      </c>
      <c r="Q1559" s="3">
        <f>IF(P1559="","",IF(P1559&lt;-0.02,"🔴 Bán phá giá sàn",IF(P1559&gt;0.05,"🔵 Bán cao hơn","🟢 Đúng giá sàn TMĐT")))</f>
        <v/>
      </c>
      <c r="R1559" s="3" t="n"/>
      <c r="S1559" s="4" t="n"/>
      <c r="T1559" s="4" t="n"/>
    </row>
    <row r="1560">
      <c r="A1560" s="3" t="n">
        <v>1559</v>
      </c>
      <c r="B1560" s="3" t="inlineStr">
        <is>
          <t>DL014</t>
        </is>
      </c>
      <c r="C1560" s="4" t="inlineStr">
        <is>
          <t>Điện máy Anh Anh</t>
        </is>
      </c>
      <c r="D1560" s="3" t="inlineStr">
        <is>
          <t>HN</t>
        </is>
      </c>
      <c r="E1560" s="3" t="inlineStr">
        <is>
          <t>ĐIỆP</t>
        </is>
      </c>
      <c r="F1560" s="3" t="inlineStr">
        <is>
          <t>Tiktok</t>
        </is>
      </c>
      <c r="G1560" s="4" t="inlineStr">
        <is>
          <t>SHOPEE: TIKTOK: https://vt.tiktok.com/ZS9UMxDj8orfa-HFRLE/ LAZADA: WEBSITE BÁN HÀNG:</t>
        </is>
      </c>
      <c r="H1560" s="3" t="inlineStr">
        <is>
          <t>K18QES</t>
        </is>
      </c>
      <c r="I1560" s="4" t="inlineStr">
        <is>
          <t>Máy Khoan 3 Chức Năng 18V K18QES</t>
        </is>
      </c>
      <c r="J1560" s="3" t="inlineStr">
        <is>
          <t>Cái</t>
        </is>
      </c>
      <c r="K1560" s="5" t="n">
        <v>2380000</v>
      </c>
      <c r="L1560" s="5" t="n">
        <v>2610000</v>
      </c>
      <c r="M1560" s="6" t="n">
        <v>2970000</v>
      </c>
      <c r="N1560" s="5" t="n"/>
      <c r="O1560" s="5">
        <f>IF(AND(ISNUMBER(N1560),ISNUMBER(M1560)),N1560-M1560,"")</f>
        <v/>
      </c>
      <c r="P1560" s="7">
        <f>IF(AND(ISNUMBER(N1560),ISNUMBER(M1560),M1560&gt;0),(N1560-M1560)/M1560,"")</f>
        <v/>
      </c>
      <c r="Q1560" s="3">
        <f>IF(P1560="","",IF(P1560&lt;-0.02,"🔴 Bán phá giá sàn",IF(P1560&gt;0.05,"🔵 Bán cao hơn","🟢 Đúng giá sàn TMĐT")))</f>
        <v/>
      </c>
      <c r="R1560" s="3" t="n"/>
      <c r="S1560" s="4" t="n"/>
      <c r="T1560" s="4" t="n"/>
    </row>
    <row r="1561">
      <c r="A1561" s="3" t="n">
        <v>1560</v>
      </c>
      <c r="B1561" s="3" t="inlineStr">
        <is>
          <t>DL014</t>
        </is>
      </c>
      <c r="C1561" s="4" t="inlineStr">
        <is>
          <t>Điện máy Anh Anh</t>
        </is>
      </c>
      <c r="D1561" s="3" t="inlineStr">
        <is>
          <t>HN</t>
        </is>
      </c>
      <c r="E1561" s="3" t="inlineStr">
        <is>
          <t>ĐIỆP</t>
        </is>
      </c>
      <c r="F1561" s="3" t="inlineStr">
        <is>
          <t>Tiktok</t>
        </is>
      </c>
      <c r="G1561" s="4" t="inlineStr">
        <is>
          <t>SHOPEE: TIKTOK: https://vt.tiktok.com/ZS9UMxDj8orfa-HFRLE/ LAZADA: WEBSITE BÁN HÀNG:</t>
        </is>
      </c>
      <c r="H1561" s="3" t="inlineStr">
        <is>
          <t>KM18QE</t>
        </is>
      </c>
      <c r="I1561" s="4" t="inlineStr">
        <is>
          <t>Máy Khoan 3 chức năng 18V KM18QE</t>
        </is>
      </c>
      <c r="J1561" s="3" t="inlineStr">
        <is>
          <t>Cái</t>
        </is>
      </c>
      <c r="K1561" s="5" t="n">
        <v>2110000</v>
      </c>
      <c r="L1561" s="5" t="n">
        <v>2320000</v>
      </c>
      <c r="M1561" s="6" t="n">
        <v>2640000</v>
      </c>
      <c r="N1561" s="5" t="n"/>
      <c r="O1561" s="5">
        <f>IF(AND(ISNUMBER(N1561),ISNUMBER(M1561)),N1561-M1561,"")</f>
        <v/>
      </c>
      <c r="P1561" s="7">
        <f>IF(AND(ISNUMBER(N1561),ISNUMBER(M1561),M1561&gt;0),(N1561-M1561)/M1561,"")</f>
        <v/>
      </c>
      <c r="Q1561" s="3">
        <f>IF(P1561="","",IF(P1561&lt;-0.02,"🔴 Bán phá giá sàn",IF(P1561&gt;0.05,"🔵 Bán cao hơn","🟢 Đúng giá sàn TMĐT")))</f>
        <v/>
      </c>
      <c r="R1561" s="3" t="n"/>
      <c r="S1561" s="4" t="n"/>
      <c r="T1561" s="4" t="n"/>
    </row>
    <row r="1562">
      <c r="A1562" s="3" t="n">
        <v>1561</v>
      </c>
      <c r="B1562" s="3" t="inlineStr">
        <is>
          <t>DL014</t>
        </is>
      </c>
      <c r="C1562" s="4" t="inlineStr">
        <is>
          <t>Điện máy Anh Anh</t>
        </is>
      </c>
      <c r="D1562" s="3" t="inlineStr">
        <is>
          <t>HN</t>
        </is>
      </c>
      <c r="E1562" s="3" t="inlineStr">
        <is>
          <t>ĐIỆP</t>
        </is>
      </c>
      <c r="F1562" s="3" t="inlineStr">
        <is>
          <t>Tiktok</t>
        </is>
      </c>
      <c r="G1562" s="4" t="inlineStr">
        <is>
          <t>SHOPEE: TIKTOK: https://vt.tiktok.com/ZS9UMxDj8orfa-HFRLE/ LAZADA: WEBSITE BÁN HÀNG:</t>
        </is>
      </c>
      <c r="H1562" s="3" t="inlineStr">
        <is>
          <t>KM18QF</t>
        </is>
      </c>
      <c r="I1562" s="4" t="inlineStr">
        <is>
          <t>Máy Khoan Bê Tông 18V KM18QF</t>
        </is>
      </c>
      <c r="J1562" s="3" t="inlineStr">
        <is>
          <t>Cái</t>
        </is>
      </c>
      <c r="K1562" s="5" t="n">
        <v>2110000</v>
      </c>
      <c r="L1562" s="5" t="n">
        <v>2320000</v>
      </c>
      <c r="M1562" s="6" t="n">
        <v>2640000</v>
      </c>
      <c r="N1562" s="5" t="n"/>
      <c r="O1562" s="5">
        <f>IF(AND(ISNUMBER(N1562),ISNUMBER(M1562)),N1562-M1562,"")</f>
        <v/>
      </c>
      <c r="P1562" s="7">
        <f>IF(AND(ISNUMBER(N1562),ISNUMBER(M1562),M1562&gt;0),(N1562-M1562)/M1562,"")</f>
        <v/>
      </c>
      <c r="Q1562" s="3">
        <f>IF(P1562="","",IF(P1562&lt;-0.02,"🔴 Bán phá giá sàn",IF(P1562&gt;0.05,"🔵 Bán cao hơn","🟢 Đúng giá sàn TMĐT")))</f>
        <v/>
      </c>
      <c r="R1562" s="3" t="n"/>
      <c r="S1562" s="4" t="n"/>
      <c r="T1562" s="4" t="n"/>
    </row>
    <row r="1563">
      <c r="A1563" s="3" t="n">
        <v>1562</v>
      </c>
      <c r="B1563" s="3" t="inlineStr">
        <is>
          <t>DL014</t>
        </is>
      </c>
      <c r="C1563" s="4" t="inlineStr">
        <is>
          <t>Điện máy Anh Anh</t>
        </is>
      </c>
      <c r="D1563" s="3" t="inlineStr">
        <is>
          <t>HN</t>
        </is>
      </c>
      <c r="E1563" s="3" t="inlineStr">
        <is>
          <t>ĐIỆP</t>
        </is>
      </c>
      <c r="F1563" s="3" t="inlineStr">
        <is>
          <t>Tiktok</t>
        </is>
      </c>
      <c r="G1563" s="4" t="inlineStr">
        <is>
          <t>SHOPEE: TIKTOK: https://vt.tiktok.com/ZS9UMxDj8orfa-HFRLE/ LAZADA: WEBSITE BÁN HÀNG:</t>
        </is>
      </c>
      <c r="H1563" s="3" t="inlineStr">
        <is>
          <t>KBA-U1200</t>
        </is>
      </c>
      <c r="I1563" s="4" t="inlineStr">
        <is>
          <t>Máy rửa xe KBA-U1200</t>
        </is>
      </c>
      <c r="J1563" s="3" t="inlineStr">
        <is>
          <t>Cái</t>
        </is>
      </c>
      <c r="K1563" s="5" t="n">
        <v>1100000</v>
      </c>
      <c r="L1563" s="5" t="n">
        <v>1230000</v>
      </c>
      <c r="M1563" s="6" t="n">
        <v>1430000</v>
      </c>
      <c r="N1563" s="5" t="n"/>
      <c r="O1563" s="5">
        <f>IF(AND(ISNUMBER(N1563),ISNUMBER(M1563)),N1563-M1563,"")</f>
        <v/>
      </c>
      <c r="P1563" s="7">
        <f>IF(AND(ISNUMBER(N1563),ISNUMBER(M1563),M1563&gt;0),(N1563-M1563)/M1563,"")</f>
        <v/>
      </c>
      <c r="Q1563" s="3">
        <f>IF(P1563="","",IF(P1563&lt;-0.02,"🔴 Bán phá giá sàn",IF(P1563&gt;0.05,"🔵 Bán cao hơn","🟢 Đúng giá sàn TMĐT")))</f>
        <v/>
      </c>
      <c r="R1563" s="3" t="n"/>
      <c r="S1563" s="4" t="n"/>
      <c r="T1563" s="4" t="n"/>
    </row>
    <row r="1564">
      <c r="A1564" s="3" t="n">
        <v>1563</v>
      </c>
      <c r="B1564" s="3" t="inlineStr">
        <is>
          <t>DL014</t>
        </is>
      </c>
      <c r="C1564" s="4" t="inlineStr">
        <is>
          <t>Điện máy Anh Anh</t>
        </is>
      </c>
      <c r="D1564" s="3" t="inlineStr">
        <is>
          <t>HN</t>
        </is>
      </c>
      <c r="E1564" s="3" t="inlineStr">
        <is>
          <t>ĐIỆP</t>
        </is>
      </c>
      <c r="F1564" s="3" t="inlineStr">
        <is>
          <t>Tiktok</t>
        </is>
      </c>
      <c r="G1564" s="4" t="inlineStr">
        <is>
          <t>SHOPEE: TIKTOK: https://vt.tiktok.com/ZS9UMxDj8orfa-HFRLE/ LAZADA: WEBSITE BÁN HÀNG:</t>
        </is>
      </c>
      <c r="H1564" s="3" t="inlineStr">
        <is>
          <t>KBC-I1800</t>
        </is>
      </c>
      <c r="I1564" s="4" t="inlineStr">
        <is>
          <t>Máy rửa xe KBC-I1800</t>
        </is>
      </c>
      <c r="J1564" s="3" t="inlineStr">
        <is>
          <t>Cái</t>
        </is>
      </c>
      <c r="K1564" s="5" t="n">
        <v>3120000</v>
      </c>
      <c r="L1564" s="5" t="n">
        <v>3490000</v>
      </c>
      <c r="M1564" s="6" t="n">
        <v>4060000</v>
      </c>
      <c r="N1564" s="5" t="n"/>
      <c r="O1564" s="5">
        <f>IF(AND(ISNUMBER(N1564),ISNUMBER(M1564)),N1564-M1564,"")</f>
        <v/>
      </c>
      <c r="P1564" s="7">
        <f>IF(AND(ISNUMBER(N1564),ISNUMBER(M1564),M1564&gt;0),(N1564-M1564)/M1564,"")</f>
        <v/>
      </c>
      <c r="Q1564" s="3">
        <f>IF(P1564="","",IF(P1564&lt;-0.02,"🔴 Bán phá giá sàn",IF(P1564&gt;0.05,"🔵 Bán cao hơn","🟢 Đúng giá sàn TMĐT")))</f>
        <v/>
      </c>
      <c r="R1564" s="3" t="n"/>
      <c r="S1564" s="4" t="n"/>
      <c r="T1564" s="4" t="n"/>
    </row>
    <row r="1565">
      <c r="A1565" s="3" t="n">
        <v>1564</v>
      </c>
      <c r="B1565" s="3" t="inlineStr">
        <is>
          <t>DL014</t>
        </is>
      </c>
      <c r="C1565" s="4" t="inlineStr">
        <is>
          <t>Điện máy Anh Anh</t>
        </is>
      </c>
      <c r="D1565" s="3" t="inlineStr">
        <is>
          <t>HN</t>
        </is>
      </c>
      <c r="E1565" s="3" t="inlineStr">
        <is>
          <t>ĐIỆP</t>
        </is>
      </c>
      <c r="F1565" s="3" t="inlineStr">
        <is>
          <t>Tiktok</t>
        </is>
      </c>
      <c r="G1565" s="4" t="inlineStr">
        <is>
          <t>SHOPEE: TIKTOK: https://vt.tiktok.com/ZS9UMxDj8orfa-HFRLE/ LAZADA: WEBSITE BÁN HÀNG:</t>
        </is>
      </c>
      <c r="H1565" s="3" t="inlineStr">
        <is>
          <t>KM18-HR1</t>
        </is>
      </c>
      <c r="I1565" s="4" t="inlineStr">
        <is>
          <t>Máy rung ốp lát gạch KM18-HR1</t>
        </is>
      </c>
      <c r="J1565" s="3" t="inlineStr">
        <is>
          <t>Cái</t>
        </is>
      </c>
      <c r="K1565" s="5" t="n">
        <v>269000</v>
      </c>
      <c r="L1565" s="5" t="n">
        <v>317000</v>
      </c>
      <c r="M1565" s="6" t="n">
        <v>390000</v>
      </c>
      <c r="N1565" s="5" t="n"/>
      <c r="O1565" s="5">
        <f>IF(AND(ISNUMBER(N1565),ISNUMBER(M1565)),N1565-M1565,"")</f>
        <v/>
      </c>
      <c r="P1565" s="7">
        <f>IF(AND(ISNUMBER(N1565),ISNUMBER(M1565),M1565&gt;0),(N1565-M1565)/M1565,"")</f>
        <v/>
      </c>
      <c r="Q1565" s="3">
        <f>IF(P1565="","",IF(P1565&lt;-0.02,"🔴 Bán phá giá sàn",IF(P1565&gt;0.05,"🔵 Bán cao hơn","🟢 Đúng giá sàn TMĐT")))</f>
        <v/>
      </c>
      <c r="R1565" s="3" t="n"/>
      <c r="S1565" s="4" t="n"/>
      <c r="T1565" s="4" t="n"/>
    </row>
    <row r="1566">
      <c r="A1566" s="3" t="n">
        <v>1565</v>
      </c>
      <c r="B1566" s="3" t="inlineStr">
        <is>
          <t>DL014</t>
        </is>
      </c>
      <c r="C1566" s="4" t="inlineStr">
        <is>
          <t>Điện máy Anh Anh</t>
        </is>
      </c>
      <c r="D1566" s="3" t="inlineStr">
        <is>
          <t>HN</t>
        </is>
      </c>
      <c r="E1566" s="3" t="inlineStr">
        <is>
          <t>ĐIỆP</t>
        </is>
      </c>
      <c r="F1566" s="3" t="inlineStr">
        <is>
          <t>Tiktok</t>
        </is>
      </c>
      <c r="G1566" s="4" t="inlineStr">
        <is>
          <t>SHOPEE: TIKTOK: https://vt.tiktok.com/ZS9UMxDj8orfa-HFRLE/ LAZADA: WEBSITE BÁN HÀNG:</t>
        </is>
      </c>
      <c r="H1566" s="3" t="inlineStr">
        <is>
          <t>K18SVS</t>
        </is>
      </c>
      <c r="I1566" s="4" t="inlineStr">
        <is>
          <t>Máy siết Bulon 18V 2in1 K18SVS</t>
        </is>
      </c>
      <c r="J1566" s="3" t="inlineStr">
        <is>
          <t>Cái</t>
        </is>
      </c>
      <c r="K1566" s="5" t="n">
        <v>1630000</v>
      </c>
      <c r="L1566" s="5" t="n">
        <v>1790000</v>
      </c>
      <c r="M1566" s="6" t="n">
        <v>2040000</v>
      </c>
      <c r="N1566" s="5" t="n"/>
      <c r="O1566" s="5">
        <f>IF(AND(ISNUMBER(N1566),ISNUMBER(M1566)),N1566-M1566,"")</f>
        <v/>
      </c>
      <c r="P1566" s="7">
        <f>IF(AND(ISNUMBER(N1566),ISNUMBER(M1566),M1566&gt;0),(N1566-M1566)/M1566,"")</f>
        <v/>
      </c>
      <c r="Q1566" s="3">
        <f>IF(P1566="","",IF(P1566&lt;-0.02,"🔴 Bán phá giá sàn",IF(P1566&gt;0.05,"🔵 Bán cao hơn","🟢 Đúng giá sàn TMĐT")))</f>
        <v/>
      </c>
      <c r="R1566" s="3" t="n"/>
      <c r="S1566" s="4" t="n"/>
      <c r="T1566" s="4" t="n"/>
    </row>
    <row r="1567">
      <c r="A1567" s="3" t="n">
        <v>1566</v>
      </c>
      <c r="B1567" s="3" t="inlineStr">
        <is>
          <t>DL014</t>
        </is>
      </c>
      <c r="C1567" s="4" t="inlineStr">
        <is>
          <t>Điện máy Anh Anh</t>
        </is>
      </c>
      <c r="D1567" s="3" t="inlineStr">
        <is>
          <t>HN</t>
        </is>
      </c>
      <c r="E1567" s="3" t="inlineStr">
        <is>
          <t>ĐIỆP</t>
        </is>
      </c>
      <c r="F1567" s="3" t="inlineStr">
        <is>
          <t>Tiktok</t>
        </is>
      </c>
      <c r="G1567" s="4" t="inlineStr">
        <is>
          <t>SHOPEE: TIKTOK: https://vt.tiktok.com/ZS9UMxDj8orfa-HFRLE/ LAZADA: WEBSITE BÁN HÀNG:</t>
        </is>
      </c>
      <c r="H1567" s="3" t="inlineStr">
        <is>
          <t>KM18SF</t>
        </is>
      </c>
      <c r="I1567" s="4" t="inlineStr">
        <is>
          <t>Máy Siết Bulon 18V KM18SF</t>
        </is>
      </c>
      <c r="J1567" s="3" t="inlineStr">
        <is>
          <t>Cái</t>
        </is>
      </c>
      <c r="K1567" s="5" t="n">
        <v>2620000</v>
      </c>
      <c r="L1567" s="5" t="n">
        <v>2880000</v>
      </c>
      <c r="M1567" s="6" t="n">
        <v>3270000</v>
      </c>
      <c r="N1567" s="5" t="n"/>
      <c r="O1567" s="5">
        <f>IF(AND(ISNUMBER(N1567),ISNUMBER(M1567)),N1567-M1567,"")</f>
        <v/>
      </c>
      <c r="P1567" s="7">
        <f>IF(AND(ISNUMBER(N1567),ISNUMBER(M1567),M1567&gt;0),(N1567-M1567)/M1567,"")</f>
        <v/>
      </c>
      <c r="Q1567" s="3">
        <f>IF(P1567="","",IF(P1567&lt;-0.02,"🔴 Bán phá giá sàn",IF(P1567&gt;0.05,"🔵 Bán cao hơn","🟢 Đúng giá sàn TMĐT")))</f>
        <v/>
      </c>
      <c r="R1567" s="3" t="n"/>
      <c r="S1567" s="4" t="n"/>
      <c r="T1567" s="4" t="n"/>
    </row>
    <row r="1568">
      <c r="A1568" s="3" t="n">
        <v>1567</v>
      </c>
      <c r="B1568" s="3" t="inlineStr">
        <is>
          <t>DL014</t>
        </is>
      </c>
      <c r="C1568" s="4" t="inlineStr">
        <is>
          <t>Điện máy Anh Anh</t>
        </is>
      </c>
      <c r="D1568" s="3" t="inlineStr">
        <is>
          <t>HN</t>
        </is>
      </c>
      <c r="E1568" s="3" t="inlineStr">
        <is>
          <t>ĐIỆP</t>
        </is>
      </c>
      <c r="F1568" s="3" t="inlineStr">
        <is>
          <t>Tiktok</t>
        </is>
      </c>
      <c r="G1568" s="4" t="inlineStr">
        <is>
          <t>SHOPEE: TIKTOK: https://vt.tiktok.com/ZS9UMxDj8orfa-HFRLE/ LAZADA: WEBSITE BÁN HÀNG:</t>
        </is>
      </c>
      <c r="H1568" s="3" t="inlineStr">
        <is>
          <t>KM18SV</t>
        </is>
      </c>
      <c r="I1568" s="4" t="inlineStr">
        <is>
          <t>Máy Siết bulon 2in1 18V KM18SV</t>
        </is>
      </c>
      <c r="J1568" s="3" t="inlineStr">
        <is>
          <t>Cái</t>
        </is>
      </c>
      <c r="K1568" s="5" t="n">
        <v>1560000</v>
      </c>
      <c r="L1568" s="5" t="n">
        <v>1720000</v>
      </c>
      <c r="M1568" s="6" t="n">
        <v>1950000</v>
      </c>
      <c r="N1568" s="5" t="n"/>
      <c r="O1568" s="5">
        <f>IF(AND(ISNUMBER(N1568),ISNUMBER(M1568)),N1568-M1568,"")</f>
        <v/>
      </c>
      <c r="P1568" s="7">
        <f>IF(AND(ISNUMBER(N1568),ISNUMBER(M1568),M1568&gt;0),(N1568-M1568)/M1568,"")</f>
        <v/>
      </c>
      <c r="Q1568" s="3">
        <f>IF(P1568="","",IF(P1568&lt;-0.02,"🔴 Bán phá giá sàn",IF(P1568&gt;0.05,"🔵 Bán cao hơn","🟢 Đúng giá sàn TMĐT")))</f>
        <v/>
      </c>
      <c r="R1568" s="3" t="n"/>
      <c r="S1568" s="4" t="n"/>
      <c r="T1568" s="4" t="n"/>
    </row>
    <row r="1569">
      <c r="A1569" s="3" t="n">
        <v>1568</v>
      </c>
      <c r="B1569" s="3" t="inlineStr">
        <is>
          <t>DL014</t>
        </is>
      </c>
      <c r="C1569" s="4" t="inlineStr">
        <is>
          <t>Điện máy Anh Anh</t>
        </is>
      </c>
      <c r="D1569" s="3" t="inlineStr">
        <is>
          <t>HN</t>
        </is>
      </c>
      <c r="E1569" s="3" t="inlineStr">
        <is>
          <t>ĐIỆP</t>
        </is>
      </c>
      <c r="F1569" s="3" t="inlineStr">
        <is>
          <t>Tiktok</t>
        </is>
      </c>
      <c r="G1569" s="4" t="inlineStr">
        <is>
          <t>SHOPEE: TIKTOK: https://vt.tiktok.com/ZS9UMxDj8orfa-HFRLE/ LAZADA: WEBSITE BÁN HÀNG:</t>
        </is>
      </c>
      <c r="H1569" s="3" t="inlineStr">
        <is>
          <t>KD3</t>
        </is>
      </c>
      <c r="I1569" s="4" t="inlineStr">
        <is>
          <t>Mỏ lết đa năng cán bọc KD3 200</t>
        </is>
      </c>
      <c r="J1569" s="3" t="inlineStr">
        <is>
          <t>Cái</t>
        </is>
      </c>
      <c r="K1569" s="5" t="n">
        <v>108000</v>
      </c>
      <c r="L1569" s="5" t="n">
        <v>128000</v>
      </c>
      <c r="M1569" s="6" t="n">
        <v>157000</v>
      </c>
      <c r="N1569" s="5" t="n"/>
      <c r="O1569" s="5">
        <f>IF(AND(ISNUMBER(N1569),ISNUMBER(M1569)),N1569-M1569,"")</f>
        <v/>
      </c>
      <c r="P1569" s="7">
        <f>IF(AND(ISNUMBER(N1569),ISNUMBER(M1569),M1569&gt;0),(N1569-M1569)/M1569,"")</f>
        <v/>
      </c>
      <c r="Q1569" s="3">
        <f>IF(P1569="","",IF(P1569&lt;-0.02,"🔴 Bán phá giá sàn",IF(P1569&gt;0.05,"🔵 Bán cao hơn","🟢 Đúng giá sàn TMĐT")))</f>
        <v/>
      </c>
      <c r="R1569" s="3" t="n"/>
      <c r="S1569" s="4" t="n"/>
      <c r="T1569" s="4" t="n"/>
    </row>
    <row r="1570">
      <c r="A1570" s="3" t="n">
        <v>1569</v>
      </c>
      <c r="B1570" s="3" t="inlineStr">
        <is>
          <t>DL014</t>
        </is>
      </c>
      <c r="C1570" s="4" t="inlineStr">
        <is>
          <t>Điện máy Anh Anh</t>
        </is>
      </c>
      <c r="D1570" s="3" t="inlineStr">
        <is>
          <t>HN</t>
        </is>
      </c>
      <c r="E1570" s="3" t="inlineStr">
        <is>
          <t>ĐIỆP</t>
        </is>
      </c>
      <c r="F1570" s="3" t="inlineStr">
        <is>
          <t>Tiktok</t>
        </is>
      </c>
      <c r="G1570" s="4" t="inlineStr">
        <is>
          <t>SHOPEE: TIKTOK: https://vt.tiktok.com/ZS9UMxDj8orfa-HFRLE/ LAZADA: WEBSITE BÁN HÀNG:</t>
        </is>
      </c>
      <c r="H1570" s="3" t="inlineStr">
        <is>
          <t>KD3</t>
        </is>
      </c>
      <c r="I1570" s="4" t="inlineStr">
        <is>
          <t>Mỏ lết đa năng cán bọc KD3 250</t>
        </is>
      </c>
      <c r="J1570" s="3" t="inlineStr">
        <is>
          <t>Cái</t>
        </is>
      </c>
      <c r="K1570" s="5" t="n">
        <v>108000</v>
      </c>
      <c r="L1570" s="5" t="n">
        <v>128000</v>
      </c>
      <c r="M1570" s="6" t="n">
        <v>157000</v>
      </c>
      <c r="N1570" s="5" t="n"/>
      <c r="O1570" s="5">
        <f>IF(AND(ISNUMBER(N1570),ISNUMBER(M1570)),N1570-M1570,"")</f>
        <v/>
      </c>
      <c r="P1570" s="7">
        <f>IF(AND(ISNUMBER(N1570),ISNUMBER(M1570),M1570&gt;0),(N1570-M1570)/M1570,"")</f>
        <v/>
      </c>
      <c r="Q1570" s="3">
        <f>IF(P1570="","",IF(P1570&lt;-0.02,"🔴 Bán phá giá sàn",IF(P1570&gt;0.05,"🔵 Bán cao hơn","🟢 Đúng giá sàn TMĐT")))</f>
        <v/>
      </c>
      <c r="R1570" s="3" t="n"/>
      <c r="S1570" s="4" t="n"/>
      <c r="T1570" s="4" t="n"/>
    </row>
    <row r="1571">
      <c r="A1571" s="3" t="n">
        <v>1570</v>
      </c>
      <c r="B1571" s="3" t="inlineStr">
        <is>
          <t>DL014</t>
        </is>
      </c>
      <c r="C1571" s="4" t="inlineStr">
        <is>
          <t>Điện máy Anh Anh</t>
        </is>
      </c>
      <c r="D1571" s="3" t="inlineStr">
        <is>
          <t>HN</t>
        </is>
      </c>
      <c r="E1571" s="3" t="inlineStr">
        <is>
          <t>ĐIỆP</t>
        </is>
      </c>
      <c r="F1571" s="3" t="inlineStr">
        <is>
          <t>Tiktok</t>
        </is>
      </c>
      <c r="G1571" s="4" t="inlineStr">
        <is>
          <t>SHOPEE: TIKTOK: https://vt.tiktok.com/ZS9UMxDj8orfa-HFRLE/ LAZADA: WEBSITE BÁN HÀNG:</t>
        </is>
      </c>
      <c r="H1571" s="3" t="inlineStr">
        <is>
          <t>KD3</t>
        </is>
      </c>
      <c r="I1571" s="4" t="inlineStr">
        <is>
          <t>Mỏ lết đa năng cán bọc KD3 300</t>
        </is>
      </c>
      <c r="J1571" s="3" t="inlineStr">
        <is>
          <t>Cái</t>
        </is>
      </c>
      <c r="K1571" s="5" t="n">
        <v>108000</v>
      </c>
      <c r="L1571" s="5" t="n">
        <v>128000</v>
      </c>
      <c r="M1571" s="6" t="n">
        <v>157000</v>
      </c>
      <c r="N1571" s="5" t="n"/>
      <c r="O1571" s="5">
        <f>IF(AND(ISNUMBER(N1571),ISNUMBER(M1571)),N1571-M1571,"")</f>
        <v/>
      </c>
      <c r="P1571" s="7">
        <f>IF(AND(ISNUMBER(N1571),ISNUMBER(M1571),M1571&gt;0),(N1571-M1571)/M1571,"")</f>
        <v/>
      </c>
      <c r="Q1571" s="3">
        <f>IF(P1571="","",IF(P1571&lt;-0.02,"🔴 Bán phá giá sàn",IF(P1571&gt;0.05,"🔵 Bán cao hơn","🟢 Đúng giá sàn TMĐT")))</f>
        <v/>
      </c>
      <c r="R1571" s="3" t="n"/>
      <c r="S1571" s="4" t="n"/>
      <c r="T1571" s="4" t="n"/>
    </row>
    <row r="1572">
      <c r="A1572" s="3" t="n">
        <v>1571</v>
      </c>
      <c r="B1572" s="3" t="inlineStr">
        <is>
          <t>DL014</t>
        </is>
      </c>
      <c r="C1572" s="4" t="inlineStr">
        <is>
          <t>Điện máy Anh Anh</t>
        </is>
      </c>
      <c r="D1572" s="3" t="inlineStr">
        <is>
          <t>HN</t>
        </is>
      </c>
      <c r="E1572" s="3" t="inlineStr">
        <is>
          <t>ĐIỆP</t>
        </is>
      </c>
      <c r="F1572" s="3" t="inlineStr">
        <is>
          <t>Tiktok</t>
        </is>
      </c>
      <c r="G1572" s="4" t="inlineStr">
        <is>
          <t>SHOPEE: TIKTOK: https://vt.tiktok.com/ZS9UMxDj8orfa-HFRLE/ LAZADA: WEBSITE BÁN HÀNG:</t>
        </is>
      </c>
      <c r="H1572" s="3" t="inlineStr">
        <is>
          <t>KD5-250</t>
        </is>
      </c>
      <c r="I1572" s="4" t="inlineStr">
        <is>
          <t>Mỏ lết KD5-250</t>
        </is>
      </c>
      <c r="J1572" s="3" t="inlineStr">
        <is>
          <t>Cái</t>
        </is>
      </c>
      <c r="K1572" s="5" t="n">
        <v>292000</v>
      </c>
      <c r="L1572" s="5" t="n">
        <v>344000</v>
      </c>
      <c r="M1572" s="6" t="n">
        <v>423000</v>
      </c>
      <c r="N1572" s="5" t="n"/>
      <c r="O1572" s="5">
        <f>IF(AND(ISNUMBER(N1572),ISNUMBER(M1572)),N1572-M1572,"")</f>
        <v/>
      </c>
      <c r="P1572" s="7">
        <f>IF(AND(ISNUMBER(N1572),ISNUMBER(M1572),M1572&gt;0),(N1572-M1572)/M1572,"")</f>
        <v/>
      </c>
      <c r="Q1572" s="3">
        <f>IF(P1572="","",IF(P1572&lt;-0.02,"🔴 Bán phá giá sàn",IF(P1572&gt;0.05,"🔵 Bán cao hơn","🟢 Đúng giá sàn TMĐT")))</f>
        <v/>
      </c>
      <c r="R1572" s="3" t="n"/>
      <c r="S1572" s="4" t="n"/>
      <c r="T1572" s="4" t="n"/>
    </row>
    <row r="1573">
      <c r="A1573" s="3" t="n">
        <v>1572</v>
      </c>
      <c r="B1573" s="3" t="inlineStr">
        <is>
          <t>DL014</t>
        </is>
      </c>
      <c r="C1573" s="4" t="inlineStr">
        <is>
          <t>Điện máy Anh Anh</t>
        </is>
      </c>
      <c r="D1573" s="3" t="inlineStr">
        <is>
          <t>HN</t>
        </is>
      </c>
      <c r="E1573" s="3" t="inlineStr">
        <is>
          <t>ĐIỆP</t>
        </is>
      </c>
      <c r="F1573" s="3" t="inlineStr">
        <is>
          <t>Tiktok</t>
        </is>
      </c>
      <c r="G1573" s="4" t="inlineStr">
        <is>
          <t>SHOPEE: TIKTOK: https://vt.tiktok.com/ZS9UMxDj8orfa-HFRLE/ LAZADA: WEBSITE BÁN HÀNG:</t>
        </is>
      </c>
      <c r="H1573" s="3" t="inlineStr">
        <is>
          <t>KW-450</t>
        </is>
      </c>
      <c r="I1573" s="4" t="inlineStr">
        <is>
          <t>Mỏ lết răng KW-450</t>
        </is>
      </c>
      <c r="J1573" s="3" t="inlineStr">
        <is>
          <t>Cái</t>
        </is>
      </c>
      <c r="K1573" s="5" t="n">
        <v>248000</v>
      </c>
      <c r="L1573" s="5" t="n">
        <v>293000</v>
      </c>
      <c r="M1573" s="6" t="n">
        <v>360000</v>
      </c>
      <c r="N1573" s="5" t="n"/>
      <c r="O1573" s="5">
        <f>IF(AND(ISNUMBER(N1573),ISNUMBER(M1573)),N1573-M1573,"")</f>
        <v/>
      </c>
      <c r="P1573" s="7">
        <f>IF(AND(ISNUMBER(N1573),ISNUMBER(M1573),M1573&gt;0),(N1573-M1573)/M1573,"")</f>
        <v/>
      </c>
      <c r="Q1573" s="3">
        <f>IF(P1573="","",IF(P1573&lt;-0.02,"🔴 Bán phá giá sàn",IF(P1573&gt;0.05,"🔵 Bán cao hơn","🟢 Đúng giá sàn TMĐT")))</f>
        <v/>
      </c>
      <c r="R1573" s="3" t="n"/>
      <c r="S1573" s="4" t="n"/>
      <c r="T1573" s="4" t="n"/>
    </row>
    <row r="1574">
      <c r="A1574" s="3" t="n">
        <v>1573</v>
      </c>
      <c r="B1574" s="3" t="inlineStr">
        <is>
          <t>DL014</t>
        </is>
      </c>
      <c r="C1574" s="4" t="inlineStr">
        <is>
          <t>Điện máy Anh Anh</t>
        </is>
      </c>
      <c r="D1574" s="3" t="inlineStr">
        <is>
          <t>HN</t>
        </is>
      </c>
      <c r="E1574" s="3" t="inlineStr">
        <is>
          <t>ĐIỆP</t>
        </is>
      </c>
      <c r="F1574" s="3" t="inlineStr">
        <is>
          <t>Tiktok</t>
        </is>
      </c>
      <c r="G1574" s="4" t="inlineStr">
        <is>
          <t>SHOPEE: TIKTOK: https://vt.tiktok.com/ZS9UMxDj8orfa-HFRLE/ LAZADA: WEBSITE BÁN HÀNG:</t>
        </is>
      </c>
      <c r="H1574" s="3" t="inlineStr">
        <is>
          <t>V100R</t>
        </is>
      </c>
      <c r="I1574" s="4" t="inlineStr">
        <is>
          <t>Mũi bắn vít chống trượt KingBlue V100R</t>
        </is>
      </c>
      <c r="J1574" s="3" t="inlineStr">
        <is>
          <t>Vỉ</t>
        </is>
      </c>
      <c r="K1574" s="5" t="n">
        <v>29000</v>
      </c>
      <c r="L1574" s="5" t="n">
        <v>37000</v>
      </c>
      <c r="M1574" s="6" t="n">
        <v>48000</v>
      </c>
      <c r="N1574" s="5" t="n"/>
      <c r="O1574" s="5">
        <f>IF(AND(ISNUMBER(N1574),ISNUMBER(M1574)),N1574-M1574,"")</f>
        <v/>
      </c>
      <c r="P1574" s="7">
        <f>IF(AND(ISNUMBER(N1574),ISNUMBER(M1574),M1574&gt;0),(N1574-M1574)/M1574,"")</f>
        <v/>
      </c>
      <c r="Q1574" s="3">
        <f>IF(P1574="","",IF(P1574&lt;-0.02,"🔴 Bán phá giá sàn",IF(P1574&gt;0.05,"🔵 Bán cao hơn","🟢 Đúng giá sàn TMĐT")))</f>
        <v/>
      </c>
      <c r="R1574" s="3" t="n"/>
      <c r="S1574" s="4" t="n"/>
      <c r="T1574" s="4" t="n"/>
    </row>
    <row r="1575">
      <c r="A1575" s="3" t="n">
        <v>1574</v>
      </c>
      <c r="B1575" s="3" t="inlineStr">
        <is>
          <t>DL014</t>
        </is>
      </c>
      <c r="C1575" s="4" t="inlineStr">
        <is>
          <t>Điện máy Anh Anh</t>
        </is>
      </c>
      <c r="D1575" s="3" t="inlineStr">
        <is>
          <t>HN</t>
        </is>
      </c>
      <c r="E1575" s="3" t="inlineStr">
        <is>
          <t>ĐIỆP</t>
        </is>
      </c>
      <c r="F1575" s="3" t="inlineStr">
        <is>
          <t>Tiktok</t>
        </is>
      </c>
      <c r="G1575" s="4" t="inlineStr">
        <is>
          <t>SHOPEE: TIKTOK: https://vt.tiktok.com/ZS9UMxDj8orfa-HFRLE/ LAZADA: WEBSITE BÁN HÀNG:</t>
        </is>
      </c>
      <c r="H1575" s="3" t="inlineStr">
        <is>
          <t>V150R</t>
        </is>
      </c>
      <c r="I1575" s="4" t="inlineStr">
        <is>
          <t>Mũi bắn vít chống trượt KingBlue V150R</t>
        </is>
      </c>
      <c r="J1575" s="3" t="inlineStr">
        <is>
          <t>Vỉ</t>
        </is>
      </c>
      <c r="K1575" s="5" t="n">
        <v>40000</v>
      </c>
      <c r="L1575" s="5" t="n">
        <v>50000</v>
      </c>
      <c r="M1575" s="6" t="n">
        <v>66000</v>
      </c>
      <c r="N1575" s="5" t="n"/>
      <c r="O1575" s="5">
        <f>IF(AND(ISNUMBER(N1575),ISNUMBER(M1575)),N1575-M1575,"")</f>
        <v/>
      </c>
      <c r="P1575" s="7">
        <f>IF(AND(ISNUMBER(N1575),ISNUMBER(M1575),M1575&gt;0),(N1575-M1575)/M1575,"")</f>
        <v/>
      </c>
      <c r="Q1575" s="3">
        <f>IF(P1575="","",IF(P1575&lt;-0.02,"🔴 Bán phá giá sàn",IF(P1575&gt;0.05,"🔵 Bán cao hơn","🟢 Đúng giá sàn TMĐT")))</f>
        <v/>
      </c>
      <c r="R1575" s="3" t="n"/>
      <c r="S1575" s="4" t="n"/>
      <c r="T1575" s="4" t="n"/>
    </row>
    <row r="1576">
      <c r="A1576" s="3" t="n">
        <v>1575</v>
      </c>
      <c r="B1576" s="3" t="inlineStr">
        <is>
          <t>DL014</t>
        </is>
      </c>
      <c r="C1576" s="4" t="inlineStr">
        <is>
          <t>Điện máy Anh Anh</t>
        </is>
      </c>
      <c r="D1576" s="3" t="inlineStr">
        <is>
          <t>HN</t>
        </is>
      </c>
      <c r="E1576" s="3" t="inlineStr">
        <is>
          <t>ĐIỆP</t>
        </is>
      </c>
      <c r="F1576" s="3" t="inlineStr">
        <is>
          <t>Tiktok</t>
        </is>
      </c>
      <c r="G1576" s="4" t="inlineStr">
        <is>
          <t>SHOPEE: TIKTOK: https://vt.tiktok.com/ZS9UMxDj8orfa-HFRLE/ LAZADA: WEBSITE BÁN HÀNG:</t>
        </is>
      </c>
      <c r="H1576" s="3" t="inlineStr">
        <is>
          <t>V65R</t>
        </is>
      </c>
      <c r="I1576" s="4" t="inlineStr">
        <is>
          <t>Mũi bắn vít chống trượt KingBlue V65R</t>
        </is>
      </c>
      <c r="J1576" s="3" t="inlineStr">
        <is>
          <t>Vỉ</t>
        </is>
      </c>
      <c r="K1576" s="5" t="n">
        <v>20000</v>
      </c>
      <c r="L1576" s="5" t="n">
        <v>25000</v>
      </c>
      <c r="M1576" s="6" t="n">
        <v>33000</v>
      </c>
      <c r="N1576" s="5" t="n"/>
      <c r="O1576" s="5">
        <f>IF(AND(ISNUMBER(N1576),ISNUMBER(M1576)),N1576-M1576,"")</f>
        <v/>
      </c>
      <c r="P1576" s="7">
        <f>IF(AND(ISNUMBER(N1576),ISNUMBER(M1576),M1576&gt;0),(N1576-M1576)/M1576,"")</f>
        <v/>
      </c>
      <c r="Q1576" s="3">
        <f>IF(P1576="","",IF(P1576&lt;-0.02,"🔴 Bán phá giá sàn",IF(P1576&gt;0.05,"🔵 Bán cao hơn","🟢 Đúng giá sàn TMĐT")))</f>
        <v/>
      </c>
      <c r="R1576" s="3" t="n"/>
      <c r="S1576" s="4" t="n"/>
      <c r="T1576" s="4" t="n"/>
    </row>
    <row r="1577">
      <c r="A1577" s="3" t="n">
        <v>1576</v>
      </c>
      <c r="B1577" s="3" t="inlineStr">
        <is>
          <t>DL014</t>
        </is>
      </c>
      <c r="C1577" s="4" t="inlineStr">
        <is>
          <t>Điện máy Anh Anh</t>
        </is>
      </c>
      <c r="D1577" s="3" t="inlineStr">
        <is>
          <t>HN</t>
        </is>
      </c>
      <c r="E1577" s="3" t="inlineStr">
        <is>
          <t>ĐIỆP</t>
        </is>
      </c>
      <c r="F1577" s="3" t="inlineStr">
        <is>
          <t>Tiktok</t>
        </is>
      </c>
      <c r="G1577" s="4" t="inlineStr">
        <is>
          <t>SHOPEE: TIKTOK: https://vt.tiktok.com/ZS9UMxDj8orfa-HFRLE/ LAZADA: WEBSITE BÁN HÀNG:</t>
        </is>
      </c>
      <c r="H1577" s="3" t="inlineStr">
        <is>
          <t>V50S</t>
        </is>
      </c>
      <c r="I1577" s="4" t="inlineStr">
        <is>
          <t>Mũi bắn vít PH2 V50S</t>
        </is>
      </c>
      <c r="J1577" s="3" t="inlineStr">
        <is>
          <t>Vỉ</t>
        </is>
      </c>
      <c r="K1577" s="5" t="n">
        <v>28000</v>
      </c>
      <c r="L1577" s="5" t="n">
        <v>36000</v>
      </c>
      <c r="M1577" s="6" t="n">
        <v>48000</v>
      </c>
      <c r="N1577" s="5" t="n"/>
      <c r="O1577" s="5">
        <f>IF(AND(ISNUMBER(N1577),ISNUMBER(M1577)),N1577-M1577,"")</f>
        <v/>
      </c>
      <c r="P1577" s="7">
        <f>IF(AND(ISNUMBER(N1577),ISNUMBER(M1577),M1577&gt;0),(N1577-M1577)/M1577,"")</f>
        <v/>
      </c>
      <c r="Q1577" s="3">
        <f>IF(P1577="","",IF(P1577&lt;-0.02,"🔴 Bán phá giá sàn",IF(P1577&gt;0.05,"🔵 Bán cao hơn","🟢 Đúng giá sàn TMĐT")))</f>
        <v/>
      </c>
      <c r="R1577" s="3" t="n"/>
      <c r="S1577" s="4" t="n"/>
      <c r="T1577" s="4" t="n"/>
    </row>
    <row r="1578">
      <c r="A1578" s="3" t="n">
        <v>1577</v>
      </c>
      <c r="B1578" s="3" t="inlineStr">
        <is>
          <t>DL014</t>
        </is>
      </c>
      <c r="C1578" s="4" t="inlineStr">
        <is>
          <t>Điện máy Anh Anh</t>
        </is>
      </c>
      <c r="D1578" s="3" t="inlineStr">
        <is>
          <t>HN</t>
        </is>
      </c>
      <c r="E1578" s="3" t="inlineStr">
        <is>
          <t>ĐIỆP</t>
        </is>
      </c>
      <c r="F1578" s="3" t="inlineStr">
        <is>
          <t>Tiktok</t>
        </is>
      </c>
      <c r="G1578" s="4" t="inlineStr">
        <is>
          <t>SHOPEE: TIKTOK: https://vt.tiktok.com/ZS9UMxDj8orfa-HFRLE/ LAZADA: WEBSITE BÁN HÀNG:</t>
        </is>
      </c>
      <c r="H1578" s="3" t="inlineStr"/>
      <c r="I1578" s="4" t="inlineStr">
        <is>
          <t>Mũi định tâm chuôi dài</t>
        </is>
      </c>
      <c r="J1578" s="3" t="inlineStr">
        <is>
          <t>Cái</t>
        </is>
      </c>
      <c r="K1578" s="5" t="n">
        <v>269000</v>
      </c>
      <c r="L1578" s="5" t="n">
        <v>317000</v>
      </c>
      <c r="M1578" s="6" t="n">
        <v>390000</v>
      </c>
      <c r="N1578" s="5" t="n"/>
      <c r="O1578" s="5">
        <f>IF(AND(ISNUMBER(N1578),ISNUMBER(M1578)),N1578-M1578,"")</f>
        <v/>
      </c>
      <c r="P1578" s="7">
        <f>IF(AND(ISNUMBER(N1578),ISNUMBER(M1578),M1578&gt;0),(N1578-M1578)/M1578,"")</f>
        <v/>
      </c>
      <c r="Q1578" s="3">
        <f>IF(P1578="","",IF(P1578&lt;-0.02,"🔴 Bán phá giá sàn",IF(P1578&gt;0.05,"🔵 Bán cao hơn","🟢 Đúng giá sàn TMĐT")))</f>
        <v/>
      </c>
      <c r="R1578" s="3" t="n"/>
      <c r="S1578" s="4" t="n"/>
      <c r="T1578" s="4" t="n"/>
    </row>
    <row r="1579">
      <c r="A1579" s="3" t="n">
        <v>1578</v>
      </c>
      <c r="B1579" s="3" t="inlineStr">
        <is>
          <t>DL014</t>
        </is>
      </c>
      <c r="C1579" s="4" t="inlineStr">
        <is>
          <t>Điện máy Anh Anh</t>
        </is>
      </c>
      <c r="D1579" s="3" t="inlineStr">
        <is>
          <t>HN</t>
        </is>
      </c>
      <c r="E1579" s="3" t="inlineStr">
        <is>
          <t>ĐIỆP</t>
        </is>
      </c>
      <c r="F1579" s="3" t="inlineStr">
        <is>
          <t>Tiktok</t>
        </is>
      </c>
      <c r="G1579" s="4" t="inlineStr">
        <is>
          <t>SHOPEE: TIKTOK: https://vt.tiktok.com/ZS9UMxDj8orfa-HFRLE/ LAZADA: WEBSITE BÁN HÀNG:</t>
        </is>
      </c>
      <c r="H1579" s="3" t="inlineStr"/>
      <c r="I1579" s="4" t="inlineStr">
        <is>
          <t>Mũi định tâm chuôi dài NEW</t>
        </is>
      </c>
      <c r="J1579" s="3" t="inlineStr">
        <is>
          <t>Cái</t>
        </is>
      </c>
      <c r="K1579" s="5" t="n">
        <v>269000</v>
      </c>
      <c r="L1579" s="5" t="n">
        <v>317000</v>
      </c>
      <c r="M1579" s="6" t="n">
        <v>390000</v>
      </c>
      <c r="N1579" s="5" t="n"/>
      <c r="O1579" s="5">
        <f>IF(AND(ISNUMBER(N1579),ISNUMBER(M1579)),N1579-M1579,"")</f>
        <v/>
      </c>
      <c r="P1579" s="7">
        <f>IF(AND(ISNUMBER(N1579),ISNUMBER(M1579),M1579&gt;0),(N1579-M1579)/M1579,"")</f>
        <v/>
      </c>
      <c r="Q1579" s="3">
        <f>IF(P1579="","",IF(P1579&lt;-0.02,"🔴 Bán phá giá sàn",IF(P1579&gt;0.05,"🔵 Bán cao hơn","🟢 Đúng giá sàn TMĐT")))</f>
        <v/>
      </c>
      <c r="R1579" s="3" t="n"/>
      <c r="S1579" s="4" t="n"/>
      <c r="T1579" s="4" t="n"/>
    </row>
    <row r="1580">
      <c r="A1580" s="3" t="n">
        <v>1579</v>
      </c>
      <c r="B1580" s="3" t="inlineStr">
        <is>
          <t>DL014</t>
        </is>
      </c>
      <c r="C1580" s="4" t="inlineStr">
        <is>
          <t>Điện máy Anh Anh</t>
        </is>
      </c>
      <c r="D1580" s="3" t="inlineStr">
        <is>
          <t>HN</t>
        </is>
      </c>
      <c r="E1580" s="3" t="inlineStr">
        <is>
          <t>ĐIỆP</t>
        </is>
      </c>
      <c r="F1580" s="3" t="inlineStr">
        <is>
          <t>Tiktok</t>
        </is>
      </c>
      <c r="G1580" s="4" t="inlineStr">
        <is>
          <t>SHOPEE: TIKTOK: https://vt.tiktok.com/ZS9UMxDj8orfa-HFRLE/ LAZADA: WEBSITE BÁN HÀNG:</t>
        </is>
      </c>
      <c r="H1580" s="3" t="inlineStr"/>
      <c r="I1580" s="4" t="inlineStr">
        <is>
          <t>Mũi định tâm chuôi ngắn kẹp</t>
        </is>
      </c>
      <c r="J1580" s="3" t="inlineStr">
        <is>
          <t>Cái</t>
        </is>
      </c>
      <c r="K1580" s="5" t="n">
        <v>269000</v>
      </c>
      <c r="L1580" s="5" t="n">
        <v>317000</v>
      </c>
      <c r="M1580" s="6" t="n">
        <v>390000</v>
      </c>
      <c r="N1580" s="5" t="n"/>
      <c r="O1580" s="5">
        <f>IF(AND(ISNUMBER(N1580),ISNUMBER(M1580)),N1580-M1580,"")</f>
        <v/>
      </c>
      <c r="P1580" s="7">
        <f>IF(AND(ISNUMBER(N1580),ISNUMBER(M1580),M1580&gt;0),(N1580-M1580)/M1580,"")</f>
        <v/>
      </c>
      <c r="Q1580" s="3">
        <f>IF(P1580="","",IF(P1580&lt;-0.02,"🔴 Bán phá giá sàn",IF(P1580&gt;0.05,"🔵 Bán cao hơn","🟢 Đúng giá sàn TMĐT")))</f>
        <v/>
      </c>
      <c r="R1580" s="3" t="n"/>
      <c r="S1580" s="4" t="n"/>
      <c r="T1580" s="4" t="n"/>
    </row>
    <row r="1581">
      <c r="A1581" s="3" t="n">
        <v>1580</v>
      </c>
      <c r="B1581" s="3" t="inlineStr">
        <is>
          <t>DL014</t>
        </is>
      </c>
      <c r="C1581" s="4" t="inlineStr">
        <is>
          <t>Điện máy Anh Anh</t>
        </is>
      </c>
      <c r="D1581" s="3" t="inlineStr">
        <is>
          <t>HN</t>
        </is>
      </c>
      <c r="E1581" s="3" t="inlineStr">
        <is>
          <t>ĐIỆP</t>
        </is>
      </c>
      <c r="F1581" s="3" t="inlineStr">
        <is>
          <t>Tiktok</t>
        </is>
      </c>
      <c r="G1581" s="4" t="inlineStr">
        <is>
          <t>SHOPEE: TIKTOK: https://vt.tiktok.com/ZS9UMxDj8orfa-HFRLE/ LAZADA: WEBSITE BÁN HÀNG:</t>
        </is>
      </c>
      <c r="H1581" s="3" t="inlineStr"/>
      <c r="I1581" s="4" t="inlineStr">
        <is>
          <t>Mũi đục bê tông KBVd-14*250*22</t>
        </is>
      </c>
      <c r="J1581" s="3" t="inlineStr">
        <is>
          <t>Cái</t>
        </is>
      </c>
      <c r="K1581" s="5" t="n">
        <v>269000</v>
      </c>
      <c r="L1581" s="5" t="n">
        <v>317000</v>
      </c>
      <c r="M1581" s="6" t="n">
        <v>390000</v>
      </c>
      <c r="N1581" s="5" t="n"/>
      <c r="O1581" s="5">
        <f>IF(AND(ISNUMBER(N1581),ISNUMBER(M1581)),N1581-M1581,"")</f>
        <v/>
      </c>
      <c r="P1581" s="7">
        <f>IF(AND(ISNUMBER(N1581),ISNUMBER(M1581),M1581&gt;0),(N1581-M1581)/M1581,"")</f>
        <v/>
      </c>
      <c r="Q1581" s="3">
        <f>IF(P1581="","",IF(P1581&lt;-0.02,"🔴 Bán phá giá sàn",IF(P1581&gt;0.05,"🔵 Bán cao hơn","🟢 Đúng giá sàn TMĐT")))</f>
        <v/>
      </c>
      <c r="R1581" s="3" t="n"/>
      <c r="S1581" s="4" t="n"/>
      <c r="T1581" s="4" t="n"/>
    </row>
    <row r="1582">
      <c r="A1582" s="3" t="n">
        <v>1581</v>
      </c>
      <c r="B1582" s="3" t="inlineStr">
        <is>
          <t>DL014</t>
        </is>
      </c>
      <c r="C1582" s="4" t="inlineStr">
        <is>
          <t>Điện máy Anh Anh</t>
        </is>
      </c>
      <c r="D1582" s="3" t="inlineStr">
        <is>
          <t>HN</t>
        </is>
      </c>
      <c r="E1582" s="3" t="inlineStr">
        <is>
          <t>ĐIỆP</t>
        </is>
      </c>
      <c r="F1582" s="3" t="inlineStr">
        <is>
          <t>Tiktok</t>
        </is>
      </c>
      <c r="G1582" s="4" t="inlineStr">
        <is>
          <t>SHOPEE: TIKTOK: https://vt.tiktok.com/ZS9UMxDj8orfa-HFRLE/ LAZADA: WEBSITE BÁN HÀNG:</t>
        </is>
      </c>
      <c r="H1582" s="3" t="inlineStr"/>
      <c r="I1582" s="4" t="inlineStr">
        <is>
          <t>Mũi đục bê tông KBVd-30*420*37</t>
        </is>
      </c>
      <c r="J1582" s="3" t="inlineStr">
        <is>
          <t>Cái</t>
        </is>
      </c>
      <c r="K1582" s="5" t="n">
        <v>269000</v>
      </c>
      <c r="L1582" s="5" t="n">
        <v>317000</v>
      </c>
      <c r="M1582" s="6" t="n">
        <v>390000</v>
      </c>
      <c r="N1582" s="5" t="n"/>
      <c r="O1582" s="5">
        <f>IF(AND(ISNUMBER(N1582),ISNUMBER(M1582)),N1582-M1582,"")</f>
        <v/>
      </c>
      <c r="P1582" s="7">
        <f>IF(AND(ISNUMBER(N1582),ISNUMBER(M1582),M1582&gt;0),(N1582-M1582)/M1582,"")</f>
        <v/>
      </c>
      <c r="Q1582" s="3">
        <f>IF(P1582="","",IF(P1582&lt;-0.02,"🔴 Bán phá giá sàn",IF(P1582&gt;0.05,"🔵 Bán cao hơn","🟢 Đúng giá sàn TMĐT")))</f>
        <v/>
      </c>
      <c r="R1582" s="3" t="n"/>
      <c r="S1582" s="4" t="n"/>
      <c r="T1582" s="4" t="n"/>
    </row>
    <row r="1583">
      <c r="A1583" s="3" t="n">
        <v>1582</v>
      </c>
      <c r="B1583" s="3" t="inlineStr">
        <is>
          <t>DL014</t>
        </is>
      </c>
      <c r="C1583" s="4" t="inlineStr">
        <is>
          <t>Điện máy Anh Anh</t>
        </is>
      </c>
      <c r="D1583" s="3" t="inlineStr">
        <is>
          <t>HN</t>
        </is>
      </c>
      <c r="E1583" s="3" t="inlineStr">
        <is>
          <t>ĐIỆP</t>
        </is>
      </c>
      <c r="F1583" s="3" t="inlineStr">
        <is>
          <t>Tiktok</t>
        </is>
      </c>
      <c r="G1583" s="4" t="inlineStr">
        <is>
          <t>SHOPEE: TIKTOK: https://vt.tiktok.com/ZS9UMxDj8orfa-HFRLE/ LAZADA: WEBSITE BÁN HÀNG:</t>
        </is>
      </c>
      <c r="H1583" s="3" t="inlineStr"/>
      <c r="I1583" s="4" t="inlineStr">
        <is>
          <t>Mũi đục bê tông KBVn 30*420</t>
        </is>
      </c>
      <c r="J1583" s="3" t="inlineStr">
        <is>
          <t>Cái</t>
        </is>
      </c>
      <c r="K1583" s="5" t="n">
        <v>269000</v>
      </c>
      <c r="L1583" s="5" t="n">
        <v>317000</v>
      </c>
      <c r="M1583" s="6" t="n">
        <v>390000</v>
      </c>
      <c r="N1583" s="5" t="n"/>
      <c r="O1583" s="5">
        <f>IF(AND(ISNUMBER(N1583),ISNUMBER(M1583)),N1583-M1583,"")</f>
        <v/>
      </c>
      <c r="P1583" s="7">
        <f>IF(AND(ISNUMBER(N1583),ISNUMBER(M1583),M1583&gt;0),(N1583-M1583)/M1583,"")</f>
        <v/>
      </c>
      <c r="Q1583" s="3">
        <f>IF(P1583="","",IF(P1583&lt;-0.02,"🔴 Bán phá giá sàn",IF(P1583&gt;0.05,"🔵 Bán cao hơn","🟢 Đúng giá sàn TMĐT")))</f>
        <v/>
      </c>
      <c r="R1583" s="3" t="n"/>
      <c r="S1583" s="4" t="n"/>
      <c r="T1583" s="4" t="n"/>
    </row>
    <row r="1584">
      <c r="A1584" s="3" t="n">
        <v>1583</v>
      </c>
      <c r="B1584" s="3" t="inlineStr">
        <is>
          <t>DL014</t>
        </is>
      </c>
      <c r="C1584" s="4" t="inlineStr">
        <is>
          <t>Điện máy Anh Anh</t>
        </is>
      </c>
      <c r="D1584" s="3" t="inlineStr">
        <is>
          <t>HN</t>
        </is>
      </c>
      <c r="E1584" s="3" t="inlineStr">
        <is>
          <t>ĐIỆP</t>
        </is>
      </c>
      <c r="F1584" s="3" t="inlineStr">
        <is>
          <t>Tiktok</t>
        </is>
      </c>
      <c r="G1584" s="4" t="inlineStr">
        <is>
          <t>SHOPEE: TIKTOK: https://vt.tiktok.com/ZS9UMxDj8orfa-HFRLE/ LAZADA: WEBSITE BÁN HÀNG:</t>
        </is>
      </c>
      <c r="H1584" s="3" t="inlineStr"/>
      <c r="I1584" s="4" t="inlineStr">
        <is>
          <t>Mũi đục bê tông KBVn-17*280</t>
        </is>
      </c>
      <c r="J1584" s="3" t="inlineStr">
        <is>
          <t>Cái</t>
        </is>
      </c>
      <c r="K1584" s="5" t="n">
        <v>269000</v>
      </c>
      <c r="L1584" s="5" t="n">
        <v>317000</v>
      </c>
      <c r="M1584" s="6" t="n">
        <v>390000</v>
      </c>
      <c r="N1584" s="5" t="n"/>
      <c r="O1584" s="5">
        <f>IF(AND(ISNUMBER(N1584),ISNUMBER(M1584)),N1584-M1584,"")</f>
        <v/>
      </c>
      <c r="P1584" s="7">
        <f>IF(AND(ISNUMBER(N1584),ISNUMBER(M1584),M1584&gt;0),(N1584-M1584)/M1584,"")</f>
        <v/>
      </c>
      <c r="Q1584" s="3">
        <f>IF(P1584="","",IF(P1584&lt;-0.02,"🔴 Bán phá giá sàn",IF(P1584&gt;0.05,"🔵 Bán cao hơn","🟢 Đúng giá sàn TMĐT")))</f>
        <v/>
      </c>
      <c r="R1584" s="3" t="n"/>
      <c r="S1584" s="4" t="n"/>
      <c r="T1584" s="4" t="n"/>
    </row>
    <row r="1585">
      <c r="A1585" s="3" t="n">
        <v>1584</v>
      </c>
      <c r="B1585" s="3" t="inlineStr">
        <is>
          <t>DL014</t>
        </is>
      </c>
      <c r="C1585" s="4" t="inlineStr">
        <is>
          <t>Điện máy Anh Anh</t>
        </is>
      </c>
      <c r="D1585" s="3" t="inlineStr">
        <is>
          <t>HN</t>
        </is>
      </c>
      <c r="E1585" s="3" t="inlineStr">
        <is>
          <t>ĐIỆP</t>
        </is>
      </c>
      <c r="F1585" s="3" t="inlineStr">
        <is>
          <t>Tiktok</t>
        </is>
      </c>
      <c r="G1585" s="4" t="inlineStr">
        <is>
          <t>SHOPEE: TIKTOK: https://vt.tiktok.com/ZS9UMxDj8orfa-HFRLE/ LAZADA: WEBSITE BÁN HÀNG:</t>
        </is>
      </c>
      <c r="H1585" s="3" t="inlineStr">
        <is>
          <t>KBL2-08160</t>
        </is>
      </c>
      <c r="I1585" s="4" t="inlineStr">
        <is>
          <t>Mũi khoan bê tông gài 2 cạnh KBL2-08*160</t>
        </is>
      </c>
      <c r="J1585" s="3" t="inlineStr">
        <is>
          <t>Cái</t>
        </is>
      </c>
      <c r="K1585" s="5" t="n">
        <v>25000</v>
      </c>
      <c r="L1585" s="5" t="n">
        <v>31000</v>
      </c>
      <c r="M1585" s="6" t="n">
        <v>39000</v>
      </c>
      <c r="N1585" s="5" t="n"/>
      <c r="O1585" s="5">
        <f>IF(AND(ISNUMBER(N1585),ISNUMBER(M1585)),N1585-M1585,"")</f>
        <v/>
      </c>
      <c r="P1585" s="7">
        <f>IF(AND(ISNUMBER(N1585),ISNUMBER(M1585),M1585&gt;0),(N1585-M1585)/M1585,"")</f>
        <v/>
      </c>
      <c r="Q1585" s="3">
        <f>IF(P1585="","",IF(P1585&lt;-0.02,"🔴 Bán phá giá sàn",IF(P1585&gt;0.05,"🔵 Bán cao hơn","🟢 Đúng giá sàn TMĐT")))</f>
        <v/>
      </c>
      <c r="R1585" s="3" t="n"/>
      <c r="S1585" s="4" t="n"/>
      <c r="T1585" s="4" t="n"/>
    </row>
    <row r="1586">
      <c r="A1586" s="3" t="n">
        <v>1585</v>
      </c>
      <c r="B1586" s="3" t="inlineStr">
        <is>
          <t>DL014</t>
        </is>
      </c>
      <c r="C1586" s="4" t="inlineStr">
        <is>
          <t>Điện máy Anh Anh</t>
        </is>
      </c>
      <c r="D1586" s="3" t="inlineStr">
        <is>
          <t>HN</t>
        </is>
      </c>
      <c r="E1586" s="3" t="inlineStr">
        <is>
          <t>ĐIỆP</t>
        </is>
      </c>
      <c r="F1586" s="3" t="inlineStr">
        <is>
          <t>Tiktok</t>
        </is>
      </c>
      <c r="G1586" s="4" t="inlineStr">
        <is>
          <t>SHOPEE: TIKTOK: https://vt.tiktok.com/ZS9UMxDj8orfa-HFRLE/ LAZADA: WEBSITE BÁN HÀNG:</t>
        </is>
      </c>
      <c r="H1586" s="3" t="inlineStr">
        <is>
          <t>KBK-06</t>
        </is>
      </c>
      <c r="I1586" s="4" t="inlineStr">
        <is>
          <t>Mũi khoan đá KBK-06</t>
        </is>
      </c>
      <c r="J1586" s="3" t="inlineStr">
        <is>
          <t>Cái</t>
        </is>
      </c>
      <c r="K1586" s="5" t="n">
        <v>22000</v>
      </c>
      <c r="L1586" s="5" t="n">
        <v>27000</v>
      </c>
      <c r="M1586" s="6" t="n">
        <v>35000</v>
      </c>
      <c r="N1586" s="5" t="n"/>
      <c r="O1586" s="5">
        <f>IF(AND(ISNUMBER(N1586),ISNUMBER(M1586)),N1586-M1586,"")</f>
        <v/>
      </c>
      <c r="P1586" s="7">
        <f>IF(AND(ISNUMBER(N1586),ISNUMBER(M1586),M1586&gt;0),(N1586-M1586)/M1586,"")</f>
        <v/>
      </c>
      <c r="Q1586" s="3">
        <f>IF(P1586="","",IF(P1586&lt;-0.02,"🔴 Bán phá giá sàn",IF(P1586&gt;0.05,"🔵 Bán cao hơn","🟢 Đúng giá sàn TMĐT")))</f>
        <v/>
      </c>
      <c r="R1586" s="3" t="n"/>
      <c r="S1586" s="4" t="n"/>
      <c r="T1586" s="4" t="n"/>
    </row>
    <row r="1587">
      <c r="A1587" s="3" t="n">
        <v>1586</v>
      </c>
      <c r="B1587" s="3" t="inlineStr">
        <is>
          <t>DL014</t>
        </is>
      </c>
      <c r="C1587" s="4" t="inlineStr">
        <is>
          <t>Điện máy Anh Anh</t>
        </is>
      </c>
      <c r="D1587" s="3" t="inlineStr">
        <is>
          <t>HN</t>
        </is>
      </c>
      <c r="E1587" s="3" t="inlineStr">
        <is>
          <t>ĐIỆP</t>
        </is>
      </c>
      <c r="F1587" s="3" t="inlineStr">
        <is>
          <t>Tiktok</t>
        </is>
      </c>
      <c r="G1587" s="4" t="inlineStr">
        <is>
          <t>SHOPEE: TIKTOK: https://vt.tiktok.com/ZS9UMxDj8orfa-HFRLE/ LAZADA: WEBSITE BÁN HÀNG:</t>
        </is>
      </c>
      <c r="H1587" s="3" t="inlineStr">
        <is>
          <t>KBK-08</t>
        </is>
      </c>
      <c r="I1587" s="4" t="inlineStr">
        <is>
          <t>Mũi khoan đá KBK-08</t>
        </is>
      </c>
      <c r="J1587" s="3" t="inlineStr">
        <is>
          <t>Cái</t>
        </is>
      </c>
      <c r="K1587" s="5" t="n">
        <v>25000</v>
      </c>
      <c r="L1587" s="5" t="n">
        <v>31000</v>
      </c>
      <c r="M1587" s="6" t="n">
        <v>40000</v>
      </c>
      <c r="N1587" s="5" t="n"/>
      <c r="O1587" s="5">
        <f>IF(AND(ISNUMBER(N1587),ISNUMBER(M1587)),N1587-M1587,"")</f>
        <v/>
      </c>
      <c r="P1587" s="7">
        <f>IF(AND(ISNUMBER(N1587),ISNUMBER(M1587),M1587&gt;0),(N1587-M1587)/M1587,"")</f>
        <v/>
      </c>
      <c r="Q1587" s="3">
        <f>IF(P1587="","",IF(P1587&lt;-0.02,"🔴 Bán phá giá sàn",IF(P1587&gt;0.05,"🔵 Bán cao hơn","🟢 Đúng giá sàn TMĐT")))</f>
        <v/>
      </c>
      <c r="R1587" s="3" t="n"/>
      <c r="S1587" s="4" t="n"/>
      <c r="T1587" s="4" t="n"/>
    </row>
    <row r="1588">
      <c r="A1588" s="3" t="n">
        <v>1587</v>
      </c>
      <c r="B1588" s="3" t="inlineStr">
        <is>
          <t>DL014</t>
        </is>
      </c>
      <c r="C1588" s="4" t="inlineStr">
        <is>
          <t>Điện máy Anh Anh</t>
        </is>
      </c>
      <c r="D1588" s="3" t="inlineStr">
        <is>
          <t>HN</t>
        </is>
      </c>
      <c r="E1588" s="3" t="inlineStr">
        <is>
          <t>ĐIỆP</t>
        </is>
      </c>
      <c r="F1588" s="3" t="inlineStr">
        <is>
          <t>Tiktok</t>
        </is>
      </c>
      <c r="G1588" s="4" t="inlineStr">
        <is>
          <t>SHOPEE: TIKTOK: https://vt.tiktok.com/ZS9UMxDj8orfa-HFRLE/ LAZADA: WEBSITE BÁN HÀNG:</t>
        </is>
      </c>
      <c r="H1588" s="3" t="inlineStr">
        <is>
          <t>KBK-10</t>
        </is>
      </c>
      <c r="I1588" s="4" t="inlineStr">
        <is>
          <t>Mũi khoan đá KBK-10</t>
        </is>
      </c>
      <c r="J1588" s="3" t="inlineStr">
        <is>
          <t>Cái</t>
        </is>
      </c>
      <c r="K1588" s="5" t="n">
        <v>32000</v>
      </c>
      <c r="L1588" s="5" t="n">
        <v>40000</v>
      </c>
      <c r="M1588" s="6" t="n">
        <v>51000</v>
      </c>
      <c r="N1588" s="5" t="n"/>
      <c r="O1588" s="5">
        <f>IF(AND(ISNUMBER(N1588),ISNUMBER(M1588)),N1588-M1588,"")</f>
        <v/>
      </c>
      <c r="P1588" s="7">
        <f>IF(AND(ISNUMBER(N1588),ISNUMBER(M1588),M1588&gt;0),(N1588-M1588)/M1588,"")</f>
        <v/>
      </c>
      <c r="Q1588" s="3">
        <f>IF(P1588="","",IF(P1588&lt;-0.02,"🔴 Bán phá giá sàn",IF(P1588&gt;0.05,"🔵 Bán cao hơn","🟢 Đúng giá sàn TMĐT")))</f>
        <v/>
      </c>
      <c r="R1588" s="3" t="n"/>
      <c r="S1588" s="4" t="n"/>
      <c r="T1588" s="4" t="n"/>
    </row>
    <row r="1589">
      <c r="A1589" s="3" t="n">
        <v>1588</v>
      </c>
      <c r="B1589" s="3" t="inlineStr">
        <is>
          <t>DL014</t>
        </is>
      </c>
      <c r="C1589" s="4" t="inlineStr">
        <is>
          <t>Điện máy Anh Anh</t>
        </is>
      </c>
      <c r="D1589" s="3" t="inlineStr">
        <is>
          <t>HN</t>
        </is>
      </c>
      <c r="E1589" s="3" t="inlineStr">
        <is>
          <t>ĐIỆP</t>
        </is>
      </c>
      <c r="F1589" s="3" t="inlineStr">
        <is>
          <t>Tiktok</t>
        </is>
      </c>
      <c r="G1589" s="4" t="inlineStr">
        <is>
          <t>SHOPEE: TIKTOK: https://vt.tiktok.com/ZS9UMxDj8orfa-HFRLE/ LAZADA: WEBSITE BÁN HÀNG:</t>
        </is>
      </c>
      <c r="H1589" s="3" t="inlineStr">
        <is>
          <t>KBK-12</t>
        </is>
      </c>
      <c r="I1589" s="4" t="inlineStr">
        <is>
          <t>Mũi khoan đá KBK-12</t>
        </is>
      </c>
      <c r="J1589" s="3" t="inlineStr">
        <is>
          <t>Cái</t>
        </is>
      </c>
      <c r="K1589" s="5" t="n">
        <v>37000</v>
      </c>
      <c r="L1589" s="5" t="n">
        <v>46000</v>
      </c>
      <c r="M1589" s="6" t="n">
        <v>59000</v>
      </c>
      <c r="N1589" s="5" t="n"/>
      <c r="O1589" s="5">
        <f>IF(AND(ISNUMBER(N1589),ISNUMBER(M1589)),N1589-M1589,"")</f>
        <v/>
      </c>
      <c r="P1589" s="7">
        <f>IF(AND(ISNUMBER(N1589),ISNUMBER(M1589),M1589&gt;0),(N1589-M1589)/M1589,"")</f>
        <v/>
      </c>
      <c r="Q1589" s="3">
        <f>IF(P1589="","",IF(P1589&lt;-0.02,"🔴 Bán phá giá sàn",IF(P1589&gt;0.05,"🔵 Bán cao hơn","🟢 Đúng giá sàn TMĐT")))</f>
        <v/>
      </c>
      <c r="R1589" s="3" t="n"/>
      <c r="S1589" s="4" t="n"/>
      <c r="T1589" s="4" t="n"/>
    </row>
    <row r="1590">
      <c r="A1590" s="3" t="n">
        <v>1589</v>
      </c>
      <c r="B1590" s="3" t="inlineStr">
        <is>
          <t>DL014</t>
        </is>
      </c>
      <c r="C1590" s="4" t="inlineStr">
        <is>
          <t>Điện máy Anh Anh</t>
        </is>
      </c>
      <c r="D1590" s="3" t="inlineStr">
        <is>
          <t>HN</t>
        </is>
      </c>
      <c r="E1590" s="3" t="inlineStr">
        <is>
          <t>ĐIỆP</t>
        </is>
      </c>
      <c r="F1590" s="3" t="inlineStr">
        <is>
          <t>Tiktok</t>
        </is>
      </c>
      <c r="G1590" s="4" t="inlineStr">
        <is>
          <t>SHOPEE: TIKTOK: https://vt.tiktok.com/ZS9UMxDj8orfa-HFRLE/ LAZADA: WEBSITE BÁN HÀNG:</t>
        </is>
      </c>
      <c r="H1590" s="3" t="inlineStr">
        <is>
          <t>KBK-14</t>
        </is>
      </c>
      <c r="I1590" s="4" t="inlineStr">
        <is>
          <t>Mũi khoan đá KBK-14</t>
        </is>
      </c>
      <c r="J1590" s="3" t="inlineStr">
        <is>
          <t>Cái</t>
        </is>
      </c>
      <c r="K1590" s="5" t="n">
        <v>45000</v>
      </c>
      <c r="L1590" s="5" t="n">
        <v>56000</v>
      </c>
      <c r="M1590" s="6" t="n">
        <v>72000</v>
      </c>
      <c r="N1590" s="5" t="n"/>
      <c r="O1590" s="5">
        <f>IF(AND(ISNUMBER(N1590),ISNUMBER(M1590)),N1590-M1590,"")</f>
        <v/>
      </c>
      <c r="P1590" s="7">
        <f>IF(AND(ISNUMBER(N1590),ISNUMBER(M1590),M1590&gt;0),(N1590-M1590)/M1590,"")</f>
        <v/>
      </c>
      <c r="Q1590" s="3">
        <f>IF(P1590="","",IF(P1590&lt;-0.02,"🔴 Bán phá giá sàn",IF(P1590&gt;0.05,"🔵 Bán cao hơn","🟢 Đúng giá sàn TMĐT")))</f>
        <v/>
      </c>
      <c r="R1590" s="3" t="n"/>
      <c r="S1590" s="4" t="n"/>
      <c r="T1590" s="4" t="n"/>
    </row>
    <row r="1591">
      <c r="A1591" s="3" t="n">
        <v>1590</v>
      </c>
      <c r="B1591" s="3" t="inlineStr">
        <is>
          <t>DL014</t>
        </is>
      </c>
      <c r="C1591" s="4" t="inlineStr">
        <is>
          <t>Điện máy Anh Anh</t>
        </is>
      </c>
      <c r="D1591" s="3" t="inlineStr">
        <is>
          <t>HN</t>
        </is>
      </c>
      <c r="E1591" s="3" t="inlineStr">
        <is>
          <t>ĐIỆP</t>
        </is>
      </c>
      <c r="F1591" s="3" t="inlineStr">
        <is>
          <t>Tiktok</t>
        </is>
      </c>
      <c r="G1591" s="4" t="inlineStr">
        <is>
          <t>SHOPEE: TIKTOK: https://vt.tiktok.com/ZS9UMxDj8orfa-HFRLE/ LAZADA: WEBSITE BÁN HÀNG:</t>
        </is>
      </c>
      <c r="H1591" s="3" t="inlineStr">
        <is>
          <t>KBK-18</t>
        </is>
      </c>
      <c r="I1591" s="4" t="inlineStr">
        <is>
          <t>Mũi khoan đá KBK-18</t>
        </is>
      </c>
      <c r="J1591" s="3" t="inlineStr">
        <is>
          <t>Cái</t>
        </is>
      </c>
      <c r="K1591" s="5" t="n">
        <v>57000</v>
      </c>
      <c r="L1591" s="5" t="n">
        <v>71000</v>
      </c>
      <c r="M1591" s="6" t="n">
        <v>91000</v>
      </c>
      <c r="N1591" s="5" t="n"/>
      <c r="O1591" s="5">
        <f>IF(AND(ISNUMBER(N1591),ISNUMBER(M1591)),N1591-M1591,"")</f>
        <v/>
      </c>
      <c r="P1591" s="7">
        <f>IF(AND(ISNUMBER(N1591),ISNUMBER(M1591),M1591&gt;0),(N1591-M1591)/M1591,"")</f>
        <v/>
      </c>
      <c r="Q1591" s="3">
        <f>IF(P1591="","",IF(P1591&lt;-0.02,"🔴 Bán phá giá sàn",IF(P1591&gt;0.05,"🔵 Bán cao hơn","🟢 Đúng giá sàn TMĐT")))</f>
        <v/>
      </c>
      <c r="R1591" s="3" t="n"/>
      <c r="S1591" s="4" t="n"/>
      <c r="T1591" s="4" t="n"/>
    </row>
    <row r="1592">
      <c r="A1592" s="3" t="n">
        <v>1591</v>
      </c>
      <c r="B1592" s="3" t="inlineStr">
        <is>
          <t>DL014</t>
        </is>
      </c>
      <c r="C1592" s="4" t="inlineStr">
        <is>
          <t>Điện máy Anh Anh</t>
        </is>
      </c>
      <c r="D1592" s="3" t="inlineStr">
        <is>
          <t>HN</t>
        </is>
      </c>
      <c r="E1592" s="3" t="inlineStr">
        <is>
          <t>ĐIỆP</t>
        </is>
      </c>
      <c r="F1592" s="3" t="inlineStr">
        <is>
          <t>Tiktok</t>
        </is>
      </c>
      <c r="G1592" s="4" t="inlineStr">
        <is>
          <t>SHOPEE: TIKTOK: https://vt.tiktok.com/ZS9UMxDj8orfa-HFRLE/ LAZADA: WEBSITE BÁN HÀNG:</t>
        </is>
      </c>
      <c r="H1592" s="3" t="inlineStr">
        <is>
          <t>KBK-21</t>
        </is>
      </c>
      <c r="I1592" s="4" t="inlineStr">
        <is>
          <t>Mũi khoan đá KBK-21</t>
        </is>
      </c>
      <c r="J1592" s="3" t="inlineStr">
        <is>
          <t>Cái</t>
        </is>
      </c>
      <c r="K1592" s="5" t="n">
        <v>64000</v>
      </c>
      <c r="L1592" s="5" t="n">
        <v>79000</v>
      </c>
      <c r="M1592" s="6" t="n">
        <v>102000</v>
      </c>
      <c r="N1592" s="5" t="n"/>
      <c r="O1592" s="5">
        <f>IF(AND(ISNUMBER(N1592),ISNUMBER(M1592)),N1592-M1592,"")</f>
        <v/>
      </c>
      <c r="P1592" s="7">
        <f>IF(AND(ISNUMBER(N1592),ISNUMBER(M1592),M1592&gt;0),(N1592-M1592)/M1592,"")</f>
        <v/>
      </c>
      <c r="Q1592" s="3">
        <f>IF(P1592="","",IF(P1592&lt;-0.02,"🔴 Bán phá giá sàn",IF(P1592&gt;0.05,"🔵 Bán cao hơn","🟢 Đúng giá sàn TMĐT")))</f>
        <v/>
      </c>
      <c r="R1592" s="3" t="n"/>
      <c r="S1592" s="4" t="n"/>
      <c r="T1592" s="4" t="n"/>
    </row>
    <row r="1593">
      <c r="A1593" s="3" t="n">
        <v>1592</v>
      </c>
      <c r="B1593" s="3" t="inlineStr">
        <is>
          <t>DL014</t>
        </is>
      </c>
      <c r="C1593" s="4" t="inlineStr">
        <is>
          <t>Điện máy Anh Anh</t>
        </is>
      </c>
      <c r="D1593" s="3" t="inlineStr">
        <is>
          <t>HN</t>
        </is>
      </c>
      <c r="E1593" s="3" t="inlineStr">
        <is>
          <t>ĐIỆP</t>
        </is>
      </c>
      <c r="F1593" s="3" t="inlineStr">
        <is>
          <t>Tiktok</t>
        </is>
      </c>
      <c r="G1593" s="4" t="inlineStr">
        <is>
          <t>SHOPEE: TIKTOK: https://vt.tiktok.com/ZS9UMxDj8orfa-HFRLE/ LAZADA: WEBSITE BÁN HÀNG:</t>
        </is>
      </c>
      <c r="H1593" s="3" t="inlineStr">
        <is>
          <t>KBK-22</t>
        </is>
      </c>
      <c r="I1593" s="4" t="inlineStr">
        <is>
          <t>Mũi khoan đá KBK-22</t>
        </is>
      </c>
      <c r="J1593" s="3" t="inlineStr">
        <is>
          <t>Cái</t>
        </is>
      </c>
      <c r="K1593" s="5" t="n">
        <v>67000</v>
      </c>
      <c r="L1593" s="5" t="n">
        <v>83000</v>
      </c>
      <c r="M1593" s="6" t="n">
        <v>107000</v>
      </c>
      <c r="N1593" s="5" t="n"/>
      <c r="O1593" s="5">
        <f>IF(AND(ISNUMBER(N1593),ISNUMBER(M1593)),N1593-M1593,"")</f>
        <v/>
      </c>
      <c r="P1593" s="7">
        <f>IF(AND(ISNUMBER(N1593),ISNUMBER(M1593),M1593&gt;0),(N1593-M1593)/M1593,"")</f>
        <v/>
      </c>
      <c r="Q1593" s="3">
        <f>IF(P1593="","",IF(P1593&lt;-0.02,"🔴 Bán phá giá sàn",IF(P1593&gt;0.05,"🔵 Bán cao hơn","🟢 Đúng giá sàn TMĐT")))</f>
        <v/>
      </c>
      <c r="R1593" s="3" t="n"/>
      <c r="S1593" s="4" t="n"/>
      <c r="T1593" s="4" t="n"/>
    </row>
    <row r="1594">
      <c r="A1594" s="3" t="n">
        <v>1593</v>
      </c>
      <c r="B1594" s="3" t="inlineStr">
        <is>
          <t>DL014</t>
        </is>
      </c>
      <c r="C1594" s="4" t="inlineStr">
        <is>
          <t>Điện máy Anh Anh</t>
        </is>
      </c>
      <c r="D1594" s="3" t="inlineStr">
        <is>
          <t>HN</t>
        </is>
      </c>
      <c r="E1594" s="3" t="inlineStr">
        <is>
          <t>ĐIỆP</t>
        </is>
      </c>
      <c r="F1594" s="3" t="inlineStr">
        <is>
          <t>Tiktok</t>
        </is>
      </c>
      <c r="G1594" s="4" t="inlineStr">
        <is>
          <t>SHOPEE: TIKTOK: https://vt.tiktok.com/ZS9UMxDj8orfa-HFRLE/ LAZADA: WEBSITE BÁN HÀNG:</t>
        </is>
      </c>
      <c r="H1594" s="3" t="inlineStr">
        <is>
          <t>KBK-28</t>
        </is>
      </c>
      <c r="I1594" s="4" t="inlineStr">
        <is>
          <t>Mũi khoan đá KBK-28</t>
        </is>
      </c>
      <c r="J1594" s="3" t="inlineStr">
        <is>
          <t>Cái</t>
        </is>
      </c>
      <c r="K1594" s="5" t="n">
        <v>85000</v>
      </c>
      <c r="L1594" s="5" t="n">
        <v>105000</v>
      </c>
      <c r="M1594" s="6" t="n">
        <v>136000</v>
      </c>
      <c r="N1594" s="5" t="n"/>
      <c r="O1594" s="5">
        <f>IF(AND(ISNUMBER(N1594),ISNUMBER(M1594)),N1594-M1594,"")</f>
        <v/>
      </c>
      <c r="P1594" s="7">
        <f>IF(AND(ISNUMBER(N1594),ISNUMBER(M1594),M1594&gt;0),(N1594-M1594)/M1594,"")</f>
        <v/>
      </c>
      <c r="Q1594" s="3">
        <f>IF(P1594="","",IF(P1594&lt;-0.02,"🔴 Bán phá giá sàn",IF(P1594&gt;0.05,"🔵 Bán cao hơn","🟢 Đúng giá sàn TMĐT")))</f>
        <v/>
      </c>
      <c r="R1594" s="3" t="n"/>
      <c r="S1594" s="4" t="n"/>
      <c r="T1594" s="4" t="n"/>
    </row>
    <row r="1595">
      <c r="A1595" s="3" t="n">
        <v>1594</v>
      </c>
      <c r="B1595" s="3" t="inlineStr">
        <is>
          <t>DL014</t>
        </is>
      </c>
      <c r="C1595" s="4" t="inlineStr">
        <is>
          <t>Điện máy Anh Anh</t>
        </is>
      </c>
      <c r="D1595" s="3" t="inlineStr">
        <is>
          <t>HN</t>
        </is>
      </c>
      <c r="E1595" s="3" t="inlineStr">
        <is>
          <t>ĐIỆP</t>
        </is>
      </c>
      <c r="F1595" s="3" t="inlineStr">
        <is>
          <t>Tiktok</t>
        </is>
      </c>
      <c r="G1595" s="4" t="inlineStr">
        <is>
          <t>SHOPEE: TIKTOK: https://vt.tiktok.com/ZS9UMxDj8orfa-HFRLE/ LAZADA: WEBSITE BÁN HÀNG:</t>
        </is>
      </c>
      <c r="H1595" s="3" t="inlineStr">
        <is>
          <t>KBK-30</t>
        </is>
      </c>
      <c r="I1595" s="4" t="inlineStr">
        <is>
          <t>Mũi khoan đá KBK-30</t>
        </is>
      </c>
      <c r="J1595" s="3" t="inlineStr">
        <is>
          <t>Cái</t>
        </is>
      </c>
      <c r="K1595" s="5" t="n">
        <v>91000</v>
      </c>
      <c r="L1595" s="5" t="n">
        <v>113000</v>
      </c>
      <c r="M1595" s="6" t="n">
        <v>146000</v>
      </c>
      <c r="N1595" s="5" t="n"/>
      <c r="O1595" s="5">
        <f>IF(AND(ISNUMBER(N1595),ISNUMBER(M1595)),N1595-M1595,"")</f>
        <v/>
      </c>
      <c r="P1595" s="7">
        <f>IF(AND(ISNUMBER(N1595),ISNUMBER(M1595),M1595&gt;0),(N1595-M1595)/M1595,"")</f>
        <v/>
      </c>
      <c r="Q1595" s="3">
        <f>IF(P1595="","",IF(P1595&lt;-0.02,"🔴 Bán phá giá sàn",IF(P1595&gt;0.05,"🔵 Bán cao hơn","🟢 Đúng giá sàn TMĐT")))</f>
        <v/>
      </c>
      <c r="R1595" s="3" t="n"/>
      <c r="S1595" s="4" t="n"/>
      <c r="T1595" s="4" t="n"/>
    </row>
    <row r="1596">
      <c r="A1596" s="3" t="n">
        <v>1595</v>
      </c>
      <c r="B1596" s="3" t="inlineStr">
        <is>
          <t>DL014</t>
        </is>
      </c>
      <c r="C1596" s="4" t="inlineStr">
        <is>
          <t>Điện máy Anh Anh</t>
        </is>
      </c>
      <c r="D1596" s="3" t="inlineStr">
        <is>
          <t>HN</t>
        </is>
      </c>
      <c r="E1596" s="3" t="inlineStr">
        <is>
          <t>ĐIỆP</t>
        </is>
      </c>
      <c r="F1596" s="3" t="inlineStr">
        <is>
          <t>Tiktok</t>
        </is>
      </c>
      <c r="G1596" s="4" t="inlineStr">
        <is>
          <t>SHOPEE: TIKTOK: https://vt.tiktok.com/ZS9UMxDj8orfa-HFRLE/ LAZADA: WEBSITE BÁN HÀNG:</t>
        </is>
      </c>
      <c r="H1596" s="3" t="inlineStr">
        <is>
          <t>KBK-32</t>
        </is>
      </c>
      <c r="I1596" s="4" t="inlineStr">
        <is>
          <t>Mũi khoan đá KBK-32</t>
        </is>
      </c>
      <c r="J1596" s="3" t="inlineStr">
        <is>
          <t>Cái</t>
        </is>
      </c>
      <c r="K1596" s="5" t="n">
        <v>96000</v>
      </c>
      <c r="L1596" s="5" t="n">
        <v>119000</v>
      </c>
      <c r="M1596" s="6" t="n">
        <v>154000</v>
      </c>
      <c r="N1596" s="5" t="n"/>
      <c r="O1596" s="5">
        <f>IF(AND(ISNUMBER(N1596),ISNUMBER(M1596)),N1596-M1596,"")</f>
        <v/>
      </c>
      <c r="P1596" s="7">
        <f>IF(AND(ISNUMBER(N1596),ISNUMBER(M1596),M1596&gt;0),(N1596-M1596)/M1596,"")</f>
        <v/>
      </c>
      <c r="Q1596" s="3">
        <f>IF(P1596="","",IF(P1596&lt;-0.02,"🔴 Bán phá giá sàn",IF(P1596&gt;0.05,"🔵 Bán cao hơn","🟢 Đúng giá sàn TMĐT")))</f>
        <v/>
      </c>
      <c r="R1596" s="3" t="n"/>
      <c r="S1596" s="4" t="n"/>
      <c r="T1596" s="4" t="n"/>
    </row>
    <row r="1597">
      <c r="A1597" s="3" t="n">
        <v>1596</v>
      </c>
      <c r="B1597" s="3" t="inlineStr">
        <is>
          <t>DL014</t>
        </is>
      </c>
      <c r="C1597" s="4" t="inlineStr">
        <is>
          <t>Điện máy Anh Anh</t>
        </is>
      </c>
      <c r="D1597" s="3" t="inlineStr">
        <is>
          <t>HN</t>
        </is>
      </c>
      <c r="E1597" s="3" t="inlineStr">
        <is>
          <t>ĐIỆP</t>
        </is>
      </c>
      <c r="F1597" s="3" t="inlineStr">
        <is>
          <t>Tiktok</t>
        </is>
      </c>
      <c r="G1597" s="4" t="inlineStr">
        <is>
          <t>SHOPEE: TIKTOK: https://vt.tiktok.com/ZS9UMxDj8orfa-HFRLE/ LAZADA: WEBSITE BÁN HÀNG:</t>
        </is>
      </c>
      <c r="H1597" s="3" t="inlineStr">
        <is>
          <t>KBK-34</t>
        </is>
      </c>
      <c r="I1597" s="4" t="inlineStr">
        <is>
          <t>Mũi khoan đá KBK-34</t>
        </is>
      </c>
      <c r="J1597" s="3" t="inlineStr">
        <is>
          <t>Cái</t>
        </is>
      </c>
      <c r="K1597" s="5" t="n">
        <v>102000</v>
      </c>
      <c r="L1597" s="5" t="n">
        <v>126000</v>
      </c>
      <c r="M1597" s="6" t="n">
        <v>163000</v>
      </c>
      <c r="N1597" s="5" t="n"/>
      <c r="O1597" s="5">
        <f>IF(AND(ISNUMBER(N1597),ISNUMBER(M1597)),N1597-M1597,"")</f>
        <v/>
      </c>
      <c r="P1597" s="7">
        <f>IF(AND(ISNUMBER(N1597),ISNUMBER(M1597),M1597&gt;0),(N1597-M1597)/M1597,"")</f>
        <v/>
      </c>
      <c r="Q1597" s="3">
        <f>IF(P1597="","",IF(P1597&lt;-0.02,"🔴 Bán phá giá sàn",IF(P1597&gt;0.05,"🔵 Bán cao hơn","🟢 Đúng giá sàn TMĐT")))</f>
        <v/>
      </c>
      <c r="R1597" s="3" t="n"/>
      <c r="S1597" s="4" t="n"/>
      <c r="T1597" s="4" t="n"/>
    </row>
    <row r="1598">
      <c r="A1598" s="3" t="n">
        <v>1597</v>
      </c>
      <c r="B1598" s="3" t="inlineStr">
        <is>
          <t>DL014</t>
        </is>
      </c>
      <c r="C1598" s="4" t="inlineStr">
        <is>
          <t>Điện máy Anh Anh</t>
        </is>
      </c>
      <c r="D1598" s="3" t="inlineStr">
        <is>
          <t>HN</t>
        </is>
      </c>
      <c r="E1598" s="3" t="inlineStr">
        <is>
          <t>ĐIỆP</t>
        </is>
      </c>
      <c r="F1598" s="3" t="inlineStr">
        <is>
          <t>Tiktok</t>
        </is>
      </c>
      <c r="G1598" s="4" t="inlineStr">
        <is>
          <t>SHOPEE: TIKTOK: https://vt.tiktok.com/ZS9UMxDj8orfa-HFRLE/ LAZADA: WEBSITE BÁN HÀNG:</t>
        </is>
      </c>
      <c r="H1598" s="3" t="inlineStr">
        <is>
          <t>KBK-35</t>
        </is>
      </c>
      <c r="I1598" s="4" t="inlineStr">
        <is>
          <t>Mũi khoan đá KBK-35</t>
        </is>
      </c>
      <c r="J1598" s="3" t="inlineStr">
        <is>
          <t>Cái</t>
        </is>
      </c>
      <c r="K1598" s="5" t="n">
        <v>104000</v>
      </c>
      <c r="L1598" s="5" t="n">
        <v>129000</v>
      </c>
      <c r="M1598" s="6" t="n">
        <v>166000</v>
      </c>
      <c r="N1598" s="5" t="n"/>
      <c r="O1598" s="5">
        <f>IF(AND(ISNUMBER(N1598),ISNUMBER(M1598)),N1598-M1598,"")</f>
        <v/>
      </c>
      <c r="P1598" s="7">
        <f>IF(AND(ISNUMBER(N1598),ISNUMBER(M1598),M1598&gt;0),(N1598-M1598)/M1598,"")</f>
        <v/>
      </c>
      <c r="Q1598" s="3">
        <f>IF(P1598="","",IF(P1598&lt;-0.02,"🔴 Bán phá giá sàn",IF(P1598&gt;0.05,"🔵 Bán cao hơn","🟢 Đúng giá sàn TMĐT")))</f>
        <v/>
      </c>
      <c r="R1598" s="3" t="n"/>
      <c r="S1598" s="4" t="n"/>
      <c r="T1598" s="4" t="n"/>
    </row>
    <row r="1599">
      <c r="A1599" s="3" t="n">
        <v>1598</v>
      </c>
      <c r="B1599" s="3" t="inlineStr">
        <is>
          <t>DL014</t>
        </is>
      </c>
      <c r="C1599" s="4" t="inlineStr">
        <is>
          <t>Điện máy Anh Anh</t>
        </is>
      </c>
      <c r="D1599" s="3" t="inlineStr">
        <is>
          <t>HN</t>
        </is>
      </c>
      <c r="E1599" s="3" t="inlineStr">
        <is>
          <t>ĐIỆP</t>
        </is>
      </c>
      <c r="F1599" s="3" t="inlineStr">
        <is>
          <t>Tiktok</t>
        </is>
      </c>
      <c r="G1599" s="4" t="inlineStr">
        <is>
          <t>SHOPEE: TIKTOK: https://vt.tiktok.com/ZS9UMxDj8orfa-HFRLE/ LAZADA: WEBSITE BÁN HÀNG:</t>
        </is>
      </c>
      <c r="H1599" s="3" t="inlineStr">
        <is>
          <t>KBK-42</t>
        </is>
      </c>
      <c r="I1599" s="4" t="inlineStr">
        <is>
          <t>Mũi khoan đá KBK-42</t>
        </is>
      </c>
      <c r="J1599" s="3" t="inlineStr">
        <is>
          <t>Cái</t>
        </is>
      </c>
      <c r="K1599" s="5" t="n">
        <v>129000</v>
      </c>
      <c r="L1599" s="5" t="n">
        <v>160000</v>
      </c>
      <c r="M1599" s="6" t="n">
        <v>206000</v>
      </c>
      <c r="N1599" s="5" t="n"/>
      <c r="O1599" s="5">
        <f>IF(AND(ISNUMBER(N1599),ISNUMBER(M1599)),N1599-M1599,"")</f>
        <v/>
      </c>
      <c r="P1599" s="7">
        <f>IF(AND(ISNUMBER(N1599),ISNUMBER(M1599),M1599&gt;0),(N1599-M1599)/M1599,"")</f>
        <v/>
      </c>
      <c r="Q1599" s="3">
        <f>IF(P1599="","",IF(P1599&lt;-0.02,"🔴 Bán phá giá sàn",IF(P1599&gt;0.05,"🔵 Bán cao hơn","🟢 Đúng giá sàn TMĐT")))</f>
        <v/>
      </c>
      <c r="R1599" s="3" t="n"/>
      <c r="S1599" s="4" t="n"/>
      <c r="T1599" s="4" t="n"/>
    </row>
    <row r="1600">
      <c r="A1600" s="3" t="n">
        <v>1599</v>
      </c>
      <c r="B1600" s="3" t="inlineStr">
        <is>
          <t>DL014</t>
        </is>
      </c>
      <c r="C1600" s="4" t="inlineStr">
        <is>
          <t>Điện máy Anh Anh</t>
        </is>
      </c>
      <c r="D1600" s="3" t="inlineStr">
        <is>
          <t>HN</t>
        </is>
      </c>
      <c r="E1600" s="3" t="inlineStr">
        <is>
          <t>ĐIỆP</t>
        </is>
      </c>
      <c r="F1600" s="3" t="inlineStr">
        <is>
          <t>Tiktok</t>
        </is>
      </c>
      <c r="G1600" s="4" t="inlineStr">
        <is>
          <t>SHOPEE: TIKTOK: https://vt.tiktok.com/ZS9UMxDj8orfa-HFRLE/ LAZADA: WEBSITE BÁN HÀNG:</t>
        </is>
      </c>
      <c r="H1600" s="3" t="inlineStr">
        <is>
          <t>KBK-45</t>
        </is>
      </c>
      <c r="I1600" s="4" t="inlineStr">
        <is>
          <t>Mũi khoan đá KBK-45</t>
        </is>
      </c>
      <c r="J1600" s="3" t="inlineStr">
        <is>
          <t>Cái</t>
        </is>
      </c>
      <c r="K1600" s="5" t="n">
        <v>140000</v>
      </c>
      <c r="L1600" s="5" t="n">
        <v>174000</v>
      </c>
      <c r="M1600" s="6" t="n">
        <v>224000</v>
      </c>
      <c r="N1600" s="5" t="n"/>
      <c r="O1600" s="5">
        <f>IF(AND(ISNUMBER(N1600),ISNUMBER(M1600)),N1600-M1600,"")</f>
        <v/>
      </c>
      <c r="P1600" s="7">
        <f>IF(AND(ISNUMBER(N1600),ISNUMBER(M1600),M1600&gt;0),(N1600-M1600)/M1600,"")</f>
        <v/>
      </c>
      <c r="Q1600" s="3">
        <f>IF(P1600="","",IF(P1600&lt;-0.02,"🔴 Bán phá giá sàn",IF(P1600&gt;0.05,"🔵 Bán cao hơn","🟢 Đúng giá sàn TMĐT")))</f>
        <v/>
      </c>
      <c r="R1600" s="3" t="n"/>
      <c r="S1600" s="4" t="n"/>
      <c r="T1600" s="4" t="n"/>
    </row>
    <row r="1601">
      <c r="A1601" s="3" t="n">
        <v>1600</v>
      </c>
      <c r="B1601" s="3" t="inlineStr">
        <is>
          <t>DL014</t>
        </is>
      </c>
      <c r="C1601" s="4" t="inlineStr">
        <is>
          <t>Điện máy Anh Anh</t>
        </is>
      </c>
      <c r="D1601" s="3" t="inlineStr">
        <is>
          <t>HN</t>
        </is>
      </c>
      <c r="E1601" s="3" t="inlineStr">
        <is>
          <t>ĐIỆP</t>
        </is>
      </c>
      <c r="F1601" s="3" t="inlineStr">
        <is>
          <t>Tiktok</t>
        </is>
      </c>
      <c r="G1601" s="4" t="inlineStr">
        <is>
          <t>SHOPEE: TIKTOK: https://vt.tiktok.com/ZS9UMxDj8orfa-HFRLE/ LAZADA: WEBSITE BÁN HÀNG:</t>
        </is>
      </c>
      <c r="H1601" s="3" t="inlineStr">
        <is>
          <t>KBK-50</t>
        </is>
      </c>
      <c r="I1601" s="4" t="inlineStr">
        <is>
          <t>Mũi khoan đá KBK-50</t>
        </is>
      </c>
      <c r="J1601" s="3" t="inlineStr">
        <is>
          <t>Cái</t>
        </is>
      </c>
      <c r="K1601" s="5" t="n">
        <v>153000</v>
      </c>
      <c r="L1601" s="5" t="n">
        <v>190000</v>
      </c>
      <c r="M1601" s="6" t="n">
        <v>245000</v>
      </c>
      <c r="N1601" s="5" t="n"/>
      <c r="O1601" s="5">
        <f>IF(AND(ISNUMBER(N1601),ISNUMBER(M1601)),N1601-M1601,"")</f>
        <v/>
      </c>
      <c r="P1601" s="7">
        <f>IF(AND(ISNUMBER(N1601),ISNUMBER(M1601),M1601&gt;0),(N1601-M1601)/M1601,"")</f>
        <v/>
      </c>
      <c r="Q1601" s="3">
        <f>IF(P1601="","",IF(P1601&lt;-0.02,"🔴 Bán phá giá sàn",IF(P1601&gt;0.05,"🔵 Bán cao hơn","🟢 Đúng giá sàn TMĐT")))</f>
        <v/>
      </c>
      <c r="R1601" s="3" t="n"/>
      <c r="S1601" s="4" t="n"/>
      <c r="T1601" s="4" t="n"/>
    </row>
    <row r="1602">
      <c r="A1602" s="3" t="n">
        <v>1601</v>
      </c>
      <c r="B1602" s="3" t="inlineStr">
        <is>
          <t>DL014</t>
        </is>
      </c>
      <c r="C1602" s="4" t="inlineStr">
        <is>
          <t>Điện máy Anh Anh</t>
        </is>
      </c>
      <c r="D1602" s="3" t="inlineStr">
        <is>
          <t>HN</t>
        </is>
      </c>
      <c r="E1602" s="3" t="inlineStr">
        <is>
          <t>ĐIỆP</t>
        </is>
      </c>
      <c r="F1602" s="3" t="inlineStr">
        <is>
          <t>Tiktok</t>
        </is>
      </c>
      <c r="G1602" s="4" t="inlineStr">
        <is>
          <t>SHOPEE: TIKTOK: https://vt.tiktok.com/ZS9UMxDj8orfa-HFRLE/ LAZADA: WEBSITE BÁN HÀNG:</t>
        </is>
      </c>
      <c r="H1602" s="3" t="inlineStr">
        <is>
          <t>KBK-60</t>
        </is>
      </c>
      <c r="I1602" s="4" t="inlineStr">
        <is>
          <t>Mũi khoan đá KBK-60</t>
        </is>
      </c>
      <c r="J1602" s="3" t="inlineStr">
        <is>
          <t>Cái</t>
        </is>
      </c>
      <c r="K1602" s="5" t="n">
        <v>182000</v>
      </c>
      <c r="L1602" s="5" t="n">
        <v>226000</v>
      </c>
      <c r="M1602" s="6" t="n">
        <v>291000</v>
      </c>
      <c r="N1602" s="5" t="n"/>
      <c r="O1602" s="5">
        <f>IF(AND(ISNUMBER(N1602),ISNUMBER(M1602)),N1602-M1602,"")</f>
        <v/>
      </c>
      <c r="P1602" s="7">
        <f>IF(AND(ISNUMBER(N1602),ISNUMBER(M1602),M1602&gt;0),(N1602-M1602)/M1602,"")</f>
        <v/>
      </c>
      <c r="Q1602" s="3">
        <f>IF(P1602="","",IF(P1602&lt;-0.02,"🔴 Bán phá giá sàn",IF(P1602&gt;0.05,"🔵 Bán cao hơn","🟢 Đúng giá sàn TMĐT")))</f>
        <v/>
      </c>
      <c r="R1602" s="3" t="n"/>
      <c r="S1602" s="4" t="n"/>
      <c r="T1602" s="4" t="n"/>
    </row>
    <row r="1603">
      <c r="A1603" s="3" t="n">
        <v>1602</v>
      </c>
      <c r="B1603" s="3" t="inlineStr">
        <is>
          <t>DL014</t>
        </is>
      </c>
      <c r="C1603" s="4" t="inlineStr">
        <is>
          <t>Điện máy Anh Anh</t>
        </is>
      </c>
      <c r="D1603" s="3" t="inlineStr">
        <is>
          <t>HN</t>
        </is>
      </c>
      <c r="E1603" s="3" t="inlineStr">
        <is>
          <t>ĐIỆP</t>
        </is>
      </c>
      <c r="F1603" s="3" t="inlineStr">
        <is>
          <t>Tiktok</t>
        </is>
      </c>
      <c r="G1603" s="4" t="inlineStr">
        <is>
          <t>SHOPEE: TIKTOK: https://vt.tiktok.com/ZS9UMxDj8orfa-HFRLE/ LAZADA: WEBSITE BÁN HÀNG:</t>
        </is>
      </c>
      <c r="H1603" s="3" t="inlineStr">
        <is>
          <t>KBK-75</t>
        </is>
      </c>
      <c r="I1603" s="4" t="inlineStr">
        <is>
          <t>Mũi khoan đá KBK-75</t>
        </is>
      </c>
      <c r="J1603" s="3" t="inlineStr">
        <is>
          <t>Cái</t>
        </is>
      </c>
      <c r="K1603" s="5" t="n">
        <v>247000</v>
      </c>
      <c r="L1603" s="5" t="n">
        <v>306000</v>
      </c>
      <c r="M1603" s="6" t="n">
        <v>395000</v>
      </c>
      <c r="N1603" s="5" t="n"/>
      <c r="O1603" s="5">
        <f>IF(AND(ISNUMBER(N1603),ISNUMBER(M1603)),N1603-M1603,"")</f>
        <v/>
      </c>
      <c r="P1603" s="7">
        <f>IF(AND(ISNUMBER(N1603),ISNUMBER(M1603),M1603&gt;0),(N1603-M1603)/M1603,"")</f>
        <v/>
      </c>
      <c r="Q1603" s="3">
        <f>IF(P1603="","",IF(P1603&lt;-0.02,"🔴 Bán phá giá sàn",IF(P1603&gt;0.05,"🔵 Bán cao hơn","🟢 Đúng giá sàn TMĐT")))</f>
        <v/>
      </c>
      <c r="R1603" s="3" t="n"/>
      <c r="S1603" s="4" t="n"/>
      <c r="T1603" s="4" t="n"/>
    </row>
    <row r="1604">
      <c r="A1604" s="3" t="n">
        <v>1603</v>
      </c>
      <c r="B1604" s="3" t="inlineStr">
        <is>
          <t>DL014</t>
        </is>
      </c>
      <c r="C1604" s="4" t="inlineStr">
        <is>
          <t>Điện máy Anh Anh</t>
        </is>
      </c>
      <c r="D1604" s="3" t="inlineStr">
        <is>
          <t>HN</t>
        </is>
      </c>
      <c r="E1604" s="3" t="inlineStr">
        <is>
          <t>ĐIỆP</t>
        </is>
      </c>
      <c r="F1604" s="3" t="inlineStr">
        <is>
          <t>Tiktok</t>
        </is>
      </c>
      <c r="G1604" s="4" t="inlineStr">
        <is>
          <t>SHOPEE: TIKTOK: https://vt.tiktok.com/ZS9UMxDj8orfa-HFRLE/ LAZADA: WEBSITE BÁN HÀNG:</t>
        </is>
      </c>
      <c r="H1604" s="3" t="inlineStr">
        <is>
          <t>KBL2S-06160</t>
        </is>
      </c>
      <c r="I1604" s="4" t="inlineStr">
        <is>
          <t>Mũi khoan đa năng chuôi gài 2 cạnh KBL2S-06*160</t>
        </is>
      </c>
      <c r="J1604" s="3" t="inlineStr">
        <is>
          <t>Cái</t>
        </is>
      </c>
      <c r="K1604" s="5" t="n">
        <v>24000</v>
      </c>
      <c r="L1604" s="5" t="n">
        <v>30000</v>
      </c>
      <c r="M1604" s="6" t="n">
        <v>38000</v>
      </c>
      <c r="N1604" s="5" t="n"/>
      <c r="O1604" s="5">
        <f>IF(AND(ISNUMBER(N1604),ISNUMBER(M1604)),N1604-M1604,"")</f>
        <v/>
      </c>
      <c r="P1604" s="7">
        <f>IF(AND(ISNUMBER(N1604),ISNUMBER(M1604),M1604&gt;0),(N1604-M1604)/M1604,"")</f>
        <v/>
      </c>
      <c r="Q1604" s="3">
        <f>IF(P1604="","",IF(P1604&lt;-0.02,"🔴 Bán phá giá sàn",IF(P1604&gt;0.05,"🔵 Bán cao hơn","🟢 Đúng giá sàn TMĐT")))</f>
        <v/>
      </c>
      <c r="R1604" s="3" t="n"/>
      <c r="S1604" s="4" t="n"/>
      <c r="T1604" s="4" t="n"/>
    </row>
    <row r="1605">
      <c r="A1605" s="3" t="n">
        <v>1604</v>
      </c>
      <c r="B1605" s="3" t="inlineStr">
        <is>
          <t>DL014</t>
        </is>
      </c>
      <c r="C1605" s="4" t="inlineStr">
        <is>
          <t>Điện máy Anh Anh</t>
        </is>
      </c>
      <c r="D1605" s="3" t="inlineStr">
        <is>
          <t>HN</t>
        </is>
      </c>
      <c r="E1605" s="3" t="inlineStr">
        <is>
          <t>ĐIỆP</t>
        </is>
      </c>
      <c r="F1605" s="3" t="inlineStr">
        <is>
          <t>Tiktok</t>
        </is>
      </c>
      <c r="G1605" s="4" t="inlineStr">
        <is>
          <t>SHOPEE: TIKTOK: https://vt.tiktok.com/ZS9UMxDj8orfa-HFRLE/ LAZADA: WEBSITE BÁN HÀNG:</t>
        </is>
      </c>
      <c r="H1605" s="3" t="inlineStr">
        <is>
          <t>KRS-27155</t>
        </is>
      </c>
      <c r="I1605" s="4" t="inlineStr">
        <is>
          <t>Mũi khoan rút lõi khô KRS-27*155</t>
        </is>
      </c>
      <c r="J1605" s="3" t="inlineStr">
        <is>
          <t>Cái</t>
        </is>
      </c>
      <c r="K1605" s="5" t="n">
        <v>269000</v>
      </c>
      <c r="L1605" s="5" t="n">
        <v>317000</v>
      </c>
      <c r="M1605" s="6" t="n">
        <v>390000</v>
      </c>
      <c r="N1605" s="5" t="n"/>
      <c r="O1605" s="5">
        <f>IF(AND(ISNUMBER(N1605),ISNUMBER(M1605)),N1605-M1605,"")</f>
        <v/>
      </c>
      <c r="P1605" s="7">
        <f>IF(AND(ISNUMBER(N1605),ISNUMBER(M1605),M1605&gt;0),(N1605-M1605)/M1605,"")</f>
        <v/>
      </c>
      <c r="Q1605" s="3">
        <f>IF(P1605="","",IF(P1605&lt;-0.02,"🔴 Bán phá giá sàn",IF(P1605&gt;0.05,"🔵 Bán cao hơn","🟢 Đúng giá sàn TMĐT")))</f>
        <v/>
      </c>
      <c r="R1605" s="3" t="n"/>
      <c r="S1605" s="4" t="n"/>
      <c r="T1605" s="4" t="n"/>
    </row>
    <row r="1606">
      <c r="A1606" s="3" t="n">
        <v>1605</v>
      </c>
      <c r="B1606" s="3" t="inlineStr">
        <is>
          <t>DL014</t>
        </is>
      </c>
      <c r="C1606" s="4" t="inlineStr">
        <is>
          <t>Điện máy Anh Anh</t>
        </is>
      </c>
      <c r="D1606" s="3" t="inlineStr">
        <is>
          <t>HN</t>
        </is>
      </c>
      <c r="E1606" s="3" t="inlineStr">
        <is>
          <t>ĐIỆP</t>
        </is>
      </c>
      <c r="F1606" s="3" t="inlineStr">
        <is>
          <t>Tiktok</t>
        </is>
      </c>
      <c r="G1606" s="4" t="inlineStr">
        <is>
          <t>SHOPEE: TIKTOK: https://vt.tiktok.com/ZS9UMxDj8orfa-HFRLE/ LAZADA: WEBSITE BÁN HÀNG:</t>
        </is>
      </c>
      <c r="H1606" s="3" t="inlineStr">
        <is>
          <t>KRS-55155</t>
        </is>
      </c>
      <c r="I1606" s="4" t="inlineStr">
        <is>
          <t>Mũi khoan rút lõi khô KRS-55*155</t>
        </is>
      </c>
      <c r="J1606" s="3" t="inlineStr">
        <is>
          <t>Cái</t>
        </is>
      </c>
      <c r="K1606" s="5" t="n">
        <v>1190000</v>
      </c>
      <c r="L1606" s="5" t="n">
        <v>1380000</v>
      </c>
      <c r="M1606" s="6" t="n">
        <v>1666000</v>
      </c>
      <c r="N1606" s="5" t="n"/>
      <c r="O1606" s="5">
        <f>IF(AND(ISNUMBER(N1606),ISNUMBER(M1606)),N1606-M1606,"")</f>
        <v/>
      </c>
      <c r="P1606" s="7">
        <f>IF(AND(ISNUMBER(N1606),ISNUMBER(M1606),M1606&gt;0),(N1606-M1606)/M1606,"")</f>
        <v/>
      </c>
      <c r="Q1606" s="3">
        <f>IF(P1606="","",IF(P1606&lt;-0.02,"🔴 Bán phá giá sàn",IF(P1606&gt;0.05,"🔵 Bán cao hơn","🟢 Đúng giá sàn TMĐT")))</f>
        <v/>
      </c>
      <c r="R1606" s="3" t="n"/>
      <c r="S1606" s="4" t="n"/>
      <c r="T1606" s="4" t="n"/>
    </row>
    <row r="1607">
      <c r="A1607" s="3" t="n">
        <v>1606</v>
      </c>
      <c r="B1607" s="3" t="inlineStr">
        <is>
          <t>DL014</t>
        </is>
      </c>
      <c r="C1607" s="4" t="inlineStr">
        <is>
          <t>Điện máy Anh Anh</t>
        </is>
      </c>
      <c r="D1607" s="3" t="inlineStr">
        <is>
          <t>HN</t>
        </is>
      </c>
      <c r="E1607" s="3" t="inlineStr">
        <is>
          <t>ĐIỆP</t>
        </is>
      </c>
      <c r="F1607" s="3" t="inlineStr">
        <is>
          <t>Tiktok</t>
        </is>
      </c>
      <c r="G1607" s="4" t="inlineStr">
        <is>
          <t>SHOPEE: TIKTOK: https://vt.tiktok.com/ZS9UMxDj8orfa-HFRLE/ LAZADA: WEBSITE BÁN HÀNG:</t>
        </is>
      </c>
      <c r="H1607" s="3" t="inlineStr">
        <is>
          <t>KRS-60155</t>
        </is>
      </c>
      <c r="I1607" s="4" t="inlineStr">
        <is>
          <t>Mũi khoan rút lõi khô KRS-60*155 (New)</t>
        </is>
      </c>
      <c r="J1607" s="3" t="inlineStr">
        <is>
          <t>Cái</t>
        </is>
      </c>
      <c r="K1607" s="5" t="n">
        <v>1290000</v>
      </c>
      <c r="L1607" s="5" t="n">
        <v>1496000</v>
      </c>
      <c r="M1607" s="6" t="n">
        <v>1806000</v>
      </c>
      <c r="N1607" s="5" t="n"/>
      <c r="O1607" s="5">
        <f>IF(AND(ISNUMBER(N1607),ISNUMBER(M1607)),N1607-M1607,"")</f>
        <v/>
      </c>
      <c r="P1607" s="7">
        <f>IF(AND(ISNUMBER(N1607),ISNUMBER(M1607),M1607&gt;0),(N1607-M1607)/M1607,"")</f>
        <v/>
      </c>
      <c r="Q1607" s="3">
        <f>IF(P1607="","",IF(P1607&lt;-0.02,"🔴 Bán phá giá sàn",IF(P1607&gt;0.05,"🔵 Bán cao hơn","🟢 Đúng giá sàn TMĐT")))</f>
        <v/>
      </c>
      <c r="R1607" s="3" t="n"/>
      <c r="S1607" s="4" t="n"/>
      <c r="T1607" s="4" t="n"/>
    </row>
    <row r="1608">
      <c r="A1608" s="3" t="n">
        <v>1607</v>
      </c>
      <c r="B1608" s="3" t="inlineStr">
        <is>
          <t>DL014</t>
        </is>
      </c>
      <c r="C1608" s="4" t="inlineStr">
        <is>
          <t>Điện máy Anh Anh</t>
        </is>
      </c>
      <c r="D1608" s="3" t="inlineStr">
        <is>
          <t>HN</t>
        </is>
      </c>
      <c r="E1608" s="3" t="inlineStr">
        <is>
          <t>ĐIỆP</t>
        </is>
      </c>
      <c r="F1608" s="3" t="inlineStr">
        <is>
          <t>Tiktok</t>
        </is>
      </c>
      <c r="G1608" s="4" t="inlineStr">
        <is>
          <t>SHOPEE: TIKTOK: https://vt.tiktok.com/ZS9UMxDj8orfa-HFRLE/ LAZADA: WEBSITE BÁN HÀNG:</t>
        </is>
      </c>
      <c r="H1608" s="3" t="inlineStr"/>
      <c r="I1608" s="4" t="inlineStr">
        <is>
          <t>Mũi khoan tường không tắc kê KBLJ - 03.2*100</t>
        </is>
      </c>
      <c r="J1608" s="3" t="inlineStr">
        <is>
          <t>Cái</t>
        </is>
      </c>
      <c r="K1608" s="5" t="n">
        <v>269000</v>
      </c>
      <c r="L1608" s="5" t="n">
        <v>317000</v>
      </c>
      <c r="M1608" s="6" t="n">
        <v>390000</v>
      </c>
      <c r="N1608" s="5" t="n"/>
      <c r="O1608" s="5">
        <f>IF(AND(ISNUMBER(N1608),ISNUMBER(M1608)),N1608-M1608,"")</f>
        <v/>
      </c>
      <c r="P1608" s="7">
        <f>IF(AND(ISNUMBER(N1608),ISNUMBER(M1608),M1608&gt;0),(N1608-M1608)/M1608,"")</f>
        <v/>
      </c>
      <c r="Q1608" s="3">
        <f>IF(P1608="","",IF(P1608&lt;-0.02,"🔴 Bán phá giá sàn",IF(P1608&gt;0.05,"🔵 Bán cao hơn","🟢 Đúng giá sàn TMĐT")))</f>
        <v/>
      </c>
      <c r="R1608" s="3" t="n"/>
      <c r="S1608" s="4" t="n"/>
      <c r="T1608" s="4" t="n"/>
    </row>
    <row r="1609">
      <c r="A1609" s="3" t="n">
        <v>1608</v>
      </c>
      <c r="B1609" s="3" t="inlineStr">
        <is>
          <t>DL014</t>
        </is>
      </c>
      <c r="C1609" s="4" t="inlineStr">
        <is>
          <t>Điện máy Anh Anh</t>
        </is>
      </c>
      <c r="D1609" s="3" t="inlineStr">
        <is>
          <t>HN</t>
        </is>
      </c>
      <c r="E1609" s="3" t="inlineStr">
        <is>
          <t>ĐIỆP</t>
        </is>
      </c>
      <c r="F1609" s="3" t="inlineStr">
        <is>
          <t>Tiktok</t>
        </is>
      </c>
      <c r="G1609" s="4" t="inlineStr">
        <is>
          <t>SHOPEE: TIKTOK: https://vt.tiktok.com/ZS9UMxDj8orfa-HFRLE/ LAZADA: WEBSITE BÁN HÀNG:</t>
        </is>
      </c>
      <c r="H1609" s="3" t="inlineStr">
        <is>
          <t>KBL4-12350</t>
        </is>
      </c>
      <c r="I1609" s="4" t="inlineStr">
        <is>
          <t>Mũi khoan xuyên tường 4 cạnh KBL4-12*350</t>
        </is>
      </c>
      <c r="J1609" s="3" t="inlineStr">
        <is>
          <t>Cái</t>
        </is>
      </c>
      <c r="K1609" s="5" t="n">
        <v>89000</v>
      </c>
      <c r="L1609" s="5" t="n">
        <v>109000</v>
      </c>
      <c r="M1609" s="6" t="n">
        <v>138000</v>
      </c>
      <c r="N1609" s="5" t="n"/>
      <c r="O1609" s="5">
        <f>IF(AND(ISNUMBER(N1609),ISNUMBER(M1609)),N1609-M1609,"")</f>
        <v/>
      </c>
      <c r="P1609" s="7">
        <f>IF(AND(ISNUMBER(N1609),ISNUMBER(M1609),M1609&gt;0),(N1609-M1609)/M1609,"")</f>
        <v/>
      </c>
      <c r="Q1609" s="3">
        <f>IF(P1609="","",IF(P1609&lt;-0.02,"🔴 Bán phá giá sàn",IF(P1609&gt;0.05,"🔵 Bán cao hơn","🟢 Đúng giá sàn TMĐT")))</f>
        <v/>
      </c>
      <c r="R1609" s="3" t="n"/>
      <c r="S1609" s="4" t="n"/>
      <c r="T1609" s="4" t="n"/>
    </row>
    <row r="1610">
      <c r="A1610" s="3" t="n">
        <v>1609</v>
      </c>
      <c r="B1610" s="3" t="inlineStr">
        <is>
          <t>DL014</t>
        </is>
      </c>
      <c r="C1610" s="4" t="inlineStr">
        <is>
          <t>Điện máy Anh Anh</t>
        </is>
      </c>
      <c r="D1610" s="3" t="inlineStr">
        <is>
          <t>HN</t>
        </is>
      </c>
      <c r="E1610" s="3" t="inlineStr">
        <is>
          <t>ĐIỆP</t>
        </is>
      </c>
      <c r="F1610" s="3" t="inlineStr">
        <is>
          <t>Tiktok</t>
        </is>
      </c>
      <c r="G1610" s="4" t="inlineStr">
        <is>
          <t>SHOPEE: TIKTOK: https://vt.tiktok.com/ZS9UMxDj8orfa-HFRLE/ LAZADA: WEBSITE BÁN HÀNG:</t>
        </is>
      </c>
      <c r="H1610" s="3" t="inlineStr">
        <is>
          <t>R1-70/25</t>
        </is>
      </c>
      <c r="I1610" s="4" t="inlineStr">
        <is>
          <t>Mũi khoét hợp kim Bluebird R1-70/25</t>
        </is>
      </c>
      <c r="J1610" s="3" t="inlineStr">
        <is>
          <t>Cái</t>
        </is>
      </c>
      <c r="K1610" s="5" t="n">
        <v>262000</v>
      </c>
      <c r="L1610" s="5" t="n">
        <v>320000</v>
      </c>
      <c r="M1610" s="6" t="n">
        <v>406000</v>
      </c>
      <c r="N1610" s="5" t="n"/>
      <c r="O1610" s="5">
        <f>IF(AND(ISNUMBER(N1610),ISNUMBER(M1610)),N1610-M1610,"")</f>
        <v/>
      </c>
      <c r="P1610" s="7">
        <f>IF(AND(ISNUMBER(N1610),ISNUMBER(M1610),M1610&gt;0),(N1610-M1610)/M1610,"")</f>
        <v/>
      </c>
      <c r="Q1610" s="3">
        <f>IF(P1610="","",IF(P1610&lt;-0.02,"🔴 Bán phá giá sàn",IF(P1610&gt;0.05,"🔵 Bán cao hơn","🟢 Đúng giá sàn TMĐT")))</f>
        <v/>
      </c>
      <c r="R1610" s="3" t="n"/>
      <c r="S1610" s="4" t="n"/>
      <c r="T1610" s="4" t="n"/>
    </row>
    <row r="1611">
      <c r="A1611" s="3" t="n">
        <v>1610</v>
      </c>
      <c r="B1611" s="3" t="inlineStr">
        <is>
          <t>DL014</t>
        </is>
      </c>
      <c r="C1611" s="4" t="inlineStr">
        <is>
          <t>Điện máy Anh Anh</t>
        </is>
      </c>
      <c r="D1611" s="3" t="inlineStr">
        <is>
          <t>HN</t>
        </is>
      </c>
      <c r="E1611" s="3" t="inlineStr">
        <is>
          <t>ĐIỆP</t>
        </is>
      </c>
      <c r="F1611" s="3" t="inlineStr">
        <is>
          <t>Tiktok</t>
        </is>
      </c>
      <c r="G1611" s="4" t="inlineStr">
        <is>
          <t>SHOPEE: TIKTOK: https://vt.tiktok.com/ZS9UMxDj8orfa-HFRLE/ LAZADA: WEBSITE BÁN HÀNG:</t>
        </is>
      </c>
      <c r="H1611" s="3" t="inlineStr">
        <is>
          <t>R1-20/25</t>
        </is>
      </c>
      <c r="I1611" s="4" t="inlineStr">
        <is>
          <t>Mũi khoét hợp kim Kingblue R1-20/25</t>
        </is>
      </c>
      <c r="J1611" s="3" t="inlineStr">
        <is>
          <t>Cái</t>
        </is>
      </c>
      <c r="K1611" s="5" t="n">
        <v>72000</v>
      </c>
      <c r="L1611" s="5" t="n">
        <v>88000</v>
      </c>
      <c r="M1611" s="6" t="n">
        <v>112000</v>
      </c>
      <c r="N1611" s="5" t="n"/>
      <c r="O1611" s="5">
        <f>IF(AND(ISNUMBER(N1611),ISNUMBER(M1611)),N1611-M1611,"")</f>
        <v/>
      </c>
      <c r="P1611" s="7">
        <f>IF(AND(ISNUMBER(N1611),ISNUMBER(M1611),M1611&gt;0),(N1611-M1611)/M1611,"")</f>
        <v/>
      </c>
      <c r="Q1611" s="3">
        <f>IF(P1611="","",IF(P1611&lt;-0.02,"🔴 Bán phá giá sàn",IF(P1611&gt;0.05,"🔵 Bán cao hơn","🟢 Đúng giá sàn TMĐT")))</f>
        <v/>
      </c>
      <c r="R1611" s="3" t="n"/>
      <c r="S1611" s="4" t="n"/>
      <c r="T1611" s="4" t="n"/>
    </row>
    <row r="1612">
      <c r="A1612" s="3" t="n">
        <v>1611</v>
      </c>
      <c r="B1612" s="3" t="inlineStr">
        <is>
          <t>DL014</t>
        </is>
      </c>
      <c r="C1612" s="4" t="inlineStr">
        <is>
          <t>Điện máy Anh Anh</t>
        </is>
      </c>
      <c r="D1612" s="3" t="inlineStr">
        <is>
          <t>HN</t>
        </is>
      </c>
      <c r="E1612" s="3" t="inlineStr">
        <is>
          <t>ĐIỆP</t>
        </is>
      </c>
      <c r="F1612" s="3" t="inlineStr">
        <is>
          <t>Tiktok</t>
        </is>
      </c>
      <c r="G1612" s="4" t="inlineStr">
        <is>
          <t>SHOPEE: TIKTOK: https://vt.tiktok.com/ZS9UMxDj8orfa-HFRLE/ LAZADA: WEBSITE BÁN HÀNG:</t>
        </is>
      </c>
      <c r="H1612" s="3" t="inlineStr">
        <is>
          <t>R1-32/25</t>
        </is>
      </c>
      <c r="I1612" s="4" t="inlineStr">
        <is>
          <t>Mũi khoét hợp kim Kingblue R1-32/25</t>
        </is>
      </c>
      <c r="J1612" s="3" t="inlineStr">
        <is>
          <t>Cái</t>
        </is>
      </c>
      <c r="K1612" s="5" t="n">
        <v>116000</v>
      </c>
      <c r="L1612" s="5" t="n">
        <v>142000</v>
      </c>
      <c r="M1612" s="6" t="n">
        <v>180000</v>
      </c>
      <c r="N1612" s="5" t="n"/>
      <c r="O1612" s="5">
        <f>IF(AND(ISNUMBER(N1612),ISNUMBER(M1612)),N1612-M1612,"")</f>
        <v/>
      </c>
      <c r="P1612" s="7">
        <f>IF(AND(ISNUMBER(N1612),ISNUMBER(M1612),M1612&gt;0),(N1612-M1612)/M1612,"")</f>
        <v/>
      </c>
      <c r="Q1612" s="3">
        <f>IF(P1612="","",IF(P1612&lt;-0.02,"🔴 Bán phá giá sàn",IF(P1612&gt;0.05,"🔵 Bán cao hơn","🟢 Đúng giá sàn TMĐT")))</f>
        <v/>
      </c>
      <c r="R1612" s="3" t="n"/>
      <c r="S1612" s="4" t="n"/>
      <c r="T1612" s="4" t="n"/>
    </row>
    <row r="1613">
      <c r="A1613" s="3" t="n">
        <v>1612</v>
      </c>
      <c r="B1613" s="3" t="inlineStr">
        <is>
          <t>DL014</t>
        </is>
      </c>
      <c r="C1613" s="4" t="inlineStr">
        <is>
          <t>Điện máy Anh Anh</t>
        </is>
      </c>
      <c r="D1613" s="3" t="inlineStr">
        <is>
          <t>HN</t>
        </is>
      </c>
      <c r="E1613" s="3" t="inlineStr">
        <is>
          <t>ĐIỆP</t>
        </is>
      </c>
      <c r="F1613" s="3" t="inlineStr">
        <is>
          <t>Tiktok</t>
        </is>
      </c>
      <c r="G1613" s="4" t="inlineStr">
        <is>
          <t>SHOPEE: TIKTOK: https://vt.tiktok.com/ZS9UMxDj8orfa-HFRLE/ LAZADA: WEBSITE BÁN HÀNG:</t>
        </is>
      </c>
      <c r="H1613" s="3" t="inlineStr">
        <is>
          <t>R2-16mm</t>
        </is>
      </c>
      <c r="I1613" s="4" t="inlineStr">
        <is>
          <t>Mũi khoét kim loại KingBlue R2-16mm</t>
        </is>
      </c>
      <c r="J1613" s="3" t="inlineStr">
        <is>
          <t>Cái</t>
        </is>
      </c>
      <c r="K1613" s="5" t="n">
        <v>29000</v>
      </c>
      <c r="L1613" s="5" t="n">
        <v>35000</v>
      </c>
      <c r="M1613" s="6" t="n">
        <v>45000</v>
      </c>
      <c r="N1613" s="5" t="n"/>
      <c r="O1613" s="5">
        <f>IF(AND(ISNUMBER(N1613),ISNUMBER(M1613)),N1613-M1613,"")</f>
        <v/>
      </c>
      <c r="P1613" s="7">
        <f>IF(AND(ISNUMBER(N1613),ISNUMBER(M1613),M1613&gt;0),(N1613-M1613)/M1613,"")</f>
        <v/>
      </c>
      <c r="Q1613" s="3">
        <f>IF(P1613="","",IF(P1613&lt;-0.02,"🔴 Bán phá giá sàn",IF(P1613&gt;0.05,"🔵 Bán cao hơn","🟢 Đúng giá sàn TMĐT")))</f>
        <v/>
      </c>
      <c r="R1613" s="3" t="n"/>
      <c r="S1613" s="4" t="n"/>
      <c r="T1613" s="4" t="n"/>
    </row>
    <row r="1614">
      <c r="A1614" s="3" t="n">
        <v>1613</v>
      </c>
      <c r="B1614" s="3" t="inlineStr">
        <is>
          <t>DL014</t>
        </is>
      </c>
      <c r="C1614" s="4" t="inlineStr">
        <is>
          <t>Điện máy Anh Anh</t>
        </is>
      </c>
      <c r="D1614" s="3" t="inlineStr">
        <is>
          <t>HN</t>
        </is>
      </c>
      <c r="E1614" s="3" t="inlineStr">
        <is>
          <t>ĐIỆP</t>
        </is>
      </c>
      <c r="F1614" s="3" t="inlineStr">
        <is>
          <t>Tiktok</t>
        </is>
      </c>
      <c r="G1614" s="4" t="inlineStr">
        <is>
          <t>SHOPEE: TIKTOK: https://vt.tiktok.com/ZS9UMxDj8orfa-HFRLE/ LAZADA: WEBSITE BÁN HÀNG:</t>
        </is>
      </c>
      <c r="H1614" s="3" t="inlineStr">
        <is>
          <t>R2-17mm</t>
        </is>
      </c>
      <c r="I1614" s="4" t="inlineStr">
        <is>
          <t>Mũi khoét kim loại KingBlue R2-17mm</t>
        </is>
      </c>
      <c r="J1614" s="3" t="inlineStr">
        <is>
          <t>Cái</t>
        </is>
      </c>
      <c r="K1614" s="5" t="n">
        <v>32000</v>
      </c>
      <c r="L1614" s="5" t="n">
        <v>39000</v>
      </c>
      <c r="M1614" s="6" t="n">
        <v>50000</v>
      </c>
      <c r="N1614" s="5" t="n"/>
      <c r="O1614" s="5">
        <f>IF(AND(ISNUMBER(N1614),ISNUMBER(M1614)),N1614-M1614,"")</f>
        <v/>
      </c>
      <c r="P1614" s="7">
        <f>IF(AND(ISNUMBER(N1614),ISNUMBER(M1614),M1614&gt;0),(N1614-M1614)/M1614,"")</f>
        <v/>
      </c>
      <c r="Q1614" s="3">
        <f>IF(P1614="","",IF(P1614&lt;-0.02,"🔴 Bán phá giá sàn",IF(P1614&gt;0.05,"🔵 Bán cao hơn","🟢 Đúng giá sàn TMĐT")))</f>
        <v/>
      </c>
      <c r="R1614" s="3" t="n"/>
      <c r="S1614" s="4" t="n"/>
      <c r="T1614" s="4" t="n"/>
    </row>
    <row r="1615">
      <c r="A1615" s="3" t="n">
        <v>1614</v>
      </c>
      <c r="B1615" s="3" t="inlineStr">
        <is>
          <t>DL014</t>
        </is>
      </c>
      <c r="C1615" s="4" t="inlineStr">
        <is>
          <t>Điện máy Anh Anh</t>
        </is>
      </c>
      <c r="D1615" s="3" t="inlineStr">
        <is>
          <t>HN</t>
        </is>
      </c>
      <c r="E1615" s="3" t="inlineStr">
        <is>
          <t>ĐIỆP</t>
        </is>
      </c>
      <c r="F1615" s="3" t="inlineStr">
        <is>
          <t>Tiktok</t>
        </is>
      </c>
      <c r="G1615" s="4" t="inlineStr">
        <is>
          <t>SHOPEE: TIKTOK: https://vt.tiktok.com/ZS9UMxDj8orfa-HFRLE/ LAZADA: WEBSITE BÁN HÀNG:</t>
        </is>
      </c>
      <c r="H1615" s="3" t="inlineStr">
        <is>
          <t>R2-18mm</t>
        </is>
      </c>
      <c r="I1615" s="4" t="inlineStr">
        <is>
          <t>Mũi khoét kim loại KingBlue R2-18mm</t>
        </is>
      </c>
      <c r="J1615" s="3" t="inlineStr">
        <is>
          <t>Cái</t>
        </is>
      </c>
      <c r="K1615" s="5" t="n">
        <v>35000</v>
      </c>
      <c r="L1615" s="5" t="n">
        <v>43000</v>
      </c>
      <c r="M1615" s="6" t="n">
        <v>54000</v>
      </c>
      <c r="N1615" s="5" t="n"/>
      <c r="O1615" s="5">
        <f>IF(AND(ISNUMBER(N1615),ISNUMBER(M1615)),N1615-M1615,"")</f>
        <v/>
      </c>
      <c r="P1615" s="7">
        <f>IF(AND(ISNUMBER(N1615),ISNUMBER(M1615),M1615&gt;0),(N1615-M1615)/M1615,"")</f>
        <v/>
      </c>
      <c r="Q1615" s="3">
        <f>IF(P1615="","",IF(P1615&lt;-0.02,"🔴 Bán phá giá sàn",IF(P1615&gt;0.05,"🔵 Bán cao hơn","🟢 Đúng giá sàn TMĐT")))</f>
        <v/>
      </c>
      <c r="R1615" s="3" t="n"/>
      <c r="S1615" s="4" t="n"/>
      <c r="T1615" s="4" t="n"/>
    </row>
    <row r="1616">
      <c r="A1616" s="3" t="n">
        <v>1615</v>
      </c>
      <c r="B1616" s="3" t="inlineStr">
        <is>
          <t>DL014</t>
        </is>
      </c>
      <c r="C1616" s="4" t="inlineStr">
        <is>
          <t>Điện máy Anh Anh</t>
        </is>
      </c>
      <c r="D1616" s="3" t="inlineStr">
        <is>
          <t>HN</t>
        </is>
      </c>
      <c r="E1616" s="3" t="inlineStr">
        <is>
          <t>ĐIỆP</t>
        </is>
      </c>
      <c r="F1616" s="3" t="inlineStr">
        <is>
          <t>Tiktok</t>
        </is>
      </c>
      <c r="G1616" s="4" t="inlineStr">
        <is>
          <t>SHOPEE: TIKTOK: https://vt.tiktok.com/ZS9UMxDj8orfa-HFRLE/ LAZADA: WEBSITE BÁN HÀNG:</t>
        </is>
      </c>
      <c r="H1616" s="3" t="inlineStr">
        <is>
          <t>R2-19mm</t>
        </is>
      </c>
      <c r="I1616" s="4" t="inlineStr">
        <is>
          <t>Mũi khoét kim loại KingBlue R2-19mm</t>
        </is>
      </c>
      <c r="J1616" s="3" t="inlineStr">
        <is>
          <t>Cái</t>
        </is>
      </c>
      <c r="K1616" s="5" t="n">
        <v>37000</v>
      </c>
      <c r="L1616" s="5" t="n">
        <v>45000</v>
      </c>
      <c r="M1616" s="6" t="n">
        <v>57000</v>
      </c>
      <c r="N1616" s="5" t="n"/>
      <c r="O1616" s="5">
        <f>IF(AND(ISNUMBER(N1616),ISNUMBER(M1616)),N1616-M1616,"")</f>
        <v/>
      </c>
      <c r="P1616" s="7">
        <f>IF(AND(ISNUMBER(N1616),ISNUMBER(M1616),M1616&gt;0),(N1616-M1616)/M1616,"")</f>
        <v/>
      </c>
      <c r="Q1616" s="3">
        <f>IF(P1616="","",IF(P1616&lt;-0.02,"🔴 Bán phá giá sàn",IF(P1616&gt;0.05,"🔵 Bán cao hơn","🟢 Đúng giá sàn TMĐT")))</f>
        <v/>
      </c>
      <c r="R1616" s="3" t="n"/>
      <c r="S1616" s="4" t="n"/>
      <c r="T1616" s="4" t="n"/>
    </row>
    <row r="1617">
      <c r="A1617" s="3" t="n">
        <v>1616</v>
      </c>
      <c r="B1617" s="3" t="inlineStr">
        <is>
          <t>DL014</t>
        </is>
      </c>
      <c r="C1617" s="4" t="inlineStr">
        <is>
          <t>Điện máy Anh Anh</t>
        </is>
      </c>
      <c r="D1617" s="3" t="inlineStr">
        <is>
          <t>HN</t>
        </is>
      </c>
      <c r="E1617" s="3" t="inlineStr">
        <is>
          <t>ĐIỆP</t>
        </is>
      </c>
      <c r="F1617" s="3" t="inlineStr">
        <is>
          <t>Tiktok</t>
        </is>
      </c>
      <c r="G1617" s="4" t="inlineStr">
        <is>
          <t>SHOPEE: TIKTOK: https://vt.tiktok.com/ZS9UMxDj8orfa-HFRLE/ LAZADA: WEBSITE BÁN HÀNG:</t>
        </is>
      </c>
      <c r="H1617" s="3" t="inlineStr">
        <is>
          <t>R2-20mm</t>
        </is>
      </c>
      <c r="I1617" s="4" t="inlineStr">
        <is>
          <t>Mũi khoét kim loại KingBlue R2-20mm</t>
        </is>
      </c>
      <c r="J1617" s="3" t="inlineStr">
        <is>
          <t>Cái</t>
        </is>
      </c>
      <c r="K1617" s="5" t="n">
        <v>40000</v>
      </c>
      <c r="L1617" s="5" t="n">
        <v>49000</v>
      </c>
      <c r="M1617" s="6" t="n">
        <v>62000</v>
      </c>
      <c r="N1617" s="5" t="n"/>
      <c r="O1617" s="5">
        <f>IF(AND(ISNUMBER(N1617),ISNUMBER(M1617)),N1617-M1617,"")</f>
        <v/>
      </c>
      <c r="P1617" s="7">
        <f>IF(AND(ISNUMBER(N1617),ISNUMBER(M1617),M1617&gt;0),(N1617-M1617)/M1617,"")</f>
        <v/>
      </c>
      <c r="Q1617" s="3">
        <f>IF(P1617="","",IF(P1617&lt;-0.02,"🔴 Bán phá giá sàn",IF(P1617&gt;0.05,"🔵 Bán cao hơn","🟢 Đúng giá sàn TMĐT")))</f>
        <v/>
      </c>
      <c r="R1617" s="3" t="n"/>
      <c r="S1617" s="4" t="n"/>
      <c r="T1617" s="4" t="n"/>
    </row>
    <row r="1618">
      <c r="A1618" s="3" t="n">
        <v>1617</v>
      </c>
      <c r="B1618" s="3" t="inlineStr">
        <is>
          <t>DL014</t>
        </is>
      </c>
      <c r="C1618" s="4" t="inlineStr">
        <is>
          <t>Điện máy Anh Anh</t>
        </is>
      </c>
      <c r="D1618" s="3" t="inlineStr">
        <is>
          <t>HN</t>
        </is>
      </c>
      <c r="E1618" s="3" t="inlineStr">
        <is>
          <t>ĐIỆP</t>
        </is>
      </c>
      <c r="F1618" s="3" t="inlineStr">
        <is>
          <t>Tiktok</t>
        </is>
      </c>
      <c r="G1618" s="4" t="inlineStr">
        <is>
          <t>SHOPEE: TIKTOK: https://vt.tiktok.com/ZS9UMxDj8orfa-HFRLE/ LAZADA: WEBSITE BÁN HÀNG:</t>
        </is>
      </c>
      <c r="H1618" s="3" t="inlineStr">
        <is>
          <t>R2-21mm</t>
        </is>
      </c>
      <c r="I1618" s="4" t="inlineStr">
        <is>
          <t>Mũi khoét kim loại KingBlue R2-21mm</t>
        </is>
      </c>
      <c r="J1618" s="3" t="inlineStr">
        <is>
          <t>Cái</t>
        </is>
      </c>
      <c r="K1618" s="5" t="n">
        <v>41000</v>
      </c>
      <c r="L1618" s="5" t="n">
        <v>50000</v>
      </c>
      <c r="M1618" s="6" t="n">
        <v>64000</v>
      </c>
      <c r="N1618" s="5" t="n"/>
      <c r="O1618" s="5">
        <f>IF(AND(ISNUMBER(N1618),ISNUMBER(M1618)),N1618-M1618,"")</f>
        <v/>
      </c>
      <c r="P1618" s="7">
        <f>IF(AND(ISNUMBER(N1618),ISNUMBER(M1618),M1618&gt;0),(N1618-M1618)/M1618,"")</f>
        <v/>
      </c>
      <c r="Q1618" s="3">
        <f>IF(P1618="","",IF(P1618&lt;-0.02,"🔴 Bán phá giá sàn",IF(P1618&gt;0.05,"🔵 Bán cao hơn","🟢 Đúng giá sàn TMĐT")))</f>
        <v/>
      </c>
      <c r="R1618" s="3" t="n"/>
      <c r="S1618" s="4" t="n"/>
      <c r="T1618" s="4" t="n"/>
    </row>
    <row r="1619">
      <c r="A1619" s="3" t="n">
        <v>1618</v>
      </c>
      <c r="B1619" s="3" t="inlineStr">
        <is>
          <t>DL014</t>
        </is>
      </c>
      <c r="C1619" s="4" t="inlineStr">
        <is>
          <t>Điện máy Anh Anh</t>
        </is>
      </c>
      <c r="D1619" s="3" t="inlineStr">
        <is>
          <t>HN</t>
        </is>
      </c>
      <c r="E1619" s="3" t="inlineStr">
        <is>
          <t>ĐIỆP</t>
        </is>
      </c>
      <c r="F1619" s="3" t="inlineStr">
        <is>
          <t>Tiktok</t>
        </is>
      </c>
      <c r="G1619" s="4" t="inlineStr">
        <is>
          <t>SHOPEE: TIKTOK: https://vt.tiktok.com/ZS9UMxDj8orfa-HFRLE/ LAZADA: WEBSITE BÁN HÀNG:</t>
        </is>
      </c>
      <c r="H1619" s="3" t="inlineStr">
        <is>
          <t>R2-22mm</t>
        </is>
      </c>
      <c r="I1619" s="4" t="inlineStr">
        <is>
          <t>Mũi khoét kim loại KingBlue R2-22mm</t>
        </is>
      </c>
      <c r="J1619" s="3" t="inlineStr">
        <is>
          <t>Cái</t>
        </is>
      </c>
      <c r="K1619" s="5" t="n">
        <v>45000</v>
      </c>
      <c r="L1619" s="5" t="n">
        <v>55000</v>
      </c>
      <c r="M1619" s="6" t="n">
        <v>70000</v>
      </c>
      <c r="N1619" s="5" t="n"/>
      <c r="O1619" s="5">
        <f>IF(AND(ISNUMBER(N1619),ISNUMBER(M1619)),N1619-M1619,"")</f>
        <v/>
      </c>
      <c r="P1619" s="7">
        <f>IF(AND(ISNUMBER(N1619),ISNUMBER(M1619),M1619&gt;0),(N1619-M1619)/M1619,"")</f>
        <v/>
      </c>
      <c r="Q1619" s="3">
        <f>IF(P1619="","",IF(P1619&lt;-0.02,"🔴 Bán phá giá sàn",IF(P1619&gt;0.05,"🔵 Bán cao hơn","🟢 Đúng giá sàn TMĐT")))</f>
        <v/>
      </c>
      <c r="R1619" s="3" t="n"/>
      <c r="S1619" s="4" t="n"/>
      <c r="T1619" s="4" t="n"/>
    </row>
    <row r="1620">
      <c r="A1620" s="3" t="n">
        <v>1619</v>
      </c>
      <c r="B1620" s="3" t="inlineStr">
        <is>
          <t>DL014</t>
        </is>
      </c>
      <c r="C1620" s="4" t="inlineStr">
        <is>
          <t>Điện máy Anh Anh</t>
        </is>
      </c>
      <c r="D1620" s="3" t="inlineStr">
        <is>
          <t>HN</t>
        </is>
      </c>
      <c r="E1620" s="3" t="inlineStr">
        <is>
          <t>ĐIỆP</t>
        </is>
      </c>
      <c r="F1620" s="3" t="inlineStr">
        <is>
          <t>Tiktok</t>
        </is>
      </c>
      <c r="G1620" s="4" t="inlineStr">
        <is>
          <t>SHOPEE: TIKTOK: https://vt.tiktok.com/ZS9UMxDj8orfa-HFRLE/ LAZADA: WEBSITE BÁN HÀNG:</t>
        </is>
      </c>
      <c r="H1620" s="3" t="inlineStr">
        <is>
          <t>R2-25mm</t>
        </is>
      </c>
      <c r="I1620" s="4" t="inlineStr">
        <is>
          <t>Mũi khoét kim loại KingBlue R2-25mm</t>
        </is>
      </c>
      <c r="J1620" s="3" t="inlineStr">
        <is>
          <t>Cái</t>
        </is>
      </c>
      <c r="K1620" s="5" t="n">
        <v>49000</v>
      </c>
      <c r="L1620" s="5" t="n">
        <v>60000</v>
      </c>
      <c r="M1620" s="6" t="n">
        <v>76000</v>
      </c>
      <c r="N1620" s="5" t="n"/>
      <c r="O1620" s="5">
        <f>IF(AND(ISNUMBER(N1620),ISNUMBER(M1620)),N1620-M1620,"")</f>
        <v/>
      </c>
      <c r="P1620" s="7">
        <f>IF(AND(ISNUMBER(N1620),ISNUMBER(M1620),M1620&gt;0),(N1620-M1620)/M1620,"")</f>
        <v/>
      </c>
      <c r="Q1620" s="3">
        <f>IF(P1620="","",IF(P1620&lt;-0.02,"🔴 Bán phá giá sàn",IF(P1620&gt;0.05,"🔵 Bán cao hơn","🟢 Đúng giá sàn TMĐT")))</f>
        <v/>
      </c>
      <c r="R1620" s="3" t="n"/>
      <c r="S1620" s="4" t="n"/>
      <c r="T1620" s="4" t="n"/>
    </row>
    <row r="1621">
      <c r="A1621" s="3" t="n">
        <v>1620</v>
      </c>
      <c r="B1621" s="3" t="inlineStr">
        <is>
          <t>DL014</t>
        </is>
      </c>
      <c r="C1621" s="4" t="inlineStr">
        <is>
          <t>Điện máy Anh Anh</t>
        </is>
      </c>
      <c r="D1621" s="3" t="inlineStr">
        <is>
          <t>HN</t>
        </is>
      </c>
      <c r="E1621" s="3" t="inlineStr">
        <is>
          <t>ĐIỆP</t>
        </is>
      </c>
      <c r="F1621" s="3" t="inlineStr">
        <is>
          <t>Tiktok</t>
        </is>
      </c>
      <c r="G1621" s="4" t="inlineStr">
        <is>
          <t>SHOPEE: TIKTOK: https://vt.tiktok.com/ZS9UMxDj8orfa-HFRLE/ LAZADA: WEBSITE BÁN HÀNG:</t>
        </is>
      </c>
      <c r="H1621" s="3" t="inlineStr">
        <is>
          <t>R2-27mm</t>
        </is>
      </c>
      <c r="I1621" s="4" t="inlineStr">
        <is>
          <t>Mũi khoét kim loại KingBlue R2-27mm</t>
        </is>
      </c>
      <c r="J1621" s="3" t="inlineStr">
        <is>
          <t>Cái</t>
        </is>
      </c>
      <c r="K1621" s="5" t="n">
        <v>53000</v>
      </c>
      <c r="L1621" s="5" t="n">
        <v>65000</v>
      </c>
      <c r="M1621" s="6" t="n">
        <v>82000</v>
      </c>
      <c r="N1621" s="5" t="n"/>
      <c r="O1621" s="5">
        <f>IF(AND(ISNUMBER(N1621),ISNUMBER(M1621)),N1621-M1621,"")</f>
        <v/>
      </c>
      <c r="P1621" s="7">
        <f>IF(AND(ISNUMBER(N1621),ISNUMBER(M1621),M1621&gt;0),(N1621-M1621)/M1621,"")</f>
        <v/>
      </c>
      <c r="Q1621" s="3">
        <f>IF(P1621="","",IF(P1621&lt;-0.02,"🔴 Bán phá giá sàn",IF(P1621&gt;0.05,"🔵 Bán cao hơn","🟢 Đúng giá sàn TMĐT")))</f>
        <v/>
      </c>
      <c r="R1621" s="3" t="n"/>
      <c r="S1621" s="4" t="n"/>
      <c r="T1621" s="4" t="n"/>
    </row>
    <row r="1622">
      <c r="A1622" s="3" t="n">
        <v>1621</v>
      </c>
      <c r="B1622" s="3" t="inlineStr">
        <is>
          <t>DL014</t>
        </is>
      </c>
      <c r="C1622" s="4" t="inlineStr">
        <is>
          <t>Điện máy Anh Anh</t>
        </is>
      </c>
      <c r="D1622" s="3" t="inlineStr">
        <is>
          <t>HN</t>
        </is>
      </c>
      <c r="E1622" s="3" t="inlineStr">
        <is>
          <t>ĐIỆP</t>
        </is>
      </c>
      <c r="F1622" s="3" t="inlineStr">
        <is>
          <t>Tiktok</t>
        </is>
      </c>
      <c r="G1622" s="4" t="inlineStr">
        <is>
          <t>SHOPEE: TIKTOK: https://vt.tiktok.com/ZS9UMxDj8orfa-HFRLE/ LAZADA: WEBSITE BÁN HÀNG:</t>
        </is>
      </c>
      <c r="H1622" s="3" t="inlineStr">
        <is>
          <t>R2-32mm</t>
        </is>
      </c>
      <c r="I1622" s="4" t="inlineStr">
        <is>
          <t>Mũi khoét kim loại KingBlue R2-32mm</t>
        </is>
      </c>
      <c r="J1622" s="3" t="inlineStr">
        <is>
          <t>Cái</t>
        </is>
      </c>
      <c r="K1622" s="5" t="n">
        <v>66000</v>
      </c>
      <c r="L1622" s="5" t="n">
        <v>80000</v>
      </c>
      <c r="M1622" s="6" t="n">
        <v>102000</v>
      </c>
      <c r="N1622" s="5" t="n"/>
      <c r="O1622" s="5">
        <f>IF(AND(ISNUMBER(N1622),ISNUMBER(M1622)),N1622-M1622,"")</f>
        <v/>
      </c>
      <c r="P1622" s="7">
        <f>IF(AND(ISNUMBER(N1622),ISNUMBER(M1622),M1622&gt;0),(N1622-M1622)/M1622,"")</f>
        <v/>
      </c>
      <c r="Q1622" s="3">
        <f>IF(P1622="","",IF(P1622&lt;-0.02,"🔴 Bán phá giá sàn",IF(P1622&gt;0.05,"🔵 Bán cao hơn","🟢 Đúng giá sàn TMĐT")))</f>
        <v/>
      </c>
      <c r="R1622" s="3" t="n"/>
      <c r="S1622" s="4" t="n"/>
      <c r="T1622" s="4" t="n"/>
    </row>
    <row r="1623">
      <c r="A1623" s="3" t="n">
        <v>1622</v>
      </c>
      <c r="B1623" s="3" t="inlineStr">
        <is>
          <t>DL014</t>
        </is>
      </c>
      <c r="C1623" s="4" t="inlineStr">
        <is>
          <t>Điện máy Anh Anh</t>
        </is>
      </c>
      <c r="D1623" s="3" t="inlineStr">
        <is>
          <t>HN</t>
        </is>
      </c>
      <c r="E1623" s="3" t="inlineStr">
        <is>
          <t>ĐIỆP</t>
        </is>
      </c>
      <c r="F1623" s="3" t="inlineStr">
        <is>
          <t>Tiktok</t>
        </is>
      </c>
      <c r="G1623" s="4" t="inlineStr">
        <is>
          <t>SHOPEE: TIKTOK: https://vt.tiktok.com/ZS9UMxDj8orfa-HFRLE/ LAZADA: WEBSITE BÁN HÀNG:</t>
        </is>
      </c>
      <c r="H1623" s="3" t="inlineStr">
        <is>
          <t>R2-34mm</t>
        </is>
      </c>
      <c r="I1623" s="4" t="inlineStr">
        <is>
          <t>Mũi khoét kim loại KingBlue R2-34mm</t>
        </is>
      </c>
      <c r="J1623" s="3" t="inlineStr">
        <is>
          <t>Cái</t>
        </is>
      </c>
      <c r="K1623" s="5" t="n">
        <v>68000</v>
      </c>
      <c r="L1623" s="5" t="n">
        <v>83000</v>
      </c>
      <c r="M1623" s="6" t="n">
        <v>105000</v>
      </c>
      <c r="N1623" s="5" t="n"/>
      <c r="O1623" s="5">
        <f>IF(AND(ISNUMBER(N1623),ISNUMBER(M1623)),N1623-M1623,"")</f>
        <v/>
      </c>
      <c r="P1623" s="7">
        <f>IF(AND(ISNUMBER(N1623),ISNUMBER(M1623),M1623&gt;0),(N1623-M1623)/M1623,"")</f>
        <v/>
      </c>
      <c r="Q1623" s="3">
        <f>IF(P1623="","",IF(P1623&lt;-0.02,"🔴 Bán phá giá sàn",IF(P1623&gt;0.05,"🔵 Bán cao hơn","🟢 Đúng giá sàn TMĐT")))</f>
        <v/>
      </c>
      <c r="R1623" s="3" t="n"/>
      <c r="S1623" s="4" t="n"/>
      <c r="T1623" s="4" t="n"/>
    </row>
    <row r="1624">
      <c r="A1624" s="3" t="n">
        <v>1623</v>
      </c>
      <c r="B1624" s="3" t="inlineStr">
        <is>
          <t>DL014</t>
        </is>
      </c>
      <c r="C1624" s="4" t="inlineStr">
        <is>
          <t>Điện máy Anh Anh</t>
        </is>
      </c>
      <c r="D1624" s="3" t="inlineStr">
        <is>
          <t>HN</t>
        </is>
      </c>
      <c r="E1624" s="3" t="inlineStr">
        <is>
          <t>ĐIỆP</t>
        </is>
      </c>
      <c r="F1624" s="3" t="inlineStr">
        <is>
          <t>Tiktok</t>
        </is>
      </c>
      <c r="G1624" s="4" t="inlineStr">
        <is>
          <t>SHOPEE: TIKTOK: https://vt.tiktok.com/ZS9UMxDj8orfa-HFRLE/ LAZADA: WEBSITE BÁN HÀNG:</t>
        </is>
      </c>
      <c r="H1624" s="3" t="inlineStr">
        <is>
          <t>R2-42mm</t>
        </is>
      </c>
      <c r="I1624" s="4" t="inlineStr">
        <is>
          <t>Mũi khoét kim loại KingBlue R2-42mm</t>
        </is>
      </c>
      <c r="J1624" s="3" t="inlineStr">
        <is>
          <t>Cái</t>
        </is>
      </c>
      <c r="K1624" s="5" t="n">
        <v>84000</v>
      </c>
      <c r="L1624" s="5" t="n">
        <v>102000</v>
      </c>
      <c r="M1624" s="6" t="n">
        <v>130000</v>
      </c>
      <c r="N1624" s="5" t="n"/>
      <c r="O1624" s="5">
        <f>IF(AND(ISNUMBER(N1624),ISNUMBER(M1624)),N1624-M1624,"")</f>
        <v/>
      </c>
      <c r="P1624" s="7">
        <f>IF(AND(ISNUMBER(N1624),ISNUMBER(M1624),M1624&gt;0),(N1624-M1624)/M1624,"")</f>
        <v/>
      </c>
      <c r="Q1624" s="3">
        <f>IF(P1624="","",IF(P1624&lt;-0.02,"🔴 Bán phá giá sàn",IF(P1624&gt;0.05,"🔵 Bán cao hơn","🟢 Đúng giá sàn TMĐT")))</f>
        <v/>
      </c>
      <c r="R1624" s="3" t="n"/>
      <c r="S1624" s="4" t="n"/>
      <c r="T1624" s="4" t="n"/>
    </row>
    <row r="1625">
      <c r="A1625" s="3" t="n">
        <v>1624</v>
      </c>
      <c r="B1625" s="3" t="inlineStr">
        <is>
          <t>DL014</t>
        </is>
      </c>
      <c r="C1625" s="4" t="inlineStr">
        <is>
          <t>Điện máy Anh Anh</t>
        </is>
      </c>
      <c r="D1625" s="3" t="inlineStr">
        <is>
          <t>HN</t>
        </is>
      </c>
      <c r="E1625" s="3" t="inlineStr">
        <is>
          <t>ĐIỆP</t>
        </is>
      </c>
      <c r="F1625" s="3" t="inlineStr">
        <is>
          <t>Tiktok</t>
        </is>
      </c>
      <c r="G1625" s="4" t="inlineStr">
        <is>
          <t>SHOPEE: TIKTOK: https://vt.tiktok.com/ZS9UMxDj8orfa-HFRLE/ LAZADA: WEBSITE BÁN HÀNG:</t>
        </is>
      </c>
      <c r="H1625" s="3" t="inlineStr">
        <is>
          <t>R2-50mm</t>
        </is>
      </c>
      <c r="I1625" s="4" t="inlineStr">
        <is>
          <t>Mũi khoét kim loại KingBlue R2-50mm</t>
        </is>
      </c>
      <c r="J1625" s="3" t="inlineStr">
        <is>
          <t>Cái</t>
        </is>
      </c>
      <c r="K1625" s="5" t="n">
        <v>99000</v>
      </c>
      <c r="L1625" s="5" t="n">
        <v>121000</v>
      </c>
      <c r="M1625" s="6" t="n">
        <v>154000</v>
      </c>
      <c r="N1625" s="5" t="n"/>
      <c r="O1625" s="5">
        <f>IF(AND(ISNUMBER(N1625),ISNUMBER(M1625)),N1625-M1625,"")</f>
        <v/>
      </c>
      <c r="P1625" s="7">
        <f>IF(AND(ISNUMBER(N1625),ISNUMBER(M1625),M1625&gt;0),(N1625-M1625)/M1625,"")</f>
        <v/>
      </c>
      <c r="Q1625" s="3">
        <f>IF(P1625="","",IF(P1625&lt;-0.02,"🔴 Bán phá giá sàn",IF(P1625&gt;0.05,"🔵 Bán cao hơn","🟢 Đúng giá sàn TMĐT")))</f>
        <v/>
      </c>
      <c r="R1625" s="3" t="n"/>
      <c r="S1625" s="4" t="n"/>
      <c r="T1625" s="4" t="n"/>
    </row>
    <row r="1626">
      <c r="A1626" s="3" t="n">
        <v>1625</v>
      </c>
      <c r="B1626" s="3" t="inlineStr">
        <is>
          <t>DL014</t>
        </is>
      </c>
      <c r="C1626" s="4" t="inlineStr">
        <is>
          <t>Điện máy Anh Anh</t>
        </is>
      </c>
      <c r="D1626" s="3" t="inlineStr">
        <is>
          <t>HN</t>
        </is>
      </c>
      <c r="E1626" s="3" t="inlineStr">
        <is>
          <t>ĐIỆP</t>
        </is>
      </c>
      <c r="F1626" s="3" t="inlineStr">
        <is>
          <t>Tiktok</t>
        </is>
      </c>
      <c r="G1626" s="4" t="inlineStr">
        <is>
          <t>SHOPEE: TIKTOK: https://vt.tiktok.com/ZS9UMxDj8orfa-HFRLE/ LAZADA: WEBSITE BÁN HÀNG:</t>
        </is>
      </c>
      <c r="H1626" s="3" t="inlineStr">
        <is>
          <t>R2-55mm</t>
        </is>
      </c>
      <c r="I1626" s="4" t="inlineStr">
        <is>
          <t>Mũi khoét kim loại KingBlue R2-55mm</t>
        </is>
      </c>
      <c r="J1626" s="3" t="inlineStr">
        <is>
          <t>Cái</t>
        </is>
      </c>
      <c r="K1626" s="5" t="n">
        <v>109000</v>
      </c>
      <c r="L1626" s="5" t="n">
        <v>133000</v>
      </c>
      <c r="M1626" s="6" t="n">
        <v>169000</v>
      </c>
      <c r="N1626" s="5" t="n"/>
      <c r="O1626" s="5">
        <f>IF(AND(ISNUMBER(N1626),ISNUMBER(M1626)),N1626-M1626,"")</f>
        <v/>
      </c>
      <c r="P1626" s="7">
        <f>IF(AND(ISNUMBER(N1626),ISNUMBER(M1626),M1626&gt;0),(N1626-M1626)/M1626,"")</f>
        <v/>
      </c>
      <c r="Q1626" s="3">
        <f>IF(P1626="","",IF(P1626&lt;-0.02,"🔴 Bán phá giá sàn",IF(P1626&gt;0.05,"🔵 Bán cao hơn","🟢 Đúng giá sàn TMĐT")))</f>
        <v/>
      </c>
      <c r="R1626" s="3" t="n"/>
      <c r="S1626" s="4" t="n"/>
      <c r="T1626" s="4" t="n"/>
    </row>
    <row r="1627">
      <c r="A1627" s="3" t="n">
        <v>1626</v>
      </c>
      <c r="B1627" s="3" t="inlineStr">
        <is>
          <t>DL014</t>
        </is>
      </c>
      <c r="C1627" s="4" t="inlineStr">
        <is>
          <t>Điện máy Anh Anh</t>
        </is>
      </c>
      <c r="D1627" s="3" t="inlineStr">
        <is>
          <t>HN</t>
        </is>
      </c>
      <c r="E1627" s="3" t="inlineStr">
        <is>
          <t>ĐIỆP</t>
        </is>
      </c>
      <c r="F1627" s="3" t="inlineStr">
        <is>
          <t>Tiktok</t>
        </is>
      </c>
      <c r="G1627" s="4" t="inlineStr">
        <is>
          <t>SHOPEE: TIKTOK: https://vt.tiktok.com/ZS9UMxDj8orfa-HFRLE/ LAZADA: WEBSITE BÁN HÀNG:</t>
        </is>
      </c>
      <c r="H1627" s="3" t="inlineStr">
        <is>
          <t>R2-60mm</t>
        </is>
      </c>
      <c r="I1627" s="4" t="inlineStr">
        <is>
          <t>Mũi khoét kim loại KingBlue R2-60mm</t>
        </is>
      </c>
      <c r="J1627" s="3" t="inlineStr">
        <is>
          <t>Cái</t>
        </is>
      </c>
      <c r="K1627" s="5" t="n">
        <v>124000</v>
      </c>
      <c r="L1627" s="5" t="n">
        <v>151000</v>
      </c>
      <c r="M1627" s="6" t="n">
        <v>192000</v>
      </c>
      <c r="N1627" s="5" t="n"/>
      <c r="O1627" s="5">
        <f>IF(AND(ISNUMBER(N1627),ISNUMBER(M1627)),N1627-M1627,"")</f>
        <v/>
      </c>
      <c r="P1627" s="7">
        <f>IF(AND(ISNUMBER(N1627),ISNUMBER(M1627),M1627&gt;0),(N1627-M1627)/M1627,"")</f>
        <v/>
      </c>
      <c r="Q1627" s="3">
        <f>IF(P1627="","",IF(P1627&lt;-0.02,"🔴 Bán phá giá sàn",IF(P1627&gt;0.05,"🔵 Bán cao hơn","🟢 Đúng giá sàn TMĐT")))</f>
        <v/>
      </c>
      <c r="R1627" s="3" t="n"/>
      <c r="S1627" s="4" t="n"/>
      <c r="T1627" s="4" t="n"/>
    </row>
    <row r="1628">
      <c r="A1628" s="3" t="n">
        <v>1627</v>
      </c>
      <c r="B1628" s="3" t="inlineStr">
        <is>
          <t>DL014</t>
        </is>
      </c>
      <c r="C1628" s="4" t="inlineStr">
        <is>
          <t>Điện máy Anh Anh</t>
        </is>
      </c>
      <c r="D1628" s="3" t="inlineStr">
        <is>
          <t>HN</t>
        </is>
      </c>
      <c r="E1628" s="3" t="inlineStr">
        <is>
          <t>ĐIỆP</t>
        </is>
      </c>
      <c r="F1628" s="3" t="inlineStr">
        <is>
          <t>Tiktok</t>
        </is>
      </c>
      <c r="G1628" s="4" t="inlineStr">
        <is>
          <t>SHOPEE: TIKTOK: https://vt.tiktok.com/ZS9UMxDj8orfa-HFRLE/ LAZADA: WEBSITE BÁN HÀNG:</t>
        </is>
      </c>
      <c r="H1628" s="3" t="inlineStr">
        <is>
          <t>KYZ50</t>
        </is>
      </c>
      <c r="I1628" s="4" t="inlineStr">
        <is>
          <t>Ổ khóa KYZ50</t>
        </is>
      </c>
      <c r="J1628" s="3" t="inlineStr">
        <is>
          <t>Cái</t>
        </is>
      </c>
      <c r="K1628" s="5" t="n">
        <v>152000</v>
      </c>
      <c r="L1628" s="5" t="n">
        <v>176000</v>
      </c>
      <c r="M1628" s="6" t="n">
        <v>213000</v>
      </c>
      <c r="N1628" s="5" t="n"/>
      <c r="O1628" s="5">
        <f>IF(AND(ISNUMBER(N1628),ISNUMBER(M1628)),N1628-M1628,"")</f>
        <v/>
      </c>
      <c r="P1628" s="7">
        <f>IF(AND(ISNUMBER(N1628),ISNUMBER(M1628),M1628&gt;0),(N1628-M1628)/M1628,"")</f>
        <v/>
      </c>
      <c r="Q1628" s="3">
        <f>IF(P1628="","",IF(P1628&lt;-0.02,"🔴 Bán phá giá sàn",IF(P1628&gt;0.05,"🔵 Bán cao hơn","🟢 Đúng giá sàn TMĐT")))</f>
        <v/>
      </c>
      <c r="R1628" s="3" t="n"/>
      <c r="S1628" s="4" t="n"/>
      <c r="T1628" s="4" t="n"/>
    </row>
    <row r="1629">
      <c r="A1629" s="3" t="n">
        <v>1628</v>
      </c>
      <c r="B1629" s="3" t="inlineStr">
        <is>
          <t>DL014</t>
        </is>
      </c>
      <c r="C1629" s="4" t="inlineStr">
        <is>
          <t>Điện máy Anh Anh</t>
        </is>
      </c>
      <c r="D1629" s="3" t="inlineStr">
        <is>
          <t>HN</t>
        </is>
      </c>
      <c r="E1629" s="3" t="inlineStr">
        <is>
          <t>ĐIỆP</t>
        </is>
      </c>
      <c r="F1629" s="3" t="inlineStr">
        <is>
          <t>Tiktok</t>
        </is>
      </c>
      <c r="G1629" s="4" t="inlineStr">
        <is>
          <t>SHOPEE: TIKTOK: https://vt.tiktok.com/ZS9UMxDj8orfa-HFRLE/ LAZADA: WEBSITE BÁN HÀNG:</t>
        </is>
      </c>
      <c r="H1629" s="3" t="inlineStr"/>
      <c r="I1629" s="4" t="inlineStr">
        <is>
          <t>Pin máy rung gạch 2.0Ah</t>
        </is>
      </c>
      <c r="J1629" s="3" t="inlineStr">
        <is>
          <t>Cái</t>
        </is>
      </c>
      <c r="K1629" s="5" t="n">
        <v>269000</v>
      </c>
      <c r="L1629" s="5" t="n">
        <v>317000</v>
      </c>
      <c r="M1629" s="6" t="n">
        <v>390000</v>
      </c>
      <c r="N1629" s="5" t="n"/>
      <c r="O1629" s="5">
        <f>IF(AND(ISNUMBER(N1629),ISNUMBER(M1629)),N1629-M1629,"")</f>
        <v/>
      </c>
      <c r="P1629" s="7">
        <f>IF(AND(ISNUMBER(N1629),ISNUMBER(M1629),M1629&gt;0),(N1629-M1629)/M1629,"")</f>
        <v/>
      </c>
      <c r="Q1629" s="3">
        <f>IF(P1629="","",IF(P1629&lt;-0.02,"🔴 Bán phá giá sàn",IF(P1629&gt;0.05,"🔵 Bán cao hơn","🟢 Đúng giá sàn TMĐT")))</f>
        <v/>
      </c>
      <c r="R1629" s="3" t="n"/>
      <c r="S1629" s="4" t="n"/>
      <c r="T1629" s="4" t="n"/>
    </row>
    <row r="1630">
      <c r="A1630" s="3" t="n">
        <v>1629</v>
      </c>
      <c r="B1630" s="3" t="inlineStr">
        <is>
          <t>DL014</t>
        </is>
      </c>
      <c r="C1630" s="4" t="inlineStr">
        <is>
          <t>Điện máy Anh Anh</t>
        </is>
      </c>
      <c r="D1630" s="3" t="inlineStr">
        <is>
          <t>HN</t>
        </is>
      </c>
      <c r="E1630" s="3" t="inlineStr">
        <is>
          <t>ĐIỆP</t>
        </is>
      </c>
      <c r="F1630" s="3" t="inlineStr">
        <is>
          <t>Tiktok</t>
        </is>
      </c>
      <c r="G1630" s="4" t="inlineStr">
        <is>
          <t>SHOPEE: TIKTOK: https://vt.tiktok.com/ZS9UMxDj8orfa-HFRLE/ LAZADA: WEBSITE BÁN HÀNG:</t>
        </is>
      </c>
      <c r="H1630" s="3" t="inlineStr">
        <is>
          <t>KBO-ST64</t>
        </is>
      </c>
      <c r="I1630" s="4" t="inlineStr">
        <is>
          <t>Súng bắn đinh bê tông KBO-ST64</t>
        </is>
      </c>
      <c r="J1630" s="3" t="inlineStr">
        <is>
          <t>Cái</t>
        </is>
      </c>
      <c r="K1630" s="5" t="n">
        <v>946000</v>
      </c>
      <c r="L1630" s="5" t="n">
        <v>1097000</v>
      </c>
      <c r="M1630" s="6" t="n">
        <v>1324000</v>
      </c>
      <c r="N1630" s="5" t="n"/>
      <c r="O1630" s="5">
        <f>IF(AND(ISNUMBER(N1630),ISNUMBER(M1630)),N1630-M1630,"")</f>
        <v/>
      </c>
      <c r="P1630" s="7">
        <f>IF(AND(ISNUMBER(N1630),ISNUMBER(M1630),M1630&gt;0),(N1630-M1630)/M1630,"")</f>
        <v/>
      </c>
      <c r="Q1630" s="3">
        <f>IF(P1630="","",IF(P1630&lt;-0.02,"🔴 Bán phá giá sàn",IF(P1630&gt;0.05,"🔵 Bán cao hơn","🟢 Đúng giá sàn TMĐT")))</f>
        <v/>
      </c>
      <c r="R1630" s="3" t="n"/>
      <c r="S1630" s="4" t="n"/>
      <c r="T1630" s="4" t="n"/>
    </row>
    <row r="1631">
      <c r="A1631" s="3" t="n">
        <v>1630</v>
      </c>
      <c r="B1631" s="3" t="inlineStr">
        <is>
          <t>DL014</t>
        </is>
      </c>
      <c r="C1631" s="4" t="inlineStr">
        <is>
          <t>Điện máy Anh Anh</t>
        </is>
      </c>
      <c r="D1631" s="3" t="inlineStr">
        <is>
          <t>HN</t>
        </is>
      </c>
      <c r="E1631" s="3" t="inlineStr">
        <is>
          <t>ĐIỆP</t>
        </is>
      </c>
      <c r="F1631" s="3" t="inlineStr">
        <is>
          <t>Tiktok</t>
        </is>
      </c>
      <c r="G1631" s="4" t="inlineStr">
        <is>
          <t>SHOPEE: TIKTOK: https://vt.tiktok.com/ZS9UMxDj8orfa-HFRLE/ LAZADA: WEBSITE BÁN HÀNG:</t>
        </is>
      </c>
      <c r="H1631" s="3" t="inlineStr">
        <is>
          <t>KFF-73</t>
        </is>
      </c>
      <c r="I1631" s="4" t="inlineStr">
        <is>
          <t>Súng bắn đinh bê tông KFF-73</t>
        </is>
      </c>
      <c r="J1631" s="3" t="inlineStr">
        <is>
          <t>Cái</t>
        </is>
      </c>
      <c r="K1631" s="5" t="n">
        <v>660000</v>
      </c>
      <c r="L1631" s="5" t="n">
        <v>739000</v>
      </c>
      <c r="M1631" s="6" t="n">
        <v>858000</v>
      </c>
      <c r="N1631" s="5" t="n"/>
      <c r="O1631" s="5">
        <f>IF(AND(ISNUMBER(N1631),ISNUMBER(M1631)),N1631-M1631,"")</f>
        <v/>
      </c>
      <c r="P1631" s="7">
        <f>IF(AND(ISNUMBER(N1631),ISNUMBER(M1631),M1631&gt;0),(N1631-M1631)/M1631,"")</f>
        <v/>
      </c>
      <c r="Q1631" s="3">
        <f>IF(P1631="","",IF(P1631&lt;-0.02,"🔴 Bán phá giá sàn",IF(P1631&gt;0.05,"🔵 Bán cao hơn","🟢 Đúng giá sàn TMĐT")))</f>
        <v/>
      </c>
      <c r="R1631" s="3" t="n"/>
      <c r="S1631" s="4" t="n"/>
      <c r="T1631" s="4" t="n"/>
    </row>
    <row r="1632">
      <c r="A1632" s="3" t="n">
        <v>1631</v>
      </c>
      <c r="B1632" s="3" t="inlineStr">
        <is>
          <t>DL014</t>
        </is>
      </c>
      <c r="C1632" s="4" t="inlineStr">
        <is>
          <t>Điện máy Anh Anh</t>
        </is>
      </c>
      <c r="D1632" s="3" t="inlineStr">
        <is>
          <t>HN</t>
        </is>
      </c>
      <c r="E1632" s="3" t="inlineStr">
        <is>
          <t>ĐIỆP</t>
        </is>
      </c>
      <c r="F1632" s="3" t="inlineStr">
        <is>
          <t>Tiktok</t>
        </is>
      </c>
      <c r="G1632" s="4" t="inlineStr">
        <is>
          <t>SHOPEE: TIKTOK: https://vt.tiktok.com/ZS9UMxDj8orfa-HFRLE/ LAZADA: WEBSITE BÁN HÀNG:</t>
        </is>
      </c>
      <c r="H1632" s="3" t="inlineStr">
        <is>
          <t>KAC100</t>
        </is>
      </c>
      <c r="I1632" s="4" t="inlineStr">
        <is>
          <t>Súng bắn keo nến KAC100</t>
        </is>
      </c>
      <c r="J1632" s="3" t="inlineStr">
        <is>
          <t>Cái</t>
        </is>
      </c>
      <c r="K1632" s="5" t="n">
        <v>149000</v>
      </c>
      <c r="L1632" s="5" t="n">
        <v>176000</v>
      </c>
      <c r="M1632" s="6" t="n">
        <v>216000</v>
      </c>
      <c r="N1632" s="5" t="n"/>
      <c r="O1632" s="5">
        <f>IF(AND(ISNUMBER(N1632),ISNUMBER(M1632)),N1632-M1632,"")</f>
        <v/>
      </c>
      <c r="P1632" s="7">
        <f>IF(AND(ISNUMBER(N1632),ISNUMBER(M1632),M1632&gt;0),(N1632-M1632)/M1632,"")</f>
        <v/>
      </c>
      <c r="Q1632" s="3">
        <f>IF(P1632="","",IF(P1632&lt;-0.02,"🔴 Bán phá giá sàn",IF(P1632&gt;0.05,"🔵 Bán cao hơn","🟢 Đúng giá sàn TMĐT")))</f>
        <v/>
      </c>
      <c r="R1632" s="3" t="n"/>
      <c r="S1632" s="4" t="n"/>
      <c r="T1632" s="4" t="n"/>
    </row>
    <row r="1633">
      <c r="A1633" s="3" t="n">
        <v>1632</v>
      </c>
      <c r="B1633" s="3" t="inlineStr">
        <is>
          <t>DL014</t>
        </is>
      </c>
      <c r="C1633" s="4" t="inlineStr">
        <is>
          <t>Điện máy Anh Anh</t>
        </is>
      </c>
      <c r="D1633" s="3" t="inlineStr">
        <is>
          <t>HN</t>
        </is>
      </c>
      <c r="E1633" s="3" t="inlineStr">
        <is>
          <t>ĐIỆP</t>
        </is>
      </c>
      <c r="F1633" s="3" t="inlineStr">
        <is>
          <t>Tiktok</t>
        </is>
      </c>
      <c r="G1633" s="4" t="inlineStr">
        <is>
          <t>SHOPEE: TIKTOK: https://vt.tiktok.com/ZS9UMxDj8orfa-HFRLE/ LAZADA: WEBSITE BÁN HÀNG:</t>
        </is>
      </c>
      <c r="H1633" s="3" t="inlineStr">
        <is>
          <t>KAC20</t>
        </is>
      </c>
      <c r="I1633" s="4" t="inlineStr">
        <is>
          <t>Súng bắn keo nến KAC20</t>
        </is>
      </c>
      <c r="J1633" s="3" t="inlineStr">
        <is>
          <t>Cái</t>
        </is>
      </c>
      <c r="K1633" s="5" t="n">
        <v>87000</v>
      </c>
      <c r="L1633" s="5" t="n">
        <v>103000</v>
      </c>
      <c r="M1633" s="6" t="n">
        <v>126000</v>
      </c>
      <c r="N1633" s="5" t="n"/>
      <c r="O1633" s="5">
        <f>IF(AND(ISNUMBER(N1633),ISNUMBER(M1633)),N1633-M1633,"")</f>
        <v/>
      </c>
      <c r="P1633" s="7">
        <f>IF(AND(ISNUMBER(N1633),ISNUMBER(M1633),M1633&gt;0),(N1633-M1633)/M1633,"")</f>
        <v/>
      </c>
      <c r="Q1633" s="3">
        <f>IF(P1633="","",IF(P1633&lt;-0.02,"🔴 Bán phá giá sàn",IF(P1633&gt;0.05,"🔵 Bán cao hơn","🟢 Đúng giá sàn TMĐT")))</f>
        <v/>
      </c>
      <c r="R1633" s="3" t="n"/>
      <c r="S1633" s="4" t="n"/>
      <c r="T1633" s="4" t="n"/>
    </row>
    <row r="1634">
      <c r="A1634" s="3" t="n">
        <v>1633</v>
      </c>
      <c r="B1634" s="3" t="inlineStr">
        <is>
          <t>DL014</t>
        </is>
      </c>
      <c r="C1634" s="4" t="inlineStr">
        <is>
          <t>Điện máy Anh Anh</t>
        </is>
      </c>
      <c r="D1634" s="3" t="inlineStr">
        <is>
          <t>HN</t>
        </is>
      </c>
      <c r="E1634" s="3" t="inlineStr">
        <is>
          <t>ĐIỆP</t>
        </is>
      </c>
      <c r="F1634" s="3" t="inlineStr">
        <is>
          <t>Tiktok</t>
        </is>
      </c>
      <c r="G1634" s="4" t="inlineStr">
        <is>
          <t>SHOPEE: TIKTOK: https://vt.tiktok.com/ZS9UMxDj8orfa-HFRLE/ LAZADA: WEBSITE BÁN HÀNG:</t>
        </is>
      </c>
      <c r="H1634" s="3" t="inlineStr">
        <is>
          <t>KBO-R500</t>
        </is>
      </c>
      <c r="I1634" s="4" t="inlineStr">
        <is>
          <t>Súng Phun Sơn KBO-R500</t>
        </is>
      </c>
      <c r="J1634" s="3" t="inlineStr">
        <is>
          <t>Cái</t>
        </is>
      </c>
      <c r="K1634" s="5" t="n">
        <v>889000</v>
      </c>
      <c r="L1634" s="5" t="n">
        <v>1049000</v>
      </c>
      <c r="M1634" s="6" t="n">
        <v>1289000</v>
      </c>
      <c r="N1634" s="5" t="n"/>
      <c r="O1634" s="5">
        <f>IF(AND(ISNUMBER(N1634),ISNUMBER(M1634)),N1634-M1634,"")</f>
        <v/>
      </c>
      <c r="P1634" s="7">
        <f>IF(AND(ISNUMBER(N1634),ISNUMBER(M1634),M1634&gt;0),(N1634-M1634)/M1634,"")</f>
        <v/>
      </c>
      <c r="Q1634" s="3">
        <f>IF(P1634="","",IF(P1634&lt;-0.02,"🔴 Bán phá giá sàn",IF(P1634&gt;0.05,"🔵 Bán cao hơn","🟢 Đúng giá sàn TMĐT")))</f>
        <v/>
      </c>
      <c r="R1634" s="3" t="n"/>
      <c r="S1634" s="4" t="n"/>
      <c r="T1634" s="4" t="n"/>
    </row>
    <row r="1635">
      <c r="A1635" s="3" t="n">
        <v>1634</v>
      </c>
      <c r="B1635" s="3" t="inlineStr">
        <is>
          <t>DL014</t>
        </is>
      </c>
      <c r="C1635" s="4" t="inlineStr">
        <is>
          <t>Điện máy Anh Anh</t>
        </is>
      </c>
      <c r="D1635" s="3" t="inlineStr">
        <is>
          <t>HN</t>
        </is>
      </c>
      <c r="E1635" s="3" t="inlineStr">
        <is>
          <t>ĐIỆP</t>
        </is>
      </c>
      <c r="F1635" s="3" t="inlineStr">
        <is>
          <t>Tiktok</t>
        </is>
      </c>
      <c r="G1635" s="4" t="inlineStr">
        <is>
          <t>SHOPEE: TIKTOK: https://vt.tiktok.com/ZS9UMxDj8orfa-HFRLE/ LAZADA: WEBSITE BÁN HÀNG:</t>
        </is>
      </c>
      <c r="H1635" s="3" t="inlineStr">
        <is>
          <t>KBO-W71</t>
        </is>
      </c>
      <c r="I1635" s="4" t="inlineStr">
        <is>
          <t>Súng phun sơn KBO-W71</t>
        </is>
      </c>
      <c r="J1635" s="3" t="inlineStr">
        <is>
          <t>Cái</t>
        </is>
      </c>
      <c r="K1635" s="5" t="n">
        <v>317000</v>
      </c>
      <c r="L1635" s="5" t="n">
        <v>374000</v>
      </c>
      <c r="M1635" s="6" t="n">
        <v>460000</v>
      </c>
      <c r="N1635" s="5" t="n"/>
      <c r="O1635" s="5">
        <f>IF(AND(ISNUMBER(N1635),ISNUMBER(M1635)),N1635-M1635,"")</f>
        <v/>
      </c>
      <c r="P1635" s="7">
        <f>IF(AND(ISNUMBER(N1635),ISNUMBER(M1635),M1635&gt;0),(N1635-M1635)/M1635,"")</f>
        <v/>
      </c>
      <c r="Q1635" s="3">
        <f>IF(P1635="","",IF(P1635&lt;-0.02,"🔴 Bán phá giá sàn",IF(P1635&gt;0.05,"🔵 Bán cao hơn","🟢 Đúng giá sàn TMĐT")))</f>
        <v/>
      </c>
      <c r="R1635" s="3" t="n"/>
      <c r="S1635" s="4" t="n"/>
      <c r="T1635" s="4" t="n"/>
    </row>
    <row r="1636">
      <c r="A1636" s="3" t="n">
        <v>1635</v>
      </c>
      <c r="B1636" s="3" t="inlineStr">
        <is>
          <t>DL014</t>
        </is>
      </c>
      <c r="C1636" s="4" t="inlineStr">
        <is>
          <t>Điện máy Anh Anh</t>
        </is>
      </c>
      <c r="D1636" s="3" t="inlineStr">
        <is>
          <t>HN</t>
        </is>
      </c>
      <c r="E1636" s="3" t="inlineStr">
        <is>
          <t>ĐIỆP</t>
        </is>
      </c>
      <c r="F1636" s="3" t="inlineStr">
        <is>
          <t>Tiktok</t>
        </is>
      </c>
      <c r="G1636" s="4" t="inlineStr">
        <is>
          <t>SHOPEE: TIKTOK: https://vt.tiktok.com/ZS9UMxDj8orfa-HFRLE/ LAZADA: WEBSITE BÁN HÀNG:</t>
        </is>
      </c>
      <c r="H1636" s="3" t="inlineStr">
        <is>
          <t>KT-10</t>
        </is>
      </c>
      <c r="I1636" s="4" t="inlineStr">
        <is>
          <t>Tay vặn tuýp chữ T KT-10</t>
        </is>
      </c>
      <c r="J1636" s="3" t="inlineStr">
        <is>
          <t>Cái</t>
        </is>
      </c>
      <c r="K1636" s="5" t="n">
        <v>42000</v>
      </c>
      <c r="L1636" s="5" t="n">
        <v>50000</v>
      </c>
      <c r="M1636" s="6" t="n">
        <v>61000</v>
      </c>
      <c r="N1636" s="5" t="n"/>
      <c r="O1636" s="5">
        <f>IF(AND(ISNUMBER(N1636),ISNUMBER(M1636)),N1636-M1636,"")</f>
        <v/>
      </c>
      <c r="P1636" s="7">
        <f>IF(AND(ISNUMBER(N1636),ISNUMBER(M1636),M1636&gt;0),(N1636-M1636)/M1636,"")</f>
        <v/>
      </c>
      <c r="Q1636" s="3">
        <f>IF(P1636="","",IF(P1636&lt;-0.02,"🔴 Bán phá giá sàn",IF(P1636&gt;0.05,"🔵 Bán cao hơn","🟢 Đúng giá sàn TMĐT")))</f>
        <v/>
      </c>
      <c r="R1636" s="3" t="n"/>
      <c r="S1636" s="4" t="n"/>
      <c r="T1636" s="4" t="n"/>
    </row>
    <row r="1637">
      <c r="A1637" s="3" t="n">
        <v>1636</v>
      </c>
      <c r="B1637" s="3" t="inlineStr">
        <is>
          <t>DL014</t>
        </is>
      </c>
      <c r="C1637" s="4" t="inlineStr">
        <is>
          <t>Điện máy Anh Anh</t>
        </is>
      </c>
      <c r="D1637" s="3" t="inlineStr">
        <is>
          <t>HN</t>
        </is>
      </c>
      <c r="E1637" s="3" t="inlineStr">
        <is>
          <t>ĐIỆP</t>
        </is>
      </c>
      <c r="F1637" s="3" t="inlineStr">
        <is>
          <t>Tiktok</t>
        </is>
      </c>
      <c r="G1637" s="4" t="inlineStr">
        <is>
          <t>SHOPEE: TIKTOK: https://vt.tiktok.com/ZS9UMxDj8orfa-HFRLE/ LAZADA: WEBSITE BÁN HÀNG:</t>
        </is>
      </c>
      <c r="H1637" s="3" t="inlineStr">
        <is>
          <t>KT-12</t>
        </is>
      </c>
      <c r="I1637" s="4" t="inlineStr">
        <is>
          <t>Tay vặn tuýp chữ T KT-12</t>
        </is>
      </c>
      <c r="J1637" s="3" t="inlineStr">
        <is>
          <t>Cái</t>
        </is>
      </c>
      <c r="K1637" s="5" t="n">
        <v>43000</v>
      </c>
      <c r="L1637" s="5" t="n">
        <v>51000</v>
      </c>
      <c r="M1637" s="6" t="n">
        <v>62000</v>
      </c>
      <c r="N1637" s="5" t="n"/>
      <c r="O1637" s="5">
        <f>IF(AND(ISNUMBER(N1637),ISNUMBER(M1637)),N1637-M1637,"")</f>
        <v/>
      </c>
      <c r="P1637" s="7">
        <f>IF(AND(ISNUMBER(N1637),ISNUMBER(M1637),M1637&gt;0),(N1637-M1637)/M1637,"")</f>
        <v/>
      </c>
      <c r="Q1637" s="3">
        <f>IF(P1637="","",IF(P1637&lt;-0.02,"🔴 Bán phá giá sàn",IF(P1637&gt;0.05,"🔵 Bán cao hơn","🟢 Đúng giá sàn TMĐT")))</f>
        <v/>
      </c>
      <c r="R1637" s="3" t="n"/>
      <c r="S1637" s="4" t="n"/>
      <c r="T1637" s="4" t="n"/>
    </row>
    <row r="1638">
      <c r="A1638" s="3" t="n">
        <v>1637</v>
      </c>
      <c r="B1638" s="3" t="inlineStr">
        <is>
          <t>DL014</t>
        </is>
      </c>
      <c r="C1638" s="4" t="inlineStr">
        <is>
          <t>Điện máy Anh Anh</t>
        </is>
      </c>
      <c r="D1638" s="3" t="inlineStr">
        <is>
          <t>HN</t>
        </is>
      </c>
      <c r="E1638" s="3" t="inlineStr">
        <is>
          <t>ĐIỆP</t>
        </is>
      </c>
      <c r="F1638" s="3" t="inlineStr">
        <is>
          <t>Tiktok</t>
        </is>
      </c>
      <c r="G1638" s="4" t="inlineStr">
        <is>
          <t>SHOPEE: TIKTOK: https://vt.tiktok.com/ZS9UMxDj8orfa-HFRLE/ LAZADA: WEBSITE BÁN HÀNG:</t>
        </is>
      </c>
      <c r="H1638" s="3" t="inlineStr">
        <is>
          <t>KT-13</t>
        </is>
      </c>
      <c r="I1638" s="4" t="inlineStr">
        <is>
          <t>Tay vặn tuýp chữ T KT-13</t>
        </is>
      </c>
      <c r="J1638" s="3" t="inlineStr">
        <is>
          <t>Cái</t>
        </is>
      </c>
      <c r="K1638" s="5" t="n">
        <v>43000</v>
      </c>
      <c r="L1638" s="5" t="n">
        <v>51000</v>
      </c>
      <c r="M1638" s="6" t="n">
        <v>62000</v>
      </c>
      <c r="N1638" s="5" t="n"/>
      <c r="O1638" s="5">
        <f>IF(AND(ISNUMBER(N1638),ISNUMBER(M1638)),N1638-M1638,"")</f>
        <v/>
      </c>
      <c r="P1638" s="7">
        <f>IF(AND(ISNUMBER(N1638),ISNUMBER(M1638),M1638&gt;0),(N1638-M1638)/M1638,"")</f>
        <v/>
      </c>
      <c r="Q1638" s="3">
        <f>IF(P1638="","",IF(P1638&lt;-0.02,"🔴 Bán phá giá sàn",IF(P1638&gt;0.05,"🔵 Bán cao hơn","🟢 Đúng giá sàn TMĐT")))</f>
        <v/>
      </c>
      <c r="R1638" s="3" t="n"/>
      <c r="S1638" s="4" t="n"/>
      <c r="T1638" s="4" t="n"/>
    </row>
    <row r="1639">
      <c r="A1639" s="3" t="n">
        <v>1638</v>
      </c>
      <c r="B1639" s="3" t="inlineStr">
        <is>
          <t>DL014</t>
        </is>
      </c>
      <c r="C1639" s="4" t="inlineStr">
        <is>
          <t>Điện máy Anh Anh</t>
        </is>
      </c>
      <c r="D1639" s="3" t="inlineStr">
        <is>
          <t>HN</t>
        </is>
      </c>
      <c r="E1639" s="3" t="inlineStr">
        <is>
          <t>ĐIỆP</t>
        </is>
      </c>
      <c r="F1639" s="3" t="inlineStr">
        <is>
          <t>Tiktok</t>
        </is>
      </c>
      <c r="G1639" s="4" t="inlineStr">
        <is>
          <t>SHOPEE: TIKTOK: https://vt.tiktok.com/ZS9UMxDj8orfa-HFRLE/ LAZADA: WEBSITE BÁN HÀNG:</t>
        </is>
      </c>
      <c r="H1639" s="3" t="inlineStr">
        <is>
          <t>KHD4212</t>
        </is>
      </c>
      <c r="I1639" s="4" t="inlineStr">
        <is>
          <t>Thùng đựng đồ nghề kèm phụ kiện KHD4212 NEW</t>
        </is>
      </c>
      <c r="J1639" s="3" t="inlineStr">
        <is>
          <t>Cái</t>
        </is>
      </c>
      <c r="K1639" s="5" t="n">
        <v>1996</v>
      </c>
      <c r="L1639" s="5" t="n">
        <v>539000</v>
      </c>
      <c r="M1639" s="6" t="n">
        <v>615000</v>
      </c>
      <c r="N1639" s="5" t="n"/>
      <c r="O1639" s="5">
        <f>IF(AND(ISNUMBER(N1639),ISNUMBER(M1639)),N1639-M1639,"")</f>
        <v/>
      </c>
      <c r="P1639" s="7">
        <f>IF(AND(ISNUMBER(N1639),ISNUMBER(M1639),M1639&gt;0),(N1639-M1639)/M1639,"")</f>
        <v/>
      </c>
      <c r="Q1639" s="3">
        <f>IF(P1639="","",IF(P1639&lt;-0.02,"🔴 Bán phá giá sàn",IF(P1639&gt;0.05,"🔵 Bán cao hơn","🟢 Đúng giá sàn TMĐT")))</f>
        <v/>
      </c>
      <c r="R1639" s="3" t="n"/>
      <c r="S1639" s="4" t="n"/>
      <c r="T1639" s="4" t="n"/>
    </row>
    <row r="1640">
      <c r="A1640" s="3" t="n">
        <v>1639</v>
      </c>
      <c r="B1640" s="3" t="inlineStr">
        <is>
          <t>DL014</t>
        </is>
      </c>
      <c r="C1640" s="4" t="inlineStr">
        <is>
          <t>Điện máy Anh Anh</t>
        </is>
      </c>
      <c r="D1640" s="3" t="inlineStr">
        <is>
          <t>HN</t>
        </is>
      </c>
      <c r="E1640" s="3" t="inlineStr">
        <is>
          <t>ĐIỆP</t>
        </is>
      </c>
      <c r="F1640" s="3" t="inlineStr">
        <is>
          <t>Tiktok</t>
        </is>
      </c>
      <c r="G1640" s="4" t="inlineStr">
        <is>
          <t>SHOPEE: TIKTOK: https://vt.tiktok.com/ZS9UMxDj8orfa-HFRLE/ LAZADA: WEBSITE BÁN HÀNG:</t>
        </is>
      </c>
      <c r="H1640" s="3" t="inlineStr">
        <is>
          <t>KHD20</t>
        </is>
      </c>
      <c r="I1640" s="4" t="inlineStr">
        <is>
          <t>Thùng đựng đồ nghề KHD20</t>
        </is>
      </c>
      <c r="J1640" s="3" t="inlineStr">
        <is>
          <t>Cái</t>
        </is>
      </c>
      <c r="K1640" s="5" t="n">
        <v>396000</v>
      </c>
      <c r="L1640" s="5" t="n">
        <v>452000</v>
      </c>
      <c r="M1640" s="6" t="n">
        <v>535000</v>
      </c>
      <c r="N1640" s="5" t="n"/>
      <c r="O1640" s="5">
        <f>IF(AND(ISNUMBER(N1640),ISNUMBER(M1640)),N1640-M1640,"")</f>
        <v/>
      </c>
      <c r="P1640" s="7">
        <f>IF(AND(ISNUMBER(N1640),ISNUMBER(M1640),M1640&gt;0),(N1640-M1640)/M1640,"")</f>
        <v/>
      </c>
      <c r="Q1640" s="3">
        <f>IF(P1640="","",IF(P1640&lt;-0.02,"🔴 Bán phá giá sàn",IF(P1640&gt;0.05,"🔵 Bán cao hơn","🟢 Đúng giá sàn TMĐT")))</f>
        <v/>
      </c>
      <c r="R1640" s="3" t="n"/>
      <c r="S1640" s="4" t="n"/>
      <c r="T1640" s="4" t="n"/>
    </row>
    <row r="1641">
      <c r="A1641" s="3" t="n">
        <v>1640</v>
      </c>
      <c r="B1641" s="3" t="inlineStr">
        <is>
          <t>DL014</t>
        </is>
      </c>
      <c r="C1641" s="4" t="inlineStr">
        <is>
          <t>Điện máy Anh Anh</t>
        </is>
      </c>
      <c r="D1641" s="3" t="inlineStr">
        <is>
          <t>HN</t>
        </is>
      </c>
      <c r="E1641" s="3" t="inlineStr">
        <is>
          <t>ĐIỆP</t>
        </is>
      </c>
      <c r="F1641" s="3" t="inlineStr">
        <is>
          <t>Tiktok</t>
        </is>
      </c>
      <c r="G1641" s="4" t="inlineStr">
        <is>
          <t>SHOPEE: TIKTOK: https://vt.tiktok.com/ZS9UMxDj8orfa-HFRLE/ LAZADA: WEBSITE BÁN HÀNG:</t>
        </is>
      </c>
      <c r="H1641" s="3" t="inlineStr">
        <is>
          <t>KHD4216</t>
        </is>
      </c>
      <c r="I1641" s="4" t="inlineStr">
        <is>
          <t>Thùng đựng đồ nghề KHD4216</t>
        </is>
      </c>
      <c r="J1641" s="3" t="inlineStr">
        <is>
          <t>Cái</t>
        </is>
      </c>
      <c r="K1641" s="5" t="n">
        <v>2065</v>
      </c>
      <c r="L1641" s="5" t="n">
        <v>484000</v>
      </c>
      <c r="M1641" s="6" t="n">
        <v>552000</v>
      </c>
      <c r="N1641" s="5" t="n"/>
      <c r="O1641" s="5">
        <f>IF(AND(ISNUMBER(N1641),ISNUMBER(M1641)),N1641-M1641,"")</f>
        <v/>
      </c>
      <c r="P1641" s="7">
        <f>IF(AND(ISNUMBER(N1641),ISNUMBER(M1641),M1641&gt;0),(N1641-M1641)/M1641,"")</f>
        <v/>
      </c>
      <c r="Q1641" s="3">
        <f>IF(P1641="","",IF(P1641&lt;-0.02,"🔴 Bán phá giá sàn",IF(P1641&gt;0.05,"🔵 Bán cao hơn","🟢 Đúng giá sàn TMĐT")))</f>
        <v/>
      </c>
      <c r="R1641" s="3" t="n"/>
      <c r="S1641" s="4" t="n"/>
      <c r="T1641" s="4" t="n"/>
    </row>
    <row r="1642">
      <c r="A1642" s="3" t="n">
        <v>1641</v>
      </c>
      <c r="B1642" s="3" t="inlineStr">
        <is>
          <t>DL014</t>
        </is>
      </c>
      <c r="C1642" s="4" t="inlineStr">
        <is>
          <t>Điện máy Anh Anh</t>
        </is>
      </c>
      <c r="D1642" s="3" t="inlineStr">
        <is>
          <t>HN</t>
        </is>
      </c>
      <c r="E1642" s="3" t="inlineStr">
        <is>
          <t>ĐIỆP</t>
        </is>
      </c>
      <c r="F1642" s="3" t="inlineStr">
        <is>
          <t>Tiktok</t>
        </is>
      </c>
      <c r="G1642" s="4" t="inlineStr">
        <is>
          <t>SHOPEE: TIKTOK: https://vt.tiktok.com/ZS9UMxDj8orfa-HFRLE/ LAZADA: WEBSITE BÁN HÀNG:</t>
        </is>
      </c>
      <c r="H1642" s="3" t="inlineStr">
        <is>
          <t>KHD4233</t>
        </is>
      </c>
      <c r="I1642" s="4" t="inlineStr">
        <is>
          <t>Thùng đựng đồ nghề KHD4233</t>
        </is>
      </c>
      <c r="J1642" s="3" t="inlineStr">
        <is>
          <t>Cái</t>
        </is>
      </c>
      <c r="K1642" s="5" t="n">
        <v>269000</v>
      </c>
      <c r="L1642" s="5" t="n">
        <v>317000</v>
      </c>
      <c r="M1642" s="6" t="n">
        <v>390000</v>
      </c>
      <c r="N1642" s="5" t="n"/>
      <c r="O1642" s="5">
        <f>IF(AND(ISNUMBER(N1642),ISNUMBER(M1642)),N1642-M1642,"")</f>
        <v/>
      </c>
      <c r="P1642" s="7">
        <f>IF(AND(ISNUMBER(N1642),ISNUMBER(M1642),M1642&gt;0),(N1642-M1642)/M1642,"")</f>
        <v/>
      </c>
      <c r="Q1642" s="3">
        <f>IF(P1642="","",IF(P1642&lt;-0.02,"🔴 Bán phá giá sàn",IF(P1642&gt;0.05,"🔵 Bán cao hơn","🟢 Đúng giá sàn TMĐT")))</f>
        <v/>
      </c>
      <c r="R1642" s="3" t="n"/>
      <c r="S1642" s="4" t="n"/>
      <c r="T1642" s="4" t="n"/>
    </row>
    <row r="1643">
      <c r="A1643" s="3" t="n">
        <v>1642</v>
      </c>
      <c r="B1643" s="3" t="inlineStr">
        <is>
          <t>DL014</t>
        </is>
      </c>
      <c r="C1643" s="4" t="inlineStr">
        <is>
          <t>Điện máy Anh Anh</t>
        </is>
      </c>
      <c r="D1643" s="3" t="inlineStr">
        <is>
          <t>HN</t>
        </is>
      </c>
      <c r="E1643" s="3" t="inlineStr">
        <is>
          <t>ĐIỆP</t>
        </is>
      </c>
      <c r="F1643" s="3" t="inlineStr">
        <is>
          <t>Tiktok</t>
        </is>
      </c>
      <c r="G1643" s="4" t="inlineStr">
        <is>
          <t>SHOPEE: TIKTOK: https://vt.tiktok.com/ZS9UMxDj8orfa-HFRLE/ LAZADA: WEBSITE BÁN HÀNG:</t>
        </is>
      </c>
      <c r="H1643" s="3" t="inlineStr">
        <is>
          <t>MC-50.25</t>
        </is>
      </c>
      <c r="I1643" s="4" t="inlineStr">
        <is>
          <t>Thước Cuộn MC-50.25</t>
        </is>
      </c>
      <c r="J1643" s="3" t="inlineStr">
        <is>
          <t>Cái</t>
        </is>
      </c>
      <c r="K1643" s="5" t="n">
        <v>59000</v>
      </c>
      <c r="L1643" s="5" t="n">
        <v>70000</v>
      </c>
      <c r="M1643" s="6" t="n">
        <v>86000</v>
      </c>
      <c r="N1643" s="5" t="n"/>
      <c r="O1643" s="5">
        <f>IF(AND(ISNUMBER(N1643),ISNUMBER(M1643)),N1643-M1643,"")</f>
        <v/>
      </c>
      <c r="P1643" s="7">
        <f>IF(AND(ISNUMBER(N1643),ISNUMBER(M1643),M1643&gt;0),(N1643-M1643)/M1643,"")</f>
        <v/>
      </c>
      <c r="Q1643" s="3">
        <f>IF(P1643="","",IF(P1643&lt;-0.02,"🔴 Bán phá giá sàn",IF(P1643&gt;0.05,"🔵 Bán cao hơn","🟢 Đúng giá sàn TMĐT")))</f>
        <v/>
      </c>
      <c r="R1643" s="3" t="n"/>
      <c r="S1643" s="4" t="n"/>
      <c r="T1643" s="4" t="n"/>
    </row>
    <row r="1644">
      <c r="A1644" s="3" t="n">
        <v>1643</v>
      </c>
      <c r="B1644" s="3" t="inlineStr">
        <is>
          <t>DL014</t>
        </is>
      </c>
      <c r="C1644" s="4" t="inlineStr">
        <is>
          <t>Điện máy Anh Anh</t>
        </is>
      </c>
      <c r="D1644" s="3" t="inlineStr">
        <is>
          <t>HN</t>
        </is>
      </c>
      <c r="E1644" s="3" t="inlineStr">
        <is>
          <t>ĐIỆP</t>
        </is>
      </c>
      <c r="F1644" s="3" t="inlineStr">
        <is>
          <t>Tiktok</t>
        </is>
      </c>
      <c r="G1644" s="4" t="inlineStr">
        <is>
          <t>SHOPEE: TIKTOK: https://vt.tiktok.com/ZS9UMxDj8orfa-HFRLE/ LAZADA: WEBSITE BÁN HÀNG:</t>
        </is>
      </c>
      <c r="H1644" s="3" t="inlineStr">
        <is>
          <t>MC-80.25</t>
        </is>
      </c>
      <c r="I1644" s="4" t="inlineStr">
        <is>
          <t>Thước Cuộn MC-80.25</t>
        </is>
      </c>
      <c r="J1644" s="3" t="inlineStr">
        <is>
          <t>Cái</t>
        </is>
      </c>
      <c r="K1644" s="5" t="n">
        <v>79000</v>
      </c>
      <c r="L1644" s="5" t="n">
        <v>93000</v>
      </c>
      <c r="M1644" s="6" t="n">
        <v>115000</v>
      </c>
      <c r="N1644" s="5" t="n"/>
      <c r="O1644" s="5">
        <f>IF(AND(ISNUMBER(N1644),ISNUMBER(M1644)),N1644-M1644,"")</f>
        <v/>
      </c>
      <c r="P1644" s="7">
        <f>IF(AND(ISNUMBER(N1644),ISNUMBER(M1644),M1644&gt;0),(N1644-M1644)/M1644,"")</f>
        <v/>
      </c>
      <c r="Q1644" s="3">
        <f>IF(P1644="","",IF(P1644&lt;-0.02,"🔴 Bán phá giá sàn",IF(P1644&gt;0.05,"🔵 Bán cao hơn","🟢 Đúng giá sàn TMĐT")))</f>
        <v/>
      </c>
      <c r="R1644" s="3" t="n"/>
      <c r="S1644" s="4" t="n"/>
      <c r="T1644" s="4" t="n"/>
    </row>
    <row r="1645">
      <c r="A1645" s="3" t="n">
        <v>1644</v>
      </c>
      <c r="B1645" s="3" t="inlineStr">
        <is>
          <t>DL014</t>
        </is>
      </c>
      <c r="C1645" s="4" t="inlineStr">
        <is>
          <t>Điện máy Anh Anh</t>
        </is>
      </c>
      <c r="D1645" s="3" t="inlineStr">
        <is>
          <t>HN</t>
        </is>
      </c>
      <c r="E1645" s="3" t="inlineStr">
        <is>
          <t>ĐIỆP</t>
        </is>
      </c>
      <c r="F1645" s="3" t="inlineStr">
        <is>
          <t>Tiktok</t>
        </is>
      </c>
      <c r="G1645" s="4" t="inlineStr">
        <is>
          <t>SHOPEE: TIKTOK: https://vt.tiktok.com/ZS9UMxDj8orfa-HFRLE/ LAZADA: WEBSITE BÁN HÀNG:</t>
        </is>
      </c>
      <c r="H1645" s="3" t="inlineStr">
        <is>
          <t>MD-80.25</t>
        </is>
      </c>
      <c r="I1645" s="4" t="inlineStr">
        <is>
          <t>Thước Cuộn tự hãm MD-80.25</t>
        </is>
      </c>
      <c r="J1645" s="3" t="inlineStr">
        <is>
          <t>Cái</t>
        </is>
      </c>
      <c r="K1645" s="5" t="n">
        <v>81000</v>
      </c>
      <c r="L1645" s="5" t="n">
        <v>96000</v>
      </c>
      <c r="M1645" s="6" t="n">
        <v>118000</v>
      </c>
      <c r="N1645" s="5" t="n"/>
      <c r="O1645" s="5">
        <f>IF(AND(ISNUMBER(N1645),ISNUMBER(M1645)),N1645-M1645,"")</f>
        <v/>
      </c>
      <c r="P1645" s="7">
        <f>IF(AND(ISNUMBER(N1645),ISNUMBER(M1645),M1645&gt;0),(N1645-M1645)/M1645,"")</f>
        <v/>
      </c>
      <c r="Q1645" s="3">
        <f>IF(P1645="","",IF(P1645&lt;-0.02,"🔴 Bán phá giá sàn",IF(P1645&gt;0.05,"🔵 Bán cao hơn","🟢 Đúng giá sàn TMĐT")))</f>
        <v/>
      </c>
      <c r="R1645" s="3" t="n"/>
      <c r="S1645" s="4" t="n"/>
      <c r="T1645" s="4" t="n"/>
    </row>
    <row r="1646">
      <c r="A1646" s="3" t="n">
        <v>1645</v>
      </c>
      <c r="B1646" s="3" t="inlineStr">
        <is>
          <t>DL014</t>
        </is>
      </c>
      <c r="C1646" s="4" t="inlineStr">
        <is>
          <t>Điện máy Anh Anh</t>
        </is>
      </c>
      <c r="D1646" s="3" t="inlineStr">
        <is>
          <t>HN</t>
        </is>
      </c>
      <c r="E1646" s="3" t="inlineStr">
        <is>
          <t>ĐIỆP</t>
        </is>
      </c>
      <c r="F1646" s="3" t="inlineStr">
        <is>
          <t>Tiktok</t>
        </is>
      </c>
      <c r="G1646" s="4" t="inlineStr">
        <is>
          <t>SHOPEE: TIKTOK: https://vt.tiktok.com/ZS9UMxDj8orfa-HFRLE/ LAZADA: WEBSITE BÁN HÀNG:</t>
        </is>
      </c>
      <c r="H1646" s="3" t="inlineStr">
        <is>
          <t>KNZ-80R</t>
        </is>
      </c>
      <c r="I1646" s="4" t="inlineStr">
        <is>
          <t>Thước đo khoảng cách laser KNZ-80R</t>
        </is>
      </c>
      <c r="J1646" s="3" t="inlineStr">
        <is>
          <t>Cái</t>
        </is>
      </c>
      <c r="K1646" s="5" t="n">
        <v>269000</v>
      </c>
      <c r="L1646" s="5" t="n">
        <v>317000</v>
      </c>
      <c r="M1646" s="6" t="n">
        <v>390000</v>
      </c>
      <c r="N1646" s="5" t="n"/>
      <c r="O1646" s="5">
        <f>IF(AND(ISNUMBER(N1646),ISNUMBER(M1646)),N1646-M1646,"")</f>
        <v/>
      </c>
      <c r="P1646" s="7">
        <f>IF(AND(ISNUMBER(N1646),ISNUMBER(M1646),M1646&gt;0),(N1646-M1646)/M1646,"")</f>
        <v/>
      </c>
      <c r="Q1646" s="3">
        <f>IF(P1646="","",IF(P1646&lt;-0.02,"🔴 Bán phá giá sàn",IF(P1646&gt;0.05,"🔵 Bán cao hơn","🟢 Đúng giá sàn TMĐT")))</f>
        <v/>
      </c>
      <c r="R1646" s="3" t="n"/>
      <c r="S1646" s="4" t="n"/>
      <c r="T1646" s="4" t="n"/>
    </row>
    <row r="1647">
      <c r="A1647" s="3" t="n">
        <v>1646</v>
      </c>
      <c r="B1647" s="3" t="inlineStr">
        <is>
          <t>DL014</t>
        </is>
      </c>
      <c r="C1647" s="4" t="inlineStr">
        <is>
          <t>Điện máy Anh Anh</t>
        </is>
      </c>
      <c r="D1647" s="3" t="inlineStr">
        <is>
          <t>HN</t>
        </is>
      </c>
      <c r="E1647" s="3" t="inlineStr">
        <is>
          <t>ĐIỆP</t>
        </is>
      </c>
      <c r="F1647" s="3" t="inlineStr">
        <is>
          <t>Tiktok</t>
        </is>
      </c>
      <c r="G1647" s="4" t="inlineStr">
        <is>
          <t>SHOPEE: TIKTOK: https://vt.tiktok.com/ZS9UMxDj8orfa-HFRLE/ LAZADA: WEBSITE BÁN HÀNG:</t>
        </is>
      </c>
      <c r="H1647" s="3" t="inlineStr">
        <is>
          <t>TK-025</t>
        </is>
      </c>
      <c r="I1647" s="4" t="inlineStr">
        <is>
          <t>Thước kẹp panme TK-025</t>
        </is>
      </c>
      <c r="J1647" s="3" t="inlineStr">
        <is>
          <t>Cái</t>
        </is>
      </c>
      <c r="K1647" s="5" t="n">
        <v>396000</v>
      </c>
      <c r="L1647" s="5" t="n">
        <v>467000</v>
      </c>
      <c r="M1647" s="6" t="n">
        <v>574000</v>
      </c>
      <c r="N1647" s="5" t="n"/>
      <c r="O1647" s="5">
        <f>IF(AND(ISNUMBER(N1647),ISNUMBER(M1647)),N1647-M1647,"")</f>
        <v/>
      </c>
      <c r="P1647" s="7">
        <f>IF(AND(ISNUMBER(N1647),ISNUMBER(M1647),M1647&gt;0),(N1647-M1647)/M1647,"")</f>
        <v/>
      </c>
      <c r="Q1647" s="3">
        <f>IF(P1647="","",IF(P1647&lt;-0.02,"🔴 Bán phá giá sàn",IF(P1647&gt;0.05,"🔵 Bán cao hơn","🟢 Đúng giá sàn TMĐT")))</f>
        <v/>
      </c>
      <c r="R1647" s="3" t="n"/>
      <c r="S1647" s="4" t="n"/>
      <c r="T1647" s="4" t="n"/>
    </row>
    <row r="1648">
      <c r="A1648" s="3" t="n">
        <v>1647</v>
      </c>
      <c r="B1648" s="3" t="inlineStr">
        <is>
          <t>DL014</t>
        </is>
      </c>
      <c r="C1648" s="4" t="inlineStr">
        <is>
          <t>Điện máy Anh Anh</t>
        </is>
      </c>
      <c r="D1648" s="3" t="inlineStr">
        <is>
          <t>HN</t>
        </is>
      </c>
      <c r="E1648" s="3" t="inlineStr">
        <is>
          <t>ĐIỆP</t>
        </is>
      </c>
      <c r="F1648" s="3" t="inlineStr">
        <is>
          <t>Tiktok</t>
        </is>
      </c>
      <c r="G1648" s="4" t="inlineStr">
        <is>
          <t>SHOPEE: TIKTOK: https://vt.tiktok.com/ZS9UMxDj8orfa-HFRLE/ LAZADA: WEBSITE BÁN HÀNG:</t>
        </is>
      </c>
      <c r="H1648" s="3" t="inlineStr"/>
      <c r="I1648" s="4" t="inlineStr">
        <is>
          <t>Thước thủy công nghiệp KTT- 25C</t>
        </is>
      </c>
      <c r="J1648" s="3" t="inlineStr">
        <is>
          <t>Cái</t>
        </is>
      </c>
      <c r="K1648" s="5" t="n">
        <v>269000</v>
      </c>
      <c r="L1648" s="5" t="n">
        <v>317000</v>
      </c>
      <c r="M1648" s="6" t="n">
        <v>390000</v>
      </c>
      <c r="N1648" s="5" t="n"/>
      <c r="O1648" s="5">
        <f>IF(AND(ISNUMBER(N1648),ISNUMBER(M1648)),N1648-M1648,"")</f>
        <v/>
      </c>
      <c r="P1648" s="7">
        <f>IF(AND(ISNUMBER(N1648),ISNUMBER(M1648),M1648&gt;0),(N1648-M1648)/M1648,"")</f>
        <v/>
      </c>
      <c r="Q1648" s="3">
        <f>IF(P1648="","",IF(P1648&lt;-0.02,"🔴 Bán phá giá sàn",IF(P1648&gt;0.05,"🔵 Bán cao hơn","🟢 Đúng giá sàn TMĐT")))</f>
        <v/>
      </c>
      <c r="R1648" s="3" t="n"/>
      <c r="S1648" s="4" t="n"/>
      <c r="T1648" s="4" t="n"/>
    </row>
    <row r="1649">
      <c r="A1649" s="3" t="n">
        <v>1648</v>
      </c>
      <c r="B1649" s="3" t="inlineStr">
        <is>
          <t>DL014</t>
        </is>
      </c>
      <c r="C1649" s="4" t="inlineStr">
        <is>
          <t>Điện máy Anh Anh</t>
        </is>
      </c>
      <c r="D1649" s="3" t="inlineStr">
        <is>
          <t>HN</t>
        </is>
      </c>
      <c r="E1649" s="3" t="inlineStr">
        <is>
          <t>ĐIỆP</t>
        </is>
      </c>
      <c r="F1649" s="3" t="inlineStr">
        <is>
          <t>Tiktok</t>
        </is>
      </c>
      <c r="G1649" s="4" t="inlineStr">
        <is>
          <t>SHOPEE: TIKTOK: https://vt.tiktok.com/ZS9UMxDj8orfa-HFRLE/ LAZADA: WEBSITE BÁN HÀNG:</t>
        </is>
      </c>
      <c r="H1649" s="3" t="inlineStr">
        <is>
          <t>KTT-50C</t>
        </is>
      </c>
      <c r="I1649" s="4" t="inlineStr">
        <is>
          <t>Thước thủy công nghiệp KTT-50C</t>
        </is>
      </c>
      <c r="J1649" s="3" t="inlineStr">
        <is>
          <t>Cái</t>
        </is>
      </c>
      <c r="K1649" s="5" t="n">
        <v>152000</v>
      </c>
      <c r="L1649" s="5" t="n">
        <v>179000</v>
      </c>
      <c r="M1649" s="6" t="n">
        <v>220000</v>
      </c>
      <c r="N1649" s="5" t="n"/>
      <c r="O1649" s="5">
        <f>IF(AND(ISNUMBER(N1649),ISNUMBER(M1649)),N1649-M1649,"")</f>
        <v/>
      </c>
      <c r="P1649" s="7">
        <f>IF(AND(ISNUMBER(N1649),ISNUMBER(M1649),M1649&gt;0),(N1649-M1649)/M1649,"")</f>
        <v/>
      </c>
      <c r="Q1649" s="3">
        <f>IF(P1649="","",IF(P1649&lt;-0.02,"🔴 Bán phá giá sàn",IF(P1649&gt;0.05,"🔵 Bán cao hơn","🟢 Đúng giá sàn TMĐT")))</f>
        <v/>
      </c>
      <c r="R1649" s="3" t="n"/>
      <c r="S1649" s="4" t="n"/>
      <c r="T1649" s="4" t="n"/>
    </row>
    <row r="1650">
      <c r="A1650" s="3" t="n">
        <v>1649</v>
      </c>
      <c r="B1650" s="3" t="inlineStr">
        <is>
          <t>DL014</t>
        </is>
      </c>
      <c r="C1650" s="4" t="inlineStr">
        <is>
          <t>Điện máy Anh Anh</t>
        </is>
      </c>
      <c r="D1650" s="3" t="inlineStr">
        <is>
          <t>HN</t>
        </is>
      </c>
      <c r="E1650" s="3" t="inlineStr">
        <is>
          <t>ĐIỆP</t>
        </is>
      </c>
      <c r="F1650" s="3" t="inlineStr">
        <is>
          <t>Tiktok</t>
        </is>
      </c>
      <c r="G1650" s="4" t="inlineStr">
        <is>
          <t>SHOPEE: TIKTOK: https://vt.tiktok.com/ZS9UMxDj8orfa-HFRLE/ LAZADA: WEBSITE BÁN HÀNG:</t>
        </is>
      </c>
      <c r="H1650" s="3" t="inlineStr">
        <is>
          <t>KVS2-6100</t>
        </is>
      </c>
      <c r="I1650" s="4" t="inlineStr">
        <is>
          <t>Tuốc nơ vít 2 đầu KVS2-6*100</t>
        </is>
      </c>
      <c r="J1650" s="3" t="inlineStr">
        <is>
          <t>Cái</t>
        </is>
      </c>
      <c r="K1650" s="5" t="n">
        <v>33000</v>
      </c>
      <c r="L1650" s="5" t="n">
        <v>39000</v>
      </c>
      <c r="M1650" s="6" t="n">
        <v>48000</v>
      </c>
      <c r="N1650" s="5" t="n"/>
      <c r="O1650" s="5">
        <f>IF(AND(ISNUMBER(N1650),ISNUMBER(M1650)),N1650-M1650,"")</f>
        <v/>
      </c>
      <c r="P1650" s="7">
        <f>IF(AND(ISNUMBER(N1650),ISNUMBER(M1650),M1650&gt;0),(N1650-M1650)/M1650,"")</f>
        <v/>
      </c>
      <c r="Q1650" s="3">
        <f>IF(P1650="","",IF(P1650&lt;-0.02,"🔴 Bán phá giá sàn",IF(P1650&gt;0.05,"🔵 Bán cao hơn","🟢 Đúng giá sàn TMĐT")))</f>
        <v/>
      </c>
      <c r="R1650" s="3" t="n"/>
      <c r="S1650" s="4" t="n"/>
      <c r="T1650" s="4" t="n"/>
    </row>
    <row r="1651">
      <c r="A1651" s="3" t="n">
        <v>1650</v>
      </c>
      <c r="B1651" s="3" t="inlineStr">
        <is>
          <t>DL014</t>
        </is>
      </c>
      <c r="C1651" s="4" t="inlineStr">
        <is>
          <t>Điện máy Anh Anh</t>
        </is>
      </c>
      <c r="D1651" s="3" t="inlineStr">
        <is>
          <t>HN</t>
        </is>
      </c>
      <c r="E1651" s="3" t="inlineStr">
        <is>
          <t>ĐIỆP</t>
        </is>
      </c>
      <c r="F1651" s="3" t="inlineStr">
        <is>
          <t>Tiktok</t>
        </is>
      </c>
      <c r="G1651" s="4" t="inlineStr">
        <is>
          <t>SHOPEE: TIKTOK: https://vt.tiktok.com/ZS9UMxDj8orfa-HFRLE/ LAZADA: WEBSITE BÁN HÀNG:</t>
        </is>
      </c>
      <c r="H1651" s="3" t="inlineStr">
        <is>
          <t>KVS2-6150</t>
        </is>
      </c>
      <c r="I1651" s="4" t="inlineStr">
        <is>
          <t>Tuốc nơ vít 2 đầu KVS2-6*150</t>
        </is>
      </c>
      <c r="J1651" s="3" t="inlineStr">
        <is>
          <t>Cái</t>
        </is>
      </c>
      <c r="K1651" s="5" t="n">
        <v>37000</v>
      </c>
      <c r="L1651" s="5" t="n">
        <v>44000</v>
      </c>
      <c r="M1651" s="6" t="n">
        <v>54000</v>
      </c>
      <c r="N1651" s="5" t="n"/>
      <c r="O1651" s="5">
        <f>IF(AND(ISNUMBER(N1651),ISNUMBER(M1651)),N1651-M1651,"")</f>
        <v/>
      </c>
      <c r="P1651" s="7">
        <f>IF(AND(ISNUMBER(N1651),ISNUMBER(M1651),M1651&gt;0),(N1651-M1651)/M1651,"")</f>
        <v/>
      </c>
      <c r="Q1651" s="3">
        <f>IF(P1651="","",IF(P1651&lt;-0.02,"🔴 Bán phá giá sàn",IF(P1651&gt;0.05,"🔵 Bán cao hơn","🟢 Đúng giá sàn TMĐT")))</f>
        <v/>
      </c>
      <c r="R1651" s="3" t="n"/>
      <c r="S1651" s="4" t="n"/>
      <c r="T1651" s="4" t="n"/>
    </row>
    <row r="1652">
      <c r="A1652" s="3" t="n">
        <v>1651</v>
      </c>
      <c r="B1652" s="3" t="inlineStr">
        <is>
          <t>DL014</t>
        </is>
      </c>
      <c r="C1652" s="4" t="inlineStr">
        <is>
          <t>Điện máy Anh Anh</t>
        </is>
      </c>
      <c r="D1652" s="3" t="inlineStr">
        <is>
          <t>HN</t>
        </is>
      </c>
      <c r="E1652" s="3" t="inlineStr">
        <is>
          <t>ĐIỆP</t>
        </is>
      </c>
      <c r="F1652" s="3" t="inlineStr">
        <is>
          <t>Tiktok</t>
        </is>
      </c>
      <c r="G1652" s="4" t="inlineStr">
        <is>
          <t>SHOPEE: TIKTOK: https://vt.tiktok.com/ZS9UMxDj8orfa-HFRLE/ LAZADA: WEBSITE BÁN HÀNG:</t>
        </is>
      </c>
      <c r="H1652" s="3" t="inlineStr">
        <is>
          <t>KVS2-6200</t>
        </is>
      </c>
      <c r="I1652" s="4" t="inlineStr">
        <is>
          <t>Tuốc nơ vít 2 đầu KVS2-6*200</t>
        </is>
      </c>
      <c r="J1652" s="3" t="inlineStr">
        <is>
          <t>Cái</t>
        </is>
      </c>
      <c r="K1652" s="5" t="n">
        <v>44000</v>
      </c>
      <c r="L1652" s="5" t="n">
        <v>52000</v>
      </c>
      <c r="M1652" s="6" t="n">
        <v>64000</v>
      </c>
      <c r="N1652" s="5" t="n"/>
      <c r="O1652" s="5">
        <f>IF(AND(ISNUMBER(N1652),ISNUMBER(M1652)),N1652-M1652,"")</f>
        <v/>
      </c>
      <c r="P1652" s="7">
        <f>IF(AND(ISNUMBER(N1652),ISNUMBER(M1652),M1652&gt;0),(N1652-M1652)/M1652,"")</f>
        <v/>
      </c>
      <c r="Q1652" s="3">
        <f>IF(P1652="","",IF(P1652&lt;-0.02,"🔴 Bán phá giá sàn",IF(P1652&gt;0.05,"🔵 Bán cao hơn","🟢 Đúng giá sàn TMĐT")))</f>
        <v/>
      </c>
      <c r="R1652" s="3" t="n"/>
      <c r="S1652" s="4" t="n"/>
      <c r="T1652" s="4" t="n"/>
    </row>
    <row r="1653">
      <c r="A1653" s="3" t="n">
        <v>1652</v>
      </c>
      <c r="B1653" s="3" t="inlineStr">
        <is>
          <t>DL015</t>
        </is>
      </c>
      <c r="C1653" s="4" t="inlineStr">
        <is>
          <t>Điện máy Hùng Cường</t>
        </is>
      </c>
      <c r="D1653" s="3" t="inlineStr">
        <is>
          <t>HN</t>
        </is>
      </c>
      <c r="E1653" s="3" t="inlineStr">
        <is>
          <t>Lan</t>
        </is>
      </c>
      <c r="F1653" s="3" t="inlineStr">
        <is>
          <t>Shopee</t>
        </is>
      </c>
      <c r="G1653" s="4" t="inlineStr">
        <is>
          <t>SHOPEE: https://s.shopee.vn/3B8C7jVImf TIKTOK: LAZADA: WEBSITE BÁN HÀNG:</t>
        </is>
      </c>
      <c r="H1653" s="3" t="inlineStr">
        <is>
          <t>CG-1200</t>
        </is>
      </c>
      <c r="I1653" s="4" t="inlineStr">
        <is>
          <t>Bàn cắt gạch CG-1200</t>
        </is>
      </c>
      <c r="J1653" s="3" t="inlineStr">
        <is>
          <t>Cái</t>
        </is>
      </c>
      <c r="K1653" s="5" t="n">
        <v>269000</v>
      </c>
      <c r="L1653" s="5" t="n">
        <v>317000</v>
      </c>
      <c r="M1653" s="6" t="n">
        <v>390000</v>
      </c>
      <c r="N1653" s="5" t="n"/>
      <c r="O1653" s="5">
        <f>IF(AND(ISNUMBER(N1653),ISNUMBER(M1653)),N1653-M1653,"")</f>
        <v/>
      </c>
      <c r="P1653" s="7">
        <f>IF(AND(ISNUMBER(N1653),ISNUMBER(M1653),M1653&gt;0),(N1653-M1653)/M1653,"")</f>
        <v/>
      </c>
      <c r="Q1653" s="3">
        <f>IF(P1653="","",IF(P1653&lt;-0.02,"🔴 Bán phá giá sàn",IF(P1653&gt;0.05,"🔵 Bán cao hơn","🟢 Đúng giá sàn TMĐT")))</f>
        <v/>
      </c>
      <c r="R1653" s="3" t="n"/>
      <c r="S1653" s="4" t="n"/>
      <c r="T1653" s="4" t="n"/>
    </row>
    <row r="1654">
      <c r="A1654" s="3" t="n">
        <v>1653</v>
      </c>
      <c r="B1654" s="3" t="inlineStr">
        <is>
          <t>DL015</t>
        </is>
      </c>
      <c r="C1654" s="4" t="inlineStr">
        <is>
          <t>Điện máy Hùng Cường</t>
        </is>
      </c>
      <c r="D1654" s="3" t="inlineStr">
        <is>
          <t>HN</t>
        </is>
      </c>
      <c r="E1654" s="3" t="inlineStr">
        <is>
          <t>Lan</t>
        </is>
      </c>
      <c r="F1654" s="3" t="inlineStr">
        <is>
          <t>Shopee</t>
        </is>
      </c>
      <c r="G1654" s="4" t="inlineStr">
        <is>
          <t>SHOPEE: https://s.shopee.vn/3B8C7jVImf TIKTOK: LAZADA: WEBSITE BÁN HÀNG:</t>
        </is>
      </c>
      <c r="H1654" s="3" t="inlineStr"/>
      <c r="I1654" s="4" t="inlineStr">
        <is>
          <t>Bình giữ nhiệt 600cc</t>
        </is>
      </c>
      <c r="J1654" s="3" t="inlineStr">
        <is>
          <t>Cái</t>
        </is>
      </c>
      <c r="K1654" s="5" t="n">
        <v>269000</v>
      </c>
      <c r="L1654" s="5" t="n">
        <v>317000</v>
      </c>
      <c r="M1654" s="6" t="n">
        <v>390000</v>
      </c>
      <c r="N1654" s="5" t="n"/>
      <c r="O1654" s="5">
        <f>IF(AND(ISNUMBER(N1654),ISNUMBER(M1654)),N1654-M1654,"")</f>
        <v/>
      </c>
      <c r="P1654" s="7">
        <f>IF(AND(ISNUMBER(N1654),ISNUMBER(M1654),M1654&gt;0),(N1654-M1654)/M1654,"")</f>
        <v/>
      </c>
      <c r="Q1654" s="3">
        <f>IF(P1654="","",IF(P1654&lt;-0.02,"🔴 Bán phá giá sàn",IF(P1654&gt;0.05,"🔵 Bán cao hơn","🟢 Đúng giá sàn TMĐT")))</f>
        <v/>
      </c>
      <c r="R1654" s="3" t="n"/>
      <c r="S1654" s="4" t="n"/>
      <c r="T1654" s="4" t="n"/>
    </row>
    <row r="1655">
      <c r="A1655" s="3" t="n">
        <v>1654</v>
      </c>
      <c r="B1655" s="3" t="inlineStr">
        <is>
          <t>DL015</t>
        </is>
      </c>
      <c r="C1655" s="4" t="inlineStr">
        <is>
          <t>Điện máy Hùng Cường</t>
        </is>
      </c>
      <c r="D1655" s="3" t="inlineStr">
        <is>
          <t>HN</t>
        </is>
      </c>
      <c r="E1655" s="3" t="inlineStr">
        <is>
          <t>Lan</t>
        </is>
      </c>
      <c r="F1655" s="3" t="inlineStr">
        <is>
          <t>Shopee</t>
        </is>
      </c>
      <c r="G1655" s="4" t="inlineStr">
        <is>
          <t>SHOPEE: https://s.shopee.vn/3B8C7jVImf TIKTOK: LAZADA: WEBSITE BÁN HÀNG:</t>
        </is>
      </c>
      <c r="H1655" s="3" t="inlineStr">
        <is>
          <t>KM18QF</t>
        </is>
      </c>
      <c r="I1655" s="4" t="inlineStr">
        <is>
          <t>Bộ đầu chụp giữ mũi KM18QF</t>
        </is>
      </c>
      <c r="J1655" s="3" t="inlineStr">
        <is>
          <t>Cái</t>
        </is>
      </c>
      <c r="K1655" s="5" t="n">
        <v>2110000</v>
      </c>
      <c r="L1655" s="5" t="n">
        <v>2320000</v>
      </c>
      <c r="M1655" s="6" t="n">
        <v>2640000</v>
      </c>
      <c r="N1655" s="5" t="n"/>
      <c r="O1655" s="5">
        <f>IF(AND(ISNUMBER(N1655),ISNUMBER(M1655)),N1655-M1655,"")</f>
        <v/>
      </c>
      <c r="P1655" s="7">
        <f>IF(AND(ISNUMBER(N1655),ISNUMBER(M1655),M1655&gt;0),(N1655-M1655)/M1655,"")</f>
        <v/>
      </c>
      <c r="Q1655" s="3">
        <f>IF(P1655="","",IF(P1655&lt;-0.02,"🔴 Bán phá giá sàn",IF(P1655&gt;0.05,"🔵 Bán cao hơn","🟢 Đúng giá sàn TMĐT")))</f>
        <v/>
      </c>
      <c r="R1655" s="3" t="n"/>
      <c r="S1655" s="4" t="n"/>
      <c r="T1655" s="4" t="n"/>
    </row>
    <row r="1656">
      <c r="A1656" s="3" t="n">
        <v>1655</v>
      </c>
      <c r="B1656" s="3" t="inlineStr">
        <is>
          <t>DL015</t>
        </is>
      </c>
      <c r="C1656" s="4" t="inlineStr">
        <is>
          <t>Điện máy Hùng Cường</t>
        </is>
      </c>
      <c r="D1656" s="3" t="inlineStr">
        <is>
          <t>HN</t>
        </is>
      </c>
      <c r="E1656" s="3" t="inlineStr">
        <is>
          <t>Lan</t>
        </is>
      </c>
      <c r="F1656" s="3" t="inlineStr">
        <is>
          <t>Shopee</t>
        </is>
      </c>
      <c r="G1656" s="4" t="inlineStr">
        <is>
          <t>SHOPEE: https://s.shopee.vn/3B8C7jVImf TIKTOK: LAZADA: WEBSITE BÁN HÀNG:</t>
        </is>
      </c>
      <c r="H1656" s="3" t="inlineStr">
        <is>
          <t>T9100E</t>
        </is>
      </c>
      <c r="I1656" s="4" t="inlineStr">
        <is>
          <t>Bộ đầu hoa thị T9100E</t>
        </is>
      </c>
      <c r="J1656" s="3" t="inlineStr">
        <is>
          <t>Bộ</t>
        </is>
      </c>
      <c r="K1656" s="5" t="n">
        <v>86000</v>
      </c>
      <c r="L1656" s="5" t="n">
        <v>108000</v>
      </c>
      <c r="M1656" s="6" t="n">
        <v>142000</v>
      </c>
      <c r="N1656" s="5" t="n"/>
      <c r="O1656" s="5">
        <f>IF(AND(ISNUMBER(N1656),ISNUMBER(M1656)),N1656-M1656,"")</f>
        <v/>
      </c>
      <c r="P1656" s="7">
        <f>IF(AND(ISNUMBER(N1656),ISNUMBER(M1656),M1656&gt;0),(N1656-M1656)/M1656,"")</f>
        <v/>
      </c>
      <c r="Q1656" s="3">
        <f>IF(P1656="","",IF(P1656&lt;-0.02,"🔴 Bán phá giá sàn",IF(P1656&gt;0.05,"🔵 Bán cao hơn","🟢 Đúng giá sàn TMĐT")))</f>
        <v/>
      </c>
      <c r="R1656" s="3" t="n"/>
      <c r="S1656" s="4" t="n"/>
      <c r="T1656" s="4" t="n"/>
    </row>
    <row r="1657">
      <c r="A1657" s="3" t="n">
        <v>1656</v>
      </c>
      <c r="B1657" s="3" t="inlineStr">
        <is>
          <t>DL015</t>
        </is>
      </c>
      <c r="C1657" s="4" t="inlineStr">
        <is>
          <t>Điện máy Hùng Cường</t>
        </is>
      </c>
      <c r="D1657" s="3" t="inlineStr">
        <is>
          <t>HN</t>
        </is>
      </c>
      <c r="E1657" s="3" t="inlineStr">
        <is>
          <t>Lan</t>
        </is>
      </c>
      <c r="F1657" s="3" t="inlineStr">
        <is>
          <t>Shopee</t>
        </is>
      </c>
      <c r="G1657" s="4" t="inlineStr">
        <is>
          <t>SHOPEE: https://s.shopee.vn/3B8C7jVImf TIKTOK: LAZADA: WEBSITE BÁN HÀNG:</t>
        </is>
      </c>
      <c r="H1657" s="3" t="inlineStr">
        <is>
          <t>L8100E</t>
        </is>
      </c>
      <c r="I1657" s="4" t="inlineStr">
        <is>
          <t>Bộ đầu lục giác L8100E</t>
        </is>
      </c>
      <c r="J1657" s="3" t="inlineStr">
        <is>
          <t>Bộ</t>
        </is>
      </c>
      <c r="K1657" s="5" t="n">
        <v>86000</v>
      </c>
      <c r="L1657" s="5" t="n">
        <v>108000</v>
      </c>
      <c r="M1657" s="6" t="n">
        <v>142000</v>
      </c>
      <c r="N1657" s="5" t="n"/>
      <c r="O1657" s="5">
        <f>IF(AND(ISNUMBER(N1657),ISNUMBER(M1657)),N1657-M1657,"")</f>
        <v/>
      </c>
      <c r="P1657" s="7">
        <f>IF(AND(ISNUMBER(N1657),ISNUMBER(M1657),M1657&gt;0),(N1657-M1657)/M1657,"")</f>
        <v/>
      </c>
      <c r="Q1657" s="3">
        <f>IF(P1657="","",IF(P1657&lt;-0.02,"🔴 Bán phá giá sàn",IF(P1657&gt;0.05,"🔵 Bán cao hơn","🟢 Đúng giá sàn TMĐT")))</f>
        <v/>
      </c>
      <c r="R1657" s="3" t="n"/>
      <c r="S1657" s="4" t="n"/>
      <c r="T1657" s="4" t="n"/>
    </row>
    <row r="1658">
      <c r="A1658" s="3" t="n">
        <v>1657</v>
      </c>
      <c r="B1658" s="3" t="inlineStr">
        <is>
          <t>DL015</t>
        </is>
      </c>
      <c r="C1658" s="4" t="inlineStr">
        <is>
          <t>Điện máy Hùng Cường</t>
        </is>
      </c>
      <c r="D1658" s="3" t="inlineStr">
        <is>
          <t>HN</t>
        </is>
      </c>
      <c r="E1658" s="3" t="inlineStr">
        <is>
          <t>Lan</t>
        </is>
      </c>
      <c r="F1658" s="3" t="inlineStr">
        <is>
          <t>Shopee</t>
        </is>
      </c>
      <c r="G1658" s="4" t="inlineStr">
        <is>
          <t>SHOPEE: https://s.shopee.vn/3B8C7jVImf TIKTOK: LAZADA: WEBSITE BÁN HÀNG:</t>
        </is>
      </c>
      <c r="H1658" s="3" t="inlineStr">
        <is>
          <t>KL-008</t>
        </is>
      </c>
      <c r="I1658" s="4" t="inlineStr">
        <is>
          <t>Bộ lục giác gập KL-008</t>
        </is>
      </c>
      <c r="J1658" s="3" t="inlineStr">
        <is>
          <t>Cái</t>
        </is>
      </c>
      <c r="K1658" s="5" t="n">
        <v>269000</v>
      </c>
      <c r="L1658" s="5" t="n">
        <v>317000</v>
      </c>
      <c r="M1658" s="6" t="n">
        <v>390000</v>
      </c>
      <c r="N1658" s="5" t="n"/>
      <c r="O1658" s="5">
        <f>IF(AND(ISNUMBER(N1658),ISNUMBER(M1658)),N1658-M1658,"")</f>
        <v/>
      </c>
      <c r="P1658" s="7">
        <f>IF(AND(ISNUMBER(N1658),ISNUMBER(M1658),M1658&gt;0),(N1658-M1658)/M1658,"")</f>
        <v/>
      </c>
      <c r="Q1658" s="3">
        <f>IF(P1658="","",IF(P1658&lt;-0.02,"🔴 Bán phá giá sàn",IF(P1658&gt;0.05,"🔵 Bán cao hơn","🟢 Đúng giá sàn TMĐT")))</f>
        <v/>
      </c>
      <c r="R1658" s="3" t="n"/>
      <c r="S1658" s="4" t="n"/>
      <c r="T1658" s="4" t="n"/>
    </row>
    <row r="1659">
      <c r="A1659" s="3" t="n">
        <v>1658</v>
      </c>
      <c r="B1659" s="3" t="inlineStr">
        <is>
          <t>DL015</t>
        </is>
      </c>
      <c r="C1659" s="4" t="inlineStr">
        <is>
          <t>Điện máy Hùng Cường</t>
        </is>
      </c>
      <c r="D1659" s="3" t="inlineStr">
        <is>
          <t>HN</t>
        </is>
      </c>
      <c r="E1659" s="3" t="inlineStr">
        <is>
          <t>Lan</t>
        </is>
      </c>
      <c r="F1659" s="3" t="inlineStr">
        <is>
          <t>Shopee</t>
        </is>
      </c>
      <c r="G1659" s="4" t="inlineStr">
        <is>
          <t>SHOPEE: https://s.shopee.vn/3B8C7jVImf TIKTOK: LAZADA: WEBSITE BÁN HÀNG:</t>
        </is>
      </c>
      <c r="H1659" s="3" t="inlineStr">
        <is>
          <t>KL9-09</t>
        </is>
      </c>
      <c r="I1659" s="4" t="inlineStr">
        <is>
          <t>Bộ lục giác KL9-09 (đầu hoa thị)</t>
        </is>
      </c>
      <c r="J1659" s="3" t="inlineStr">
        <is>
          <t>Cái</t>
        </is>
      </c>
      <c r="K1659" s="5" t="n">
        <v>269000</v>
      </c>
      <c r="L1659" s="5" t="n">
        <v>317000</v>
      </c>
      <c r="M1659" s="6" t="n">
        <v>390000</v>
      </c>
      <c r="N1659" s="5" t="n"/>
      <c r="O1659" s="5">
        <f>IF(AND(ISNUMBER(N1659),ISNUMBER(M1659)),N1659-M1659,"")</f>
        <v/>
      </c>
      <c r="P1659" s="7">
        <f>IF(AND(ISNUMBER(N1659),ISNUMBER(M1659),M1659&gt;0),(N1659-M1659)/M1659,"")</f>
        <v/>
      </c>
      <c r="Q1659" s="3">
        <f>IF(P1659="","",IF(P1659&lt;-0.02,"🔴 Bán phá giá sàn",IF(P1659&gt;0.05,"🔵 Bán cao hơn","🟢 Đúng giá sàn TMĐT")))</f>
        <v/>
      </c>
      <c r="R1659" s="3" t="n"/>
      <c r="S1659" s="4" t="n"/>
      <c r="T1659" s="4" t="n"/>
    </row>
    <row r="1660">
      <c r="A1660" s="3" t="n">
        <v>1659</v>
      </c>
      <c r="B1660" s="3" t="inlineStr">
        <is>
          <t>DL015</t>
        </is>
      </c>
      <c r="C1660" s="4" t="inlineStr">
        <is>
          <t>Điện máy Hùng Cường</t>
        </is>
      </c>
      <c r="D1660" s="3" t="inlineStr">
        <is>
          <t>HN</t>
        </is>
      </c>
      <c r="E1660" s="3" t="inlineStr">
        <is>
          <t>Lan</t>
        </is>
      </c>
      <c r="F1660" s="3" t="inlineStr">
        <is>
          <t>Shopee</t>
        </is>
      </c>
      <c r="G1660" s="4" t="inlineStr">
        <is>
          <t>SHOPEE: https://s.shopee.vn/3B8C7jVImf TIKTOK: LAZADA: WEBSITE BÁN HÀNG:</t>
        </is>
      </c>
      <c r="H1660" s="3" t="inlineStr">
        <is>
          <t>KB20QE1</t>
        </is>
      </c>
      <c r="I1660" s="4" t="inlineStr">
        <is>
          <t>Bộ Máy Khoan 3 Chức Năng 20V KB20QE1</t>
        </is>
      </c>
      <c r="J1660" s="3" t="inlineStr">
        <is>
          <t>Bộ</t>
        </is>
      </c>
      <c r="K1660" s="5" t="n">
        <v>3060000</v>
      </c>
      <c r="L1660" s="5" t="n">
        <v>3360000</v>
      </c>
      <c r="M1660" s="6" t="n">
        <v>3820000</v>
      </c>
      <c r="N1660" s="5" t="n"/>
      <c r="O1660" s="5">
        <f>IF(AND(ISNUMBER(N1660),ISNUMBER(M1660)),N1660-M1660,"")</f>
        <v/>
      </c>
      <c r="P1660" s="7">
        <f>IF(AND(ISNUMBER(N1660),ISNUMBER(M1660),M1660&gt;0),(N1660-M1660)/M1660,"")</f>
        <v/>
      </c>
      <c r="Q1660" s="3">
        <f>IF(P1660="","",IF(P1660&lt;-0.02,"🔴 Bán phá giá sàn",IF(P1660&gt;0.05,"🔵 Bán cao hơn","🟢 Đúng giá sàn TMĐT")))</f>
        <v/>
      </c>
      <c r="R1660" s="3" t="n"/>
      <c r="S1660" s="4" t="n"/>
      <c r="T1660" s="4" t="n"/>
    </row>
    <row r="1661">
      <c r="A1661" s="3" t="n">
        <v>1660</v>
      </c>
      <c r="B1661" s="3" t="inlineStr">
        <is>
          <t>DL015</t>
        </is>
      </c>
      <c r="C1661" s="4" t="inlineStr">
        <is>
          <t>Điện máy Hùng Cường</t>
        </is>
      </c>
      <c r="D1661" s="3" t="inlineStr">
        <is>
          <t>HN</t>
        </is>
      </c>
      <c r="E1661" s="3" t="inlineStr">
        <is>
          <t>Lan</t>
        </is>
      </c>
      <c r="F1661" s="3" t="inlineStr">
        <is>
          <t>Shopee</t>
        </is>
      </c>
      <c r="G1661" s="4" t="inlineStr">
        <is>
          <t>SHOPEE: https://s.shopee.vn/3B8C7jVImf TIKTOK: LAZADA: WEBSITE BÁN HÀNG:</t>
        </is>
      </c>
      <c r="H1661" s="3" t="inlineStr"/>
      <c r="I1661" s="4" t="inlineStr">
        <is>
          <t>Bộ nhông hộp số máy khoan 130Nm</t>
        </is>
      </c>
      <c r="J1661" s="3" t="inlineStr">
        <is>
          <t>Cái</t>
        </is>
      </c>
      <c r="K1661" s="5" t="n">
        <v>269000</v>
      </c>
      <c r="L1661" s="5" t="n">
        <v>317000</v>
      </c>
      <c r="M1661" s="6" t="n">
        <v>390000</v>
      </c>
      <c r="N1661" s="5" t="n"/>
      <c r="O1661" s="5">
        <f>IF(AND(ISNUMBER(N1661),ISNUMBER(M1661)),N1661-M1661,"")</f>
        <v/>
      </c>
      <c r="P1661" s="7">
        <f>IF(AND(ISNUMBER(N1661),ISNUMBER(M1661),M1661&gt;0),(N1661-M1661)/M1661,"")</f>
        <v/>
      </c>
      <c r="Q1661" s="3">
        <f>IF(P1661="","",IF(P1661&lt;-0.02,"🔴 Bán phá giá sàn",IF(P1661&gt;0.05,"🔵 Bán cao hơn","🟢 Đúng giá sàn TMĐT")))</f>
        <v/>
      </c>
      <c r="R1661" s="3" t="n"/>
      <c r="S1661" s="4" t="n"/>
      <c r="T1661" s="4" t="n"/>
    </row>
    <row r="1662">
      <c r="A1662" s="3" t="n">
        <v>1661</v>
      </c>
      <c r="B1662" s="3" t="inlineStr">
        <is>
          <t>DL015</t>
        </is>
      </c>
      <c r="C1662" s="4" t="inlineStr">
        <is>
          <t>Điện máy Hùng Cường</t>
        </is>
      </c>
      <c r="D1662" s="3" t="inlineStr">
        <is>
          <t>HN</t>
        </is>
      </c>
      <c r="E1662" s="3" t="inlineStr">
        <is>
          <t>Lan</t>
        </is>
      </c>
      <c r="F1662" s="3" t="inlineStr">
        <is>
          <t>Shopee</t>
        </is>
      </c>
      <c r="G1662" s="4" t="inlineStr">
        <is>
          <t>SHOPEE: https://s.shopee.vn/3B8C7jVImf TIKTOK: LAZADA: WEBSITE BÁN HÀNG:</t>
        </is>
      </c>
      <c r="H1662" s="3" t="inlineStr">
        <is>
          <t>KLG12</t>
        </is>
      </c>
      <c r="I1662" s="4" t="inlineStr">
        <is>
          <t>Bộ tuýp cần tự động 12 chi tiết KLG12</t>
        </is>
      </c>
      <c r="J1662" s="3" t="inlineStr">
        <is>
          <t>Bộ</t>
        </is>
      </c>
      <c r="K1662" s="5" t="n">
        <v>424000</v>
      </c>
      <c r="L1662" s="5" t="n">
        <v>500000</v>
      </c>
      <c r="M1662" s="6" t="n">
        <v>615000</v>
      </c>
      <c r="N1662" s="5" t="n"/>
      <c r="O1662" s="5">
        <f>IF(AND(ISNUMBER(N1662),ISNUMBER(M1662)),N1662-M1662,"")</f>
        <v/>
      </c>
      <c r="P1662" s="7">
        <f>IF(AND(ISNUMBER(N1662),ISNUMBER(M1662),M1662&gt;0),(N1662-M1662)/M1662,"")</f>
        <v/>
      </c>
      <c r="Q1662" s="3">
        <f>IF(P1662="","",IF(P1662&lt;-0.02,"🔴 Bán phá giá sàn",IF(P1662&gt;0.05,"🔵 Bán cao hơn","🟢 Đúng giá sàn TMĐT")))</f>
        <v/>
      </c>
      <c r="R1662" s="3" t="n"/>
      <c r="S1662" s="4" t="n"/>
      <c r="T1662" s="4" t="n"/>
    </row>
    <row r="1663">
      <c r="A1663" s="3" t="n">
        <v>1662</v>
      </c>
      <c r="B1663" s="3" t="inlineStr">
        <is>
          <t>DL015</t>
        </is>
      </c>
      <c r="C1663" s="4" t="inlineStr">
        <is>
          <t>Điện máy Hùng Cường</t>
        </is>
      </c>
      <c r="D1663" s="3" t="inlineStr">
        <is>
          <t>HN</t>
        </is>
      </c>
      <c r="E1663" s="3" t="inlineStr">
        <is>
          <t>Lan</t>
        </is>
      </c>
      <c r="F1663" s="3" t="inlineStr">
        <is>
          <t>Shopee</t>
        </is>
      </c>
      <c r="G1663" s="4" t="inlineStr">
        <is>
          <t>SHOPEE: https://s.shopee.vn/3B8C7jVImf TIKTOK: LAZADA: WEBSITE BÁN HÀNG:</t>
        </is>
      </c>
      <c r="H1663" s="3" t="inlineStr">
        <is>
          <t>KLG-16</t>
        </is>
      </c>
      <c r="I1663" s="4" t="inlineStr">
        <is>
          <t>Bộ tuýp cần tự động 16 chi tiết KLG-16</t>
        </is>
      </c>
      <c r="J1663" s="3" t="inlineStr">
        <is>
          <t>Cái</t>
        </is>
      </c>
      <c r="K1663" s="5" t="n">
        <v>269000</v>
      </c>
      <c r="L1663" s="5" t="n">
        <v>317000</v>
      </c>
      <c r="M1663" s="6" t="n">
        <v>390000</v>
      </c>
      <c r="N1663" s="5" t="n"/>
      <c r="O1663" s="5">
        <f>IF(AND(ISNUMBER(N1663),ISNUMBER(M1663)),N1663-M1663,"")</f>
        <v/>
      </c>
      <c r="P1663" s="7">
        <f>IF(AND(ISNUMBER(N1663),ISNUMBER(M1663),M1663&gt;0),(N1663-M1663)/M1663,"")</f>
        <v/>
      </c>
      <c r="Q1663" s="3">
        <f>IF(P1663="","",IF(P1663&lt;-0.02,"🔴 Bán phá giá sàn",IF(P1663&gt;0.05,"🔵 Bán cao hơn","🟢 Đúng giá sàn TMĐT")))</f>
        <v/>
      </c>
      <c r="R1663" s="3" t="n"/>
      <c r="S1663" s="4" t="n"/>
      <c r="T1663" s="4" t="n"/>
    </row>
    <row r="1664">
      <c r="A1664" s="3" t="n">
        <v>1663</v>
      </c>
      <c r="B1664" s="3" t="inlineStr">
        <is>
          <t>DL015</t>
        </is>
      </c>
      <c r="C1664" s="4" t="inlineStr">
        <is>
          <t>Điện máy Hùng Cường</t>
        </is>
      </c>
      <c r="D1664" s="3" t="inlineStr">
        <is>
          <t>HN</t>
        </is>
      </c>
      <c r="E1664" s="3" t="inlineStr">
        <is>
          <t>Lan</t>
        </is>
      </c>
      <c r="F1664" s="3" t="inlineStr">
        <is>
          <t>Shopee</t>
        </is>
      </c>
      <c r="G1664" s="4" t="inlineStr">
        <is>
          <t>SHOPEE: https://s.shopee.vn/3B8C7jVImf TIKTOK: LAZADA: WEBSITE BÁN HÀNG:</t>
        </is>
      </c>
      <c r="H1664" s="3" t="inlineStr">
        <is>
          <t>KLG-24</t>
        </is>
      </c>
      <c r="I1664" s="4" t="inlineStr">
        <is>
          <t>Bộ tuýp cần tự động 24 chi tiết KLG-24</t>
        </is>
      </c>
      <c r="J1664" s="3" t="inlineStr">
        <is>
          <t>Cái</t>
        </is>
      </c>
      <c r="K1664" s="5" t="n">
        <v>269000</v>
      </c>
      <c r="L1664" s="5" t="n">
        <v>317000</v>
      </c>
      <c r="M1664" s="6" t="n">
        <v>390000</v>
      </c>
      <c r="N1664" s="5" t="n"/>
      <c r="O1664" s="5">
        <f>IF(AND(ISNUMBER(N1664),ISNUMBER(M1664)),N1664-M1664,"")</f>
        <v/>
      </c>
      <c r="P1664" s="7">
        <f>IF(AND(ISNUMBER(N1664),ISNUMBER(M1664),M1664&gt;0),(N1664-M1664)/M1664,"")</f>
        <v/>
      </c>
      <c r="Q1664" s="3">
        <f>IF(P1664="","",IF(P1664&lt;-0.02,"🔴 Bán phá giá sàn",IF(P1664&gt;0.05,"🔵 Bán cao hơn","🟢 Đúng giá sàn TMĐT")))</f>
        <v/>
      </c>
      <c r="R1664" s="3" t="n"/>
      <c r="S1664" s="4" t="n"/>
      <c r="T1664" s="4" t="n"/>
    </row>
    <row r="1665">
      <c r="A1665" s="3" t="n">
        <v>1664</v>
      </c>
      <c r="B1665" s="3" t="inlineStr">
        <is>
          <t>DL015</t>
        </is>
      </c>
      <c r="C1665" s="4" t="inlineStr">
        <is>
          <t>Điện máy Hùng Cường</t>
        </is>
      </c>
      <c r="D1665" s="3" t="inlineStr">
        <is>
          <t>HN</t>
        </is>
      </c>
      <c r="E1665" s="3" t="inlineStr">
        <is>
          <t>Lan</t>
        </is>
      </c>
      <c r="F1665" s="3" t="inlineStr">
        <is>
          <t>Shopee</t>
        </is>
      </c>
      <c r="G1665" s="4" t="inlineStr">
        <is>
          <t>SHOPEE: https://s.shopee.vn/3B8C7jVImf TIKTOK: LAZADA: WEBSITE BÁN HÀNG:</t>
        </is>
      </c>
      <c r="H1665" s="3" t="inlineStr">
        <is>
          <t>KB-05X</t>
        </is>
      </c>
      <c r="I1665" s="4" t="inlineStr">
        <is>
          <t>Chân máy laser KB-05X</t>
        </is>
      </c>
      <c r="J1665" s="3" t="inlineStr">
        <is>
          <t>Cái</t>
        </is>
      </c>
      <c r="K1665" s="5" t="n">
        <v>1350000</v>
      </c>
      <c r="L1665" s="5" t="n">
        <v>1510000</v>
      </c>
      <c r="M1665" s="6" t="n">
        <v>1760000</v>
      </c>
      <c r="N1665" s="5" t="n"/>
      <c r="O1665" s="5">
        <f>IF(AND(ISNUMBER(N1665),ISNUMBER(M1665)),N1665-M1665,"")</f>
        <v/>
      </c>
      <c r="P1665" s="7">
        <f>IF(AND(ISNUMBER(N1665),ISNUMBER(M1665),M1665&gt;0),(N1665-M1665)/M1665,"")</f>
        <v/>
      </c>
      <c r="Q1665" s="3">
        <f>IF(P1665="","",IF(P1665&lt;-0.02,"🔴 Bán phá giá sàn",IF(P1665&gt;0.05,"🔵 Bán cao hơn","🟢 Đúng giá sàn TMĐT")))</f>
        <v/>
      </c>
      <c r="R1665" s="3" t="n"/>
      <c r="S1665" s="4" t="n"/>
      <c r="T1665" s="4" t="n"/>
    </row>
    <row r="1666">
      <c r="A1666" s="3" t="n">
        <v>1665</v>
      </c>
      <c r="B1666" s="3" t="inlineStr">
        <is>
          <t>DL015</t>
        </is>
      </c>
      <c r="C1666" s="4" t="inlineStr">
        <is>
          <t>Điện máy Hùng Cường</t>
        </is>
      </c>
      <c r="D1666" s="3" t="inlineStr">
        <is>
          <t>HN</t>
        </is>
      </c>
      <c r="E1666" s="3" t="inlineStr">
        <is>
          <t>Lan</t>
        </is>
      </c>
      <c r="F1666" s="3" t="inlineStr">
        <is>
          <t>Shopee</t>
        </is>
      </c>
      <c r="G1666" s="4" t="inlineStr">
        <is>
          <t>SHOPEE: https://s.shopee.vn/3B8C7jVImf TIKTOK: LAZADA: WEBSITE BÁN HÀNG:</t>
        </is>
      </c>
      <c r="H1666" s="3" t="inlineStr"/>
      <c r="I1666" s="4" t="inlineStr">
        <is>
          <t>Chân pin máy khoan</t>
        </is>
      </c>
      <c r="J1666" s="3" t="inlineStr">
        <is>
          <t>Cái</t>
        </is>
      </c>
      <c r="K1666" s="5" t="n">
        <v>269000</v>
      </c>
      <c r="L1666" s="5" t="n">
        <v>317000</v>
      </c>
      <c r="M1666" s="6" t="n">
        <v>390000</v>
      </c>
      <c r="N1666" s="5" t="n"/>
      <c r="O1666" s="5">
        <f>IF(AND(ISNUMBER(N1666),ISNUMBER(M1666)),N1666-M1666,"")</f>
        <v/>
      </c>
      <c r="P1666" s="7">
        <f>IF(AND(ISNUMBER(N1666),ISNUMBER(M1666),M1666&gt;0),(N1666-M1666)/M1666,"")</f>
        <v/>
      </c>
      <c r="Q1666" s="3">
        <f>IF(P1666="","",IF(P1666&lt;-0.02,"🔴 Bán phá giá sàn",IF(P1666&gt;0.05,"🔵 Bán cao hơn","🟢 Đúng giá sàn TMĐT")))</f>
        <v/>
      </c>
      <c r="R1666" s="3" t="n"/>
      <c r="S1666" s="4" t="n"/>
      <c r="T1666" s="4" t="n"/>
    </row>
    <row r="1667">
      <c r="A1667" s="3" t="n">
        <v>1666</v>
      </c>
      <c r="B1667" s="3" t="inlineStr">
        <is>
          <t>DL015</t>
        </is>
      </c>
      <c r="C1667" s="4" t="inlineStr">
        <is>
          <t>Điện máy Hùng Cường</t>
        </is>
      </c>
      <c r="D1667" s="3" t="inlineStr">
        <is>
          <t>HN</t>
        </is>
      </c>
      <c r="E1667" s="3" t="inlineStr">
        <is>
          <t>Lan</t>
        </is>
      </c>
      <c r="F1667" s="3" t="inlineStr">
        <is>
          <t>Shopee</t>
        </is>
      </c>
      <c r="G1667" s="4" t="inlineStr">
        <is>
          <t>SHOPEE: https://s.shopee.vn/3B8C7jVImf TIKTOK: LAZADA: WEBSITE BÁN HÀNG:</t>
        </is>
      </c>
      <c r="H1667" s="3" t="inlineStr">
        <is>
          <t>M1-110x5R</t>
        </is>
      </c>
      <c r="I1667" s="4" t="inlineStr">
        <is>
          <t>Chén mài Kingblue M1-110x5R (vàng)</t>
        </is>
      </c>
      <c r="J1667" s="3" t="inlineStr">
        <is>
          <t>Cái</t>
        </is>
      </c>
      <c r="K1667" s="5" t="n">
        <v>77000</v>
      </c>
      <c r="L1667" s="5" t="n">
        <v>91000</v>
      </c>
      <c r="M1667" s="6" t="n">
        <v>112000</v>
      </c>
      <c r="N1667" s="5" t="n"/>
      <c r="O1667" s="5">
        <f>IF(AND(ISNUMBER(N1667),ISNUMBER(M1667)),N1667-M1667,"")</f>
        <v/>
      </c>
      <c r="P1667" s="7">
        <f>IF(AND(ISNUMBER(N1667),ISNUMBER(M1667),M1667&gt;0),(N1667-M1667)/M1667,"")</f>
        <v/>
      </c>
      <c r="Q1667" s="3">
        <f>IF(P1667="","",IF(P1667&lt;-0.02,"🔴 Bán phá giá sàn",IF(P1667&gt;0.05,"🔵 Bán cao hơn","🟢 Đúng giá sàn TMĐT")))</f>
        <v/>
      </c>
      <c r="R1667" s="3" t="n"/>
      <c r="S1667" s="4" t="n"/>
      <c r="T1667" s="4" t="n"/>
    </row>
    <row r="1668">
      <c r="A1668" s="3" t="n">
        <v>1667</v>
      </c>
      <c r="B1668" s="3" t="inlineStr">
        <is>
          <t>DL015</t>
        </is>
      </c>
      <c r="C1668" s="4" t="inlineStr">
        <is>
          <t>Điện máy Hùng Cường</t>
        </is>
      </c>
      <c r="D1668" s="3" t="inlineStr">
        <is>
          <t>HN</t>
        </is>
      </c>
      <c r="E1668" s="3" t="inlineStr">
        <is>
          <t>Lan</t>
        </is>
      </c>
      <c r="F1668" s="3" t="inlineStr">
        <is>
          <t>Shopee</t>
        </is>
      </c>
      <c r="G1668" s="4" t="inlineStr">
        <is>
          <t>SHOPEE: https://s.shopee.vn/3B8C7jVImf TIKTOK: LAZADA: WEBSITE BÁN HÀNG:</t>
        </is>
      </c>
      <c r="H1668" s="3" t="inlineStr">
        <is>
          <t>M2-125x5R</t>
        </is>
      </c>
      <c r="I1668" s="4" t="inlineStr">
        <is>
          <t>Chén mài Kingblue M2-125x5R (Xanh)</t>
        </is>
      </c>
      <c r="J1668" s="3" t="inlineStr">
        <is>
          <t>Cái</t>
        </is>
      </c>
      <c r="K1668" s="5" t="n">
        <v>125000</v>
      </c>
      <c r="L1668" s="5" t="n">
        <v>147000</v>
      </c>
      <c r="M1668" s="6" t="n">
        <v>181000</v>
      </c>
      <c r="N1668" s="5" t="n"/>
      <c r="O1668" s="5">
        <f>IF(AND(ISNUMBER(N1668),ISNUMBER(M1668)),N1668-M1668,"")</f>
        <v/>
      </c>
      <c r="P1668" s="7">
        <f>IF(AND(ISNUMBER(N1668),ISNUMBER(M1668),M1668&gt;0),(N1668-M1668)/M1668,"")</f>
        <v/>
      </c>
      <c r="Q1668" s="3">
        <f>IF(P1668="","",IF(P1668&lt;-0.02,"🔴 Bán phá giá sàn",IF(P1668&gt;0.05,"🔵 Bán cao hơn","🟢 Đúng giá sàn TMĐT")))</f>
        <v/>
      </c>
      <c r="R1668" s="3" t="n"/>
      <c r="S1668" s="4" t="n"/>
      <c r="T1668" s="4" t="n"/>
    </row>
    <row r="1669">
      <c r="A1669" s="3" t="n">
        <v>1668</v>
      </c>
      <c r="B1669" s="3" t="inlineStr">
        <is>
          <t>DL015</t>
        </is>
      </c>
      <c r="C1669" s="4" t="inlineStr">
        <is>
          <t>Điện máy Hùng Cường</t>
        </is>
      </c>
      <c r="D1669" s="3" t="inlineStr">
        <is>
          <t>HN</t>
        </is>
      </c>
      <c r="E1669" s="3" t="inlineStr">
        <is>
          <t>Lan</t>
        </is>
      </c>
      <c r="F1669" s="3" t="inlineStr">
        <is>
          <t>Shopee</t>
        </is>
      </c>
      <c r="G1669" s="4" t="inlineStr">
        <is>
          <t>SHOPEE: https://s.shopee.vn/3B8C7jVImf TIKTOK: LAZADA: WEBSITE BÁN HÀNG:</t>
        </is>
      </c>
      <c r="H1669" s="3" t="inlineStr"/>
      <c r="I1669" s="4" t="inlineStr">
        <is>
          <t>Chuôi gài ngắn (không định tâm)</t>
        </is>
      </c>
      <c r="J1669" s="3" t="inlineStr">
        <is>
          <t>Cái</t>
        </is>
      </c>
      <c r="K1669" s="5" t="n">
        <v>269000</v>
      </c>
      <c r="L1669" s="5" t="n">
        <v>317000</v>
      </c>
      <c r="M1669" s="6" t="n">
        <v>390000</v>
      </c>
      <c r="N1669" s="5" t="n"/>
      <c r="O1669" s="5">
        <f>IF(AND(ISNUMBER(N1669),ISNUMBER(M1669)),N1669-M1669,"")</f>
        <v/>
      </c>
      <c r="P1669" s="7">
        <f>IF(AND(ISNUMBER(N1669),ISNUMBER(M1669),M1669&gt;0),(N1669-M1669)/M1669,"")</f>
        <v/>
      </c>
      <c r="Q1669" s="3">
        <f>IF(P1669="","",IF(P1669&lt;-0.02,"🔴 Bán phá giá sàn",IF(P1669&gt;0.05,"🔵 Bán cao hơn","🟢 Đúng giá sàn TMĐT")))</f>
        <v/>
      </c>
      <c r="R1669" s="3" t="n"/>
      <c r="S1669" s="4" t="n"/>
      <c r="T1669" s="4" t="n"/>
    </row>
    <row r="1670">
      <c r="A1670" s="3" t="n">
        <v>1669</v>
      </c>
      <c r="B1670" s="3" t="inlineStr">
        <is>
          <t>DL015</t>
        </is>
      </c>
      <c r="C1670" s="4" t="inlineStr">
        <is>
          <t>Điện máy Hùng Cường</t>
        </is>
      </c>
      <c r="D1670" s="3" t="inlineStr">
        <is>
          <t>HN</t>
        </is>
      </c>
      <c r="E1670" s="3" t="inlineStr">
        <is>
          <t>Lan</t>
        </is>
      </c>
      <c r="F1670" s="3" t="inlineStr">
        <is>
          <t>Shopee</t>
        </is>
      </c>
      <c r="G1670" s="4" t="inlineStr">
        <is>
          <t>SHOPEE: https://s.shopee.vn/3B8C7jVImf TIKTOK: LAZADA: WEBSITE BÁN HÀNG:</t>
        </is>
      </c>
      <c r="H1670" s="3" t="inlineStr">
        <is>
          <t>KH3-10</t>
        </is>
      </c>
      <c r="I1670" s="4" t="inlineStr">
        <is>
          <t>Cờ lê vòng miệng tự động ( càng cua đảo chiều) KH3-10</t>
        </is>
      </c>
      <c r="J1670" s="3" t="inlineStr">
        <is>
          <t>Cái</t>
        </is>
      </c>
      <c r="K1670" s="5" t="n">
        <v>62000</v>
      </c>
      <c r="L1670" s="5" t="n">
        <v>73000</v>
      </c>
      <c r="M1670" s="6" t="n">
        <v>90000</v>
      </c>
      <c r="N1670" s="5" t="n"/>
      <c r="O1670" s="5">
        <f>IF(AND(ISNUMBER(N1670),ISNUMBER(M1670)),N1670-M1670,"")</f>
        <v/>
      </c>
      <c r="P1670" s="7">
        <f>IF(AND(ISNUMBER(N1670),ISNUMBER(M1670),M1670&gt;0),(N1670-M1670)/M1670,"")</f>
        <v/>
      </c>
      <c r="Q1670" s="3">
        <f>IF(P1670="","",IF(P1670&lt;-0.02,"🔴 Bán phá giá sàn",IF(P1670&gt;0.05,"🔵 Bán cao hơn","🟢 Đúng giá sàn TMĐT")))</f>
        <v/>
      </c>
      <c r="R1670" s="3" t="n"/>
      <c r="S1670" s="4" t="n"/>
      <c r="T1670" s="4" t="n"/>
    </row>
    <row r="1671">
      <c r="A1671" s="3" t="n">
        <v>1670</v>
      </c>
      <c r="B1671" s="3" t="inlineStr">
        <is>
          <t>DL015</t>
        </is>
      </c>
      <c r="C1671" s="4" t="inlineStr">
        <is>
          <t>Điện máy Hùng Cường</t>
        </is>
      </c>
      <c r="D1671" s="3" t="inlineStr">
        <is>
          <t>HN</t>
        </is>
      </c>
      <c r="E1671" s="3" t="inlineStr">
        <is>
          <t>Lan</t>
        </is>
      </c>
      <c r="F1671" s="3" t="inlineStr">
        <is>
          <t>Shopee</t>
        </is>
      </c>
      <c r="G1671" s="4" t="inlineStr">
        <is>
          <t>SHOPEE: https://s.shopee.vn/3B8C7jVImf TIKTOK: LAZADA: WEBSITE BÁN HÀNG:</t>
        </is>
      </c>
      <c r="H1671" s="3" t="inlineStr">
        <is>
          <t>KH3-13</t>
        </is>
      </c>
      <c r="I1671" s="4" t="inlineStr">
        <is>
          <t>Cờ lê vòng miệng tự động ( càng cua đảo chiều) KH3-13</t>
        </is>
      </c>
      <c r="J1671" s="3" t="inlineStr">
        <is>
          <t>Cái</t>
        </is>
      </c>
      <c r="K1671" s="5" t="n">
        <v>75000</v>
      </c>
      <c r="L1671" s="5" t="n">
        <v>89000</v>
      </c>
      <c r="M1671" s="6" t="n">
        <v>109000</v>
      </c>
      <c r="N1671" s="5" t="n"/>
      <c r="O1671" s="5">
        <f>IF(AND(ISNUMBER(N1671),ISNUMBER(M1671)),N1671-M1671,"")</f>
        <v/>
      </c>
      <c r="P1671" s="7">
        <f>IF(AND(ISNUMBER(N1671),ISNUMBER(M1671),M1671&gt;0),(N1671-M1671)/M1671,"")</f>
        <v/>
      </c>
      <c r="Q1671" s="3">
        <f>IF(P1671="","",IF(P1671&lt;-0.02,"🔴 Bán phá giá sàn",IF(P1671&gt;0.05,"🔵 Bán cao hơn","🟢 Đúng giá sàn TMĐT")))</f>
        <v/>
      </c>
      <c r="R1671" s="3" t="n"/>
      <c r="S1671" s="4" t="n"/>
      <c r="T1671" s="4" t="n"/>
    </row>
    <row r="1672">
      <c r="A1672" s="3" t="n">
        <v>1671</v>
      </c>
      <c r="B1672" s="3" t="inlineStr">
        <is>
          <t>DL015</t>
        </is>
      </c>
      <c r="C1672" s="4" t="inlineStr">
        <is>
          <t>Điện máy Hùng Cường</t>
        </is>
      </c>
      <c r="D1672" s="3" t="inlineStr">
        <is>
          <t>HN</t>
        </is>
      </c>
      <c r="E1672" s="3" t="inlineStr">
        <is>
          <t>Lan</t>
        </is>
      </c>
      <c r="F1672" s="3" t="inlineStr">
        <is>
          <t>Shopee</t>
        </is>
      </c>
      <c r="G1672" s="4" t="inlineStr">
        <is>
          <t>SHOPEE: https://s.shopee.vn/3B8C7jVImf TIKTOK: LAZADA: WEBSITE BÁN HÀNG:</t>
        </is>
      </c>
      <c r="H1672" s="3" t="inlineStr">
        <is>
          <t>KH3-17</t>
        </is>
      </c>
      <c r="I1672" s="4" t="inlineStr">
        <is>
          <t>Cờ lê vòng miệng tự động ( càng cua đảo chiều) KH3-17</t>
        </is>
      </c>
      <c r="J1672" s="3" t="inlineStr">
        <is>
          <t>Cái</t>
        </is>
      </c>
      <c r="K1672" s="5" t="n">
        <v>97000</v>
      </c>
      <c r="L1672" s="5" t="n">
        <v>115000</v>
      </c>
      <c r="M1672" s="6" t="n">
        <v>141000</v>
      </c>
      <c r="N1672" s="5" t="n"/>
      <c r="O1672" s="5">
        <f>IF(AND(ISNUMBER(N1672),ISNUMBER(M1672)),N1672-M1672,"")</f>
        <v/>
      </c>
      <c r="P1672" s="7">
        <f>IF(AND(ISNUMBER(N1672),ISNUMBER(M1672),M1672&gt;0),(N1672-M1672)/M1672,"")</f>
        <v/>
      </c>
      <c r="Q1672" s="3">
        <f>IF(P1672="","",IF(P1672&lt;-0.02,"🔴 Bán phá giá sàn",IF(P1672&gt;0.05,"🔵 Bán cao hơn","🟢 Đúng giá sàn TMĐT")))</f>
        <v/>
      </c>
      <c r="R1672" s="3" t="n"/>
      <c r="S1672" s="4" t="n"/>
      <c r="T1672" s="4" t="n"/>
    </row>
    <row r="1673">
      <c r="A1673" s="3" t="n">
        <v>1672</v>
      </c>
      <c r="B1673" s="3" t="inlineStr">
        <is>
          <t>DL015</t>
        </is>
      </c>
      <c r="C1673" s="4" t="inlineStr">
        <is>
          <t>Điện máy Hùng Cường</t>
        </is>
      </c>
      <c r="D1673" s="3" t="inlineStr">
        <is>
          <t>HN</t>
        </is>
      </c>
      <c r="E1673" s="3" t="inlineStr">
        <is>
          <t>Lan</t>
        </is>
      </c>
      <c r="F1673" s="3" t="inlineStr">
        <is>
          <t>Shopee</t>
        </is>
      </c>
      <c r="G1673" s="4" t="inlineStr">
        <is>
          <t>SHOPEE: https://s.shopee.vn/3B8C7jVImf TIKTOK: LAZADA: WEBSITE BÁN HÀNG:</t>
        </is>
      </c>
      <c r="H1673" s="3" t="inlineStr">
        <is>
          <t>KH3-19</t>
        </is>
      </c>
      <c r="I1673" s="4" t="inlineStr">
        <is>
          <t>Cờ lê vòng miệng tự động ( càng cua đảo chiều) KH3-19</t>
        </is>
      </c>
      <c r="J1673" s="3" t="inlineStr">
        <is>
          <t>Cái</t>
        </is>
      </c>
      <c r="K1673" s="5" t="n">
        <v>108000</v>
      </c>
      <c r="L1673" s="5" t="n">
        <v>128000</v>
      </c>
      <c r="M1673" s="6" t="n">
        <v>157000</v>
      </c>
      <c r="N1673" s="5" t="n"/>
      <c r="O1673" s="5">
        <f>IF(AND(ISNUMBER(N1673),ISNUMBER(M1673)),N1673-M1673,"")</f>
        <v/>
      </c>
      <c r="P1673" s="7">
        <f>IF(AND(ISNUMBER(N1673),ISNUMBER(M1673),M1673&gt;0),(N1673-M1673)/M1673,"")</f>
        <v/>
      </c>
      <c r="Q1673" s="3">
        <f>IF(P1673="","",IF(P1673&lt;-0.02,"🔴 Bán phá giá sàn",IF(P1673&gt;0.05,"🔵 Bán cao hơn","🟢 Đúng giá sàn TMĐT")))</f>
        <v/>
      </c>
      <c r="R1673" s="3" t="n"/>
      <c r="S1673" s="4" t="n"/>
      <c r="T1673" s="4" t="n"/>
    </row>
    <row r="1674">
      <c r="A1674" s="3" t="n">
        <v>1673</v>
      </c>
      <c r="B1674" s="3" t="inlineStr">
        <is>
          <t>DL015</t>
        </is>
      </c>
      <c r="C1674" s="4" t="inlineStr">
        <is>
          <t>Điện máy Hùng Cường</t>
        </is>
      </c>
      <c r="D1674" s="3" t="inlineStr">
        <is>
          <t>HN</t>
        </is>
      </c>
      <c r="E1674" s="3" t="inlineStr">
        <is>
          <t>Lan</t>
        </is>
      </c>
      <c r="F1674" s="3" t="inlineStr">
        <is>
          <t>Shopee</t>
        </is>
      </c>
      <c r="G1674" s="4" t="inlineStr">
        <is>
          <t>SHOPEE: https://s.shopee.vn/3B8C7jVImf TIKTOK: LAZADA: WEBSITE BÁN HÀNG:</t>
        </is>
      </c>
      <c r="H1674" s="3" t="inlineStr">
        <is>
          <t>KJH-05</t>
        </is>
      </c>
      <c r="I1674" s="4" t="inlineStr">
        <is>
          <t>Dao rọc cáp đa năng KJH-05</t>
        </is>
      </c>
      <c r="J1674" s="3" t="inlineStr">
        <is>
          <t>Cái</t>
        </is>
      </c>
      <c r="K1674" s="5" t="n">
        <v>119000</v>
      </c>
      <c r="L1674" s="5" t="n">
        <v>141000</v>
      </c>
      <c r="M1674" s="6" t="n">
        <v>173000</v>
      </c>
      <c r="N1674" s="5" t="n"/>
      <c r="O1674" s="5">
        <f>IF(AND(ISNUMBER(N1674),ISNUMBER(M1674)),N1674-M1674,"")</f>
        <v/>
      </c>
      <c r="P1674" s="7">
        <f>IF(AND(ISNUMBER(N1674),ISNUMBER(M1674),M1674&gt;0),(N1674-M1674)/M1674,"")</f>
        <v/>
      </c>
      <c r="Q1674" s="3">
        <f>IF(P1674="","",IF(P1674&lt;-0.02,"🔴 Bán phá giá sàn",IF(P1674&gt;0.05,"🔵 Bán cao hơn","🟢 Đúng giá sàn TMĐT")))</f>
        <v/>
      </c>
      <c r="R1674" s="3" t="n"/>
      <c r="S1674" s="4" t="n"/>
      <c r="T1674" s="4" t="n"/>
    </row>
    <row r="1675">
      <c r="A1675" s="3" t="n">
        <v>1674</v>
      </c>
      <c r="B1675" s="3" t="inlineStr">
        <is>
          <t>DL015</t>
        </is>
      </c>
      <c r="C1675" s="4" t="inlineStr">
        <is>
          <t>Điện máy Hùng Cường</t>
        </is>
      </c>
      <c r="D1675" s="3" t="inlineStr">
        <is>
          <t>HN</t>
        </is>
      </c>
      <c r="E1675" s="3" t="inlineStr">
        <is>
          <t>Lan</t>
        </is>
      </c>
      <c r="F1675" s="3" t="inlineStr">
        <is>
          <t>Shopee</t>
        </is>
      </c>
      <c r="G1675" s="4" t="inlineStr">
        <is>
          <t>SHOPEE: https://s.shopee.vn/3B8C7jVImf TIKTOK: LAZADA: WEBSITE BÁN HÀNG:</t>
        </is>
      </c>
      <c r="H1675" s="3" t="inlineStr">
        <is>
          <t>CM07</t>
        </is>
      </c>
      <c r="I1675" s="4" t="inlineStr">
        <is>
          <t>Đầu chụp bulon KingBlue CM07</t>
        </is>
      </c>
      <c r="J1675" s="3" t="inlineStr">
        <is>
          <t>Hộp</t>
        </is>
      </c>
      <c r="K1675" s="5" t="n">
        <v>143000</v>
      </c>
      <c r="L1675" s="5" t="n">
        <v>180000</v>
      </c>
      <c r="M1675" s="6" t="n">
        <v>236000</v>
      </c>
      <c r="N1675" s="5" t="n"/>
      <c r="O1675" s="5">
        <f>IF(AND(ISNUMBER(N1675),ISNUMBER(M1675)),N1675-M1675,"")</f>
        <v/>
      </c>
      <c r="P1675" s="7">
        <f>IF(AND(ISNUMBER(N1675),ISNUMBER(M1675),M1675&gt;0),(N1675-M1675)/M1675,"")</f>
        <v/>
      </c>
      <c r="Q1675" s="3">
        <f>IF(P1675="","",IF(P1675&lt;-0.02,"🔴 Bán phá giá sàn",IF(P1675&gt;0.05,"🔵 Bán cao hơn","🟢 Đúng giá sàn TMĐT")))</f>
        <v/>
      </c>
      <c r="R1675" s="3" t="n"/>
      <c r="S1675" s="4" t="n"/>
      <c r="T1675" s="4" t="n"/>
    </row>
    <row r="1676">
      <c r="A1676" s="3" t="n">
        <v>1675</v>
      </c>
      <c r="B1676" s="3" t="inlineStr">
        <is>
          <t>DL015</t>
        </is>
      </c>
      <c r="C1676" s="4" t="inlineStr">
        <is>
          <t>Điện máy Hùng Cường</t>
        </is>
      </c>
      <c r="D1676" s="3" t="inlineStr">
        <is>
          <t>HN</t>
        </is>
      </c>
      <c r="E1676" s="3" t="inlineStr">
        <is>
          <t>Lan</t>
        </is>
      </c>
      <c r="F1676" s="3" t="inlineStr">
        <is>
          <t>Shopee</t>
        </is>
      </c>
      <c r="G1676" s="4" t="inlineStr">
        <is>
          <t>SHOPEE: https://s.shopee.vn/3B8C7jVImf TIKTOK: LAZADA: WEBSITE BÁN HÀNG:</t>
        </is>
      </c>
      <c r="H1676" s="3" t="inlineStr">
        <is>
          <t>CM08</t>
        </is>
      </c>
      <c r="I1676" s="4" t="inlineStr">
        <is>
          <t>Đầu chụp bulon KingBlue CM08</t>
        </is>
      </c>
      <c r="J1676" s="3" t="inlineStr">
        <is>
          <t>Hộp</t>
        </is>
      </c>
      <c r="K1676" s="5" t="n">
        <v>154000</v>
      </c>
      <c r="L1676" s="5" t="n">
        <v>194000</v>
      </c>
      <c r="M1676" s="6" t="n">
        <v>254000</v>
      </c>
      <c r="N1676" s="5" t="n"/>
      <c r="O1676" s="5">
        <f>IF(AND(ISNUMBER(N1676),ISNUMBER(M1676)),N1676-M1676,"")</f>
        <v/>
      </c>
      <c r="P1676" s="7">
        <f>IF(AND(ISNUMBER(N1676),ISNUMBER(M1676),M1676&gt;0),(N1676-M1676)/M1676,"")</f>
        <v/>
      </c>
      <c r="Q1676" s="3">
        <f>IF(P1676="","",IF(P1676&lt;-0.02,"🔴 Bán phá giá sàn",IF(P1676&gt;0.05,"🔵 Bán cao hơn","🟢 Đúng giá sàn TMĐT")))</f>
        <v/>
      </c>
      <c r="R1676" s="3" t="n"/>
      <c r="S1676" s="4" t="n"/>
      <c r="T1676" s="4" t="n"/>
    </row>
    <row r="1677">
      <c r="A1677" s="3" t="n">
        <v>1676</v>
      </c>
      <c r="B1677" s="3" t="inlineStr">
        <is>
          <t>DL015</t>
        </is>
      </c>
      <c r="C1677" s="4" t="inlineStr">
        <is>
          <t>Điện máy Hùng Cường</t>
        </is>
      </c>
      <c r="D1677" s="3" t="inlineStr">
        <is>
          <t>HN</t>
        </is>
      </c>
      <c r="E1677" s="3" t="inlineStr">
        <is>
          <t>Lan</t>
        </is>
      </c>
      <c r="F1677" s="3" t="inlineStr">
        <is>
          <t>Shopee</t>
        </is>
      </c>
      <c r="G1677" s="4" t="inlineStr">
        <is>
          <t>SHOPEE: https://s.shopee.vn/3B8C7jVImf TIKTOK: LAZADA: WEBSITE BÁN HÀNG:</t>
        </is>
      </c>
      <c r="H1677" s="3" t="inlineStr">
        <is>
          <t>CM10</t>
        </is>
      </c>
      <c r="I1677" s="4" t="inlineStr">
        <is>
          <t>Đầu chụp bulon KingBlue CM10</t>
        </is>
      </c>
      <c r="J1677" s="3" t="inlineStr">
        <is>
          <t>Hộp</t>
        </is>
      </c>
      <c r="K1677" s="5" t="n">
        <v>176000</v>
      </c>
      <c r="L1677" s="5" t="n">
        <v>222000</v>
      </c>
      <c r="M1677" s="6" t="n">
        <v>290000</v>
      </c>
      <c r="N1677" s="5" t="n"/>
      <c r="O1677" s="5">
        <f>IF(AND(ISNUMBER(N1677),ISNUMBER(M1677)),N1677-M1677,"")</f>
        <v/>
      </c>
      <c r="P1677" s="7">
        <f>IF(AND(ISNUMBER(N1677),ISNUMBER(M1677),M1677&gt;0),(N1677-M1677)/M1677,"")</f>
        <v/>
      </c>
      <c r="Q1677" s="3">
        <f>IF(P1677="","",IF(P1677&lt;-0.02,"🔴 Bán phá giá sàn",IF(P1677&gt;0.05,"🔵 Bán cao hơn","🟢 Đúng giá sàn TMĐT")))</f>
        <v/>
      </c>
      <c r="R1677" s="3" t="n"/>
      <c r="S1677" s="4" t="n"/>
      <c r="T1677" s="4" t="n"/>
    </row>
    <row r="1678">
      <c r="A1678" s="3" t="n">
        <v>1677</v>
      </c>
      <c r="B1678" s="3" t="inlineStr">
        <is>
          <t>DL015</t>
        </is>
      </c>
      <c r="C1678" s="4" t="inlineStr">
        <is>
          <t>Điện máy Hùng Cường</t>
        </is>
      </c>
      <c r="D1678" s="3" t="inlineStr">
        <is>
          <t>HN</t>
        </is>
      </c>
      <c r="E1678" s="3" t="inlineStr">
        <is>
          <t>Lan</t>
        </is>
      </c>
      <c r="F1678" s="3" t="inlineStr">
        <is>
          <t>Shopee</t>
        </is>
      </c>
      <c r="G1678" s="4" t="inlineStr">
        <is>
          <t>SHOPEE: https://s.shopee.vn/3B8C7jVImf TIKTOK: LAZADA: WEBSITE BÁN HÀNG:</t>
        </is>
      </c>
      <c r="H1678" s="3" t="inlineStr">
        <is>
          <t>CM12</t>
        </is>
      </c>
      <c r="I1678" s="4" t="inlineStr">
        <is>
          <t>Đầu chụp bulon KingBlue CM12</t>
        </is>
      </c>
      <c r="J1678" s="3" t="inlineStr">
        <is>
          <t>Hộp</t>
        </is>
      </c>
      <c r="K1678" s="5" t="n">
        <v>99000</v>
      </c>
      <c r="L1678" s="5" t="n">
        <v>125000</v>
      </c>
      <c r="M1678" s="6" t="n">
        <v>163000</v>
      </c>
      <c r="N1678" s="5" t="n"/>
      <c r="O1678" s="5">
        <f>IF(AND(ISNUMBER(N1678),ISNUMBER(M1678)),N1678-M1678,"")</f>
        <v/>
      </c>
      <c r="P1678" s="7">
        <f>IF(AND(ISNUMBER(N1678),ISNUMBER(M1678),M1678&gt;0),(N1678-M1678)/M1678,"")</f>
        <v/>
      </c>
      <c r="Q1678" s="3">
        <f>IF(P1678="","",IF(P1678&lt;-0.02,"🔴 Bán phá giá sàn",IF(P1678&gt;0.05,"🔵 Bán cao hơn","🟢 Đúng giá sàn TMĐT")))</f>
        <v/>
      </c>
      <c r="R1678" s="3" t="n"/>
      <c r="S1678" s="4" t="n"/>
      <c r="T1678" s="4" t="n"/>
    </row>
    <row r="1679">
      <c r="A1679" s="3" t="n">
        <v>1678</v>
      </c>
      <c r="B1679" s="3" t="inlineStr">
        <is>
          <t>DL015</t>
        </is>
      </c>
      <c r="C1679" s="4" t="inlineStr">
        <is>
          <t>Điện máy Hùng Cường</t>
        </is>
      </c>
      <c r="D1679" s="3" t="inlineStr">
        <is>
          <t>HN</t>
        </is>
      </c>
      <c r="E1679" s="3" t="inlineStr">
        <is>
          <t>Lan</t>
        </is>
      </c>
      <c r="F1679" s="3" t="inlineStr">
        <is>
          <t>Shopee</t>
        </is>
      </c>
      <c r="G1679" s="4" t="inlineStr">
        <is>
          <t>SHOPEE: https://s.shopee.vn/3B8C7jVImf TIKTOK: LAZADA: WEBSITE BÁN HÀNG:</t>
        </is>
      </c>
      <c r="H1679" s="3" t="inlineStr">
        <is>
          <t>CM13</t>
        </is>
      </c>
      <c r="I1679" s="4" t="inlineStr">
        <is>
          <t>Đầu chụp bulon KingBlue CM13</t>
        </is>
      </c>
      <c r="J1679" s="3" t="inlineStr">
        <is>
          <t>Hộp</t>
        </is>
      </c>
      <c r="K1679" s="5" t="n">
        <v>105000</v>
      </c>
      <c r="L1679" s="5" t="n">
        <v>132000</v>
      </c>
      <c r="M1679" s="6" t="n">
        <v>173000</v>
      </c>
      <c r="N1679" s="5" t="n"/>
      <c r="O1679" s="5">
        <f>IF(AND(ISNUMBER(N1679),ISNUMBER(M1679)),N1679-M1679,"")</f>
        <v/>
      </c>
      <c r="P1679" s="7">
        <f>IF(AND(ISNUMBER(N1679),ISNUMBER(M1679),M1679&gt;0),(N1679-M1679)/M1679,"")</f>
        <v/>
      </c>
      <c r="Q1679" s="3">
        <f>IF(P1679="","",IF(P1679&lt;-0.02,"🔴 Bán phá giá sàn",IF(P1679&gt;0.05,"🔵 Bán cao hơn","🟢 Đúng giá sàn TMĐT")))</f>
        <v/>
      </c>
      <c r="R1679" s="3" t="n"/>
      <c r="S1679" s="4" t="n"/>
      <c r="T1679" s="4" t="n"/>
    </row>
    <row r="1680">
      <c r="A1680" s="3" t="n">
        <v>1679</v>
      </c>
      <c r="B1680" s="3" t="inlineStr">
        <is>
          <t>DL015</t>
        </is>
      </c>
      <c r="C1680" s="4" t="inlineStr">
        <is>
          <t>Điện máy Hùng Cường</t>
        </is>
      </c>
      <c r="D1680" s="3" t="inlineStr">
        <is>
          <t>HN</t>
        </is>
      </c>
      <c r="E1680" s="3" t="inlineStr">
        <is>
          <t>Lan</t>
        </is>
      </c>
      <c r="F1680" s="3" t="inlineStr">
        <is>
          <t>Shopee</t>
        </is>
      </c>
      <c r="G1680" s="4" t="inlineStr">
        <is>
          <t>SHOPEE: https://s.shopee.vn/3B8C7jVImf TIKTOK: LAZADA: WEBSITE BÁN HÀNG:</t>
        </is>
      </c>
      <c r="H1680" s="3" t="inlineStr">
        <is>
          <t>CM14</t>
        </is>
      </c>
      <c r="I1680" s="4" t="inlineStr">
        <is>
          <t>Đầu chụp bulon KingBlue CM14</t>
        </is>
      </c>
      <c r="J1680" s="3" t="inlineStr">
        <is>
          <t>Hộp</t>
        </is>
      </c>
      <c r="K1680" s="5" t="n">
        <v>105000</v>
      </c>
      <c r="L1680" s="5" t="n">
        <v>132000</v>
      </c>
      <c r="M1680" s="6" t="n">
        <v>173000</v>
      </c>
      <c r="N1680" s="5" t="n"/>
      <c r="O1680" s="5">
        <f>IF(AND(ISNUMBER(N1680),ISNUMBER(M1680)),N1680-M1680,"")</f>
        <v/>
      </c>
      <c r="P1680" s="7">
        <f>IF(AND(ISNUMBER(N1680),ISNUMBER(M1680),M1680&gt;0),(N1680-M1680)/M1680,"")</f>
        <v/>
      </c>
      <c r="Q1680" s="3">
        <f>IF(P1680="","",IF(P1680&lt;-0.02,"🔴 Bán phá giá sàn",IF(P1680&gt;0.05,"🔵 Bán cao hơn","🟢 Đúng giá sàn TMĐT")))</f>
        <v/>
      </c>
      <c r="R1680" s="3" t="n"/>
      <c r="S1680" s="4" t="n"/>
      <c r="T1680" s="4" t="n"/>
    </row>
    <row r="1681">
      <c r="A1681" s="3" t="n">
        <v>1680</v>
      </c>
      <c r="B1681" s="3" t="inlineStr">
        <is>
          <t>DL015</t>
        </is>
      </c>
      <c r="C1681" s="4" t="inlineStr">
        <is>
          <t>Điện máy Hùng Cường</t>
        </is>
      </c>
      <c r="D1681" s="3" t="inlineStr">
        <is>
          <t>HN</t>
        </is>
      </c>
      <c r="E1681" s="3" t="inlineStr">
        <is>
          <t>Lan</t>
        </is>
      </c>
      <c r="F1681" s="3" t="inlineStr">
        <is>
          <t>Shopee</t>
        </is>
      </c>
      <c r="G1681" s="4" t="inlineStr">
        <is>
          <t>SHOPEE: https://s.shopee.vn/3B8C7jVImf TIKTOK: LAZADA: WEBSITE BÁN HÀNG:</t>
        </is>
      </c>
      <c r="H1681" s="3" t="inlineStr">
        <is>
          <t>CM17</t>
        </is>
      </c>
      <c r="I1681" s="4" t="inlineStr">
        <is>
          <t>Đầu chụp bulon KingBlue CM17</t>
        </is>
      </c>
      <c r="J1681" s="3" t="inlineStr">
        <is>
          <t>Hộp</t>
        </is>
      </c>
      <c r="K1681" s="5" t="n">
        <v>110000</v>
      </c>
      <c r="L1681" s="5" t="n">
        <v>139000</v>
      </c>
      <c r="M1681" s="6" t="n">
        <v>182000</v>
      </c>
      <c r="N1681" s="5" t="n"/>
      <c r="O1681" s="5">
        <f>IF(AND(ISNUMBER(N1681),ISNUMBER(M1681)),N1681-M1681,"")</f>
        <v/>
      </c>
      <c r="P1681" s="7">
        <f>IF(AND(ISNUMBER(N1681),ISNUMBER(M1681),M1681&gt;0),(N1681-M1681)/M1681,"")</f>
        <v/>
      </c>
      <c r="Q1681" s="3">
        <f>IF(P1681="","",IF(P1681&lt;-0.02,"🔴 Bán phá giá sàn",IF(P1681&gt;0.05,"🔵 Bán cao hơn","🟢 Đúng giá sàn TMĐT")))</f>
        <v/>
      </c>
      <c r="R1681" s="3" t="n"/>
      <c r="S1681" s="4" t="n"/>
      <c r="T1681" s="4" t="n"/>
    </row>
    <row r="1682">
      <c r="A1682" s="3" t="n">
        <v>1681</v>
      </c>
      <c r="B1682" s="3" t="inlineStr">
        <is>
          <t>DL015</t>
        </is>
      </c>
      <c r="C1682" s="4" t="inlineStr">
        <is>
          <t>Điện máy Hùng Cường</t>
        </is>
      </c>
      <c r="D1682" s="3" t="inlineStr">
        <is>
          <t>HN</t>
        </is>
      </c>
      <c r="E1682" s="3" t="inlineStr">
        <is>
          <t>Lan</t>
        </is>
      </c>
      <c r="F1682" s="3" t="inlineStr">
        <is>
          <t>Shopee</t>
        </is>
      </c>
      <c r="G1682" s="4" t="inlineStr">
        <is>
          <t>SHOPEE: https://s.shopee.vn/3B8C7jVImf TIKTOK: LAZADA: WEBSITE BÁN HÀNG:</t>
        </is>
      </c>
      <c r="H1682" s="3" t="inlineStr">
        <is>
          <t>CM19</t>
        </is>
      </c>
      <c r="I1682" s="4" t="inlineStr">
        <is>
          <t>Đầu chụp bulon KingBlue CM19</t>
        </is>
      </c>
      <c r="J1682" s="3" t="inlineStr">
        <is>
          <t>Hộp</t>
        </is>
      </c>
      <c r="K1682" s="5" t="n">
        <v>86000</v>
      </c>
      <c r="L1682" s="5" t="n">
        <v>108000</v>
      </c>
      <c r="M1682" s="6" t="n">
        <v>142000</v>
      </c>
      <c r="N1682" s="5" t="n"/>
      <c r="O1682" s="5">
        <f>IF(AND(ISNUMBER(N1682),ISNUMBER(M1682)),N1682-M1682,"")</f>
        <v/>
      </c>
      <c r="P1682" s="7">
        <f>IF(AND(ISNUMBER(N1682),ISNUMBER(M1682),M1682&gt;0),(N1682-M1682)/M1682,"")</f>
        <v/>
      </c>
      <c r="Q1682" s="3">
        <f>IF(P1682="","",IF(P1682&lt;-0.02,"🔴 Bán phá giá sàn",IF(P1682&gt;0.05,"🔵 Bán cao hơn","🟢 Đúng giá sàn TMĐT")))</f>
        <v/>
      </c>
      <c r="R1682" s="3" t="n"/>
      <c r="S1682" s="4" t="n"/>
      <c r="T1682" s="4" t="n"/>
    </row>
    <row r="1683">
      <c r="A1683" s="3" t="n">
        <v>1682</v>
      </c>
      <c r="B1683" s="3" t="inlineStr">
        <is>
          <t>DL015</t>
        </is>
      </c>
      <c r="C1683" s="4" t="inlineStr">
        <is>
          <t>Điện máy Hùng Cường</t>
        </is>
      </c>
      <c r="D1683" s="3" t="inlineStr">
        <is>
          <t>HN</t>
        </is>
      </c>
      <c r="E1683" s="3" t="inlineStr">
        <is>
          <t>Lan</t>
        </is>
      </c>
      <c r="F1683" s="3" t="inlineStr">
        <is>
          <t>Shopee</t>
        </is>
      </c>
      <c r="G1683" s="4" t="inlineStr">
        <is>
          <t>SHOPEE: https://s.shopee.vn/3B8C7jVImf TIKTOK: LAZADA: WEBSITE BÁN HÀNG:</t>
        </is>
      </c>
      <c r="H1683" s="3" t="inlineStr">
        <is>
          <t>T265E-T20</t>
        </is>
      </c>
      <c r="I1683" s="4" t="inlineStr">
        <is>
          <t>Đầu vít hoa thị KingBlue T265E-T20</t>
        </is>
      </c>
      <c r="J1683" s="3" t="inlineStr">
        <is>
          <t>Vỉ</t>
        </is>
      </c>
      <c r="K1683" s="5" t="n">
        <v>17000</v>
      </c>
      <c r="L1683" s="5" t="n">
        <v>22000</v>
      </c>
      <c r="M1683" s="6" t="n">
        <v>29000</v>
      </c>
      <c r="N1683" s="5" t="n"/>
      <c r="O1683" s="5">
        <f>IF(AND(ISNUMBER(N1683),ISNUMBER(M1683)),N1683-M1683,"")</f>
        <v/>
      </c>
      <c r="P1683" s="7">
        <f>IF(AND(ISNUMBER(N1683),ISNUMBER(M1683),M1683&gt;0),(N1683-M1683)/M1683,"")</f>
        <v/>
      </c>
      <c r="Q1683" s="3">
        <f>IF(P1683="","",IF(P1683&lt;-0.02,"🔴 Bán phá giá sàn",IF(P1683&gt;0.05,"🔵 Bán cao hơn","🟢 Đúng giá sàn TMĐT")))</f>
        <v/>
      </c>
      <c r="R1683" s="3" t="n"/>
      <c r="S1683" s="4" t="n"/>
      <c r="T1683" s="4" t="n"/>
    </row>
    <row r="1684">
      <c r="A1684" s="3" t="n">
        <v>1683</v>
      </c>
      <c r="B1684" s="3" t="inlineStr">
        <is>
          <t>DL015</t>
        </is>
      </c>
      <c r="C1684" s="4" t="inlineStr">
        <is>
          <t>Điện máy Hùng Cường</t>
        </is>
      </c>
      <c r="D1684" s="3" t="inlineStr">
        <is>
          <t>HN</t>
        </is>
      </c>
      <c r="E1684" s="3" t="inlineStr">
        <is>
          <t>Lan</t>
        </is>
      </c>
      <c r="F1684" s="3" t="inlineStr">
        <is>
          <t>Shopee</t>
        </is>
      </c>
      <c r="G1684" s="4" t="inlineStr">
        <is>
          <t>SHOPEE: https://s.shopee.vn/3B8C7jVImf TIKTOK: LAZADA: WEBSITE BÁN HÀNG:</t>
        </is>
      </c>
      <c r="H1684" s="3" t="inlineStr">
        <is>
          <t>L265E-H4</t>
        </is>
      </c>
      <c r="I1684" s="4" t="inlineStr">
        <is>
          <t>Đầu vít lục giác KingBlue L265E-H4</t>
        </is>
      </c>
      <c r="J1684" s="3" t="inlineStr">
        <is>
          <t>Vỉ</t>
        </is>
      </c>
      <c r="K1684" s="5" t="n">
        <v>17000</v>
      </c>
      <c r="L1684" s="5" t="n">
        <v>22000</v>
      </c>
      <c r="M1684" s="6" t="n">
        <v>29000</v>
      </c>
      <c r="N1684" s="5" t="n"/>
      <c r="O1684" s="5">
        <f>IF(AND(ISNUMBER(N1684),ISNUMBER(M1684)),N1684-M1684,"")</f>
        <v/>
      </c>
      <c r="P1684" s="7">
        <f>IF(AND(ISNUMBER(N1684),ISNUMBER(M1684),M1684&gt;0),(N1684-M1684)/M1684,"")</f>
        <v/>
      </c>
      <c r="Q1684" s="3">
        <f>IF(P1684="","",IF(P1684&lt;-0.02,"🔴 Bán phá giá sàn",IF(P1684&gt;0.05,"🔵 Bán cao hơn","🟢 Đúng giá sàn TMĐT")))</f>
        <v/>
      </c>
      <c r="R1684" s="3" t="n"/>
      <c r="S1684" s="4" t="n"/>
      <c r="T1684" s="4" t="n"/>
    </row>
    <row r="1685">
      <c r="A1685" s="3" t="n">
        <v>1684</v>
      </c>
      <c r="B1685" s="3" t="inlineStr">
        <is>
          <t>DL015</t>
        </is>
      </c>
      <c r="C1685" s="4" t="inlineStr">
        <is>
          <t>Điện máy Hùng Cường</t>
        </is>
      </c>
      <c r="D1685" s="3" t="inlineStr">
        <is>
          <t>HN</t>
        </is>
      </c>
      <c r="E1685" s="3" t="inlineStr">
        <is>
          <t>Lan</t>
        </is>
      </c>
      <c r="F1685" s="3" t="inlineStr">
        <is>
          <t>Shopee</t>
        </is>
      </c>
      <c r="G1685" s="4" t="inlineStr">
        <is>
          <t>SHOPEE: https://s.shopee.vn/3B8C7jVImf TIKTOK: LAZADA: WEBSITE BÁN HÀNG:</t>
        </is>
      </c>
      <c r="H1685" s="3" t="inlineStr">
        <is>
          <t>L265E-H6</t>
        </is>
      </c>
      <c r="I1685" s="4" t="inlineStr">
        <is>
          <t>Đầu vít lục giác KingBlue L265E-H6</t>
        </is>
      </c>
      <c r="J1685" s="3" t="inlineStr">
        <is>
          <t>Vỉ</t>
        </is>
      </c>
      <c r="K1685" s="5" t="n">
        <v>17000</v>
      </c>
      <c r="L1685" s="5" t="n">
        <v>22000</v>
      </c>
      <c r="M1685" s="6" t="n">
        <v>29000</v>
      </c>
      <c r="N1685" s="5" t="n"/>
      <c r="O1685" s="5">
        <f>IF(AND(ISNUMBER(N1685),ISNUMBER(M1685)),N1685-M1685,"")</f>
        <v/>
      </c>
      <c r="P1685" s="7">
        <f>IF(AND(ISNUMBER(N1685),ISNUMBER(M1685),M1685&gt;0),(N1685-M1685)/M1685,"")</f>
        <v/>
      </c>
      <c r="Q1685" s="3">
        <f>IF(P1685="","",IF(P1685&lt;-0.02,"🔴 Bán phá giá sàn",IF(P1685&gt;0.05,"🔵 Bán cao hơn","🟢 Đúng giá sàn TMĐT")))</f>
        <v/>
      </c>
      <c r="R1685" s="3" t="n"/>
      <c r="S1685" s="4" t="n"/>
      <c r="T1685" s="4" t="n"/>
    </row>
    <row r="1686">
      <c r="A1686" s="3" t="n">
        <v>1685</v>
      </c>
      <c r="B1686" s="3" t="inlineStr">
        <is>
          <t>DL015</t>
        </is>
      </c>
      <c r="C1686" s="4" t="inlineStr">
        <is>
          <t>Điện máy Hùng Cường</t>
        </is>
      </c>
      <c r="D1686" s="3" t="inlineStr">
        <is>
          <t>HN</t>
        </is>
      </c>
      <c r="E1686" s="3" t="inlineStr">
        <is>
          <t>Lan</t>
        </is>
      </c>
      <c r="F1686" s="3" t="inlineStr">
        <is>
          <t>Shopee</t>
        </is>
      </c>
      <c r="G1686" s="4" t="inlineStr">
        <is>
          <t>SHOPEE: https://s.shopee.vn/3B8C7jVImf TIKTOK: LAZADA: WEBSITE BÁN HÀNG:</t>
        </is>
      </c>
      <c r="H1686" s="3" t="inlineStr">
        <is>
          <t>LED800</t>
        </is>
      </c>
      <c r="I1686" s="4" t="inlineStr">
        <is>
          <t>Đèn Led đội đầu  LED800</t>
        </is>
      </c>
      <c r="J1686" s="3" t="inlineStr">
        <is>
          <t>Cái</t>
        </is>
      </c>
      <c r="K1686" s="5" t="n">
        <v>430000</v>
      </c>
      <c r="L1686" s="5" t="n">
        <v>490000</v>
      </c>
      <c r="M1686" s="6" t="n">
        <v>581000</v>
      </c>
      <c r="N1686" s="5" t="n"/>
      <c r="O1686" s="5">
        <f>IF(AND(ISNUMBER(N1686),ISNUMBER(M1686)),N1686-M1686,"")</f>
        <v/>
      </c>
      <c r="P1686" s="7">
        <f>IF(AND(ISNUMBER(N1686),ISNUMBER(M1686),M1686&gt;0),(N1686-M1686)/M1686,"")</f>
        <v/>
      </c>
      <c r="Q1686" s="3">
        <f>IF(P1686="","",IF(P1686&lt;-0.02,"🔴 Bán phá giá sàn",IF(P1686&gt;0.05,"🔵 Bán cao hơn","🟢 Đúng giá sàn TMĐT")))</f>
        <v/>
      </c>
      <c r="R1686" s="3" t="n"/>
      <c r="S1686" s="4" t="n"/>
      <c r="T1686" s="4" t="n"/>
    </row>
    <row r="1687">
      <c r="A1687" s="3" t="n">
        <v>1686</v>
      </c>
      <c r="B1687" s="3" t="inlineStr">
        <is>
          <t>DL015</t>
        </is>
      </c>
      <c r="C1687" s="4" t="inlineStr">
        <is>
          <t>Điện máy Hùng Cường</t>
        </is>
      </c>
      <c r="D1687" s="3" t="inlineStr">
        <is>
          <t>HN</t>
        </is>
      </c>
      <c r="E1687" s="3" t="inlineStr">
        <is>
          <t>Lan</t>
        </is>
      </c>
      <c r="F1687" s="3" t="inlineStr">
        <is>
          <t>Shopee</t>
        </is>
      </c>
      <c r="G1687" s="4" t="inlineStr">
        <is>
          <t>SHOPEE: https://s.shopee.vn/3B8C7jVImf TIKTOK: LAZADA: WEBSITE BÁN HÀNG:</t>
        </is>
      </c>
      <c r="H1687" s="3" t="inlineStr">
        <is>
          <t>LED500</t>
        </is>
      </c>
      <c r="I1687" s="4" t="inlineStr">
        <is>
          <t>Đèn Led đội đầu LED500</t>
        </is>
      </c>
      <c r="J1687" s="3" t="inlineStr">
        <is>
          <t>Cái</t>
        </is>
      </c>
      <c r="K1687" s="5" t="n">
        <v>440000</v>
      </c>
      <c r="L1687" s="5" t="n">
        <v>502000</v>
      </c>
      <c r="M1687" s="6" t="n">
        <v>594000</v>
      </c>
      <c r="N1687" s="5" t="n"/>
      <c r="O1687" s="5">
        <f>IF(AND(ISNUMBER(N1687),ISNUMBER(M1687)),N1687-M1687,"")</f>
        <v/>
      </c>
      <c r="P1687" s="7">
        <f>IF(AND(ISNUMBER(N1687),ISNUMBER(M1687),M1687&gt;0),(N1687-M1687)/M1687,"")</f>
        <v/>
      </c>
      <c r="Q1687" s="3">
        <f>IF(P1687="","",IF(P1687&lt;-0.02,"🔴 Bán phá giá sàn",IF(P1687&gt;0.05,"🔵 Bán cao hơn","🟢 Đúng giá sàn TMĐT")))</f>
        <v/>
      </c>
      <c r="R1687" s="3" t="n"/>
      <c r="S1687" s="4" t="n"/>
      <c r="T1687" s="4" t="n"/>
    </row>
    <row r="1688">
      <c r="A1688" s="3" t="n">
        <v>1687</v>
      </c>
      <c r="B1688" s="3" t="inlineStr">
        <is>
          <t>DL015</t>
        </is>
      </c>
      <c r="C1688" s="4" t="inlineStr">
        <is>
          <t>Điện máy Hùng Cường</t>
        </is>
      </c>
      <c r="D1688" s="3" t="inlineStr">
        <is>
          <t>HN</t>
        </is>
      </c>
      <c r="E1688" s="3" t="inlineStr">
        <is>
          <t>Lan</t>
        </is>
      </c>
      <c r="F1688" s="3" t="inlineStr">
        <is>
          <t>Shopee</t>
        </is>
      </c>
      <c r="G1688" s="4" t="inlineStr">
        <is>
          <t>SHOPEE: https://s.shopee.vn/3B8C7jVImf TIKTOK: LAZADA: WEBSITE BÁN HÀNG:</t>
        </is>
      </c>
      <c r="H1688" s="3" t="inlineStr">
        <is>
          <t>LED600</t>
        </is>
      </c>
      <c r="I1688" s="4" t="inlineStr">
        <is>
          <t>Đèn Led soi sửa chữa máy móc LED600</t>
        </is>
      </c>
      <c r="J1688" s="3" t="inlineStr">
        <is>
          <t>Cái</t>
        </is>
      </c>
      <c r="K1688" s="5" t="n">
        <v>650000</v>
      </c>
      <c r="L1688" s="5" t="n">
        <v>741000</v>
      </c>
      <c r="M1688" s="6" t="n">
        <v>878000</v>
      </c>
      <c r="N1688" s="5" t="n"/>
      <c r="O1688" s="5">
        <f>IF(AND(ISNUMBER(N1688),ISNUMBER(M1688)),N1688-M1688,"")</f>
        <v/>
      </c>
      <c r="P1688" s="7">
        <f>IF(AND(ISNUMBER(N1688),ISNUMBER(M1688),M1688&gt;0),(N1688-M1688)/M1688,"")</f>
        <v/>
      </c>
      <c r="Q1688" s="3">
        <f>IF(P1688="","",IF(P1688&lt;-0.02,"🔴 Bán phá giá sàn",IF(P1688&gt;0.05,"🔵 Bán cao hơn","🟢 Đúng giá sàn TMĐT")))</f>
        <v/>
      </c>
      <c r="R1688" s="3" t="n"/>
      <c r="S1688" s="4" t="n"/>
      <c r="T1688" s="4" t="n"/>
    </row>
    <row r="1689">
      <c r="A1689" s="3" t="n">
        <v>1688</v>
      </c>
      <c r="B1689" s="3" t="inlineStr">
        <is>
          <t>DL015</t>
        </is>
      </c>
      <c r="C1689" s="4" t="inlineStr">
        <is>
          <t>Điện máy Hùng Cường</t>
        </is>
      </c>
      <c r="D1689" s="3" t="inlineStr">
        <is>
          <t>HN</t>
        </is>
      </c>
      <c r="E1689" s="3" t="inlineStr">
        <is>
          <t>Lan</t>
        </is>
      </c>
      <c r="F1689" s="3" t="inlineStr">
        <is>
          <t>Shopee</t>
        </is>
      </c>
      <c r="G1689" s="4" t="inlineStr">
        <is>
          <t>SHOPEE: https://s.shopee.vn/3B8C7jVImf TIKTOK: LAZADA: WEBSITE BÁN HÀNG:</t>
        </is>
      </c>
      <c r="H1689" s="3" t="inlineStr"/>
      <c r="I1689" s="4" t="inlineStr">
        <is>
          <t>Định tâm</t>
        </is>
      </c>
      <c r="J1689" s="3" t="inlineStr">
        <is>
          <t>Cái</t>
        </is>
      </c>
      <c r="K1689" s="5" t="n">
        <v>269000</v>
      </c>
      <c r="L1689" s="5" t="n">
        <v>317000</v>
      </c>
      <c r="M1689" s="6" t="n">
        <v>390000</v>
      </c>
      <c r="N1689" s="5" t="n"/>
      <c r="O1689" s="5">
        <f>IF(AND(ISNUMBER(N1689),ISNUMBER(M1689)),N1689-M1689,"")</f>
        <v/>
      </c>
      <c r="P1689" s="7">
        <f>IF(AND(ISNUMBER(N1689),ISNUMBER(M1689),M1689&gt;0),(N1689-M1689)/M1689,"")</f>
        <v/>
      </c>
      <c r="Q1689" s="3">
        <f>IF(P1689="","",IF(P1689&lt;-0.02,"🔴 Bán phá giá sàn",IF(P1689&gt;0.05,"🔵 Bán cao hơn","🟢 Đúng giá sàn TMĐT")))</f>
        <v/>
      </c>
      <c r="R1689" s="3" t="n"/>
      <c r="S1689" s="4" t="n"/>
      <c r="T1689" s="4" t="n"/>
    </row>
    <row r="1690">
      <c r="A1690" s="3" t="n">
        <v>1689</v>
      </c>
      <c r="B1690" s="3" t="inlineStr">
        <is>
          <t>DL015</t>
        </is>
      </c>
      <c r="C1690" s="4" t="inlineStr">
        <is>
          <t>Điện máy Hùng Cường</t>
        </is>
      </c>
      <c r="D1690" s="3" t="inlineStr">
        <is>
          <t>HN</t>
        </is>
      </c>
      <c r="E1690" s="3" t="inlineStr">
        <is>
          <t>Lan</t>
        </is>
      </c>
      <c r="F1690" s="3" t="inlineStr">
        <is>
          <t>Shopee</t>
        </is>
      </c>
      <c r="G1690" s="4" t="inlineStr">
        <is>
          <t>SHOPEE: https://s.shopee.vn/3B8C7jVImf TIKTOK: LAZADA: WEBSITE BÁN HÀNG:</t>
        </is>
      </c>
      <c r="H1690" s="3" t="inlineStr">
        <is>
          <t>KIG-600</t>
        </is>
      </c>
      <c r="I1690" s="4" t="inlineStr">
        <is>
          <t>Đồng hồ kẹp dòng vạn năng KIG-600</t>
        </is>
      </c>
      <c r="J1690" s="3" t="inlineStr">
        <is>
          <t>Cái</t>
        </is>
      </c>
      <c r="K1690" s="5" t="n">
        <v>269000</v>
      </c>
      <c r="L1690" s="5" t="n">
        <v>317000</v>
      </c>
      <c r="M1690" s="6" t="n">
        <v>390000</v>
      </c>
      <c r="N1690" s="5" t="n"/>
      <c r="O1690" s="5">
        <f>IF(AND(ISNUMBER(N1690),ISNUMBER(M1690)),N1690-M1690,"")</f>
        <v/>
      </c>
      <c r="P1690" s="7">
        <f>IF(AND(ISNUMBER(N1690),ISNUMBER(M1690),M1690&gt;0),(N1690-M1690)/M1690,"")</f>
        <v/>
      </c>
      <c r="Q1690" s="3">
        <f>IF(P1690="","",IF(P1690&lt;-0.02,"🔴 Bán phá giá sàn",IF(P1690&gt;0.05,"🔵 Bán cao hơn","🟢 Đúng giá sàn TMĐT")))</f>
        <v/>
      </c>
      <c r="R1690" s="3" t="n"/>
      <c r="S1690" s="4" t="n"/>
      <c r="T1690" s="4" t="n"/>
    </row>
    <row r="1691">
      <c r="A1691" s="3" t="n">
        <v>1690</v>
      </c>
      <c r="B1691" s="3" t="inlineStr">
        <is>
          <t>DL015</t>
        </is>
      </c>
      <c r="C1691" s="4" t="inlineStr">
        <is>
          <t>Điện máy Hùng Cường</t>
        </is>
      </c>
      <c r="D1691" s="3" t="inlineStr">
        <is>
          <t>HN</t>
        </is>
      </c>
      <c r="E1691" s="3" t="inlineStr">
        <is>
          <t>Lan</t>
        </is>
      </c>
      <c r="F1691" s="3" t="inlineStr">
        <is>
          <t>Shopee</t>
        </is>
      </c>
      <c r="G1691" s="4" t="inlineStr">
        <is>
          <t>SHOPEE: https://s.shopee.vn/3B8C7jVImf TIKTOK: LAZADA: WEBSITE BÁN HÀNG:</t>
        </is>
      </c>
      <c r="H1691" s="3" t="inlineStr">
        <is>
          <t>HKE-200</t>
        </is>
      </c>
      <c r="I1691" s="4" t="inlineStr">
        <is>
          <t>Hít kính điện tử HKE-200</t>
        </is>
      </c>
      <c r="J1691" s="3" t="inlineStr">
        <is>
          <t>Cái</t>
        </is>
      </c>
      <c r="K1691" s="5" t="n">
        <v>583000</v>
      </c>
      <c r="L1691" s="5" t="n">
        <v>676000</v>
      </c>
      <c r="M1691" s="6" t="n">
        <v>816000</v>
      </c>
      <c r="N1691" s="5" t="n"/>
      <c r="O1691" s="5">
        <f>IF(AND(ISNUMBER(N1691),ISNUMBER(M1691)),N1691-M1691,"")</f>
        <v/>
      </c>
      <c r="P1691" s="7">
        <f>IF(AND(ISNUMBER(N1691),ISNUMBER(M1691),M1691&gt;0),(N1691-M1691)/M1691,"")</f>
        <v/>
      </c>
      <c r="Q1691" s="3">
        <f>IF(P1691="","",IF(P1691&lt;-0.02,"🔴 Bán phá giá sàn",IF(P1691&gt;0.05,"🔵 Bán cao hơn","🟢 Đúng giá sàn TMĐT")))</f>
        <v/>
      </c>
      <c r="R1691" s="3" t="n"/>
      <c r="S1691" s="4" t="n"/>
      <c r="T1691" s="4" t="n"/>
    </row>
    <row r="1692">
      <c r="A1692" s="3" t="n">
        <v>1691</v>
      </c>
      <c r="B1692" s="3" t="inlineStr">
        <is>
          <t>DL015</t>
        </is>
      </c>
      <c r="C1692" s="4" t="inlineStr">
        <is>
          <t>Điện máy Hùng Cường</t>
        </is>
      </c>
      <c r="D1692" s="3" t="inlineStr">
        <is>
          <t>HN</t>
        </is>
      </c>
      <c r="E1692" s="3" t="inlineStr">
        <is>
          <t>Lan</t>
        </is>
      </c>
      <c r="F1692" s="3" t="inlineStr">
        <is>
          <t>Shopee</t>
        </is>
      </c>
      <c r="G1692" s="4" t="inlineStr">
        <is>
          <t>SHOPEE: https://s.shopee.vn/3B8C7jVImf TIKTOK: LAZADA: WEBSITE BÁN HÀNG:</t>
        </is>
      </c>
      <c r="H1692" s="3" t="inlineStr">
        <is>
          <t>KPC-142</t>
        </is>
      </c>
      <c r="I1692" s="4" t="inlineStr">
        <is>
          <t>Kéo cắt ống KPC-142 (NEW)</t>
        </is>
      </c>
      <c r="J1692" s="3" t="inlineStr">
        <is>
          <t>Cái</t>
        </is>
      </c>
      <c r="K1692" s="5" t="n">
        <v>269000</v>
      </c>
      <c r="L1692" s="5" t="n">
        <v>317000</v>
      </c>
      <c r="M1692" s="6" t="n">
        <v>390000</v>
      </c>
      <c r="N1692" s="5" t="n"/>
      <c r="O1692" s="5">
        <f>IF(AND(ISNUMBER(N1692),ISNUMBER(M1692)),N1692-M1692,"")</f>
        <v/>
      </c>
      <c r="P1692" s="7">
        <f>IF(AND(ISNUMBER(N1692),ISNUMBER(M1692),M1692&gt;0),(N1692-M1692)/M1692,"")</f>
        <v/>
      </c>
      <c r="Q1692" s="3">
        <f>IF(P1692="","",IF(P1692&lt;-0.02,"🔴 Bán phá giá sàn",IF(P1692&gt;0.05,"🔵 Bán cao hơn","🟢 Đúng giá sàn TMĐT")))</f>
        <v/>
      </c>
      <c r="R1692" s="3" t="n"/>
      <c r="S1692" s="4" t="n"/>
      <c r="T1692" s="4" t="n"/>
    </row>
    <row r="1693">
      <c r="A1693" s="3" t="n">
        <v>1692</v>
      </c>
      <c r="B1693" s="3" t="inlineStr">
        <is>
          <t>DL015</t>
        </is>
      </c>
      <c r="C1693" s="4" t="inlineStr">
        <is>
          <t>Điện máy Hùng Cường</t>
        </is>
      </c>
      <c r="D1693" s="3" t="inlineStr">
        <is>
          <t>HN</t>
        </is>
      </c>
      <c r="E1693" s="3" t="inlineStr">
        <is>
          <t>Lan</t>
        </is>
      </c>
      <c r="F1693" s="3" t="inlineStr">
        <is>
          <t>Shopee</t>
        </is>
      </c>
      <c r="G1693" s="4" t="inlineStr">
        <is>
          <t>SHOPEE: https://s.shopee.vn/3B8C7jVImf TIKTOK: LAZADA: WEBSITE BÁN HÀNG:</t>
        </is>
      </c>
      <c r="H1693" s="3" t="inlineStr">
        <is>
          <t>KB006-Q6</t>
        </is>
      </c>
      <c r="I1693" s="4" t="inlineStr">
        <is>
          <t>Kéo KB006-Q6</t>
        </is>
      </c>
      <c r="J1693" s="3" t="inlineStr">
        <is>
          <t>Cái</t>
        </is>
      </c>
      <c r="K1693" s="5" t="n">
        <v>141000</v>
      </c>
      <c r="L1693" s="5" t="n">
        <v>167000</v>
      </c>
      <c r="M1693" s="6" t="n">
        <v>205000</v>
      </c>
      <c r="N1693" s="5" t="n"/>
      <c r="O1693" s="5">
        <f>IF(AND(ISNUMBER(N1693),ISNUMBER(M1693)),N1693-M1693,"")</f>
        <v/>
      </c>
      <c r="P1693" s="7">
        <f>IF(AND(ISNUMBER(N1693),ISNUMBER(M1693),M1693&gt;0),(N1693-M1693)/M1693,"")</f>
        <v/>
      </c>
      <c r="Q1693" s="3">
        <f>IF(P1693="","",IF(P1693&lt;-0.02,"🔴 Bán phá giá sàn",IF(P1693&gt;0.05,"🔵 Bán cao hơn","🟢 Đúng giá sàn TMĐT")))</f>
        <v/>
      </c>
      <c r="R1693" s="3" t="n"/>
      <c r="S1693" s="4" t="n"/>
      <c r="T1693" s="4" t="n"/>
    </row>
    <row r="1694">
      <c r="A1694" s="3" t="n">
        <v>1693</v>
      </c>
      <c r="B1694" s="3" t="inlineStr">
        <is>
          <t>DL015</t>
        </is>
      </c>
      <c r="C1694" s="4" t="inlineStr">
        <is>
          <t>Điện máy Hùng Cường</t>
        </is>
      </c>
      <c r="D1694" s="3" t="inlineStr">
        <is>
          <t>HN</t>
        </is>
      </c>
      <c r="E1694" s="3" t="inlineStr">
        <is>
          <t>Lan</t>
        </is>
      </c>
      <c r="F1694" s="3" t="inlineStr">
        <is>
          <t>Shopee</t>
        </is>
      </c>
      <c r="G1694" s="4" t="inlineStr">
        <is>
          <t>SHOPEE: https://s.shopee.vn/3B8C7jVImf TIKTOK: LAZADA: WEBSITE BÁN HÀNG:</t>
        </is>
      </c>
      <c r="H1694" s="3" t="inlineStr">
        <is>
          <t>KBY3-035CO</t>
        </is>
      </c>
      <c r="I1694" s="4" t="inlineStr">
        <is>
          <t>Khoan inox chuôi lục KBY3-035CO</t>
        </is>
      </c>
      <c r="J1694" s="3" t="inlineStr">
        <is>
          <t>Vỉ</t>
        </is>
      </c>
      <c r="K1694" s="5" t="n">
        <v>36000</v>
      </c>
      <c r="L1694" s="5" t="n">
        <v>45000</v>
      </c>
      <c r="M1694" s="6" t="n">
        <v>58000</v>
      </c>
      <c r="N1694" s="5" t="n"/>
      <c r="O1694" s="5">
        <f>IF(AND(ISNUMBER(N1694),ISNUMBER(M1694)),N1694-M1694,"")</f>
        <v/>
      </c>
      <c r="P1694" s="7">
        <f>IF(AND(ISNUMBER(N1694),ISNUMBER(M1694),M1694&gt;0),(N1694-M1694)/M1694,"")</f>
        <v/>
      </c>
      <c r="Q1694" s="3">
        <f>IF(P1694="","",IF(P1694&lt;-0.02,"🔴 Bán phá giá sàn",IF(P1694&gt;0.05,"🔵 Bán cao hơn","🟢 Đúng giá sàn TMĐT")))</f>
        <v/>
      </c>
      <c r="R1694" s="3" t="n"/>
      <c r="S1694" s="4" t="n"/>
      <c r="T1694" s="4" t="n"/>
    </row>
    <row r="1695">
      <c r="A1695" s="3" t="n">
        <v>1694</v>
      </c>
      <c r="B1695" s="3" t="inlineStr">
        <is>
          <t>DL015</t>
        </is>
      </c>
      <c r="C1695" s="4" t="inlineStr">
        <is>
          <t>Điện máy Hùng Cường</t>
        </is>
      </c>
      <c r="D1695" s="3" t="inlineStr">
        <is>
          <t>HN</t>
        </is>
      </c>
      <c r="E1695" s="3" t="inlineStr">
        <is>
          <t>Lan</t>
        </is>
      </c>
      <c r="F1695" s="3" t="inlineStr">
        <is>
          <t>Shopee</t>
        </is>
      </c>
      <c r="G1695" s="4" t="inlineStr">
        <is>
          <t>SHOPEE: https://s.shopee.vn/3B8C7jVImf TIKTOK: LAZADA: WEBSITE BÁN HÀNG:</t>
        </is>
      </c>
      <c r="H1695" s="3" t="inlineStr">
        <is>
          <t>KBY3-040CO</t>
        </is>
      </c>
      <c r="I1695" s="4" t="inlineStr">
        <is>
          <t>Khoan inox chuôi lục KBY3-040CO</t>
        </is>
      </c>
      <c r="J1695" s="3" t="inlineStr">
        <is>
          <t>Vỉ</t>
        </is>
      </c>
      <c r="K1695" s="5" t="n">
        <v>40000</v>
      </c>
      <c r="L1695" s="5" t="n">
        <v>50000</v>
      </c>
      <c r="M1695" s="6" t="n">
        <v>64000</v>
      </c>
      <c r="N1695" s="5" t="n"/>
      <c r="O1695" s="5">
        <f>IF(AND(ISNUMBER(N1695),ISNUMBER(M1695)),N1695-M1695,"")</f>
        <v/>
      </c>
      <c r="P1695" s="7">
        <f>IF(AND(ISNUMBER(N1695),ISNUMBER(M1695),M1695&gt;0),(N1695-M1695)/M1695,"")</f>
        <v/>
      </c>
      <c r="Q1695" s="3">
        <f>IF(P1695="","",IF(P1695&lt;-0.02,"🔴 Bán phá giá sàn",IF(P1695&gt;0.05,"🔵 Bán cao hơn","🟢 Đúng giá sàn TMĐT")))</f>
        <v/>
      </c>
      <c r="R1695" s="3" t="n"/>
      <c r="S1695" s="4" t="n"/>
      <c r="T1695" s="4" t="n"/>
    </row>
    <row r="1696">
      <c r="A1696" s="3" t="n">
        <v>1695</v>
      </c>
      <c r="B1696" s="3" t="inlineStr">
        <is>
          <t>DL015</t>
        </is>
      </c>
      <c r="C1696" s="4" t="inlineStr">
        <is>
          <t>Điện máy Hùng Cường</t>
        </is>
      </c>
      <c r="D1696" s="3" t="inlineStr">
        <is>
          <t>HN</t>
        </is>
      </c>
      <c r="E1696" s="3" t="inlineStr">
        <is>
          <t>Lan</t>
        </is>
      </c>
      <c r="F1696" s="3" t="inlineStr">
        <is>
          <t>Shopee</t>
        </is>
      </c>
      <c r="G1696" s="4" t="inlineStr">
        <is>
          <t>SHOPEE: https://s.shopee.vn/3B8C7jVImf TIKTOK: LAZADA: WEBSITE BÁN HÀNG:</t>
        </is>
      </c>
      <c r="H1696" s="3" t="inlineStr">
        <is>
          <t>KBY3-050CO</t>
        </is>
      </c>
      <c r="I1696" s="4" t="inlineStr">
        <is>
          <t>Khoan inox chuôi lục KBY3-050CO</t>
        </is>
      </c>
      <c r="J1696" s="3" t="inlineStr">
        <is>
          <t>Vỉ</t>
        </is>
      </c>
      <c r="K1696" s="5" t="n">
        <v>53000</v>
      </c>
      <c r="L1696" s="5" t="n">
        <v>66000</v>
      </c>
      <c r="M1696" s="6" t="n">
        <v>85000</v>
      </c>
      <c r="N1696" s="5" t="n"/>
      <c r="O1696" s="5">
        <f>IF(AND(ISNUMBER(N1696),ISNUMBER(M1696)),N1696-M1696,"")</f>
        <v/>
      </c>
      <c r="P1696" s="7">
        <f>IF(AND(ISNUMBER(N1696),ISNUMBER(M1696),M1696&gt;0),(N1696-M1696)/M1696,"")</f>
        <v/>
      </c>
      <c r="Q1696" s="3">
        <f>IF(P1696="","",IF(P1696&lt;-0.02,"🔴 Bán phá giá sàn",IF(P1696&gt;0.05,"🔵 Bán cao hơn","🟢 Đúng giá sàn TMĐT")))</f>
        <v/>
      </c>
      <c r="R1696" s="3" t="n"/>
      <c r="S1696" s="4" t="n"/>
      <c r="T1696" s="4" t="n"/>
    </row>
    <row r="1697">
      <c r="A1697" s="3" t="n">
        <v>1696</v>
      </c>
      <c r="B1697" s="3" t="inlineStr">
        <is>
          <t>DL015</t>
        </is>
      </c>
      <c r="C1697" s="4" t="inlineStr">
        <is>
          <t>Điện máy Hùng Cường</t>
        </is>
      </c>
      <c r="D1697" s="3" t="inlineStr">
        <is>
          <t>HN</t>
        </is>
      </c>
      <c r="E1697" s="3" t="inlineStr">
        <is>
          <t>Lan</t>
        </is>
      </c>
      <c r="F1697" s="3" t="inlineStr">
        <is>
          <t>Shopee</t>
        </is>
      </c>
      <c r="G1697" s="4" t="inlineStr">
        <is>
          <t>SHOPEE: https://s.shopee.vn/3B8C7jVImf TIKTOK: LAZADA: WEBSITE BÁN HÀNG:</t>
        </is>
      </c>
      <c r="H1697" s="3" t="inlineStr">
        <is>
          <t>KBY3-060CO</t>
        </is>
      </c>
      <c r="I1697" s="4" t="inlineStr">
        <is>
          <t>Khoan inox chuôi lục KBY3-060CO</t>
        </is>
      </c>
      <c r="J1697" s="3" t="inlineStr">
        <is>
          <t>Vỉ</t>
        </is>
      </c>
      <c r="K1697" s="5" t="n">
        <v>65000</v>
      </c>
      <c r="L1697" s="5" t="n">
        <v>81000</v>
      </c>
      <c r="M1697" s="6" t="n">
        <v>104000</v>
      </c>
      <c r="N1697" s="5" t="n"/>
      <c r="O1697" s="5">
        <f>IF(AND(ISNUMBER(N1697),ISNUMBER(M1697)),N1697-M1697,"")</f>
        <v/>
      </c>
      <c r="P1697" s="7">
        <f>IF(AND(ISNUMBER(N1697),ISNUMBER(M1697),M1697&gt;0),(N1697-M1697)/M1697,"")</f>
        <v/>
      </c>
      <c r="Q1697" s="3">
        <f>IF(P1697="","",IF(P1697&lt;-0.02,"🔴 Bán phá giá sàn",IF(P1697&gt;0.05,"🔵 Bán cao hơn","🟢 Đúng giá sàn TMĐT")))</f>
        <v/>
      </c>
      <c r="R1697" s="3" t="n"/>
      <c r="S1697" s="4" t="n"/>
      <c r="T1697" s="4" t="n"/>
    </row>
    <row r="1698">
      <c r="A1698" s="3" t="n">
        <v>1697</v>
      </c>
      <c r="B1698" s="3" t="inlineStr">
        <is>
          <t>DL015</t>
        </is>
      </c>
      <c r="C1698" s="4" t="inlineStr">
        <is>
          <t>Điện máy Hùng Cường</t>
        </is>
      </c>
      <c r="D1698" s="3" t="inlineStr">
        <is>
          <t>HN</t>
        </is>
      </c>
      <c r="E1698" s="3" t="inlineStr">
        <is>
          <t>Lan</t>
        </is>
      </c>
      <c r="F1698" s="3" t="inlineStr">
        <is>
          <t>Shopee</t>
        </is>
      </c>
      <c r="G1698" s="4" t="inlineStr">
        <is>
          <t>SHOPEE: https://s.shopee.vn/3B8C7jVImf TIKTOK: LAZADA: WEBSITE BÁN HÀNG:</t>
        </is>
      </c>
      <c r="H1698" s="3" t="inlineStr">
        <is>
          <t>KBY3-080CO</t>
        </is>
      </c>
      <c r="I1698" s="4" t="inlineStr">
        <is>
          <t>Khoan inox chuôi lục KBY3-080CO</t>
        </is>
      </c>
      <c r="J1698" s="3" t="inlineStr">
        <is>
          <t>Cái</t>
        </is>
      </c>
      <c r="K1698" s="5" t="n">
        <v>58000</v>
      </c>
      <c r="L1698" s="5" t="n">
        <v>72000</v>
      </c>
      <c r="M1698" s="6" t="n">
        <v>93000</v>
      </c>
      <c r="N1698" s="5" t="n"/>
      <c r="O1698" s="5">
        <f>IF(AND(ISNUMBER(N1698),ISNUMBER(M1698)),N1698-M1698,"")</f>
        <v/>
      </c>
      <c r="P1698" s="7">
        <f>IF(AND(ISNUMBER(N1698),ISNUMBER(M1698),M1698&gt;0),(N1698-M1698)/M1698,"")</f>
        <v/>
      </c>
      <c r="Q1698" s="3">
        <f>IF(P1698="","",IF(P1698&lt;-0.02,"🔴 Bán phá giá sàn",IF(P1698&gt;0.05,"🔵 Bán cao hơn","🟢 Đúng giá sàn TMĐT")))</f>
        <v/>
      </c>
      <c r="R1698" s="3" t="n"/>
      <c r="S1698" s="4" t="n"/>
      <c r="T1698" s="4" t="n"/>
    </row>
    <row r="1699">
      <c r="A1699" s="3" t="n">
        <v>1698</v>
      </c>
      <c r="B1699" s="3" t="inlineStr">
        <is>
          <t>DL015</t>
        </is>
      </c>
      <c r="C1699" s="4" t="inlineStr">
        <is>
          <t>Điện máy Hùng Cường</t>
        </is>
      </c>
      <c r="D1699" s="3" t="inlineStr">
        <is>
          <t>HN</t>
        </is>
      </c>
      <c r="E1699" s="3" t="inlineStr">
        <is>
          <t>Lan</t>
        </is>
      </c>
      <c r="F1699" s="3" t="inlineStr">
        <is>
          <t>Shopee</t>
        </is>
      </c>
      <c r="G1699" s="4" t="inlineStr">
        <is>
          <t>SHOPEE: https://s.shopee.vn/3B8C7jVImf TIKTOK: LAZADA: WEBSITE BÁN HÀNG:</t>
        </is>
      </c>
      <c r="H1699" s="3" t="inlineStr">
        <is>
          <t>KBY3-090CO</t>
        </is>
      </c>
      <c r="I1699" s="4" t="inlineStr">
        <is>
          <t>Khoan inox chuôi lục KBY3-090CO</t>
        </is>
      </c>
      <c r="J1699" s="3" t="inlineStr">
        <is>
          <t>Cái</t>
        </is>
      </c>
      <c r="K1699" s="5" t="n">
        <v>73000</v>
      </c>
      <c r="L1699" s="5" t="n">
        <v>91000</v>
      </c>
      <c r="M1699" s="6" t="n">
        <v>117000</v>
      </c>
      <c r="N1699" s="5" t="n"/>
      <c r="O1699" s="5">
        <f>IF(AND(ISNUMBER(N1699),ISNUMBER(M1699)),N1699-M1699,"")</f>
        <v/>
      </c>
      <c r="P1699" s="7">
        <f>IF(AND(ISNUMBER(N1699),ISNUMBER(M1699),M1699&gt;0),(N1699-M1699)/M1699,"")</f>
        <v/>
      </c>
      <c r="Q1699" s="3">
        <f>IF(P1699="","",IF(P1699&lt;-0.02,"🔴 Bán phá giá sàn",IF(P1699&gt;0.05,"🔵 Bán cao hơn","🟢 Đúng giá sàn TMĐT")))</f>
        <v/>
      </c>
      <c r="R1699" s="3" t="n"/>
      <c r="S1699" s="4" t="n"/>
      <c r="T1699" s="4" t="n"/>
    </row>
    <row r="1700">
      <c r="A1700" s="3" t="n">
        <v>1699</v>
      </c>
      <c r="B1700" s="3" t="inlineStr">
        <is>
          <t>DL015</t>
        </is>
      </c>
      <c r="C1700" s="4" t="inlineStr">
        <is>
          <t>Điện máy Hùng Cường</t>
        </is>
      </c>
      <c r="D1700" s="3" t="inlineStr">
        <is>
          <t>HN</t>
        </is>
      </c>
      <c r="E1700" s="3" t="inlineStr">
        <is>
          <t>Lan</t>
        </is>
      </c>
      <c r="F1700" s="3" t="inlineStr">
        <is>
          <t>Shopee</t>
        </is>
      </c>
      <c r="G1700" s="4" t="inlineStr">
        <is>
          <t>SHOPEE: https://s.shopee.vn/3B8C7jVImf TIKTOK: LAZADA: WEBSITE BÁN HÀNG:</t>
        </is>
      </c>
      <c r="H1700" s="3" t="inlineStr">
        <is>
          <t>KBY2-030CO</t>
        </is>
      </c>
      <c r="I1700" s="4" t="inlineStr">
        <is>
          <t>Khoan inox KingBlue KBY2-030CO</t>
        </is>
      </c>
      <c r="J1700" s="3" t="inlineStr">
        <is>
          <t>Cái</t>
        </is>
      </c>
      <c r="K1700" s="5" t="n">
        <v>10000</v>
      </c>
      <c r="L1700" s="5" t="n">
        <v>12000</v>
      </c>
      <c r="M1700" s="6" t="n">
        <v>16000</v>
      </c>
      <c r="N1700" s="5" t="n"/>
      <c r="O1700" s="5">
        <f>IF(AND(ISNUMBER(N1700),ISNUMBER(M1700)),N1700-M1700,"")</f>
        <v/>
      </c>
      <c r="P1700" s="7">
        <f>IF(AND(ISNUMBER(N1700),ISNUMBER(M1700),M1700&gt;0),(N1700-M1700)/M1700,"")</f>
        <v/>
      </c>
      <c r="Q1700" s="3">
        <f>IF(P1700="","",IF(P1700&lt;-0.02,"🔴 Bán phá giá sàn",IF(P1700&gt;0.05,"🔵 Bán cao hơn","🟢 Đúng giá sàn TMĐT")))</f>
        <v/>
      </c>
      <c r="R1700" s="3" t="n"/>
      <c r="S1700" s="4" t="n"/>
      <c r="T1700" s="4" t="n"/>
    </row>
    <row r="1701">
      <c r="A1701" s="3" t="n">
        <v>1700</v>
      </c>
      <c r="B1701" s="3" t="inlineStr">
        <is>
          <t>DL015</t>
        </is>
      </c>
      <c r="C1701" s="4" t="inlineStr">
        <is>
          <t>Điện máy Hùng Cường</t>
        </is>
      </c>
      <c r="D1701" s="3" t="inlineStr">
        <is>
          <t>HN</t>
        </is>
      </c>
      <c r="E1701" s="3" t="inlineStr">
        <is>
          <t>Lan</t>
        </is>
      </c>
      <c r="F1701" s="3" t="inlineStr">
        <is>
          <t>Shopee</t>
        </is>
      </c>
      <c r="G1701" s="4" t="inlineStr">
        <is>
          <t>SHOPEE: https://s.shopee.vn/3B8C7jVImf TIKTOK: LAZADA: WEBSITE BÁN HÀNG:</t>
        </is>
      </c>
      <c r="H1701" s="3" t="inlineStr">
        <is>
          <t>KBY2-035CO</t>
        </is>
      </c>
      <c r="I1701" s="4" t="inlineStr">
        <is>
          <t>Khoan inox KingBlue KBY2-035CO</t>
        </is>
      </c>
      <c r="J1701" s="3" t="inlineStr">
        <is>
          <t>Cái</t>
        </is>
      </c>
      <c r="K1701" s="5" t="n">
        <v>13000</v>
      </c>
      <c r="L1701" s="5" t="n">
        <v>16000</v>
      </c>
      <c r="M1701" s="6" t="n">
        <v>21000</v>
      </c>
      <c r="N1701" s="5" t="n"/>
      <c r="O1701" s="5">
        <f>IF(AND(ISNUMBER(N1701),ISNUMBER(M1701)),N1701-M1701,"")</f>
        <v/>
      </c>
      <c r="P1701" s="7">
        <f>IF(AND(ISNUMBER(N1701),ISNUMBER(M1701),M1701&gt;0),(N1701-M1701)/M1701,"")</f>
        <v/>
      </c>
      <c r="Q1701" s="3">
        <f>IF(P1701="","",IF(P1701&lt;-0.02,"🔴 Bán phá giá sàn",IF(P1701&gt;0.05,"🔵 Bán cao hơn","🟢 Đúng giá sàn TMĐT")))</f>
        <v/>
      </c>
      <c r="R1701" s="3" t="n"/>
      <c r="S1701" s="4" t="n"/>
      <c r="T1701" s="4" t="n"/>
    </row>
    <row r="1702">
      <c r="A1702" s="3" t="n">
        <v>1701</v>
      </c>
      <c r="B1702" s="3" t="inlineStr">
        <is>
          <t>DL015</t>
        </is>
      </c>
      <c r="C1702" s="4" t="inlineStr">
        <is>
          <t>Điện máy Hùng Cường</t>
        </is>
      </c>
      <c r="D1702" s="3" t="inlineStr">
        <is>
          <t>HN</t>
        </is>
      </c>
      <c r="E1702" s="3" t="inlineStr">
        <is>
          <t>Lan</t>
        </is>
      </c>
      <c r="F1702" s="3" t="inlineStr">
        <is>
          <t>Shopee</t>
        </is>
      </c>
      <c r="G1702" s="4" t="inlineStr">
        <is>
          <t>SHOPEE: https://s.shopee.vn/3B8C7jVImf TIKTOK: LAZADA: WEBSITE BÁN HÀNG:</t>
        </is>
      </c>
      <c r="H1702" s="3" t="inlineStr">
        <is>
          <t>KBY2-040CO</t>
        </is>
      </c>
      <c r="I1702" s="4" t="inlineStr">
        <is>
          <t>Khoan inox KingBlue KBY2-040CO</t>
        </is>
      </c>
      <c r="J1702" s="3" t="inlineStr">
        <is>
          <t>Cái</t>
        </is>
      </c>
      <c r="K1702" s="5" t="n">
        <v>17000</v>
      </c>
      <c r="L1702" s="5" t="n">
        <v>21000</v>
      </c>
      <c r="M1702" s="6" t="n">
        <v>27000</v>
      </c>
      <c r="N1702" s="5" t="n"/>
      <c r="O1702" s="5">
        <f>IF(AND(ISNUMBER(N1702),ISNUMBER(M1702)),N1702-M1702,"")</f>
        <v/>
      </c>
      <c r="P1702" s="7">
        <f>IF(AND(ISNUMBER(N1702),ISNUMBER(M1702),M1702&gt;0),(N1702-M1702)/M1702,"")</f>
        <v/>
      </c>
      <c r="Q1702" s="3">
        <f>IF(P1702="","",IF(P1702&lt;-0.02,"🔴 Bán phá giá sàn",IF(P1702&gt;0.05,"🔵 Bán cao hơn","🟢 Đúng giá sàn TMĐT")))</f>
        <v/>
      </c>
      <c r="R1702" s="3" t="n"/>
      <c r="S1702" s="4" t="n"/>
      <c r="T1702" s="4" t="n"/>
    </row>
    <row r="1703">
      <c r="A1703" s="3" t="n">
        <v>1702</v>
      </c>
      <c r="B1703" s="3" t="inlineStr">
        <is>
          <t>DL015</t>
        </is>
      </c>
      <c r="C1703" s="4" t="inlineStr">
        <is>
          <t>Điện máy Hùng Cường</t>
        </is>
      </c>
      <c r="D1703" s="3" t="inlineStr">
        <is>
          <t>HN</t>
        </is>
      </c>
      <c r="E1703" s="3" t="inlineStr">
        <is>
          <t>Lan</t>
        </is>
      </c>
      <c r="F1703" s="3" t="inlineStr">
        <is>
          <t>Shopee</t>
        </is>
      </c>
      <c r="G1703" s="4" t="inlineStr">
        <is>
          <t>SHOPEE: https://s.shopee.vn/3B8C7jVImf TIKTOK: LAZADA: WEBSITE BÁN HÀNG:</t>
        </is>
      </c>
      <c r="H1703" s="3" t="inlineStr">
        <is>
          <t>KBY2-042CO</t>
        </is>
      </c>
      <c r="I1703" s="4" t="inlineStr">
        <is>
          <t>Khoan inox KingBlue KBY2-042CO</t>
        </is>
      </c>
      <c r="J1703" s="3" t="inlineStr">
        <is>
          <t>Cái</t>
        </is>
      </c>
      <c r="K1703" s="5" t="n">
        <v>19000</v>
      </c>
      <c r="L1703" s="5" t="n">
        <v>23000</v>
      </c>
      <c r="M1703" s="6" t="n">
        <v>30000</v>
      </c>
      <c r="N1703" s="5" t="n"/>
      <c r="O1703" s="5">
        <f>IF(AND(ISNUMBER(N1703),ISNUMBER(M1703)),N1703-M1703,"")</f>
        <v/>
      </c>
      <c r="P1703" s="7">
        <f>IF(AND(ISNUMBER(N1703),ISNUMBER(M1703),M1703&gt;0),(N1703-M1703)/M1703,"")</f>
        <v/>
      </c>
      <c r="Q1703" s="3">
        <f>IF(P1703="","",IF(P1703&lt;-0.02,"🔴 Bán phá giá sàn",IF(P1703&gt;0.05,"🔵 Bán cao hơn","🟢 Đúng giá sàn TMĐT")))</f>
        <v/>
      </c>
      <c r="R1703" s="3" t="n"/>
      <c r="S1703" s="4" t="n"/>
      <c r="T1703" s="4" t="n"/>
    </row>
    <row r="1704">
      <c r="A1704" s="3" t="n">
        <v>1703</v>
      </c>
      <c r="B1704" s="3" t="inlineStr">
        <is>
          <t>DL015</t>
        </is>
      </c>
      <c r="C1704" s="4" t="inlineStr">
        <is>
          <t>Điện máy Hùng Cường</t>
        </is>
      </c>
      <c r="D1704" s="3" t="inlineStr">
        <is>
          <t>HN</t>
        </is>
      </c>
      <c r="E1704" s="3" t="inlineStr">
        <is>
          <t>Lan</t>
        </is>
      </c>
      <c r="F1704" s="3" t="inlineStr">
        <is>
          <t>Shopee</t>
        </is>
      </c>
      <c r="G1704" s="4" t="inlineStr">
        <is>
          <t>SHOPEE: https://s.shopee.vn/3B8C7jVImf TIKTOK: LAZADA: WEBSITE BÁN HÀNG:</t>
        </is>
      </c>
      <c r="H1704" s="3" t="inlineStr">
        <is>
          <t>KBY2-050CO</t>
        </is>
      </c>
      <c r="I1704" s="4" t="inlineStr">
        <is>
          <t>Khoan inox KingBlue KBY2-050CO</t>
        </is>
      </c>
      <c r="J1704" s="3" t="inlineStr">
        <is>
          <t>Cái</t>
        </is>
      </c>
      <c r="K1704" s="5" t="n">
        <v>25000</v>
      </c>
      <c r="L1704" s="5" t="n">
        <v>31000</v>
      </c>
      <c r="M1704" s="6" t="n">
        <v>40000</v>
      </c>
      <c r="N1704" s="5" t="n"/>
      <c r="O1704" s="5">
        <f>IF(AND(ISNUMBER(N1704),ISNUMBER(M1704)),N1704-M1704,"")</f>
        <v/>
      </c>
      <c r="P1704" s="7">
        <f>IF(AND(ISNUMBER(N1704),ISNUMBER(M1704),M1704&gt;0),(N1704-M1704)/M1704,"")</f>
        <v/>
      </c>
      <c r="Q1704" s="3">
        <f>IF(P1704="","",IF(P1704&lt;-0.02,"🔴 Bán phá giá sàn",IF(P1704&gt;0.05,"🔵 Bán cao hơn","🟢 Đúng giá sàn TMĐT")))</f>
        <v/>
      </c>
      <c r="R1704" s="3" t="n"/>
      <c r="S1704" s="4" t="n"/>
      <c r="T1704" s="4" t="n"/>
    </row>
    <row r="1705">
      <c r="A1705" s="3" t="n">
        <v>1704</v>
      </c>
      <c r="B1705" s="3" t="inlineStr">
        <is>
          <t>DL015</t>
        </is>
      </c>
      <c r="C1705" s="4" t="inlineStr">
        <is>
          <t>Điện máy Hùng Cường</t>
        </is>
      </c>
      <c r="D1705" s="3" t="inlineStr">
        <is>
          <t>HN</t>
        </is>
      </c>
      <c r="E1705" s="3" t="inlineStr">
        <is>
          <t>Lan</t>
        </is>
      </c>
      <c r="F1705" s="3" t="inlineStr">
        <is>
          <t>Shopee</t>
        </is>
      </c>
      <c r="G1705" s="4" t="inlineStr">
        <is>
          <t>SHOPEE: https://s.shopee.vn/3B8C7jVImf TIKTOK: LAZADA: WEBSITE BÁN HÀNG:</t>
        </is>
      </c>
      <c r="H1705" s="3" t="inlineStr">
        <is>
          <t>KBY2-060CO</t>
        </is>
      </c>
      <c r="I1705" s="4" t="inlineStr">
        <is>
          <t>Khoan inox KingBlue KBY2-060CO</t>
        </is>
      </c>
      <c r="J1705" s="3" t="inlineStr">
        <is>
          <t>Cái</t>
        </is>
      </c>
      <c r="K1705" s="5" t="n">
        <v>36000</v>
      </c>
      <c r="L1705" s="5" t="n">
        <v>45000</v>
      </c>
      <c r="M1705" s="6" t="n">
        <v>58000</v>
      </c>
      <c r="N1705" s="5" t="n"/>
      <c r="O1705" s="5">
        <f>IF(AND(ISNUMBER(N1705),ISNUMBER(M1705)),N1705-M1705,"")</f>
        <v/>
      </c>
      <c r="P1705" s="7">
        <f>IF(AND(ISNUMBER(N1705),ISNUMBER(M1705),M1705&gt;0),(N1705-M1705)/M1705,"")</f>
        <v/>
      </c>
      <c r="Q1705" s="3">
        <f>IF(P1705="","",IF(P1705&lt;-0.02,"🔴 Bán phá giá sàn",IF(P1705&gt;0.05,"🔵 Bán cao hơn","🟢 Đúng giá sàn TMĐT")))</f>
        <v/>
      </c>
      <c r="R1705" s="3" t="n"/>
      <c r="S1705" s="4" t="n"/>
      <c r="T1705" s="4" t="n"/>
    </row>
    <row r="1706">
      <c r="A1706" s="3" t="n">
        <v>1705</v>
      </c>
      <c r="B1706" s="3" t="inlineStr">
        <is>
          <t>DL015</t>
        </is>
      </c>
      <c r="C1706" s="4" t="inlineStr">
        <is>
          <t>Điện máy Hùng Cường</t>
        </is>
      </c>
      <c r="D1706" s="3" t="inlineStr">
        <is>
          <t>HN</t>
        </is>
      </c>
      <c r="E1706" s="3" t="inlineStr">
        <is>
          <t>Lan</t>
        </is>
      </c>
      <c r="F1706" s="3" t="inlineStr">
        <is>
          <t>Shopee</t>
        </is>
      </c>
      <c r="G1706" s="4" t="inlineStr">
        <is>
          <t>SHOPEE: https://s.shopee.vn/3B8C7jVImf TIKTOK: LAZADA: WEBSITE BÁN HÀNG:</t>
        </is>
      </c>
      <c r="H1706" s="3" t="inlineStr">
        <is>
          <t>KBY2-070CO</t>
        </is>
      </c>
      <c r="I1706" s="4" t="inlineStr">
        <is>
          <t>Khoan inox KingBlue KBY2-070CO</t>
        </is>
      </c>
      <c r="J1706" s="3" t="inlineStr">
        <is>
          <t>Cái</t>
        </is>
      </c>
      <c r="K1706" s="5" t="n">
        <v>49000</v>
      </c>
      <c r="L1706" s="5" t="n">
        <v>61000</v>
      </c>
      <c r="M1706" s="6" t="n">
        <v>78000</v>
      </c>
      <c r="N1706" s="5" t="n"/>
      <c r="O1706" s="5">
        <f>IF(AND(ISNUMBER(N1706),ISNUMBER(M1706)),N1706-M1706,"")</f>
        <v/>
      </c>
      <c r="P1706" s="7">
        <f>IF(AND(ISNUMBER(N1706),ISNUMBER(M1706),M1706&gt;0),(N1706-M1706)/M1706,"")</f>
        <v/>
      </c>
      <c r="Q1706" s="3">
        <f>IF(P1706="","",IF(P1706&lt;-0.02,"🔴 Bán phá giá sàn",IF(P1706&gt;0.05,"🔵 Bán cao hơn","🟢 Đúng giá sàn TMĐT")))</f>
        <v/>
      </c>
      <c r="R1706" s="3" t="n"/>
      <c r="S1706" s="4" t="n"/>
      <c r="T1706" s="4" t="n"/>
    </row>
    <row r="1707">
      <c r="A1707" s="3" t="n">
        <v>1706</v>
      </c>
      <c r="B1707" s="3" t="inlineStr">
        <is>
          <t>DL015</t>
        </is>
      </c>
      <c r="C1707" s="4" t="inlineStr">
        <is>
          <t>Điện máy Hùng Cường</t>
        </is>
      </c>
      <c r="D1707" s="3" t="inlineStr">
        <is>
          <t>HN</t>
        </is>
      </c>
      <c r="E1707" s="3" t="inlineStr">
        <is>
          <t>Lan</t>
        </is>
      </c>
      <c r="F1707" s="3" t="inlineStr">
        <is>
          <t>Shopee</t>
        </is>
      </c>
      <c r="G1707" s="4" t="inlineStr">
        <is>
          <t>SHOPEE: https://s.shopee.vn/3B8C7jVImf TIKTOK: LAZADA: WEBSITE BÁN HÀNG:</t>
        </is>
      </c>
      <c r="H1707" s="3" t="inlineStr">
        <is>
          <t>KBY2-080CO</t>
        </is>
      </c>
      <c r="I1707" s="4" t="inlineStr">
        <is>
          <t>Khoan inox KingBlue KBY2-080CO</t>
        </is>
      </c>
      <c r="J1707" s="3" t="inlineStr">
        <is>
          <t>Cái</t>
        </is>
      </c>
      <c r="K1707" s="5" t="n">
        <v>58000</v>
      </c>
      <c r="L1707" s="5" t="n">
        <v>72000</v>
      </c>
      <c r="M1707" s="6" t="n">
        <v>93000</v>
      </c>
      <c r="N1707" s="5" t="n"/>
      <c r="O1707" s="5">
        <f>IF(AND(ISNUMBER(N1707),ISNUMBER(M1707)),N1707-M1707,"")</f>
        <v/>
      </c>
      <c r="P1707" s="7">
        <f>IF(AND(ISNUMBER(N1707),ISNUMBER(M1707),M1707&gt;0),(N1707-M1707)/M1707,"")</f>
        <v/>
      </c>
      <c r="Q1707" s="3">
        <f>IF(P1707="","",IF(P1707&lt;-0.02,"🔴 Bán phá giá sàn",IF(P1707&gt;0.05,"🔵 Bán cao hơn","🟢 Đúng giá sàn TMĐT")))</f>
        <v/>
      </c>
      <c r="R1707" s="3" t="n"/>
      <c r="S1707" s="4" t="n"/>
      <c r="T1707" s="4" t="n"/>
    </row>
    <row r="1708">
      <c r="A1708" s="3" t="n">
        <v>1707</v>
      </c>
      <c r="B1708" s="3" t="inlineStr">
        <is>
          <t>DL015</t>
        </is>
      </c>
      <c r="C1708" s="4" t="inlineStr">
        <is>
          <t>Điện máy Hùng Cường</t>
        </is>
      </c>
      <c r="D1708" s="3" t="inlineStr">
        <is>
          <t>HN</t>
        </is>
      </c>
      <c r="E1708" s="3" t="inlineStr">
        <is>
          <t>Lan</t>
        </is>
      </c>
      <c r="F1708" s="3" t="inlineStr">
        <is>
          <t>Shopee</t>
        </is>
      </c>
      <c r="G1708" s="4" t="inlineStr">
        <is>
          <t>SHOPEE: https://s.shopee.vn/3B8C7jVImf TIKTOK: LAZADA: WEBSITE BÁN HÀNG:</t>
        </is>
      </c>
      <c r="H1708" s="3" t="inlineStr">
        <is>
          <t>KBY2-100CO</t>
        </is>
      </c>
      <c r="I1708" s="4" t="inlineStr">
        <is>
          <t>Khoan inox KingBlue KBY2-100CO</t>
        </is>
      </c>
      <c r="J1708" s="3" t="inlineStr">
        <is>
          <t>Cái</t>
        </is>
      </c>
      <c r="K1708" s="5" t="n">
        <v>101000</v>
      </c>
      <c r="L1708" s="5" t="n">
        <v>125000</v>
      </c>
      <c r="M1708" s="6" t="n">
        <v>162000</v>
      </c>
      <c r="N1708" s="5" t="n"/>
      <c r="O1708" s="5">
        <f>IF(AND(ISNUMBER(N1708),ISNUMBER(M1708)),N1708-M1708,"")</f>
        <v/>
      </c>
      <c r="P1708" s="7">
        <f>IF(AND(ISNUMBER(N1708),ISNUMBER(M1708),M1708&gt;0),(N1708-M1708)/M1708,"")</f>
        <v/>
      </c>
      <c r="Q1708" s="3">
        <f>IF(P1708="","",IF(P1708&lt;-0.02,"🔴 Bán phá giá sàn",IF(P1708&gt;0.05,"🔵 Bán cao hơn","🟢 Đúng giá sàn TMĐT")))</f>
        <v/>
      </c>
      <c r="R1708" s="3" t="n"/>
      <c r="S1708" s="4" t="n"/>
      <c r="T1708" s="4" t="n"/>
    </row>
    <row r="1709">
      <c r="A1709" s="3" t="n">
        <v>1708</v>
      </c>
      <c r="B1709" s="3" t="inlineStr">
        <is>
          <t>DL015</t>
        </is>
      </c>
      <c r="C1709" s="4" t="inlineStr">
        <is>
          <t>Điện máy Hùng Cường</t>
        </is>
      </c>
      <c r="D1709" s="3" t="inlineStr">
        <is>
          <t>HN</t>
        </is>
      </c>
      <c r="E1709" s="3" t="inlineStr">
        <is>
          <t>Lan</t>
        </is>
      </c>
      <c r="F1709" s="3" t="inlineStr">
        <is>
          <t>Shopee</t>
        </is>
      </c>
      <c r="G1709" s="4" t="inlineStr">
        <is>
          <t>SHOPEE: https://s.shopee.vn/3B8C7jVImf TIKTOK: LAZADA: WEBSITE BÁN HÀNG:</t>
        </is>
      </c>
      <c r="H1709" s="3" t="inlineStr">
        <is>
          <t>KBY2-120CO</t>
        </is>
      </c>
      <c r="I1709" s="4" t="inlineStr">
        <is>
          <t>Khoan inox KingBlue KBY2-120CO</t>
        </is>
      </c>
      <c r="J1709" s="3" t="inlineStr">
        <is>
          <t>Cái</t>
        </is>
      </c>
      <c r="K1709" s="5" t="n">
        <v>162000</v>
      </c>
      <c r="L1709" s="5" t="n">
        <v>201000</v>
      </c>
      <c r="M1709" s="6" t="n">
        <v>259000</v>
      </c>
      <c r="N1709" s="5" t="n"/>
      <c r="O1709" s="5">
        <f>IF(AND(ISNUMBER(N1709),ISNUMBER(M1709)),N1709-M1709,"")</f>
        <v/>
      </c>
      <c r="P1709" s="7">
        <f>IF(AND(ISNUMBER(N1709),ISNUMBER(M1709),M1709&gt;0),(N1709-M1709)/M1709,"")</f>
        <v/>
      </c>
      <c r="Q1709" s="3">
        <f>IF(P1709="","",IF(P1709&lt;-0.02,"🔴 Bán phá giá sàn",IF(P1709&gt;0.05,"🔵 Bán cao hơn","🟢 Đúng giá sàn TMĐT")))</f>
        <v/>
      </c>
      <c r="R1709" s="3" t="n"/>
      <c r="S1709" s="4" t="n"/>
      <c r="T1709" s="4" t="n"/>
    </row>
    <row r="1710">
      <c r="A1710" s="3" t="n">
        <v>1709</v>
      </c>
      <c r="B1710" s="3" t="inlineStr">
        <is>
          <t>DL015</t>
        </is>
      </c>
      <c r="C1710" s="4" t="inlineStr">
        <is>
          <t>Điện máy Hùng Cường</t>
        </is>
      </c>
      <c r="D1710" s="3" t="inlineStr">
        <is>
          <t>HN</t>
        </is>
      </c>
      <c r="E1710" s="3" t="inlineStr">
        <is>
          <t>Lan</t>
        </is>
      </c>
      <c r="F1710" s="3" t="inlineStr">
        <is>
          <t>Shopee</t>
        </is>
      </c>
      <c r="G1710" s="4" t="inlineStr">
        <is>
          <t>SHOPEE: https://s.shopee.vn/3B8C7jVImf TIKTOK: LAZADA: WEBSITE BÁN HÀNG:</t>
        </is>
      </c>
      <c r="H1710" s="3" t="inlineStr">
        <is>
          <t>KC1-06</t>
        </is>
      </c>
      <c r="I1710" s="4" t="inlineStr">
        <is>
          <t>Kìm điện KC1-06</t>
        </is>
      </c>
      <c r="J1710" s="3" t="inlineStr">
        <is>
          <t>Cái</t>
        </is>
      </c>
      <c r="K1710" s="5" t="n">
        <v>269000</v>
      </c>
      <c r="L1710" s="5" t="n">
        <v>317000</v>
      </c>
      <c r="M1710" s="6" t="n">
        <v>390000</v>
      </c>
      <c r="N1710" s="5" t="n"/>
      <c r="O1710" s="5">
        <f>IF(AND(ISNUMBER(N1710),ISNUMBER(M1710)),N1710-M1710,"")</f>
        <v/>
      </c>
      <c r="P1710" s="7">
        <f>IF(AND(ISNUMBER(N1710),ISNUMBER(M1710),M1710&gt;0),(N1710-M1710)/M1710,"")</f>
        <v/>
      </c>
      <c r="Q1710" s="3">
        <f>IF(P1710="","",IF(P1710&lt;-0.02,"🔴 Bán phá giá sàn",IF(P1710&gt;0.05,"🔵 Bán cao hơn","🟢 Đúng giá sàn TMĐT")))</f>
        <v/>
      </c>
      <c r="R1710" s="3" t="n"/>
      <c r="S1710" s="4" t="n"/>
      <c r="T1710" s="4" t="n"/>
    </row>
    <row r="1711">
      <c r="A1711" s="3" t="n">
        <v>1710</v>
      </c>
      <c r="B1711" s="3" t="inlineStr">
        <is>
          <t>DL015</t>
        </is>
      </c>
      <c r="C1711" s="4" t="inlineStr">
        <is>
          <t>Điện máy Hùng Cường</t>
        </is>
      </c>
      <c r="D1711" s="3" t="inlineStr">
        <is>
          <t>HN</t>
        </is>
      </c>
      <c r="E1711" s="3" t="inlineStr">
        <is>
          <t>Lan</t>
        </is>
      </c>
      <c r="F1711" s="3" t="inlineStr">
        <is>
          <t>Shopee</t>
        </is>
      </c>
      <c r="G1711" s="4" t="inlineStr">
        <is>
          <t>SHOPEE: https://s.shopee.vn/3B8C7jVImf TIKTOK: LAZADA: WEBSITE BÁN HÀNG:</t>
        </is>
      </c>
      <c r="H1711" s="3" t="inlineStr">
        <is>
          <t>KC4-300</t>
        </is>
      </c>
      <c r="I1711" s="4" t="inlineStr">
        <is>
          <t>Kìm mỏ quạ KC4-300</t>
        </is>
      </c>
      <c r="J1711" s="3" t="inlineStr">
        <is>
          <t>Cái</t>
        </is>
      </c>
      <c r="K1711" s="5" t="n">
        <v>193000</v>
      </c>
      <c r="L1711" s="5" t="n">
        <v>228000</v>
      </c>
      <c r="M1711" s="6" t="n">
        <v>280000</v>
      </c>
      <c r="N1711" s="5" t="n"/>
      <c r="O1711" s="5">
        <f>IF(AND(ISNUMBER(N1711),ISNUMBER(M1711)),N1711-M1711,"")</f>
        <v/>
      </c>
      <c r="P1711" s="7">
        <f>IF(AND(ISNUMBER(N1711),ISNUMBER(M1711),M1711&gt;0),(N1711-M1711)/M1711,"")</f>
        <v/>
      </c>
      <c r="Q1711" s="3">
        <f>IF(P1711="","",IF(P1711&lt;-0.02,"🔴 Bán phá giá sàn",IF(P1711&gt;0.05,"🔵 Bán cao hơn","🟢 Đúng giá sàn TMĐT")))</f>
        <v/>
      </c>
      <c r="R1711" s="3" t="n"/>
      <c r="S1711" s="4" t="n"/>
      <c r="T1711" s="4" t="n"/>
    </row>
    <row r="1712">
      <c r="A1712" s="3" t="n">
        <v>1711</v>
      </c>
      <c r="B1712" s="3" t="inlineStr">
        <is>
          <t>DL015</t>
        </is>
      </c>
      <c r="C1712" s="4" t="inlineStr">
        <is>
          <t>Điện máy Hùng Cường</t>
        </is>
      </c>
      <c r="D1712" s="3" t="inlineStr">
        <is>
          <t>HN</t>
        </is>
      </c>
      <c r="E1712" s="3" t="inlineStr">
        <is>
          <t>Lan</t>
        </is>
      </c>
      <c r="F1712" s="3" t="inlineStr">
        <is>
          <t>Shopee</t>
        </is>
      </c>
      <c r="G1712" s="4" t="inlineStr">
        <is>
          <t>SHOPEE: https://s.shopee.vn/3B8C7jVImf TIKTOK: LAZADA: WEBSITE BÁN HÀNG:</t>
        </is>
      </c>
      <c r="H1712" s="3" t="inlineStr">
        <is>
          <t>KJ-103</t>
        </is>
      </c>
      <c r="I1712" s="4" t="inlineStr">
        <is>
          <t>Kìm rút đinh KJ-103</t>
        </is>
      </c>
      <c r="J1712" s="3" t="inlineStr">
        <is>
          <t>Cái</t>
        </is>
      </c>
      <c r="K1712" s="5" t="n">
        <v>94000</v>
      </c>
      <c r="L1712" s="5" t="n">
        <v>111000</v>
      </c>
      <c r="M1712" s="6" t="n">
        <v>136000</v>
      </c>
      <c r="N1712" s="5" t="n"/>
      <c r="O1712" s="5">
        <f>IF(AND(ISNUMBER(N1712),ISNUMBER(M1712)),N1712-M1712,"")</f>
        <v/>
      </c>
      <c r="P1712" s="7">
        <f>IF(AND(ISNUMBER(N1712),ISNUMBER(M1712),M1712&gt;0),(N1712-M1712)/M1712,"")</f>
        <v/>
      </c>
      <c r="Q1712" s="3">
        <f>IF(P1712="","",IF(P1712&lt;-0.02,"🔴 Bán phá giá sàn",IF(P1712&gt;0.05,"🔵 Bán cao hơn","🟢 Đúng giá sàn TMĐT")))</f>
        <v/>
      </c>
      <c r="R1712" s="3" t="n"/>
      <c r="S1712" s="4" t="n"/>
      <c r="T1712" s="4" t="n"/>
    </row>
    <row r="1713">
      <c r="A1713" s="3" t="n">
        <v>1712</v>
      </c>
      <c r="B1713" s="3" t="inlineStr">
        <is>
          <t>DL015</t>
        </is>
      </c>
      <c r="C1713" s="4" t="inlineStr">
        <is>
          <t>Điện máy Hùng Cường</t>
        </is>
      </c>
      <c r="D1713" s="3" t="inlineStr">
        <is>
          <t>HN</t>
        </is>
      </c>
      <c r="E1713" s="3" t="inlineStr">
        <is>
          <t>Lan</t>
        </is>
      </c>
      <c r="F1713" s="3" t="inlineStr">
        <is>
          <t>Shopee</t>
        </is>
      </c>
      <c r="G1713" s="4" t="inlineStr">
        <is>
          <t>SHOPEE: https://s.shopee.vn/3B8C7jVImf TIKTOK: LAZADA: WEBSITE BÁN HÀNG:</t>
        </is>
      </c>
      <c r="H1713" s="3" t="inlineStr"/>
      <c r="I1713" s="4" t="inlineStr">
        <is>
          <t>Kìm thẳng phe ngoài KCB 180</t>
        </is>
      </c>
      <c r="J1713" s="3" t="inlineStr">
        <is>
          <t>Cái</t>
        </is>
      </c>
      <c r="K1713" s="5" t="n">
        <v>269000</v>
      </c>
      <c r="L1713" s="5" t="n">
        <v>317000</v>
      </c>
      <c r="M1713" s="6" t="n">
        <v>390000</v>
      </c>
      <c r="N1713" s="5" t="n"/>
      <c r="O1713" s="5">
        <f>IF(AND(ISNUMBER(N1713),ISNUMBER(M1713)),N1713-M1713,"")</f>
        <v/>
      </c>
      <c r="P1713" s="7">
        <f>IF(AND(ISNUMBER(N1713),ISNUMBER(M1713),M1713&gt;0),(N1713-M1713)/M1713,"")</f>
        <v/>
      </c>
      <c r="Q1713" s="3">
        <f>IF(P1713="","",IF(P1713&lt;-0.02,"🔴 Bán phá giá sàn",IF(P1713&gt;0.05,"🔵 Bán cao hơn","🟢 Đúng giá sàn TMĐT")))</f>
        <v/>
      </c>
      <c r="R1713" s="3" t="n"/>
      <c r="S1713" s="4" t="n"/>
      <c r="T1713" s="4" t="n"/>
    </row>
    <row r="1714">
      <c r="A1714" s="3" t="n">
        <v>1713</v>
      </c>
      <c r="B1714" s="3" t="inlineStr">
        <is>
          <t>DL015</t>
        </is>
      </c>
      <c r="C1714" s="4" t="inlineStr">
        <is>
          <t>Điện máy Hùng Cường</t>
        </is>
      </c>
      <c r="D1714" s="3" t="inlineStr">
        <is>
          <t>HN</t>
        </is>
      </c>
      <c r="E1714" s="3" t="inlineStr">
        <is>
          <t>Lan</t>
        </is>
      </c>
      <c r="F1714" s="3" t="inlineStr">
        <is>
          <t>Shopee</t>
        </is>
      </c>
      <c r="G1714" s="4" t="inlineStr">
        <is>
          <t>SHOPEE: https://s.shopee.vn/3B8C7jVImf TIKTOK: LAZADA: WEBSITE BÁN HÀNG:</t>
        </is>
      </c>
      <c r="H1714" s="3" t="inlineStr"/>
      <c r="I1714" s="4" t="inlineStr">
        <is>
          <t>Kìm thẳng phe trong KCA 180</t>
        </is>
      </c>
      <c r="J1714" s="3" t="inlineStr">
        <is>
          <t>Cái</t>
        </is>
      </c>
      <c r="K1714" s="5" t="n">
        <v>269000</v>
      </c>
      <c r="L1714" s="5" t="n">
        <v>317000</v>
      </c>
      <c r="M1714" s="6" t="n">
        <v>390000</v>
      </c>
      <c r="N1714" s="5" t="n"/>
      <c r="O1714" s="5">
        <f>IF(AND(ISNUMBER(N1714),ISNUMBER(M1714)),N1714-M1714,"")</f>
        <v/>
      </c>
      <c r="P1714" s="7">
        <f>IF(AND(ISNUMBER(N1714),ISNUMBER(M1714),M1714&gt;0),(N1714-M1714)/M1714,"")</f>
        <v/>
      </c>
      <c r="Q1714" s="3">
        <f>IF(P1714="","",IF(P1714&lt;-0.02,"🔴 Bán phá giá sàn",IF(P1714&gt;0.05,"🔵 Bán cao hơn","🟢 Đúng giá sàn TMĐT")))</f>
        <v/>
      </c>
      <c r="R1714" s="3" t="n"/>
      <c r="S1714" s="4" t="n"/>
      <c r="T1714" s="4" t="n"/>
    </row>
    <row r="1715">
      <c r="A1715" s="3" t="n">
        <v>1714</v>
      </c>
      <c r="B1715" s="3" t="inlineStr">
        <is>
          <t>DL015</t>
        </is>
      </c>
      <c r="C1715" s="4" t="inlineStr">
        <is>
          <t>Điện máy Hùng Cường</t>
        </is>
      </c>
      <c r="D1715" s="3" t="inlineStr">
        <is>
          <t>HN</t>
        </is>
      </c>
      <c r="E1715" s="3" t="inlineStr">
        <is>
          <t>Lan</t>
        </is>
      </c>
      <c r="F1715" s="3" t="inlineStr">
        <is>
          <t>Shopee</t>
        </is>
      </c>
      <c r="G1715" s="4" t="inlineStr">
        <is>
          <t>SHOPEE: https://s.shopee.vn/3B8C7jVImf TIKTOK: LAZADA: WEBSITE BÁN HÀNG:</t>
        </is>
      </c>
      <c r="H1715" s="3" t="inlineStr">
        <is>
          <t>F1</t>
        </is>
      </c>
      <c r="I1715" s="4" t="inlineStr">
        <is>
          <t>Lưỡi cắt Kingblue F1 150DN (vàng)</t>
        </is>
      </c>
      <c r="J1715" s="3" t="inlineStr">
        <is>
          <t>Cái</t>
        </is>
      </c>
      <c r="K1715" s="5" t="n">
        <v>92000</v>
      </c>
      <c r="L1715" s="5" t="n">
        <v>108000</v>
      </c>
      <c r="M1715" s="6" t="n">
        <v>133000</v>
      </c>
      <c r="N1715" s="5" t="n"/>
      <c r="O1715" s="5">
        <f>IF(AND(ISNUMBER(N1715),ISNUMBER(M1715)),N1715-M1715,"")</f>
        <v/>
      </c>
      <c r="P1715" s="7">
        <f>IF(AND(ISNUMBER(N1715),ISNUMBER(M1715),M1715&gt;0),(N1715-M1715)/M1715,"")</f>
        <v/>
      </c>
      <c r="Q1715" s="3">
        <f>IF(P1715="","",IF(P1715&lt;-0.02,"🔴 Bán phá giá sàn",IF(P1715&gt;0.05,"🔵 Bán cao hơn","🟢 Đúng giá sàn TMĐT")))</f>
        <v/>
      </c>
      <c r="R1715" s="3" t="n"/>
      <c r="S1715" s="4" t="n"/>
      <c r="T1715" s="4" t="n"/>
    </row>
    <row r="1716">
      <c r="A1716" s="3" t="n">
        <v>1715</v>
      </c>
      <c r="B1716" s="3" t="inlineStr">
        <is>
          <t>DL015</t>
        </is>
      </c>
      <c r="C1716" s="4" t="inlineStr">
        <is>
          <t>Điện máy Hùng Cường</t>
        </is>
      </c>
      <c r="D1716" s="3" t="inlineStr">
        <is>
          <t>HN</t>
        </is>
      </c>
      <c r="E1716" s="3" t="inlineStr">
        <is>
          <t>Lan</t>
        </is>
      </c>
      <c r="F1716" s="3" t="inlineStr">
        <is>
          <t>Shopee</t>
        </is>
      </c>
      <c r="G1716" s="4" t="inlineStr">
        <is>
          <t>SHOPEE: https://s.shopee.vn/3B8C7jVImf TIKTOK: LAZADA: WEBSITE BÁN HÀNG:</t>
        </is>
      </c>
      <c r="H1716" s="3" t="inlineStr">
        <is>
          <t>F1-125DN</t>
        </is>
      </c>
      <c r="I1716" s="4" t="inlineStr">
        <is>
          <t>Lưỡi cắt KingBlue F1-125DN (Vàng)</t>
        </is>
      </c>
      <c r="J1716" s="3" t="inlineStr">
        <is>
          <t>Cái</t>
        </is>
      </c>
      <c r="K1716" s="5" t="n">
        <v>107000</v>
      </c>
      <c r="L1716" s="5" t="n">
        <v>126000</v>
      </c>
      <c r="M1716" s="6" t="n">
        <v>155000</v>
      </c>
      <c r="N1716" s="5" t="n"/>
      <c r="O1716" s="5">
        <f>IF(AND(ISNUMBER(N1716),ISNUMBER(M1716)),N1716-M1716,"")</f>
        <v/>
      </c>
      <c r="P1716" s="7">
        <f>IF(AND(ISNUMBER(N1716),ISNUMBER(M1716),M1716&gt;0),(N1716-M1716)/M1716,"")</f>
        <v/>
      </c>
      <c r="Q1716" s="3">
        <f>IF(P1716="","",IF(P1716&lt;-0.02,"🔴 Bán phá giá sàn",IF(P1716&gt;0.05,"🔵 Bán cao hơn","🟢 Đúng giá sàn TMĐT")))</f>
        <v/>
      </c>
      <c r="R1716" s="3" t="n"/>
      <c r="S1716" s="4" t="n"/>
      <c r="T1716" s="4" t="n"/>
    </row>
    <row r="1717">
      <c r="A1717" s="3" t="n">
        <v>1716</v>
      </c>
      <c r="B1717" s="3" t="inlineStr">
        <is>
          <t>DL015</t>
        </is>
      </c>
      <c r="C1717" s="4" t="inlineStr">
        <is>
          <t>Điện máy Hùng Cường</t>
        </is>
      </c>
      <c r="D1717" s="3" t="inlineStr">
        <is>
          <t>HN</t>
        </is>
      </c>
      <c r="E1717" s="3" t="inlineStr">
        <is>
          <t>Lan</t>
        </is>
      </c>
      <c r="F1717" s="3" t="inlineStr">
        <is>
          <t>Shopee</t>
        </is>
      </c>
      <c r="G1717" s="4" t="inlineStr">
        <is>
          <t>SHOPEE: https://s.shopee.vn/3B8C7jVImf TIKTOK: LAZADA: WEBSITE BÁN HÀNG:</t>
        </is>
      </c>
      <c r="H1717" s="3" t="inlineStr">
        <is>
          <t>G1-125R</t>
        </is>
      </c>
      <c r="I1717" s="4" t="inlineStr">
        <is>
          <t>Lưỡi cắt Kingblue G1-125R</t>
        </is>
      </c>
      <c r="J1717" s="3" t="inlineStr">
        <is>
          <t>Cái</t>
        </is>
      </c>
      <c r="K1717" s="5" t="n">
        <v>83000</v>
      </c>
      <c r="L1717" s="5" t="n">
        <v>98000</v>
      </c>
      <c r="M1717" s="6" t="n">
        <v>120000</v>
      </c>
      <c r="N1717" s="5" t="n"/>
      <c r="O1717" s="5">
        <f>IF(AND(ISNUMBER(N1717),ISNUMBER(M1717)),N1717-M1717,"")</f>
        <v/>
      </c>
      <c r="P1717" s="7">
        <f>IF(AND(ISNUMBER(N1717),ISNUMBER(M1717),M1717&gt;0),(N1717-M1717)/M1717,"")</f>
        <v/>
      </c>
      <c r="Q1717" s="3">
        <f>IF(P1717="","",IF(P1717&lt;-0.02,"🔴 Bán phá giá sàn",IF(P1717&gt;0.05,"🔵 Bán cao hơn","🟢 Đúng giá sàn TMĐT")))</f>
        <v/>
      </c>
      <c r="R1717" s="3" t="n"/>
      <c r="S1717" s="4" t="n"/>
      <c r="T1717" s="4" t="n"/>
    </row>
    <row r="1718">
      <c r="A1718" s="3" t="n">
        <v>1717</v>
      </c>
      <c r="B1718" s="3" t="inlineStr">
        <is>
          <t>DL015</t>
        </is>
      </c>
      <c r="C1718" s="4" t="inlineStr">
        <is>
          <t>Điện máy Hùng Cường</t>
        </is>
      </c>
      <c r="D1718" s="3" t="inlineStr">
        <is>
          <t>HN</t>
        </is>
      </c>
      <c r="E1718" s="3" t="inlineStr">
        <is>
          <t>Lan</t>
        </is>
      </c>
      <c r="F1718" s="3" t="inlineStr">
        <is>
          <t>Shopee</t>
        </is>
      </c>
      <c r="G1718" s="4" t="inlineStr">
        <is>
          <t>SHOPEE: https://s.shopee.vn/3B8C7jVImf TIKTOK: LAZADA: WEBSITE BÁN HÀNG:</t>
        </is>
      </c>
      <c r="H1718" s="3" t="inlineStr">
        <is>
          <t>G1-133R</t>
        </is>
      </c>
      <c r="I1718" s="4" t="inlineStr">
        <is>
          <t>Lưỡi cắt Kingblue G1-133R</t>
        </is>
      </c>
      <c r="J1718" s="3" t="inlineStr">
        <is>
          <t>Cái</t>
        </is>
      </c>
      <c r="K1718" s="5" t="n">
        <v>92000</v>
      </c>
      <c r="L1718" s="5" t="n">
        <v>108000</v>
      </c>
      <c r="M1718" s="6" t="n">
        <v>133000</v>
      </c>
      <c r="N1718" s="5" t="n"/>
      <c r="O1718" s="5">
        <f>IF(AND(ISNUMBER(N1718),ISNUMBER(M1718)),N1718-M1718,"")</f>
        <v/>
      </c>
      <c r="P1718" s="7">
        <f>IF(AND(ISNUMBER(N1718),ISNUMBER(M1718),M1718&gt;0),(N1718-M1718)/M1718,"")</f>
        <v/>
      </c>
      <c r="Q1718" s="3">
        <f>IF(P1718="","",IF(P1718&lt;-0.02,"🔴 Bán phá giá sàn",IF(P1718&gt;0.05,"🔵 Bán cao hơn","🟢 Đúng giá sàn TMĐT")))</f>
        <v/>
      </c>
      <c r="R1718" s="3" t="n"/>
      <c r="S1718" s="4" t="n"/>
      <c r="T1718" s="4" t="n"/>
    </row>
    <row r="1719">
      <c r="A1719" s="3" t="n">
        <v>1718</v>
      </c>
      <c r="B1719" s="3" t="inlineStr">
        <is>
          <t>DL015</t>
        </is>
      </c>
      <c r="C1719" s="4" t="inlineStr">
        <is>
          <t>Điện máy Hùng Cường</t>
        </is>
      </c>
      <c r="D1719" s="3" t="inlineStr">
        <is>
          <t>HN</t>
        </is>
      </c>
      <c r="E1719" s="3" t="inlineStr">
        <is>
          <t>Lan</t>
        </is>
      </c>
      <c r="F1719" s="3" t="inlineStr">
        <is>
          <t>Shopee</t>
        </is>
      </c>
      <c r="G1719" s="4" t="inlineStr">
        <is>
          <t>SHOPEE: https://s.shopee.vn/3B8C7jVImf TIKTOK: LAZADA: WEBSITE BÁN HÀNG:</t>
        </is>
      </c>
      <c r="H1719" s="3" t="inlineStr">
        <is>
          <t>G1-156R</t>
        </is>
      </c>
      <c r="I1719" s="4" t="inlineStr">
        <is>
          <t>Lưỡi cắt KingBlue G1-156R</t>
        </is>
      </c>
      <c r="J1719" s="3" t="inlineStr">
        <is>
          <t>Cái</t>
        </is>
      </c>
      <c r="K1719" s="5" t="n">
        <v>125000</v>
      </c>
      <c r="L1719" s="5" t="n">
        <v>147000</v>
      </c>
      <c r="M1719" s="6" t="n">
        <v>181000</v>
      </c>
      <c r="N1719" s="5" t="n"/>
      <c r="O1719" s="5">
        <f>IF(AND(ISNUMBER(N1719),ISNUMBER(M1719)),N1719-M1719,"")</f>
        <v/>
      </c>
      <c r="P1719" s="7">
        <f>IF(AND(ISNUMBER(N1719),ISNUMBER(M1719),M1719&gt;0),(N1719-M1719)/M1719,"")</f>
        <v/>
      </c>
      <c r="Q1719" s="3">
        <f>IF(P1719="","",IF(P1719&lt;-0.02,"🔴 Bán phá giá sàn",IF(P1719&gt;0.05,"🔵 Bán cao hơn","🟢 Đúng giá sàn TMĐT")))</f>
        <v/>
      </c>
      <c r="R1719" s="3" t="n"/>
      <c r="S1719" s="4" t="n"/>
      <c r="T1719" s="4" t="n"/>
    </row>
    <row r="1720">
      <c r="A1720" s="3" t="n">
        <v>1719</v>
      </c>
      <c r="B1720" s="3" t="inlineStr">
        <is>
          <t>DL015</t>
        </is>
      </c>
      <c r="C1720" s="4" t="inlineStr">
        <is>
          <t>Điện máy Hùng Cường</t>
        </is>
      </c>
      <c r="D1720" s="3" t="inlineStr">
        <is>
          <t>HN</t>
        </is>
      </c>
      <c r="E1720" s="3" t="inlineStr">
        <is>
          <t>Lan</t>
        </is>
      </c>
      <c r="F1720" s="3" t="inlineStr">
        <is>
          <t>Shopee</t>
        </is>
      </c>
      <c r="G1720" s="4" t="inlineStr">
        <is>
          <t>SHOPEE: https://s.shopee.vn/3B8C7jVImf TIKTOK: LAZADA: WEBSITE BÁN HÀNG:</t>
        </is>
      </c>
      <c r="H1720" s="3" t="inlineStr">
        <is>
          <t>T1-150R</t>
        </is>
      </c>
      <c r="I1720" s="4" t="inlineStr">
        <is>
          <t>Lưỡi cắt Kingblue T1-150R</t>
        </is>
      </c>
      <c r="J1720" s="3" t="inlineStr">
        <is>
          <t>Cái</t>
        </is>
      </c>
      <c r="K1720" s="5" t="n">
        <v>117000</v>
      </c>
      <c r="L1720" s="5" t="n">
        <v>138000</v>
      </c>
      <c r="M1720" s="6" t="n">
        <v>170000</v>
      </c>
      <c r="N1720" s="5" t="n"/>
      <c r="O1720" s="5">
        <f>IF(AND(ISNUMBER(N1720),ISNUMBER(M1720)),N1720-M1720,"")</f>
        <v/>
      </c>
      <c r="P1720" s="7">
        <f>IF(AND(ISNUMBER(N1720),ISNUMBER(M1720),M1720&gt;0),(N1720-M1720)/M1720,"")</f>
        <v/>
      </c>
      <c r="Q1720" s="3">
        <f>IF(P1720="","",IF(P1720&lt;-0.02,"🔴 Bán phá giá sàn",IF(P1720&gt;0.05,"🔵 Bán cao hơn","🟢 Đúng giá sàn TMĐT")))</f>
        <v/>
      </c>
      <c r="R1720" s="3" t="n"/>
      <c r="S1720" s="4" t="n"/>
      <c r="T1720" s="4" t="n"/>
    </row>
    <row r="1721">
      <c r="A1721" s="3" t="n">
        <v>1720</v>
      </c>
      <c r="B1721" s="3" t="inlineStr">
        <is>
          <t>DL015</t>
        </is>
      </c>
      <c r="C1721" s="4" t="inlineStr">
        <is>
          <t>Điện máy Hùng Cường</t>
        </is>
      </c>
      <c r="D1721" s="3" t="inlineStr">
        <is>
          <t>HN</t>
        </is>
      </c>
      <c r="E1721" s="3" t="inlineStr">
        <is>
          <t>Lan</t>
        </is>
      </c>
      <c r="F1721" s="3" t="inlineStr">
        <is>
          <t>Shopee</t>
        </is>
      </c>
      <c r="G1721" s="4" t="inlineStr">
        <is>
          <t>SHOPEE: https://s.shopee.vn/3B8C7jVImf TIKTOK: LAZADA: WEBSITE BÁN HÀNG:</t>
        </is>
      </c>
      <c r="H1721" s="3" t="inlineStr">
        <is>
          <t>T1-400R</t>
        </is>
      </c>
      <c r="I1721" s="4" t="inlineStr">
        <is>
          <t>Lưỡi cắt KingBlue T1-400R</t>
        </is>
      </c>
      <c r="J1721" s="3" t="inlineStr">
        <is>
          <t>Cái</t>
        </is>
      </c>
      <c r="K1721" s="5" t="n">
        <v>857000</v>
      </c>
      <c r="L1721" s="5" t="n">
        <v>1011000</v>
      </c>
      <c r="M1721" s="6" t="n">
        <v>1243000</v>
      </c>
      <c r="N1721" s="5" t="n"/>
      <c r="O1721" s="5">
        <f>IF(AND(ISNUMBER(N1721),ISNUMBER(M1721)),N1721-M1721,"")</f>
        <v/>
      </c>
      <c r="P1721" s="7">
        <f>IF(AND(ISNUMBER(N1721),ISNUMBER(M1721),M1721&gt;0),(N1721-M1721)/M1721,"")</f>
        <v/>
      </c>
      <c r="Q1721" s="3">
        <f>IF(P1721="","",IF(P1721&lt;-0.02,"🔴 Bán phá giá sàn",IF(P1721&gt;0.05,"🔵 Bán cao hơn","🟢 Đúng giá sàn TMĐT")))</f>
        <v/>
      </c>
      <c r="R1721" s="3" t="n"/>
      <c r="S1721" s="4" t="n"/>
      <c r="T1721" s="4" t="n"/>
    </row>
    <row r="1722">
      <c r="A1722" s="3" t="n">
        <v>1721</v>
      </c>
      <c r="B1722" s="3" t="inlineStr">
        <is>
          <t>DL015</t>
        </is>
      </c>
      <c r="C1722" s="4" t="inlineStr">
        <is>
          <t>Điện máy Hùng Cường</t>
        </is>
      </c>
      <c r="D1722" s="3" t="inlineStr">
        <is>
          <t>HN</t>
        </is>
      </c>
      <c r="E1722" s="3" t="inlineStr">
        <is>
          <t>Lan</t>
        </is>
      </c>
      <c r="F1722" s="3" t="inlineStr">
        <is>
          <t>Shopee</t>
        </is>
      </c>
      <c r="G1722" s="4" t="inlineStr">
        <is>
          <t>SHOPEE: https://s.shopee.vn/3B8C7jVImf TIKTOK: LAZADA: WEBSITE BÁN HÀNG:</t>
        </is>
      </c>
      <c r="H1722" s="3" t="inlineStr">
        <is>
          <t>K2-110X40T</t>
        </is>
      </c>
      <c r="I1722" s="4" t="inlineStr">
        <is>
          <t>Lưỡi cưa đa năng KingBlue K2-110X40T</t>
        </is>
      </c>
      <c r="J1722" s="3" t="inlineStr">
        <is>
          <t>Cái</t>
        </is>
      </c>
      <c r="K1722" s="5" t="n">
        <v>132000</v>
      </c>
      <c r="L1722" s="5" t="n">
        <v>156000</v>
      </c>
      <c r="M1722" s="6" t="n">
        <v>191000</v>
      </c>
      <c r="N1722" s="5" t="n"/>
      <c r="O1722" s="5">
        <f>IF(AND(ISNUMBER(N1722),ISNUMBER(M1722)),N1722-M1722,"")</f>
        <v/>
      </c>
      <c r="P1722" s="7">
        <f>IF(AND(ISNUMBER(N1722),ISNUMBER(M1722),M1722&gt;0),(N1722-M1722)/M1722,"")</f>
        <v/>
      </c>
      <c r="Q1722" s="3">
        <f>IF(P1722="","",IF(P1722&lt;-0.02,"🔴 Bán phá giá sàn",IF(P1722&gt;0.05,"🔵 Bán cao hơn","🟢 Đúng giá sàn TMĐT")))</f>
        <v/>
      </c>
      <c r="R1722" s="3" t="n"/>
      <c r="S1722" s="4" t="n"/>
      <c r="T1722" s="4" t="n"/>
    </row>
    <row r="1723">
      <c r="A1723" s="3" t="n">
        <v>1722</v>
      </c>
      <c r="B1723" s="3" t="inlineStr">
        <is>
          <t>DL015</t>
        </is>
      </c>
      <c r="C1723" s="4" t="inlineStr">
        <is>
          <t>Điện máy Hùng Cường</t>
        </is>
      </c>
      <c r="D1723" s="3" t="inlineStr">
        <is>
          <t>HN</t>
        </is>
      </c>
      <c r="E1723" s="3" t="inlineStr">
        <is>
          <t>Lan</t>
        </is>
      </c>
      <c r="F1723" s="3" t="inlineStr">
        <is>
          <t>Shopee</t>
        </is>
      </c>
      <c r="G1723" s="4" t="inlineStr">
        <is>
          <t>SHOPEE: https://s.shopee.vn/3B8C7jVImf TIKTOK: LAZADA: WEBSITE BÁN HÀNG:</t>
        </is>
      </c>
      <c r="H1723" s="3" t="inlineStr">
        <is>
          <t>K1-185x32T</t>
        </is>
      </c>
      <c r="I1723" s="4" t="inlineStr">
        <is>
          <t>Lưỡi cưa kim loại KingBlue K1-185x32T (Cưa sắt)</t>
        </is>
      </c>
      <c r="J1723" s="3" t="inlineStr">
        <is>
          <t>Cái</t>
        </is>
      </c>
      <c r="K1723" s="5" t="n">
        <v>273000</v>
      </c>
      <c r="L1723" s="5" t="n">
        <v>322000</v>
      </c>
      <c r="M1723" s="6" t="n">
        <v>396000</v>
      </c>
      <c r="N1723" s="5" t="n"/>
      <c r="O1723" s="5">
        <f>IF(AND(ISNUMBER(N1723),ISNUMBER(M1723)),N1723-M1723,"")</f>
        <v/>
      </c>
      <c r="P1723" s="7">
        <f>IF(AND(ISNUMBER(N1723),ISNUMBER(M1723),M1723&gt;0),(N1723-M1723)/M1723,"")</f>
        <v/>
      </c>
      <c r="Q1723" s="3">
        <f>IF(P1723="","",IF(P1723&lt;-0.02,"🔴 Bán phá giá sàn",IF(P1723&gt;0.05,"🔵 Bán cao hơn","🟢 Đúng giá sàn TMĐT")))</f>
        <v/>
      </c>
      <c r="R1723" s="3" t="n"/>
      <c r="S1723" s="4" t="n"/>
      <c r="T1723" s="4" t="n"/>
    </row>
    <row r="1724">
      <c r="A1724" s="3" t="n">
        <v>1723</v>
      </c>
      <c r="B1724" s="3" t="inlineStr">
        <is>
          <t>DL015</t>
        </is>
      </c>
      <c r="C1724" s="4" t="inlineStr">
        <is>
          <t>Điện máy Hùng Cường</t>
        </is>
      </c>
      <c r="D1724" s="3" t="inlineStr">
        <is>
          <t>HN</t>
        </is>
      </c>
      <c r="E1724" s="3" t="inlineStr">
        <is>
          <t>Lan</t>
        </is>
      </c>
      <c r="F1724" s="3" t="inlineStr">
        <is>
          <t>Shopee</t>
        </is>
      </c>
      <c r="G1724" s="4" t="inlineStr">
        <is>
          <t>SHOPEE: https://s.shopee.vn/3B8C7jVImf TIKTOK: LAZADA: WEBSITE BÁN HÀNG:</t>
        </is>
      </c>
      <c r="H1724" s="3" t="inlineStr">
        <is>
          <t>X1-125x40T</t>
        </is>
      </c>
      <c r="I1724" s="4" t="inlineStr">
        <is>
          <t>Lưỡi cưa Kingblue X1-125x40T (Cưa gỗ)-NEW</t>
        </is>
      </c>
      <c r="J1724" s="3" t="inlineStr">
        <is>
          <t>Cái</t>
        </is>
      </c>
      <c r="K1724" s="5" t="n">
        <v>95000</v>
      </c>
      <c r="L1724" s="5" t="n">
        <v>112000</v>
      </c>
      <c r="M1724" s="6" t="n">
        <v>138000</v>
      </c>
      <c r="N1724" s="5" t="n"/>
      <c r="O1724" s="5">
        <f>IF(AND(ISNUMBER(N1724),ISNUMBER(M1724)),N1724-M1724,"")</f>
        <v/>
      </c>
      <c r="P1724" s="7">
        <f>IF(AND(ISNUMBER(N1724),ISNUMBER(M1724),M1724&gt;0),(N1724-M1724)/M1724,"")</f>
        <v/>
      </c>
      <c r="Q1724" s="3">
        <f>IF(P1724="","",IF(P1724&lt;-0.02,"🔴 Bán phá giá sàn",IF(P1724&gt;0.05,"🔵 Bán cao hơn","🟢 Đúng giá sàn TMĐT")))</f>
        <v/>
      </c>
      <c r="R1724" s="3" t="n"/>
      <c r="S1724" s="4" t="n"/>
      <c r="T1724" s="4" t="n"/>
    </row>
    <row r="1725">
      <c r="A1725" s="3" t="n">
        <v>1724</v>
      </c>
      <c r="B1725" s="3" t="inlineStr">
        <is>
          <t>DL015</t>
        </is>
      </c>
      <c r="C1725" s="4" t="inlineStr">
        <is>
          <t>Điện máy Hùng Cường</t>
        </is>
      </c>
      <c r="D1725" s="3" t="inlineStr">
        <is>
          <t>HN</t>
        </is>
      </c>
      <c r="E1725" s="3" t="inlineStr">
        <is>
          <t>Lan</t>
        </is>
      </c>
      <c r="F1725" s="3" t="inlineStr">
        <is>
          <t>Shopee</t>
        </is>
      </c>
      <c r="G1725" s="4" t="inlineStr">
        <is>
          <t>SHOPEE: https://s.shopee.vn/3B8C7jVImf TIKTOK: LAZADA: WEBSITE BÁN HÀNG:</t>
        </is>
      </c>
      <c r="H1725" s="3" t="inlineStr">
        <is>
          <t>X2-305x96T</t>
        </is>
      </c>
      <c r="I1725" s="4" t="inlineStr">
        <is>
          <t>Lưỡi cưa KingBlue X2-305x96T (Cắt gỗ MDF)</t>
        </is>
      </c>
      <c r="J1725" s="3" t="inlineStr">
        <is>
          <t>Cái</t>
        </is>
      </c>
      <c r="K1725" s="5" t="n">
        <v>1029000</v>
      </c>
      <c r="L1725" s="5" t="n">
        <v>1214000</v>
      </c>
      <c r="M1725" s="6" t="n">
        <v>1492000</v>
      </c>
      <c r="N1725" s="5" t="n"/>
      <c r="O1725" s="5">
        <f>IF(AND(ISNUMBER(N1725),ISNUMBER(M1725)),N1725-M1725,"")</f>
        <v/>
      </c>
      <c r="P1725" s="7">
        <f>IF(AND(ISNUMBER(N1725),ISNUMBER(M1725),M1725&gt;0),(N1725-M1725)/M1725,"")</f>
        <v/>
      </c>
      <c r="Q1725" s="3">
        <f>IF(P1725="","",IF(P1725&lt;-0.02,"🔴 Bán phá giá sàn",IF(P1725&gt;0.05,"🔵 Bán cao hơn","🟢 Đúng giá sàn TMĐT")))</f>
        <v/>
      </c>
      <c r="R1725" s="3" t="n"/>
      <c r="S1725" s="4" t="n"/>
      <c r="T1725" s="4" t="n"/>
    </row>
    <row r="1726">
      <c r="A1726" s="3" t="n">
        <v>1725</v>
      </c>
      <c r="B1726" s="3" t="inlineStr">
        <is>
          <t>DL015</t>
        </is>
      </c>
      <c r="C1726" s="4" t="inlineStr">
        <is>
          <t>Điện máy Hùng Cường</t>
        </is>
      </c>
      <c r="D1726" s="3" t="inlineStr">
        <is>
          <t>HN</t>
        </is>
      </c>
      <c r="E1726" s="3" t="inlineStr">
        <is>
          <t>Lan</t>
        </is>
      </c>
      <c r="F1726" s="3" t="inlineStr">
        <is>
          <t>Shopee</t>
        </is>
      </c>
      <c r="G1726" s="4" t="inlineStr">
        <is>
          <t>SHOPEE: https://s.shopee.vn/3B8C7jVImf TIKTOK: LAZADA: WEBSITE BÁN HÀNG:</t>
        </is>
      </c>
      <c r="H1726" s="3" t="inlineStr">
        <is>
          <t>JH-100</t>
        </is>
      </c>
      <c r="I1726" s="4" t="inlineStr">
        <is>
          <t>Lưỡi dao rọc giấy JH-100</t>
        </is>
      </c>
      <c r="J1726" s="3" t="inlineStr">
        <is>
          <t>Vỉ</t>
        </is>
      </c>
      <c r="K1726" s="5" t="n">
        <v>14600</v>
      </c>
      <c r="L1726" s="5" t="n">
        <v>17000</v>
      </c>
      <c r="M1726" s="6" t="n">
        <v>21000</v>
      </c>
      <c r="N1726" s="5" t="n"/>
      <c r="O1726" s="5">
        <f>IF(AND(ISNUMBER(N1726),ISNUMBER(M1726)),N1726-M1726,"")</f>
        <v/>
      </c>
      <c r="P1726" s="7">
        <f>IF(AND(ISNUMBER(N1726),ISNUMBER(M1726),M1726&gt;0),(N1726-M1726)/M1726,"")</f>
        <v/>
      </c>
      <c r="Q1726" s="3">
        <f>IF(P1726="","",IF(P1726&lt;-0.02,"🔴 Bán phá giá sàn",IF(P1726&gt;0.05,"🔵 Bán cao hơn","🟢 Đúng giá sàn TMĐT")))</f>
        <v/>
      </c>
      <c r="R1726" s="3" t="n"/>
      <c r="S1726" s="4" t="n"/>
      <c r="T1726" s="4" t="n"/>
    </row>
    <row r="1727">
      <c r="A1727" s="3" t="n">
        <v>1726</v>
      </c>
      <c r="B1727" s="3" t="inlineStr">
        <is>
          <t>DL015</t>
        </is>
      </c>
      <c r="C1727" s="4" t="inlineStr">
        <is>
          <t>Điện máy Hùng Cường</t>
        </is>
      </c>
      <c r="D1727" s="3" t="inlineStr">
        <is>
          <t>HN</t>
        </is>
      </c>
      <c r="E1727" s="3" t="inlineStr">
        <is>
          <t>Lan</t>
        </is>
      </c>
      <c r="F1727" s="3" t="inlineStr">
        <is>
          <t>Shopee</t>
        </is>
      </c>
      <c r="G1727" s="4" t="inlineStr">
        <is>
          <t>SHOPEE: https://s.shopee.vn/3B8C7jVImf TIKTOK: LAZADA: WEBSITE BÁN HÀNG:</t>
        </is>
      </c>
      <c r="H1727" s="3" t="inlineStr">
        <is>
          <t>KM18QE</t>
        </is>
      </c>
      <c r="I1727" s="4" t="inlineStr">
        <is>
          <t>Mạch máy khoan 130Nm KM18QE</t>
        </is>
      </c>
      <c r="J1727" s="3" t="inlineStr">
        <is>
          <t>Cái</t>
        </is>
      </c>
      <c r="K1727" s="5" t="n">
        <v>2110000</v>
      </c>
      <c r="L1727" s="5" t="n">
        <v>2320000</v>
      </c>
      <c r="M1727" s="6" t="n">
        <v>2640000</v>
      </c>
      <c r="N1727" s="5" t="n"/>
      <c r="O1727" s="5">
        <f>IF(AND(ISNUMBER(N1727),ISNUMBER(M1727)),N1727-M1727,"")</f>
        <v/>
      </c>
      <c r="P1727" s="7">
        <f>IF(AND(ISNUMBER(N1727),ISNUMBER(M1727),M1727&gt;0),(N1727-M1727)/M1727,"")</f>
        <v/>
      </c>
      <c r="Q1727" s="3">
        <f>IF(P1727="","",IF(P1727&lt;-0.02,"🔴 Bán phá giá sàn",IF(P1727&gt;0.05,"🔵 Bán cao hơn","🟢 Đúng giá sàn TMĐT")))</f>
        <v/>
      </c>
      <c r="R1727" s="3" t="n"/>
      <c r="S1727" s="4" t="n"/>
      <c r="T1727" s="4" t="n"/>
    </row>
    <row r="1728">
      <c r="A1728" s="3" t="n">
        <v>1727</v>
      </c>
      <c r="B1728" s="3" t="inlineStr">
        <is>
          <t>DL015</t>
        </is>
      </c>
      <c r="C1728" s="4" t="inlineStr">
        <is>
          <t>Điện máy Hùng Cường</t>
        </is>
      </c>
      <c r="D1728" s="3" t="inlineStr">
        <is>
          <t>HN</t>
        </is>
      </c>
      <c r="E1728" s="3" t="inlineStr">
        <is>
          <t>Lan</t>
        </is>
      </c>
      <c r="F1728" s="3" t="inlineStr">
        <is>
          <t>Shopee</t>
        </is>
      </c>
      <c r="G1728" s="4" t="inlineStr">
        <is>
          <t>SHOPEE: https://s.shopee.vn/3B8C7jVImf TIKTOK: LAZADA: WEBSITE BÁN HÀNG:</t>
        </is>
      </c>
      <c r="H1728" s="3" t="inlineStr">
        <is>
          <t>KM18SVS</t>
        </is>
      </c>
      <c r="I1728" s="4" t="inlineStr">
        <is>
          <t>Mạch máy khoan 350Nm KM18SVS</t>
        </is>
      </c>
      <c r="J1728" s="3" t="inlineStr">
        <is>
          <t>Cái</t>
        </is>
      </c>
      <c r="K1728" s="5" t="n">
        <v>269000</v>
      </c>
      <c r="L1728" s="5" t="n">
        <v>317000</v>
      </c>
      <c r="M1728" s="6" t="n">
        <v>390000</v>
      </c>
      <c r="N1728" s="5" t="n"/>
      <c r="O1728" s="5">
        <f>IF(AND(ISNUMBER(N1728),ISNUMBER(M1728)),N1728-M1728,"")</f>
        <v/>
      </c>
      <c r="P1728" s="7">
        <f>IF(AND(ISNUMBER(N1728),ISNUMBER(M1728),M1728&gt;0),(N1728-M1728)/M1728,"")</f>
        <v/>
      </c>
      <c r="Q1728" s="3">
        <f>IF(P1728="","",IF(P1728&lt;-0.02,"🔴 Bán phá giá sàn",IF(P1728&gt;0.05,"🔵 Bán cao hơn","🟢 Đúng giá sàn TMĐT")))</f>
        <v/>
      </c>
      <c r="R1728" s="3" t="n"/>
      <c r="S1728" s="4" t="n"/>
      <c r="T1728" s="4" t="n"/>
    </row>
    <row r="1729">
      <c r="A1729" s="3" t="n">
        <v>1728</v>
      </c>
      <c r="B1729" s="3" t="inlineStr">
        <is>
          <t>DL015</t>
        </is>
      </c>
      <c r="C1729" s="4" t="inlineStr">
        <is>
          <t>Điện máy Hùng Cường</t>
        </is>
      </c>
      <c r="D1729" s="3" t="inlineStr">
        <is>
          <t>HN</t>
        </is>
      </c>
      <c r="E1729" s="3" t="inlineStr">
        <is>
          <t>Lan</t>
        </is>
      </c>
      <c r="F1729" s="3" t="inlineStr">
        <is>
          <t>Shopee</t>
        </is>
      </c>
      <c r="G1729" s="4" t="inlineStr">
        <is>
          <t>SHOPEE: https://s.shopee.vn/3B8C7jVImf TIKTOK: LAZADA: WEBSITE BÁN HÀNG:</t>
        </is>
      </c>
      <c r="H1729" s="3" t="inlineStr">
        <is>
          <t>KM18QF</t>
        </is>
      </c>
      <c r="I1729" s="4" t="inlineStr">
        <is>
          <t>Mạch máy khoan bê tông KM18QF</t>
        </is>
      </c>
      <c r="J1729" s="3" t="inlineStr">
        <is>
          <t>Cái</t>
        </is>
      </c>
      <c r="K1729" s="5" t="n">
        <v>2110000</v>
      </c>
      <c r="L1729" s="5" t="n">
        <v>2320000</v>
      </c>
      <c r="M1729" s="6" t="n">
        <v>2640000</v>
      </c>
      <c r="N1729" s="5" t="n"/>
      <c r="O1729" s="5">
        <f>IF(AND(ISNUMBER(N1729),ISNUMBER(M1729)),N1729-M1729,"")</f>
        <v/>
      </c>
      <c r="P1729" s="7">
        <f>IF(AND(ISNUMBER(N1729),ISNUMBER(M1729),M1729&gt;0),(N1729-M1729)/M1729,"")</f>
        <v/>
      </c>
      <c r="Q1729" s="3">
        <f>IF(P1729="","",IF(P1729&lt;-0.02,"🔴 Bán phá giá sàn",IF(P1729&gt;0.05,"🔵 Bán cao hơn","🟢 Đúng giá sàn TMĐT")))</f>
        <v/>
      </c>
      <c r="R1729" s="3" t="n"/>
      <c r="S1729" s="4" t="n"/>
      <c r="T1729" s="4" t="n"/>
    </row>
    <row r="1730">
      <c r="A1730" s="3" t="n">
        <v>1729</v>
      </c>
      <c r="B1730" s="3" t="inlineStr">
        <is>
          <t>DL015</t>
        </is>
      </c>
      <c r="C1730" s="4" t="inlineStr">
        <is>
          <t>Điện máy Hùng Cường</t>
        </is>
      </c>
      <c r="D1730" s="3" t="inlineStr">
        <is>
          <t>HN</t>
        </is>
      </c>
      <c r="E1730" s="3" t="inlineStr">
        <is>
          <t>Lan</t>
        </is>
      </c>
      <c r="F1730" s="3" t="inlineStr">
        <is>
          <t>Shopee</t>
        </is>
      </c>
      <c r="G1730" s="4" t="inlineStr">
        <is>
          <t>SHOPEE: https://s.shopee.vn/3B8C7jVImf TIKTOK: LAZADA: WEBSITE BÁN HÀNG:</t>
        </is>
      </c>
      <c r="H1730" s="3" t="inlineStr">
        <is>
          <t>KB-05XS</t>
        </is>
      </c>
      <c r="I1730" s="4" t="inlineStr">
        <is>
          <t>Máy cân bằng KB-05XS</t>
        </is>
      </c>
      <c r="J1730" s="3" t="inlineStr">
        <is>
          <t>Cái</t>
        </is>
      </c>
      <c r="K1730" s="5" t="n">
        <v>2090000</v>
      </c>
      <c r="L1730" s="5" t="n">
        <v>2340000</v>
      </c>
      <c r="M1730" s="6" t="n">
        <v>2720000</v>
      </c>
      <c r="N1730" s="5" t="n"/>
      <c r="O1730" s="5">
        <f>IF(AND(ISNUMBER(N1730),ISNUMBER(M1730)),N1730-M1730,"")</f>
        <v/>
      </c>
      <c r="P1730" s="7">
        <f>IF(AND(ISNUMBER(N1730),ISNUMBER(M1730),M1730&gt;0),(N1730-M1730)/M1730,"")</f>
        <v/>
      </c>
      <c r="Q1730" s="3">
        <f>IF(P1730="","",IF(P1730&lt;-0.02,"🔴 Bán phá giá sàn",IF(P1730&gt;0.05,"🔵 Bán cao hơn","🟢 Đúng giá sàn TMĐT")))</f>
        <v/>
      </c>
      <c r="R1730" s="3" t="n"/>
      <c r="S1730" s="4" t="n"/>
      <c r="T1730" s="4" t="n"/>
    </row>
    <row r="1731">
      <c r="A1731" s="3" t="n">
        <v>1730</v>
      </c>
      <c r="B1731" s="3" t="inlineStr">
        <is>
          <t>DL015</t>
        </is>
      </c>
      <c r="C1731" s="4" t="inlineStr">
        <is>
          <t>Điện máy Hùng Cường</t>
        </is>
      </c>
      <c r="D1731" s="3" t="inlineStr">
        <is>
          <t>HN</t>
        </is>
      </c>
      <c r="E1731" s="3" t="inlineStr">
        <is>
          <t>Lan</t>
        </is>
      </c>
      <c r="F1731" s="3" t="inlineStr">
        <is>
          <t>Shopee</t>
        </is>
      </c>
      <c r="G1731" s="4" t="inlineStr">
        <is>
          <t>SHOPEE: https://s.shopee.vn/3B8C7jVImf TIKTOK: LAZADA: WEBSITE BÁN HÀNG:</t>
        </is>
      </c>
      <c r="H1731" s="3" t="inlineStr">
        <is>
          <t>K18QES</t>
        </is>
      </c>
      <c r="I1731" s="4" t="inlineStr">
        <is>
          <t>Máy Khoan 3 Chức Năng 18V K18QES</t>
        </is>
      </c>
      <c r="J1731" s="3" t="inlineStr">
        <is>
          <t>Cái</t>
        </is>
      </c>
      <c r="K1731" s="5" t="n">
        <v>2380000</v>
      </c>
      <c r="L1731" s="5" t="n">
        <v>2610000</v>
      </c>
      <c r="M1731" s="6" t="n">
        <v>2970000</v>
      </c>
      <c r="N1731" s="5" t="n"/>
      <c r="O1731" s="5">
        <f>IF(AND(ISNUMBER(N1731),ISNUMBER(M1731)),N1731-M1731,"")</f>
        <v/>
      </c>
      <c r="P1731" s="7">
        <f>IF(AND(ISNUMBER(N1731),ISNUMBER(M1731),M1731&gt;0),(N1731-M1731)/M1731,"")</f>
        <v/>
      </c>
      <c r="Q1731" s="3">
        <f>IF(P1731="","",IF(P1731&lt;-0.02,"🔴 Bán phá giá sàn",IF(P1731&gt;0.05,"🔵 Bán cao hơn","🟢 Đúng giá sàn TMĐT")))</f>
        <v/>
      </c>
      <c r="R1731" s="3" t="n"/>
      <c r="S1731" s="4" t="n"/>
      <c r="T1731" s="4" t="n"/>
    </row>
    <row r="1732">
      <c r="A1732" s="3" t="n">
        <v>1731</v>
      </c>
      <c r="B1732" s="3" t="inlineStr">
        <is>
          <t>DL015</t>
        </is>
      </c>
      <c r="C1732" s="4" t="inlineStr">
        <is>
          <t>Điện máy Hùng Cường</t>
        </is>
      </c>
      <c r="D1732" s="3" t="inlineStr">
        <is>
          <t>HN</t>
        </is>
      </c>
      <c r="E1732" s="3" t="inlineStr">
        <is>
          <t>Lan</t>
        </is>
      </c>
      <c r="F1732" s="3" t="inlineStr">
        <is>
          <t>Shopee</t>
        </is>
      </c>
      <c r="G1732" s="4" t="inlineStr">
        <is>
          <t>SHOPEE: https://s.shopee.vn/3B8C7jVImf TIKTOK: LAZADA: WEBSITE BÁN HÀNG:</t>
        </is>
      </c>
      <c r="H1732" s="3" t="inlineStr">
        <is>
          <t>K18QFS</t>
        </is>
      </c>
      <c r="I1732" s="4" t="inlineStr">
        <is>
          <t>Máy khoan bê tông 18V K18QFS</t>
        </is>
      </c>
      <c r="J1732" s="3" t="inlineStr">
        <is>
          <t>Cái</t>
        </is>
      </c>
      <c r="K1732" s="5" t="n">
        <v>2110000</v>
      </c>
      <c r="L1732" s="5" t="n">
        <v>2320000</v>
      </c>
      <c r="M1732" s="6" t="n">
        <v>2640000</v>
      </c>
      <c r="N1732" s="5" t="n"/>
      <c r="O1732" s="5">
        <f>IF(AND(ISNUMBER(N1732),ISNUMBER(M1732)),N1732-M1732,"")</f>
        <v/>
      </c>
      <c r="P1732" s="7">
        <f>IF(AND(ISNUMBER(N1732),ISNUMBER(M1732),M1732&gt;0),(N1732-M1732)/M1732,"")</f>
        <v/>
      </c>
      <c r="Q1732" s="3">
        <f>IF(P1732="","",IF(P1732&lt;-0.02,"🔴 Bán phá giá sàn",IF(P1732&gt;0.05,"🔵 Bán cao hơn","🟢 Đúng giá sàn TMĐT")))</f>
        <v/>
      </c>
      <c r="R1732" s="3" t="n"/>
      <c r="S1732" s="4" t="n"/>
      <c r="T1732" s="4" t="n"/>
    </row>
    <row r="1733">
      <c r="A1733" s="3" t="n">
        <v>1732</v>
      </c>
      <c r="B1733" s="3" t="inlineStr">
        <is>
          <t>DL015</t>
        </is>
      </c>
      <c r="C1733" s="4" t="inlineStr">
        <is>
          <t>Điện máy Hùng Cường</t>
        </is>
      </c>
      <c r="D1733" s="3" t="inlineStr">
        <is>
          <t>HN</t>
        </is>
      </c>
      <c r="E1733" s="3" t="inlineStr">
        <is>
          <t>Lan</t>
        </is>
      </c>
      <c r="F1733" s="3" t="inlineStr">
        <is>
          <t>Shopee</t>
        </is>
      </c>
      <c r="G1733" s="4" t="inlineStr">
        <is>
          <t>SHOPEE: https://s.shopee.vn/3B8C7jVImf TIKTOK: LAZADA: WEBSITE BÁN HÀNG:</t>
        </is>
      </c>
      <c r="H1733" s="3" t="inlineStr">
        <is>
          <t>KD18QF</t>
        </is>
      </c>
      <c r="I1733" s="4" t="inlineStr">
        <is>
          <t>Máy Khoan Bê Tông 18V KD18QF</t>
        </is>
      </c>
      <c r="J1733" s="3" t="inlineStr">
        <is>
          <t>Cái</t>
        </is>
      </c>
      <c r="K1733" s="5" t="n">
        <v>2110000</v>
      </c>
      <c r="L1733" s="5" t="n">
        <v>2320000</v>
      </c>
      <c r="M1733" s="6" t="n">
        <v>2640000</v>
      </c>
      <c r="N1733" s="5" t="n"/>
      <c r="O1733" s="5">
        <f>IF(AND(ISNUMBER(N1733),ISNUMBER(M1733)),N1733-M1733,"")</f>
        <v/>
      </c>
      <c r="P1733" s="7">
        <f>IF(AND(ISNUMBER(N1733),ISNUMBER(M1733),M1733&gt;0),(N1733-M1733)/M1733,"")</f>
        <v/>
      </c>
      <c r="Q1733" s="3">
        <f>IF(P1733="","",IF(P1733&lt;-0.02,"🔴 Bán phá giá sàn",IF(P1733&gt;0.05,"🔵 Bán cao hơn","🟢 Đúng giá sàn TMĐT")))</f>
        <v/>
      </c>
      <c r="R1733" s="3" t="n"/>
      <c r="S1733" s="4" t="n"/>
      <c r="T1733" s="4" t="n"/>
    </row>
    <row r="1734">
      <c r="A1734" s="3" t="n">
        <v>1733</v>
      </c>
      <c r="B1734" s="3" t="inlineStr">
        <is>
          <t>DL015</t>
        </is>
      </c>
      <c r="C1734" s="4" t="inlineStr">
        <is>
          <t>Điện máy Hùng Cường</t>
        </is>
      </c>
      <c r="D1734" s="3" t="inlineStr">
        <is>
          <t>HN</t>
        </is>
      </c>
      <c r="E1734" s="3" t="inlineStr">
        <is>
          <t>Lan</t>
        </is>
      </c>
      <c r="F1734" s="3" t="inlineStr">
        <is>
          <t>Shopee</t>
        </is>
      </c>
      <c r="G1734" s="4" t="inlineStr">
        <is>
          <t>SHOPEE: https://s.shopee.vn/3B8C7jVImf TIKTOK: LAZADA: WEBSITE BÁN HÀNG:</t>
        </is>
      </c>
      <c r="H1734" s="3" t="inlineStr">
        <is>
          <t>KM18QF</t>
        </is>
      </c>
      <c r="I1734" s="4" t="inlineStr">
        <is>
          <t>Máy Khoan Bê Tông 18V KM18QF</t>
        </is>
      </c>
      <c r="J1734" s="3" t="inlineStr">
        <is>
          <t>Cái</t>
        </is>
      </c>
      <c r="K1734" s="5" t="n">
        <v>2110000</v>
      </c>
      <c r="L1734" s="5" t="n">
        <v>2320000</v>
      </c>
      <c r="M1734" s="6" t="n">
        <v>2640000</v>
      </c>
      <c r="N1734" s="5" t="n"/>
      <c r="O1734" s="5">
        <f>IF(AND(ISNUMBER(N1734),ISNUMBER(M1734)),N1734-M1734,"")</f>
        <v/>
      </c>
      <c r="P1734" s="7">
        <f>IF(AND(ISNUMBER(N1734),ISNUMBER(M1734),M1734&gt;0),(N1734-M1734)/M1734,"")</f>
        <v/>
      </c>
      <c r="Q1734" s="3">
        <f>IF(P1734="","",IF(P1734&lt;-0.02,"🔴 Bán phá giá sàn",IF(P1734&gt;0.05,"🔵 Bán cao hơn","🟢 Đúng giá sàn TMĐT")))</f>
        <v/>
      </c>
      <c r="R1734" s="3" t="n"/>
      <c r="S1734" s="4" t="n"/>
      <c r="T1734" s="4" t="n"/>
    </row>
    <row r="1735">
      <c r="A1735" s="3" t="n">
        <v>1734</v>
      </c>
      <c r="B1735" s="3" t="inlineStr">
        <is>
          <t>DL015</t>
        </is>
      </c>
      <c r="C1735" s="4" t="inlineStr">
        <is>
          <t>Điện máy Hùng Cường</t>
        </is>
      </c>
      <c r="D1735" s="3" t="inlineStr">
        <is>
          <t>HN</t>
        </is>
      </c>
      <c r="E1735" s="3" t="inlineStr">
        <is>
          <t>Lan</t>
        </is>
      </c>
      <c r="F1735" s="3" t="inlineStr">
        <is>
          <t>Shopee</t>
        </is>
      </c>
      <c r="G1735" s="4" t="inlineStr">
        <is>
          <t>SHOPEE: https://s.shopee.vn/3B8C7jVImf TIKTOK: LAZADA: WEBSITE BÁN HÀNG:</t>
        </is>
      </c>
      <c r="H1735" s="3" t="inlineStr">
        <is>
          <t>KD18S34</t>
        </is>
      </c>
      <c r="I1735" s="4" t="inlineStr">
        <is>
          <t>Máy siết bulon 18V KD18S34</t>
        </is>
      </c>
      <c r="J1735" s="3" t="inlineStr">
        <is>
          <t>Cái</t>
        </is>
      </c>
      <c r="K1735" s="5" t="n">
        <v>3960000</v>
      </c>
      <c r="L1735" s="5" t="n">
        <v>4360000</v>
      </c>
      <c r="M1735" s="6" t="n">
        <v>4950000</v>
      </c>
      <c r="N1735" s="5" t="n"/>
      <c r="O1735" s="5">
        <f>IF(AND(ISNUMBER(N1735),ISNUMBER(M1735)),N1735-M1735,"")</f>
        <v/>
      </c>
      <c r="P1735" s="7">
        <f>IF(AND(ISNUMBER(N1735),ISNUMBER(M1735),M1735&gt;0),(N1735-M1735)/M1735,"")</f>
        <v/>
      </c>
      <c r="Q1735" s="3">
        <f>IF(P1735="","",IF(P1735&lt;-0.02,"🔴 Bán phá giá sàn",IF(P1735&gt;0.05,"🔵 Bán cao hơn","🟢 Đúng giá sàn TMĐT")))</f>
        <v/>
      </c>
      <c r="R1735" s="3" t="n"/>
      <c r="S1735" s="4" t="n"/>
      <c r="T1735" s="4" t="n"/>
    </row>
    <row r="1736">
      <c r="A1736" s="3" t="n">
        <v>1735</v>
      </c>
      <c r="B1736" s="3" t="inlineStr">
        <is>
          <t>DL015</t>
        </is>
      </c>
      <c r="C1736" s="4" t="inlineStr">
        <is>
          <t>Điện máy Hùng Cường</t>
        </is>
      </c>
      <c r="D1736" s="3" t="inlineStr">
        <is>
          <t>HN</t>
        </is>
      </c>
      <c r="E1736" s="3" t="inlineStr">
        <is>
          <t>Lan</t>
        </is>
      </c>
      <c r="F1736" s="3" t="inlineStr">
        <is>
          <t>Shopee</t>
        </is>
      </c>
      <c r="G1736" s="4" t="inlineStr">
        <is>
          <t>SHOPEE: https://s.shopee.vn/3B8C7jVImf TIKTOK: LAZADA: WEBSITE BÁN HÀNG:</t>
        </is>
      </c>
      <c r="H1736" s="3" t="inlineStr">
        <is>
          <t>KM18S34</t>
        </is>
      </c>
      <c r="I1736" s="4" t="inlineStr">
        <is>
          <t>Máy siết bulon 18V KM18S34</t>
        </is>
      </c>
      <c r="J1736" s="3" t="inlineStr">
        <is>
          <t>Cái</t>
        </is>
      </c>
      <c r="K1736" s="5" t="n">
        <v>3960000</v>
      </c>
      <c r="L1736" s="5" t="n">
        <v>4360000</v>
      </c>
      <c r="M1736" s="6" t="n">
        <v>4950000</v>
      </c>
      <c r="N1736" s="5" t="n"/>
      <c r="O1736" s="5">
        <f>IF(AND(ISNUMBER(N1736),ISNUMBER(M1736)),N1736-M1736,"")</f>
        <v/>
      </c>
      <c r="P1736" s="7">
        <f>IF(AND(ISNUMBER(N1736),ISNUMBER(M1736),M1736&gt;0),(N1736-M1736)/M1736,"")</f>
        <v/>
      </c>
      <c r="Q1736" s="3">
        <f>IF(P1736="","",IF(P1736&lt;-0.02,"🔴 Bán phá giá sàn",IF(P1736&gt;0.05,"🔵 Bán cao hơn","🟢 Đúng giá sàn TMĐT")))</f>
        <v/>
      </c>
      <c r="R1736" s="3" t="n"/>
      <c r="S1736" s="4" t="n"/>
      <c r="T1736" s="4" t="n"/>
    </row>
    <row r="1737">
      <c r="A1737" s="3" t="n">
        <v>1736</v>
      </c>
      <c r="B1737" s="3" t="inlineStr">
        <is>
          <t>DL015</t>
        </is>
      </c>
      <c r="C1737" s="4" t="inlineStr">
        <is>
          <t>Điện máy Hùng Cường</t>
        </is>
      </c>
      <c r="D1737" s="3" t="inlineStr">
        <is>
          <t>HN</t>
        </is>
      </c>
      <c r="E1737" s="3" t="inlineStr">
        <is>
          <t>Lan</t>
        </is>
      </c>
      <c r="F1737" s="3" t="inlineStr">
        <is>
          <t>Shopee</t>
        </is>
      </c>
      <c r="G1737" s="4" t="inlineStr">
        <is>
          <t>SHOPEE: https://s.shopee.vn/3B8C7jVImf TIKTOK: LAZADA: WEBSITE BÁN HÀNG:</t>
        </is>
      </c>
      <c r="H1737" s="3" t="inlineStr">
        <is>
          <t>KM18SV</t>
        </is>
      </c>
      <c r="I1737" s="4" t="inlineStr">
        <is>
          <t>Máy Siết bulon 2in1 18V KM18SV</t>
        </is>
      </c>
      <c r="J1737" s="3" t="inlineStr">
        <is>
          <t>Cái</t>
        </is>
      </c>
      <c r="K1737" s="5" t="n">
        <v>1560000</v>
      </c>
      <c r="L1737" s="5" t="n">
        <v>1720000</v>
      </c>
      <c r="M1737" s="6" t="n">
        <v>1950000</v>
      </c>
      <c r="N1737" s="5" t="n"/>
      <c r="O1737" s="5">
        <f>IF(AND(ISNUMBER(N1737),ISNUMBER(M1737)),N1737-M1737,"")</f>
        <v/>
      </c>
      <c r="P1737" s="7">
        <f>IF(AND(ISNUMBER(N1737),ISNUMBER(M1737),M1737&gt;0),(N1737-M1737)/M1737,"")</f>
        <v/>
      </c>
      <c r="Q1737" s="3">
        <f>IF(P1737="","",IF(P1737&lt;-0.02,"🔴 Bán phá giá sàn",IF(P1737&gt;0.05,"🔵 Bán cao hơn","🟢 Đúng giá sàn TMĐT")))</f>
        <v/>
      </c>
      <c r="R1737" s="3" t="n"/>
      <c r="S1737" s="4" t="n"/>
      <c r="T1737" s="4" t="n"/>
    </row>
    <row r="1738">
      <c r="A1738" s="3" t="n">
        <v>1737</v>
      </c>
      <c r="B1738" s="3" t="inlineStr">
        <is>
          <t>DL015</t>
        </is>
      </c>
      <c r="C1738" s="4" t="inlineStr">
        <is>
          <t>Điện máy Hùng Cường</t>
        </is>
      </c>
      <c r="D1738" s="3" t="inlineStr">
        <is>
          <t>HN</t>
        </is>
      </c>
      <c r="E1738" s="3" t="inlineStr">
        <is>
          <t>Lan</t>
        </is>
      </c>
      <c r="F1738" s="3" t="inlineStr">
        <is>
          <t>Shopee</t>
        </is>
      </c>
      <c r="G1738" s="4" t="inlineStr">
        <is>
          <t>SHOPEE: https://s.shopee.vn/3B8C7jVImf TIKTOK: LAZADA: WEBSITE BÁN HÀNG:</t>
        </is>
      </c>
      <c r="H1738" s="3" t="inlineStr">
        <is>
          <t>K18PLS</t>
        </is>
      </c>
      <c r="I1738" s="4" t="inlineStr">
        <is>
          <t>Máy thổi phản lực 18V K18PLS</t>
        </is>
      </c>
      <c r="J1738" s="3" t="inlineStr">
        <is>
          <t>Cái</t>
        </is>
      </c>
      <c r="K1738" s="5" t="n">
        <v>990000</v>
      </c>
      <c r="L1738" s="5" t="n">
        <v>1090000</v>
      </c>
      <c r="M1738" s="6" t="n">
        <v>1240000</v>
      </c>
      <c r="N1738" s="5" t="n"/>
      <c r="O1738" s="5">
        <f>IF(AND(ISNUMBER(N1738),ISNUMBER(M1738)),N1738-M1738,"")</f>
        <v/>
      </c>
      <c r="P1738" s="7">
        <f>IF(AND(ISNUMBER(N1738),ISNUMBER(M1738),M1738&gt;0),(N1738-M1738)/M1738,"")</f>
        <v/>
      </c>
      <c r="Q1738" s="3">
        <f>IF(P1738="","",IF(P1738&lt;-0.02,"🔴 Bán phá giá sàn",IF(P1738&gt;0.05,"🔵 Bán cao hơn","🟢 Đúng giá sàn TMĐT")))</f>
        <v/>
      </c>
      <c r="R1738" s="3" t="n"/>
      <c r="S1738" s="4" t="n"/>
      <c r="T1738" s="4" t="n"/>
    </row>
    <row r="1739">
      <c r="A1739" s="3" t="n">
        <v>1738</v>
      </c>
      <c r="B1739" s="3" t="inlineStr">
        <is>
          <t>DL015</t>
        </is>
      </c>
      <c r="C1739" s="4" t="inlineStr">
        <is>
          <t>Điện máy Hùng Cường</t>
        </is>
      </c>
      <c r="D1739" s="3" t="inlineStr">
        <is>
          <t>HN</t>
        </is>
      </c>
      <c r="E1739" s="3" t="inlineStr">
        <is>
          <t>Lan</t>
        </is>
      </c>
      <c r="F1739" s="3" t="inlineStr">
        <is>
          <t>Shopee</t>
        </is>
      </c>
      <c r="G1739" s="4" t="inlineStr">
        <is>
          <t>SHOPEE: https://s.shopee.vn/3B8C7jVImf TIKTOK: LAZADA: WEBSITE BÁN HÀNG:</t>
        </is>
      </c>
      <c r="H1739" s="3" t="inlineStr">
        <is>
          <t>KD3</t>
        </is>
      </c>
      <c r="I1739" s="4" t="inlineStr">
        <is>
          <t>Mỏ lết đa năng cán bọc KD3 250</t>
        </is>
      </c>
      <c r="J1739" s="3" t="inlineStr">
        <is>
          <t>Cái</t>
        </is>
      </c>
      <c r="K1739" s="5" t="n">
        <v>108000</v>
      </c>
      <c r="L1739" s="5" t="n">
        <v>128000</v>
      </c>
      <c r="M1739" s="6" t="n">
        <v>157000</v>
      </c>
      <c r="N1739" s="5" t="n"/>
      <c r="O1739" s="5">
        <f>IF(AND(ISNUMBER(N1739),ISNUMBER(M1739)),N1739-M1739,"")</f>
        <v/>
      </c>
      <c r="P1739" s="7">
        <f>IF(AND(ISNUMBER(N1739),ISNUMBER(M1739),M1739&gt;0),(N1739-M1739)/M1739,"")</f>
        <v/>
      </c>
      <c r="Q1739" s="3">
        <f>IF(P1739="","",IF(P1739&lt;-0.02,"🔴 Bán phá giá sàn",IF(P1739&gt;0.05,"🔵 Bán cao hơn","🟢 Đúng giá sàn TMĐT")))</f>
        <v/>
      </c>
      <c r="R1739" s="3" t="n"/>
      <c r="S1739" s="4" t="n"/>
      <c r="T1739" s="4" t="n"/>
    </row>
    <row r="1740">
      <c r="A1740" s="3" t="n">
        <v>1739</v>
      </c>
      <c r="B1740" s="3" t="inlineStr">
        <is>
          <t>DL015</t>
        </is>
      </c>
      <c r="C1740" s="4" t="inlineStr">
        <is>
          <t>Điện máy Hùng Cường</t>
        </is>
      </c>
      <c r="D1740" s="3" t="inlineStr">
        <is>
          <t>HN</t>
        </is>
      </c>
      <c r="E1740" s="3" t="inlineStr">
        <is>
          <t>Lan</t>
        </is>
      </c>
      <c r="F1740" s="3" t="inlineStr">
        <is>
          <t>Shopee</t>
        </is>
      </c>
      <c r="G1740" s="4" t="inlineStr">
        <is>
          <t>SHOPEE: https://s.shopee.vn/3B8C7jVImf TIKTOK: LAZADA: WEBSITE BÁN HÀNG:</t>
        </is>
      </c>
      <c r="H1740" s="3" t="inlineStr">
        <is>
          <t>KD3</t>
        </is>
      </c>
      <c r="I1740" s="4" t="inlineStr">
        <is>
          <t>Mỏ lết đa năng cán bọc KD3 300</t>
        </is>
      </c>
      <c r="J1740" s="3" t="inlineStr">
        <is>
          <t>Cái</t>
        </is>
      </c>
      <c r="K1740" s="5" t="n">
        <v>108000</v>
      </c>
      <c r="L1740" s="5" t="n">
        <v>128000</v>
      </c>
      <c r="M1740" s="6" t="n">
        <v>157000</v>
      </c>
      <c r="N1740" s="5" t="n"/>
      <c r="O1740" s="5">
        <f>IF(AND(ISNUMBER(N1740),ISNUMBER(M1740)),N1740-M1740,"")</f>
        <v/>
      </c>
      <c r="P1740" s="7">
        <f>IF(AND(ISNUMBER(N1740),ISNUMBER(M1740),M1740&gt;0),(N1740-M1740)/M1740,"")</f>
        <v/>
      </c>
      <c r="Q1740" s="3">
        <f>IF(P1740="","",IF(P1740&lt;-0.02,"🔴 Bán phá giá sàn",IF(P1740&gt;0.05,"🔵 Bán cao hơn","🟢 Đúng giá sàn TMĐT")))</f>
        <v/>
      </c>
      <c r="R1740" s="3" t="n"/>
      <c r="S1740" s="4" t="n"/>
      <c r="T1740" s="4" t="n"/>
    </row>
    <row r="1741">
      <c r="A1741" s="3" t="n">
        <v>1740</v>
      </c>
      <c r="B1741" s="3" t="inlineStr">
        <is>
          <t>DL015</t>
        </is>
      </c>
      <c r="C1741" s="4" t="inlineStr">
        <is>
          <t>Điện máy Hùng Cường</t>
        </is>
      </c>
      <c r="D1741" s="3" t="inlineStr">
        <is>
          <t>HN</t>
        </is>
      </c>
      <c r="E1741" s="3" t="inlineStr">
        <is>
          <t>Lan</t>
        </is>
      </c>
      <c r="F1741" s="3" t="inlineStr">
        <is>
          <t>Shopee</t>
        </is>
      </c>
      <c r="G1741" s="4" t="inlineStr">
        <is>
          <t>SHOPEE: https://s.shopee.vn/3B8C7jVImf TIKTOK: LAZADA: WEBSITE BÁN HÀNG:</t>
        </is>
      </c>
      <c r="H1741" s="3" t="inlineStr">
        <is>
          <t>KD5-250</t>
        </is>
      </c>
      <c r="I1741" s="4" t="inlineStr">
        <is>
          <t>Mỏ lết KD5-250</t>
        </is>
      </c>
      <c r="J1741" s="3" t="inlineStr">
        <is>
          <t>Cái</t>
        </is>
      </c>
      <c r="K1741" s="5" t="n">
        <v>292000</v>
      </c>
      <c r="L1741" s="5" t="n">
        <v>344000</v>
      </c>
      <c r="M1741" s="6" t="n">
        <v>423000</v>
      </c>
      <c r="N1741" s="5" t="n"/>
      <c r="O1741" s="5">
        <f>IF(AND(ISNUMBER(N1741),ISNUMBER(M1741)),N1741-M1741,"")</f>
        <v/>
      </c>
      <c r="P1741" s="7">
        <f>IF(AND(ISNUMBER(N1741),ISNUMBER(M1741),M1741&gt;0),(N1741-M1741)/M1741,"")</f>
        <v/>
      </c>
      <c r="Q1741" s="3">
        <f>IF(P1741="","",IF(P1741&lt;-0.02,"🔴 Bán phá giá sàn",IF(P1741&gt;0.05,"🔵 Bán cao hơn","🟢 Đúng giá sàn TMĐT")))</f>
        <v/>
      </c>
      <c r="R1741" s="3" t="n"/>
      <c r="S1741" s="4" t="n"/>
      <c r="T1741" s="4" t="n"/>
    </row>
    <row r="1742">
      <c r="A1742" s="3" t="n">
        <v>1741</v>
      </c>
      <c r="B1742" s="3" t="inlineStr">
        <is>
          <t>DL015</t>
        </is>
      </c>
      <c r="C1742" s="4" t="inlineStr">
        <is>
          <t>Điện máy Hùng Cường</t>
        </is>
      </c>
      <c r="D1742" s="3" t="inlineStr">
        <is>
          <t>HN</t>
        </is>
      </c>
      <c r="E1742" s="3" t="inlineStr">
        <is>
          <t>Lan</t>
        </is>
      </c>
      <c r="F1742" s="3" t="inlineStr">
        <is>
          <t>Shopee</t>
        </is>
      </c>
      <c r="G1742" s="4" t="inlineStr">
        <is>
          <t>SHOPEE: https://s.shopee.vn/3B8C7jVImf TIKTOK: LAZADA: WEBSITE BÁN HÀNG:</t>
        </is>
      </c>
      <c r="H1742" s="3" t="inlineStr">
        <is>
          <t>KD5-300</t>
        </is>
      </c>
      <c r="I1742" s="4" t="inlineStr">
        <is>
          <t>Mỏ lết KD5-300</t>
        </is>
      </c>
      <c r="J1742" s="3" t="inlineStr">
        <is>
          <t>Cái</t>
        </is>
      </c>
      <c r="K1742" s="5" t="n">
        <v>413000</v>
      </c>
      <c r="L1742" s="5" t="n">
        <v>487000</v>
      </c>
      <c r="M1742" s="6" t="n">
        <v>599000</v>
      </c>
      <c r="N1742" s="5" t="n"/>
      <c r="O1742" s="5">
        <f>IF(AND(ISNUMBER(N1742),ISNUMBER(M1742)),N1742-M1742,"")</f>
        <v/>
      </c>
      <c r="P1742" s="7">
        <f>IF(AND(ISNUMBER(N1742),ISNUMBER(M1742),M1742&gt;0),(N1742-M1742)/M1742,"")</f>
        <v/>
      </c>
      <c r="Q1742" s="3">
        <f>IF(P1742="","",IF(P1742&lt;-0.02,"🔴 Bán phá giá sàn",IF(P1742&gt;0.05,"🔵 Bán cao hơn","🟢 Đúng giá sàn TMĐT")))</f>
        <v/>
      </c>
      <c r="R1742" s="3" t="n"/>
      <c r="S1742" s="4" t="n"/>
      <c r="T1742" s="4" t="n"/>
    </row>
    <row r="1743">
      <c r="A1743" s="3" t="n">
        <v>1742</v>
      </c>
      <c r="B1743" s="3" t="inlineStr">
        <is>
          <t>DL015</t>
        </is>
      </c>
      <c r="C1743" s="4" t="inlineStr">
        <is>
          <t>Điện máy Hùng Cường</t>
        </is>
      </c>
      <c r="D1743" s="3" t="inlineStr">
        <is>
          <t>HN</t>
        </is>
      </c>
      <c r="E1743" s="3" t="inlineStr">
        <is>
          <t>Lan</t>
        </is>
      </c>
      <c r="F1743" s="3" t="inlineStr">
        <is>
          <t>Shopee</t>
        </is>
      </c>
      <c r="G1743" s="4" t="inlineStr">
        <is>
          <t>SHOPEE: https://s.shopee.vn/3B8C7jVImf TIKTOK: LAZADA: WEBSITE BÁN HÀNG:</t>
        </is>
      </c>
      <c r="H1743" s="3" t="inlineStr">
        <is>
          <t>KW-300</t>
        </is>
      </c>
      <c r="I1743" s="4" t="inlineStr">
        <is>
          <t>Mỏ lết răng KW-300</t>
        </is>
      </c>
      <c r="J1743" s="3" t="inlineStr">
        <is>
          <t>Cái</t>
        </is>
      </c>
      <c r="K1743" s="5" t="n">
        <v>141000</v>
      </c>
      <c r="L1743" s="5" t="n">
        <v>167000</v>
      </c>
      <c r="M1743" s="6" t="n">
        <v>205000</v>
      </c>
      <c r="N1743" s="5" t="n"/>
      <c r="O1743" s="5">
        <f>IF(AND(ISNUMBER(N1743),ISNUMBER(M1743)),N1743-M1743,"")</f>
        <v/>
      </c>
      <c r="P1743" s="7">
        <f>IF(AND(ISNUMBER(N1743),ISNUMBER(M1743),M1743&gt;0),(N1743-M1743)/M1743,"")</f>
        <v/>
      </c>
      <c r="Q1743" s="3">
        <f>IF(P1743="","",IF(P1743&lt;-0.02,"🔴 Bán phá giá sàn",IF(P1743&gt;0.05,"🔵 Bán cao hơn","🟢 Đúng giá sàn TMĐT")))</f>
        <v/>
      </c>
      <c r="R1743" s="3" t="n"/>
      <c r="S1743" s="4" t="n"/>
      <c r="T1743" s="4" t="n"/>
    </row>
    <row r="1744">
      <c r="A1744" s="3" t="n">
        <v>1743</v>
      </c>
      <c r="B1744" s="3" t="inlineStr">
        <is>
          <t>DL015</t>
        </is>
      </c>
      <c r="C1744" s="4" t="inlineStr">
        <is>
          <t>Điện máy Hùng Cường</t>
        </is>
      </c>
      <c r="D1744" s="3" t="inlineStr">
        <is>
          <t>HN</t>
        </is>
      </c>
      <c r="E1744" s="3" t="inlineStr">
        <is>
          <t>Lan</t>
        </is>
      </c>
      <c r="F1744" s="3" t="inlineStr">
        <is>
          <t>Shopee</t>
        </is>
      </c>
      <c r="G1744" s="4" t="inlineStr">
        <is>
          <t>SHOPEE: https://s.shopee.vn/3B8C7jVImf TIKTOK: LAZADA: WEBSITE BÁN HÀNG:</t>
        </is>
      </c>
      <c r="H1744" s="3" t="inlineStr">
        <is>
          <t>KW-450</t>
        </is>
      </c>
      <c r="I1744" s="4" t="inlineStr">
        <is>
          <t>Mỏ lết răng KW-450</t>
        </is>
      </c>
      <c r="J1744" s="3" t="inlineStr">
        <is>
          <t>Cái</t>
        </is>
      </c>
      <c r="K1744" s="5" t="n">
        <v>248000</v>
      </c>
      <c r="L1744" s="5" t="n">
        <v>293000</v>
      </c>
      <c r="M1744" s="6" t="n">
        <v>360000</v>
      </c>
      <c r="N1744" s="5" t="n"/>
      <c r="O1744" s="5">
        <f>IF(AND(ISNUMBER(N1744),ISNUMBER(M1744)),N1744-M1744,"")</f>
        <v/>
      </c>
      <c r="P1744" s="7">
        <f>IF(AND(ISNUMBER(N1744),ISNUMBER(M1744),M1744&gt;0),(N1744-M1744)/M1744,"")</f>
        <v/>
      </c>
      <c r="Q1744" s="3">
        <f>IF(P1744="","",IF(P1744&lt;-0.02,"🔴 Bán phá giá sàn",IF(P1744&gt;0.05,"🔵 Bán cao hơn","🟢 Đúng giá sàn TMĐT")))</f>
        <v/>
      </c>
      <c r="R1744" s="3" t="n"/>
      <c r="S1744" s="4" t="n"/>
      <c r="T1744" s="4" t="n"/>
    </row>
    <row r="1745">
      <c r="A1745" s="3" t="n">
        <v>1744</v>
      </c>
      <c r="B1745" s="3" t="inlineStr">
        <is>
          <t>DL015</t>
        </is>
      </c>
      <c r="C1745" s="4" t="inlineStr">
        <is>
          <t>Điện máy Hùng Cường</t>
        </is>
      </c>
      <c r="D1745" s="3" t="inlineStr">
        <is>
          <t>HN</t>
        </is>
      </c>
      <c r="E1745" s="3" t="inlineStr">
        <is>
          <t>Lan</t>
        </is>
      </c>
      <c r="F1745" s="3" t="inlineStr">
        <is>
          <t>Shopee</t>
        </is>
      </c>
      <c r="G1745" s="4" t="inlineStr">
        <is>
          <t>SHOPEE: https://s.shopee.vn/3B8C7jVImf TIKTOK: LAZADA: WEBSITE BÁN HÀNG:</t>
        </is>
      </c>
      <c r="H1745" s="3" t="inlineStr">
        <is>
          <t>V100R</t>
        </is>
      </c>
      <c r="I1745" s="4" t="inlineStr">
        <is>
          <t>Mũi bắn vít chống trượt KingBlue V100R</t>
        </is>
      </c>
      <c r="J1745" s="3" t="inlineStr">
        <is>
          <t>Vỉ</t>
        </is>
      </c>
      <c r="K1745" s="5" t="n">
        <v>29000</v>
      </c>
      <c r="L1745" s="5" t="n">
        <v>37000</v>
      </c>
      <c r="M1745" s="6" t="n">
        <v>48000</v>
      </c>
      <c r="N1745" s="5" t="n"/>
      <c r="O1745" s="5">
        <f>IF(AND(ISNUMBER(N1745),ISNUMBER(M1745)),N1745-M1745,"")</f>
        <v/>
      </c>
      <c r="P1745" s="7">
        <f>IF(AND(ISNUMBER(N1745),ISNUMBER(M1745),M1745&gt;0),(N1745-M1745)/M1745,"")</f>
        <v/>
      </c>
      <c r="Q1745" s="3">
        <f>IF(P1745="","",IF(P1745&lt;-0.02,"🔴 Bán phá giá sàn",IF(P1745&gt;0.05,"🔵 Bán cao hơn","🟢 Đúng giá sàn TMĐT")))</f>
        <v/>
      </c>
      <c r="R1745" s="3" t="n"/>
      <c r="S1745" s="4" t="n"/>
      <c r="T1745" s="4" t="n"/>
    </row>
    <row r="1746">
      <c r="A1746" s="3" t="n">
        <v>1745</v>
      </c>
      <c r="B1746" s="3" t="inlineStr">
        <is>
          <t>DL015</t>
        </is>
      </c>
      <c r="C1746" s="4" t="inlineStr">
        <is>
          <t>Điện máy Hùng Cường</t>
        </is>
      </c>
      <c r="D1746" s="3" t="inlineStr">
        <is>
          <t>HN</t>
        </is>
      </c>
      <c r="E1746" s="3" t="inlineStr">
        <is>
          <t>Lan</t>
        </is>
      </c>
      <c r="F1746" s="3" t="inlineStr">
        <is>
          <t>Shopee</t>
        </is>
      </c>
      <c r="G1746" s="4" t="inlineStr">
        <is>
          <t>SHOPEE: https://s.shopee.vn/3B8C7jVImf TIKTOK: LAZADA: WEBSITE BÁN HÀNG:</t>
        </is>
      </c>
      <c r="H1746" s="3" t="inlineStr">
        <is>
          <t>V65R</t>
        </is>
      </c>
      <c r="I1746" s="4" t="inlineStr">
        <is>
          <t>Mũi bắn vít chống trượt KingBlue V65R</t>
        </is>
      </c>
      <c r="J1746" s="3" t="inlineStr">
        <is>
          <t>Vỉ</t>
        </is>
      </c>
      <c r="K1746" s="5" t="n">
        <v>20000</v>
      </c>
      <c r="L1746" s="5" t="n">
        <v>25000</v>
      </c>
      <c r="M1746" s="6" t="n">
        <v>33000</v>
      </c>
      <c r="N1746" s="5" t="n"/>
      <c r="O1746" s="5">
        <f>IF(AND(ISNUMBER(N1746),ISNUMBER(M1746)),N1746-M1746,"")</f>
        <v/>
      </c>
      <c r="P1746" s="7">
        <f>IF(AND(ISNUMBER(N1746),ISNUMBER(M1746),M1746&gt;0),(N1746-M1746)/M1746,"")</f>
        <v/>
      </c>
      <c r="Q1746" s="3">
        <f>IF(P1746="","",IF(P1746&lt;-0.02,"🔴 Bán phá giá sàn",IF(P1746&gt;0.05,"🔵 Bán cao hơn","🟢 Đúng giá sàn TMĐT")))</f>
        <v/>
      </c>
      <c r="R1746" s="3" t="n"/>
      <c r="S1746" s="4" t="n"/>
      <c r="T1746" s="4" t="n"/>
    </row>
    <row r="1747">
      <c r="A1747" s="3" t="n">
        <v>1746</v>
      </c>
      <c r="B1747" s="3" t="inlineStr">
        <is>
          <t>DL015</t>
        </is>
      </c>
      <c r="C1747" s="4" t="inlineStr">
        <is>
          <t>Điện máy Hùng Cường</t>
        </is>
      </c>
      <c r="D1747" s="3" t="inlineStr">
        <is>
          <t>HN</t>
        </is>
      </c>
      <c r="E1747" s="3" t="inlineStr">
        <is>
          <t>Lan</t>
        </is>
      </c>
      <c r="F1747" s="3" t="inlineStr">
        <is>
          <t>Shopee</t>
        </is>
      </c>
      <c r="G1747" s="4" t="inlineStr">
        <is>
          <t>SHOPEE: https://s.shopee.vn/3B8C7jVImf TIKTOK: LAZADA: WEBSITE BÁN HÀNG:</t>
        </is>
      </c>
      <c r="H1747" s="3" t="inlineStr">
        <is>
          <t>V100S</t>
        </is>
      </c>
      <c r="I1747" s="4" t="inlineStr">
        <is>
          <t>Mũi bắn vít PH2 V100S</t>
        </is>
      </c>
      <c r="J1747" s="3" t="inlineStr">
        <is>
          <t>Vỉ</t>
        </is>
      </c>
      <c r="K1747" s="5" t="n">
        <v>44000</v>
      </c>
      <c r="L1747" s="5" t="n">
        <v>56000</v>
      </c>
      <c r="M1747" s="6" t="n">
        <v>73000</v>
      </c>
      <c r="N1747" s="5" t="n"/>
      <c r="O1747" s="5">
        <f>IF(AND(ISNUMBER(N1747),ISNUMBER(M1747)),N1747-M1747,"")</f>
        <v/>
      </c>
      <c r="P1747" s="7">
        <f>IF(AND(ISNUMBER(N1747),ISNUMBER(M1747),M1747&gt;0),(N1747-M1747)/M1747,"")</f>
        <v/>
      </c>
      <c r="Q1747" s="3">
        <f>IF(P1747="","",IF(P1747&lt;-0.02,"🔴 Bán phá giá sàn",IF(P1747&gt;0.05,"🔵 Bán cao hơn","🟢 Đúng giá sàn TMĐT")))</f>
        <v/>
      </c>
      <c r="R1747" s="3" t="n"/>
      <c r="S1747" s="4" t="n"/>
      <c r="T1747" s="4" t="n"/>
    </row>
    <row r="1748">
      <c r="A1748" s="3" t="n">
        <v>1747</v>
      </c>
      <c r="B1748" s="3" t="inlineStr">
        <is>
          <t>DL015</t>
        </is>
      </c>
      <c r="C1748" s="4" t="inlineStr">
        <is>
          <t>Điện máy Hùng Cường</t>
        </is>
      </c>
      <c r="D1748" s="3" t="inlineStr">
        <is>
          <t>HN</t>
        </is>
      </c>
      <c r="E1748" s="3" t="inlineStr">
        <is>
          <t>Lan</t>
        </is>
      </c>
      <c r="F1748" s="3" t="inlineStr">
        <is>
          <t>Shopee</t>
        </is>
      </c>
      <c r="G1748" s="4" t="inlineStr">
        <is>
          <t>SHOPEE: https://s.shopee.vn/3B8C7jVImf TIKTOK: LAZADA: WEBSITE BÁN HÀNG:</t>
        </is>
      </c>
      <c r="H1748" s="3" t="inlineStr">
        <is>
          <t>V150S</t>
        </is>
      </c>
      <c r="I1748" s="4" t="inlineStr">
        <is>
          <t>Mũi bắn vít PH2 V150S</t>
        </is>
      </c>
      <c r="J1748" s="3" t="inlineStr">
        <is>
          <t>Vỉ</t>
        </is>
      </c>
      <c r="K1748" s="5" t="n">
        <v>54000</v>
      </c>
      <c r="L1748" s="5" t="n">
        <v>68000</v>
      </c>
      <c r="M1748" s="6" t="n">
        <v>89000</v>
      </c>
      <c r="N1748" s="5" t="n"/>
      <c r="O1748" s="5">
        <f>IF(AND(ISNUMBER(N1748),ISNUMBER(M1748)),N1748-M1748,"")</f>
        <v/>
      </c>
      <c r="P1748" s="7">
        <f>IF(AND(ISNUMBER(N1748),ISNUMBER(M1748),M1748&gt;0),(N1748-M1748)/M1748,"")</f>
        <v/>
      </c>
      <c r="Q1748" s="3">
        <f>IF(P1748="","",IF(P1748&lt;-0.02,"🔴 Bán phá giá sàn",IF(P1748&gt;0.05,"🔵 Bán cao hơn","🟢 Đúng giá sàn TMĐT")))</f>
        <v/>
      </c>
      <c r="R1748" s="3" t="n"/>
      <c r="S1748" s="4" t="n"/>
      <c r="T1748" s="4" t="n"/>
    </row>
    <row r="1749">
      <c r="A1749" s="3" t="n">
        <v>1748</v>
      </c>
      <c r="B1749" s="3" t="inlineStr">
        <is>
          <t>DL015</t>
        </is>
      </c>
      <c r="C1749" s="4" t="inlineStr">
        <is>
          <t>Điện máy Hùng Cường</t>
        </is>
      </c>
      <c r="D1749" s="3" t="inlineStr">
        <is>
          <t>HN</t>
        </is>
      </c>
      <c r="E1749" s="3" t="inlineStr">
        <is>
          <t>Lan</t>
        </is>
      </c>
      <c r="F1749" s="3" t="inlineStr">
        <is>
          <t>Shopee</t>
        </is>
      </c>
      <c r="G1749" s="4" t="inlineStr">
        <is>
          <t>SHOPEE: https://s.shopee.vn/3B8C7jVImf TIKTOK: LAZADA: WEBSITE BÁN HÀNG:</t>
        </is>
      </c>
      <c r="H1749" s="3" t="inlineStr">
        <is>
          <t>V50S</t>
        </is>
      </c>
      <c r="I1749" s="4" t="inlineStr">
        <is>
          <t>Mũi bắn vít PH2 V50S</t>
        </is>
      </c>
      <c r="J1749" s="3" t="inlineStr">
        <is>
          <t>Vỉ</t>
        </is>
      </c>
      <c r="K1749" s="5" t="n">
        <v>28000</v>
      </c>
      <c r="L1749" s="5" t="n">
        <v>36000</v>
      </c>
      <c r="M1749" s="6" t="n">
        <v>48000</v>
      </c>
      <c r="N1749" s="5" t="n"/>
      <c r="O1749" s="5">
        <f>IF(AND(ISNUMBER(N1749),ISNUMBER(M1749)),N1749-M1749,"")</f>
        <v/>
      </c>
      <c r="P1749" s="7">
        <f>IF(AND(ISNUMBER(N1749),ISNUMBER(M1749),M1749&gt;0),(N1749-M1749)/M1749,"")</f>
        <v/>
      </c>
      <c r="Q1749" s="3">
        <f>IF(P1749="","",IF(P1749&lt;-0.02,"🔴 Bán phá giá sàn",IF(P1749&gt;0.05,"🔵 Bán cao hơn","🟢 Đúng giá sàn TMĐT")))</f>
        <v/>
      </c>
      <c r="R1749" s="3" t="n"/>
      <c r="S1749" s="4" t="n"/>
      <c r="T1749" s="4" t="n"/>
    </row>
    <row r="1750">
      <c r="A1750" s="3" t="n">
        <v>1749</v>
      </c>
      <c r="B1750" s="3" t="inlineStr">
        <is>
          <t>DL015</t>
        </is>
      </c>
      <c r="C1750" s="4" t="inlineStr">
        <is>
          <t>Điện máy Hùng Cường</t>
        </is>
      </c>
      <c r="D1750" s="3" t="inlineStr">
        <is>
          <t>HN</t>
        </is>
      </c>
      <c r="E1750" s="3" t="inlineStr">
        <is>
          <t>Lan</t>
        </is>
      </c>
      <c r="F1750" s="3" t="inlineStr">
        <is>
          <t>Shopee</t>
        </is>
      </c>
      <c r="G1750" s="4" t="inlineStr">
        <is>
          <t>SHOPEE: https://s.shopee.vn/3B8C7jVImf TIKTOK: LAZADA: WEBSITE BÁN HÀNG:</t>
        </is>
      </c>
      <c r="H1750" s="3" t="inlineStr">
        <is>
          <t>V65S</t>
        </is>
      </c>
      <c r="I1750" s="4" t="inlineStr">
        <is>
          <t>Mũi bắn vít PH2 V65S</t>
        </is>
      </c>
      <c r="J1750" s="3" t="inlineStr">
        <is>
          <t>Vỉ</t>
        </is>
      </c>
      <c r="K1750" s="5" t="n">
        <v>30000</v>
      </c>
      <c r="L1750" s="5" t="n">
        <v>38000</v>
      </c>
      <c r="M1750" s="6" t="n">
        <v>50000</v>
      </c>
      <c r="N1750" s="5" t="n"/>
      <c r="O1750" s="5">
        <f>IF(AND(ISNUMBER(N1750),ISNUMBER(M1750)),N1750-M1750,"")</f>
        <v/>
      </c>
      <c r="P1750" s="7">
        <f>IF(AND(ISNUMBER(N1750),ISNUMBER(M1750),M1750&gt;0),(N1750-M1750)/M1750,"")</f>
        <v/>
      </c>
      <c r="Q1750" s="3">
        <f>IF(P1750="","",IF(P1750&lt;-0.02,"🔴 Bán phá giá sàn",IF(P1750&gt;0.05,"🔵 Bán cao hơn","🟢 Đúng giá sàn TMĐT")))</f>
        <v/>
      </c>
      <c r="R1750" s="3" t="n"/>
      <c r="S1750" s="4" t="n"/>
      <c r="T1750" s="4" t="n"/>
    </row>
    <row r="1751">
      <c r="A1751" s="3" t="n">
        <v>1750</v>
      </c>
      <c r="B1751" s="3" t="inlineStr">
        <is>
          <t>DL015</t>
        </is>
      </c>
      <c r="C1751" s="4" t="inlineStr">
        <is>
          <t>Điện máy Hùng Cường</t>
        </is>
      </c>
      <c r="D1751" s="3" t="inlineStr">
        <is>
          <t>HN</t>
        </is>
      </c>
      <c r="E1751" s="3" t="inlineStr">
        <is>
          <t>Lan</t>
        </is>
      </c>
      <c r="F1751" s="3" t="inlineStr">
        <is>
          <t>Shopee</t>
        </is>
      </c>
      <c r="G1751" s="4" t="inlineStr">
        <is>
          <t>SHOPEE: https://s.shopee.vn/3B8C7jVImf TIKTOK: LAZADA: WEBSITE BÁN HÀNG:</t>
        </is>
      </c>
      <c r="H1751" s="3" t="inlineStr"/>
      <c r="I1751" s="4" t="inlineStr">
        <is>
          <t>Mũi định tâm chuôi dài</t>
        </is>
      </c>
      <c r="J1751" s="3" t="inlineStr">
        <is>
          <t>Cái</t>
        </is>
      </c>
      <c r="K1751" s="5" t="n">
        <v>269000</v>
      </c>
      <c r="L1751" s="5" t="n">
        <v>317000</v>
      </c>
      <c r="M1751" s="6" t="n">
        <v>390000</v>
      </c>
      <c r="N1751" s="5" t="n"/>
      <c r="O1751" s="5">
        <f>IF(AND(ISNUMBER(N1751),ISNUMBER(M1751)),N1751-M1751,"")</f>
        <v/>
      </c>
      <c r="P1751" s="7">
        <f>IF(AND(ISNUMBER(N1751),ISNUMBER(M1751),M1751&gt;0),(N1751-M1751)/M1751,"")</f>
        <v/>
      </c>
      <c r="Q1751" s="3">
        <f>IF(P1751="","",IF(P1751&lt;-0.02,"🔴 Bán phá giá sàn",IF(P1751&gt;0.05,"🔵 Bán cao hơn","🟢 Đúng giá sàn TMĐT")))</f>
        <v/>
      </c>
      <c r="R1751" s="3" t="n"/>
      <c r="S1751" s="4" t="n"/>
      <c r="T1751" s="4" t="n"/>
    </row>
    <row r="1752">
      <c r="A1752" s="3" t="n">
        <v>1751</v>
      </c>
      <c r="B1752" s="3" t="inlineStr">
        <is>
          <t>DL015</t>
        </is>
      </c>
      <c r="C1752" s="4" t="inlineStr">
        <is>
          <t>Điện máy Hùng Cường</t>
        </is>
      </c>
      <c r="D1752" s="3" t="inlineStr">
        <is>
          <t>HN</t>
        </is>
      </c>
      <c r="E1752" s="3" t="inlineStr">
        <is>
          <t>Lan</t>
        </is>
      </c>
      <c r="F1752" s="3" t="inlineStr">
        <is>
          <t>Shopee</t>
        </is>
      </c>
      <c r="G1752" s="4" t="inlineStr">
        <is>
          <t>SHOPEE: https://s.shopee.vn/3B8C7jVImf TIKTOK: LAZADA: WEBSITE BÁN HÀNG:</t>
        </is>
      </c>
      <c r="H1752" s="3" t="inlineStr"/>
      <c r="I1752" s="4" t="inlineStr">
        <is>
          <t>Mũi định tâm chuôi dài NEW</t>
        </is>
      </c>
      <c r="J1752" s="3" t="inlineStr">
        <is>
          <t>Cái</t>
        </is>
      </c>
      <c r="K1752" s="5" t="n">
        <v>269000</v>
      </c>
      <c r="L1752" s="5" t="n">
        <v>317000</v>
      </c>
      <c r="M1752" s="6" t="n">
        <v>390000</v>
      </c>
      <c r="N1752" s="5" t="n"/>
      <c r="O1752" s="5">
        <f>IF(AND(ISNUMBER(N1752),ISNUMBER(M1752)),N1752-M1752,"")</f>
        <v/>
      </c>
      <c r="P1752" s="7">
        <f>IF(AND(ISNUMBER(N1752),ISNUMBER(M1752),M1752&gt;0),(N1752-M1752)/M1752,"")</f>
        <v/>
      </c>
      <c r="Q1752" s="3">
        <f>IF(P1752="","",IF(P1752&lt;-0.02,"🔴 Bán phá giá sàn",IF(P1752&gt;0.05,"🔵 Bán cao hơn","🟢 Đúng giá sàn TMĐT")))</f>
        <v/>
      </c>
      <c r="R1752" s="3" t="n"/>
      <c r="S1752" s="4" t="n"/>
      <c r="T1752" s="4" t="n"/>
    </row>
    <row r="1753">
      <c r="A1753" s="3" t="n">
        <v>1752</v>
      </c>
      <c r="B1753" s="3" t="inlineStr">
        <is>
          <t>DL015</t>
        </is>
      </c>
      <c r="C1753" s="4" t="inlineStr">
        <is>
          <t>Điện máy Hùng Cường</t>
        </is>
      </c>
      <c r="D1753" s="3" t="inlineStr">
        <is>
          <t>HN</t>
        </is>
      </c>
      <c r="E1753" s="3" t="inlineStr">
        <is>
          <t>Lan</t>
        </is>
      </c>
      <c r="F1753" s="3" t="inlineStr">
        <is>
          <t>Shopee</t>
        </is>
      </c>
      <c r="G1753" s="4" t="inlineStr">
        <is>
          <t>SHOPEE: https://s.shopee.vn/3B8C7jVImf TIKTOK: LAZADA: WEBSITE BÁN HÀNG:</t>
        </is>
      </c>
      <c r="H1753" s="3" t="inlineStr"/>
      <c r="I1753" s="4" t="inlineStr">
        <is>
          <t>Mũi định tâm chuôi ngắn kẹp</t>
        </is>
      </c>
      <c r="J1753" s="3" t="inlineStr">
        <is>
          <t>Cái</t>
        </is>
      </c>
      <c r="K1753" s="5" t="n">
        <v>269000</v>
      </c>
      <c r="L1753" s="5" t="n">
        <v>317000</v>
      </c>
      <c r="M1753" s="6" t="n">
        <v>390000</v>
      </c>
      <c r="N1753" s="5" t="n"/>
      <c r="O1753" s="5">
        <f>IF(AND(ISNUMBER(N1753),ISNUMBER(M1753)),N1753-M1753,"")</f>
        <v/>
      </c>
      <c r="P1753" s="7">
        <f>IF(AND(ISNUMBER(N1753),ISNUMBER(M1753),M1753&gt;0),(N1753-M1753)/M1753,"")</f>
        <v/>
      </c>
      <c r="Q1753" s="3">
        <f>IF(P1753="","",IF(P1753&lt;-0.02,"🔴 Bán phá giá sàn",IF(P1753&gt;0.05,"🔵 Bán cao hơn","🟢 Đúng giá sàn TMĐT")))</f>
        <v/>
      </c>
      <c r="R1753" s="3" t="n"/>
      <c r="S1753" s="4" t="n"/>
      <c r="T1753" s="4" t="n"/>
    </row>
    <row r="1754">
      <c r="A1754" s="3" t="n">
        <v>1753</v>
      </c>
      <c r="B1754" s="3" t="inlineStr">
        <is>
          <t>DL015</t>
        </is>
      </c>
      <c r="C1754" s="4" t="inlineStr">
        <is>
          <t>Điện máy Hùng Cường</t>
        </is>
      </c>
      <c r="D1754" s="3" t="inlineStr">
        <is>
          <t>HN</t>
        </is>
      </c>
      <c r="E1754" s="3" t="inlineStr">
        <is>
          <t>Lan</t>
        </is>
      </c>
      <c r="F1754" s="3" t="inlineStr">
        <is>
          <t>Shopee</t>
        </is>
      </c>
      <c r="G1754" s="4" t="inlineStr">
        <is>
          <t>SHOPEE: https://s.shopee.vn/3B8C7jVImf TIKTOK: LAZADA: WEBSITE BÁN HÀNG:</t>
        </is>
      </c>
      <c r="H1754" s="3" t="inlineStr">
        <is>
          <t>KBL2-08160</t>
        </is>
      </c>
      <c r="I1754" s="4" t="inlineStr">
        <is>
          <t>Mũi khoan bê tông gài 2 cạnh KBL2-08*160</t>
        </is>
      </c>
      <c r="J1754" s="3" t="inlineStr">
        <is>
          <t>Cái</t>
        </is>
      </c>
      <c r="K1754" s="5" t="n">
        <v>25000</v>
      </c>
      <c r="L1754" s="5" t="n">
        <v>31000</v>
      </c>
      <c r="M1754" s="6" t="n">
        <v>39000</v>
      </c>
      <c r="N1754" s="5" t="n"/>
      <c r="O1754" s="5">
        <f>IF(AND(ISNUMBER(N1754),ISNUMBER(M1754)),N1754-M1754,"")</f>
        <v/>
      </c>
      <c r="P1754" s="7">
        <f>IF(AND(ISNUMBER(N1754),ISNUMBER(M1754),M1754&gt;0),(N1754-M1754)/M1754,"")</f>
        <v/>
      </c>
      <c r="Q1754" s="3">
        <f>IF(P1754="","",IF(P1754&lt;-0.02,"🔴 Bán phá giá sàn",IF(P1754&gt;0.05,"🔵 Bán cao hơn","🟢 Đúng giá sàn TMĐT")))</f>
        <v/>
      </c>
      <c r="R1754" s="3" t="n"/>
      <c r="S1754" s="4" t="n"/>
      <c r="T1754" s="4" t="n"/>
    </row>
    <row r="1755">
      <c r="A1755" s="3" t="n">
        <v>1754</v>
      </c>
      <c r="B1755" s="3" t="inlineStr">
        <is>
          <t>DL015</t>
        </is>
      </c>
      <c r="C1755" s="4" t="inlineStr">
        <is>
          <t>Điện máy Hùng Cường</t>
        </is>
      </c>
      <c r="D1755" s="3" t="inlineStr">
        <is>
          <t>HN</t>
        </is>
      </c>
      <c r="E1755" s="3" t="inlineStr">
        <is>
          <t>Lan</t>
        </is>
      </c>
      <c r="F1755" s="3" t="inlineStr">
        <is>
          <t>Shopee</t>
        </is>
      </c>
      <c r="G1755" s="4" t="inlineStr">
        <is>
          <t>SHOPEE: https://s.shopee.vn/3B8C7jVImf TIKTOK: LAZADA: WEBSITE BÁN HÀNG:</t>
        </is>
      </c>
      <c r="H1755" s="3" t="inlineStr">
        <is>
          <t>KBL2-3.290</t>
        </is>
      </c>
      <c r="I1755" s="4" t="inlineStr">
        <is>
          <t>Mũi khoan bê tông không tắc kê KBL2-3.2*90</t>
        </is>
      </c>
      <c r="J1755" s="3" t="inlineStr">
        <is>
          <t>Cái</t>
        </is>
      </c>
      <c r="K1755" s="5" t="n">
        <v>23000</v>
      </c>
      <c r="L1755" s="5" t="n">
        <v>29000</v>
      </c>
      <c r="M1755" s="6" t="n">
        <v>38000</v>
      </c>
      <c r="N1755" s="5" t="n"/>
      <c r="O1755" s="5">
        <f>IF(AND(ISNUMBER(N1755),ISNUMBER(M1755)),N1755-M1755,"")</f>
        <v/>
      </c>
      <c r="P1755" s="7">
        <f>IF(AND(ISNUMBER(N1755),ISNUMBER(M1755),M1755&gt;0),(N1755-M1755)/M1755,"")</f>
        <v/>
      </c>
      <c r="Q1755" s="3">
        <f>IF(P1755="","",IF(P1755&lt;-0.02,"🔴 Bán phá giá sàn",IF(P1755&gt;0.05,"🔵 Bán cao hơn","🟢 Đúng giá sàn TMĐT")))</f>
        <v/>
      </c>
      <c r="R1755" s="3" t="n"/>
      <c r="S1755" s="4" t="n"/>
      <c r="T1755" s="4" t="n"/>
    </row>
    <row r="1756">
      <c r="A1756" s="3" t="n">
        <v>1755</v>
      </c>
      <c r="B1756" s="3" t="inlineStr">
        <is>
          <t>DL015</t>
        </is>
      </c>
      <c r="C1756" s="4" t="inlineStr">
        <is>
          <t>Điện máy Hùng Cường</t>
        </is>
      </c>
      <c r="D1756" s="3" t="inlineStr">
        <is>
          <t>HN</t>
        </is>
      </c>
      <c r="E1756" s="3" t="inlineStr">
        <is>
          <t>Lan</t>
        </is>
      </c>
      <c r="F1756" s="3" t="inlineStr">
        <is>
          <t>Shopee</t>
        </is>
      </c>
      <c r="G1756" s="4" t="inlineStr">
        <is>
          <t>SHOPEE: https://s.shopee.vn/3B8C7jVImf TIKTOK: LAZADA: WEBSITE BÁN HÀNG:</t>
        </is>
      </c>
      <c r="H1756" s="3" t="inlineStr">
        <is>
          <t>KBL2-3.5110</t>
        </is>
      </c>
      <c r="I1756" s="4" t="inlineStr">
        <is>
          <t>Mũi khoan bê tông không tắc kê KBL2-3.5*110</t>
        </is>
      </c>
      <c r="J1756" s="3" t="inlineStr">
        <is>
          <t>Cái</t>
        </is>
      </c>
      <c r="K1756" s="5" t="n">
        <v>23000</v>
      </c>
      <c r="L1756" s="5" t="n">
        <v>29000</v>
      </c>
      <c r="M1756" s="6" t="n">
        <v>38000</v>
      </c>
      <c r="N1756" s="5" t="n"/>
      <c r="O1756" s="5">
        <f>IF(AND(ISNUMBER(N1756),ISNUMBER(M1756)),N1756-M1756,"")</f>
        <v/>
      </c>
      <c r="P1756" s="7">
        <f>IF(AND(ISNUMBER(N1756),ISNUMBER(M1756),M1756&gt;0),(N1756-M1756)/M1756,"")</f>
        <v/>
      </c>
      <c r="Q1756" s="3">
        <f>IF(P1756="","",IF(P1756&lt;-0.02,"🔴 Bán phá giá sàn",IF(P1756&gt;0.05,"🔵 Bán cao hơn","🟢 Đúng giá sàn TMĐT")))</f>
        <v/>
      </c>
      <c r="R1756" s="3" t="n"/>
      <c r="S1756" s="4" t="n"/>
      <c r="T1756" s="4" t="n"/>
    </row>
    <row r="1757">
      <c r="A1757" s="3" t="n">
        <v>1756</v>
      </c>
      <c r="B1757" s="3" t="inlineStr">
        <is>
          <t>DL015</t>
        </is>
      </c>
      <c r="C1757" s="4" t="inlineStr">
        <is>
          <t>Điện máy Hùng Cường</t>
        </is>
      </c>
      <c r="D1757" s="3" t="inlineStr">
        <is>
          <t>HN</t>
        </is>
      </c>
      <c r="E1757" s="3" t="inlineStr">
        <is>
          <t>Lan</t>
        </is>
      </c>
      <c r="F1757" s="3" t="inlineStr">
        <is>
          <t>Shopee</t>
        </is>
      </c>
      <c r="G1757" s="4" t="inlineStr">
        <is>
          <t>SHOPEE: https://s.shopee.vn/3B8C7jVImf TIKTOK: LAZADA: WEBSITE BÁN HÀNG:</t>
        </is>
      </c>
      <c r="H1757" s="3" t="inlineStr">
        <is>
          <t>KBL2-4.2110</t>
        </is>
      </c>
      <c r="I1757" s="4" t="inlineStr">
        <is>
          <t>Mũi khoan bê tông không tắc kê KBL2-4.2*110</t>
        </is>
      </c>
      <c r="J1757" s="3" t="inlineStr">
        <is>
          <t>Cái</t>
        </is>
      </c>
      <c r="K1757" s="5" t="n">
        <v>23000</v>
      </c>
      <c r="L1757" s="5" t="n">
        <v>29000</v>
      </c>
      <c r="M1757" s="6" t="n">
        <v>38000</v>
      </c>
      <c r="N1757" s="5" t="n"/>
      <c r="O1757" s="5">
        <f>IF(AND(ISNUMBER(N1757),ISNUMBER(M1757)),N1757-M1757,"")</f>
        <v/>
      </c>
      <c r="P1757" s="7">
        <f>IF(AND(ISNUMBER(N1757),ISNUMBER(M1757),M1757&gt;0),(N1757-M1757)/M1757,"")</f>
        <v/>
      </c>
      <c r="Q1757" s="3">
        <f>IF(P1757="","",IF(P1757&lt;-0.02,"🔴 Bán phá giá sàn",IF(P1757&gt;0.05,"🔵 Bán cao hơn","🟢 Đúng giá sàn TMĐT")))</f>
        <v/>
      </c>
      <c r="R1757" s="3" t="n"/>
      <c r="S1757" s="4" t="n"/>
      <c r="T1757" s="4" t="n"/>
    </row>
    <row r="1758">
      <c r="A1758" s="3" t="n">
        <v>1757</v>
      </c>
      <c r="B1758" s="3" t="inlineStr">
        <is>
          <t>DL015</t>
        </is>
      </c>
      <c r="C1758" s="4" t="inlineStr">
        <is>
          <t>Điện máy Hùng Cường</t>
        </is>
      </c>
      <c r="D1758" s="3" t="inlineStr">
        <is>
          <t>HN</t>
        </is>
      </c>
      <c r="E1758" s="3" t="inlineStr">
        <is>
          <t>Lan</t>
        </is>
      </c>
      <c r="F1758" s="3" t="inlineStr">
        <is>
          <t>Shopee</t>
        </is>
      </c>
      <c r="G1758" s="4" t="inlineStr">
        <is>
          <t>SHOPEE: https://s.shopee.vn/3B8C7jVImf TIKTOK: LAZADA: WEBSITE BÁN HÀNG:</t>
        </is>
      </c>
      <c r="H1758" s="3" t="inlineStr">
        <is>
          <t>KBL2S-06160</t>
        </is>
      </c>
      <c r="I1758" s="4" t="inlineStr">
        <is>
          <t>Mũi khoan đa năng chuôi gài 2 cạnh KBL2S-06*160</t>
        </is>
      </c>
      <c r="J1758" s="3" t="inlineStr">
        <is>
          <t>Cái</t>
        </is>
      </c>
      <c r="K1758" s="5" t="n">
        <v>24000</v>
      </c>
      <c r="L1758" s="5" t="n">
        <v>30000</v>
      </c>
      <c r="M1758" s="6" t="n">
        <v>38000</v>
      </c>
      <c r="N1758" s="5" t="n"/>
      <c r="O1758" s="5">
        <f>IF(AND(ISNUMBER(N1758),ISNUMBER(M1758)),N1758-M1758,"")</f>
        <v/>
      </c>
      <c r="P1758" s="7">
        <f>IF(AND(ISNUMBER(N1758),ISNUMBER(M1758),M1758&gt;0),(N1758-M1758)/M1758,"")</f>
        <v/>
      </c>
      <c r="Q1758" s="3">
        <f>IF(P1758="","",IF(P1758&lt;-0.02,"🔴 Bán phá giá sàn",IF(P1758&gt;0.05,"🔵 Bán cao hơn","🟢 Đúng giá sàn TMĐT")))</f>
        <v/>
      </c>
      <c r="R1758" s="3" t="n"/>
      <c r="S1758" s="4" t="n"/>
      <c r="T1758" s="4" t="n"/>
    </row>
    <row r="1759">
      <c r="A1759" s="3" t="n">
        <v>1758</v>
      </c>
      <c r="B1759" s="3" t="inlineStr">
        <is>
          <t>DL015</t>
        </is>
      </c>
      <c r="C1759" s="4" t="inlineStr">
        <is>
          <t>Điện máy Hùng Cường</t>
        </is>
      </c>
      <c r="D1759" s="3" t="inlineStr">
        <is>
          <t>HN</t>
        </is>
      </c>
      <c r="E1759" s="3" t="inlineStr">
        <is>
          <t>Lan</t>
        </is>
      </c>
      <c r="F1759" s="3" t="inlineStr">
        <is>
          <t>Shopee</t>
        </is>
      </c>
      <c r="G1759" s="4" t="inlineStr">
        <is>
          <t>SHOPEE: https://s.shopee.vn/3B8C7jVImf TIKTOK: LAZADA: WEBSITE BÁN HÀNG:</t>
        </is>
      </c>
      <c r="H1759" s="3" t="inlineStr">
        <is>
          <t>KBH2F-0695</t>
        </is>
      </c>
      <c r="I1759" s="4" t="inlineStr">
        <is>
          <t>Mũi khoan ĐN lục giác 2 cạnh KBH2F-06*95</t>
        </is>
      </c>
      <c r="J1759" s="3" t="inlineStr">
        <is>
          <t>Cái</t>
        </is>
      </c>
      <c r="K1759" s="5" t="n">
        <v>26000</v>
      </c>
      <c r="L1759" s="5" t="n">
        <v>32000</v>
      </c>
      <c r="M1759" s="6" t="n">
        <v>42000</v>
      </c>
      <c r="N1759" s="5" t="n"/>
      <c r="O1759" s="5">
        <f>IF(AND(ISNUMBER(N1759),ISNUMBER(M1759)),N1759-M1759,"")</f>
        <v/>
      </c>
      <c r="P1759" s="7">
        <f>IF(AND(ISNUMBER(N1759),ISNUMBER(M1759),M1759&gt;0),(N1759-M1759)/M1759,"")</f>
        <v/>
      </c>
      <c r="Q1759" s="3">
        <f>IF(P1759="","",IF(P1759&lt;-0.02,"🔴 Bán phá giá sàn",IF(P1759&gt;0.05,"🔵 Bán cao hơn","🟢 Đúng giá sàn TMĐT")))</f>
        <v/>
      </c>
      <c r="R1759" s="3" t="n"/>
      <c r="S1759" s="4" t="n"/>
      <c r="T1759" s="4" t="n"/>
    </row>
    <row r="1760">
      <c r="A1760" s="3" t="n">
        <v>1759</v>
      </c>
      <c r="B1760" s="3" t="inlineStr">
        <is>
          <t>DL015</t>
        </is>
      </c>
      <c r="C1760" s="4" t="inlineStr">
        <is>
          <t>Điện máy Hùng Cường</t>
        </is>
      </c>
      <c r="D1760" s="3" t="inlineStr">
        <is>
          <t>HN</t>
        </is>
      </c>
      <c r="E1760" s="3" t="inlineStr">
        <is>
          <t>Lan</t>
        </is>
      </c>
      <c r="F1760" s="3" t="inlineStr">
        <is>
          <t>Shopee</t>
        </is>
      </c>
      <c r="G1760" s="4" t="inlineStr">
        <is>
          <t>SHOPEE: https://s.shopee.vn/3B8C7jVImf TIKTOK: LAZADA: WEBSITE BÁN HÀNG:</t>
        </is>
      </c>
      <c r="H1760" s="3" t="inlineStr">
        <is>
          <t>KBH2F-0895</t>
        </is>
      </c>
      <c r="I1760" s="4" t="inlineStr">
        <is>
          <t>Mũi khoan ĐN lục giác 2 cạnh KBH2F-08*95</t>
        </is>
      </c>
      <c r="J1760" s="3" t="inlineStr">
        <is>
          <t>Cái</t>
        </is>
      </c>
      <c r="K1760" s="5" t="n">
        <v>33000</v>
      </c>
      <c r="L1760" s="5" t="n">
        <v>41000</v>
      </c>
      <c r="M1760" s="6" t="n">
        <v>53000</v>
      </c>
      <c r="N1760" s="5" t="n"/>
      <c r="O1760" s="5">
        <f>IF(AND(ISNUMBER(N1760),ISNUMBER(M1760)),N1760-M1760,"")</f>
        <v/>
      </c>
      <c r="P1760" s="7">
        <f>IF(AND(ISNUMBER(N1760),ISNUMBER(M1760),M1760&gt;0),(N1760-M1760)/M1760,"")</f>
        <v/>
      </c>
      <c r="Q1760" s="3">
        <f>IF(P1760="","",IF(P1760&lt;-0.02,"🔴 Bán phá giá sàn",IF(P1760&gt;0.05,"🔵 Bán cao hơn","🟢 Đúng giá sàn TMĐT")))</f>
        <v/>
      </c>
      <c r="R1760" s="3" t="n"/>
      <c r="S1760" s="4" t="n"/>
      <c r="T1760" s="4" t="n"/>
    </row>
    <row r="1761">
      <c r="A1761" s="3" t="n">
        <v>1760</v>
      </c>
      <c r="B1761" s="3" t="inlineStr">
        <is>
          <t>DL015</t>
        </is>
      </c>
      <c r="C1761" s="4" t="inlineStr">
        <is>
          <t>Điện máy Hùng Cường</t>
        </is>
      </c>
      <c r="D1761" s="3" t="inlineStr">
        <is>
          <t>HN</t>
        </is>
      </c>
      <c r="E1761" s="3" t="inlineStr">
        <is>
          <t>Lan</t>
        </is>
      </c>
      <c r="F1761" s="3" t="inlineStr">
        <is>
          <t>Shopee</t>
        </is>
      </c>
      <c r="G1761" s="4" t="inlineStr">
        <is>
          <t>SHOPEE: https://s.shopee.vn/3B8C7jVImf TIKTOK: LAZADA: WEBSITE BÁN HÀNG:</t>
        </is>
      </c>
      <c r="H1761" s="3" t="inlineStr">
        <is>
          <t>KRS-60155</t>
        </is>
      </c>
      <c r="I1761" s="4" t="inlineStr">
        <is>
          <t>Mũi khoan rút lõi khô KRS-60*155 (New)</t>
        </is>
      </c>
      <c r="J1761" s="3" t="inlineStr">
        <is>
          <t>Cái</t>
        </is>
      </c>
      <c r="K1761" s="5" t="n">
        <v>1290000</v>
      </c>
      <c r="L1761" s="5" t="n">
        <v>1496000</v>
      </c>
      <c r="M1761" s="6" t="n">
        <v>1806000</v>
      </c>
      <c r="N1761" s="5" t="n"/>
      <c r="O1761" s="5">
        <f>IF(AND(ISNUMBER(N1761),ISNUMBER(M1761)),N1761-M1761,"")</f>
        <v/>
      </c>
      <c r="P1761" s="7">
        <f>IF(AND(ISNUMBER(N1761),ISNUMBER(M1761),M1761&gt;0),(N1761-M1761)/M1761,"")</f>
        <v/>
      </c>
      <c r="Q1761" s="3">
        <f>IF(P1761="","",IF(P1761&lt;-0.02,"🔴 Bán phá giá sàn",IF(P1761&gt;0.05,"🔵 Bán cao hơn","🟢 Đúng giá sàn TMĐT")))</f>
        <v/>
      </c>
      <c r="R1761" s="3" t="n"/>
      <c r="S1761" s="4" t="n"/>
      <c r="T1761" s="4" t="n"/>
    </row>
    <row r="1762">
      <c r="A1762" s="3" t="n">
        <v>1761</v>
      </c>
      <c r="B1762" s="3" t="inlineStr">
        <is>
          <t>DL015</t>
        </is>
      </c>
      <c r="C1762" s="4" t="inlineStr">
        <is>
          <t>Điện máy Hùng Cường</t>
        </is>
      </c>
      <c r="D1762" s="3" t="inlineStr">
        <is>
          <t>HN</t>
        </is>
      </c>
      <c r="E1762" s="3" t="inlineStr">
        <is>
          <t>Lan</t>
        </is>
      </c>
      <c r="F1762" s="3" t="inlineStr">
        <is>
          <t>Shopee</t>
        </is>
      </c>
      <c r="G1762" s="4" t="inlineStr">
        <is>
          <t>SHOPEE: https://s.shopee.vn/3B8C7jVImf TIKTOK: LAZADA: WEBSITE BÁN HÀNG:</t>
        </is>
      </c>
      <c r="H1762" s="3" t="inlineStr">
        <is>
          <t>KBT-0420</t>
        </is>
      </c>
      <c r="I1762" s="4" t="inlineStr">
        <is>
          <t>Mũi khoan tháp M2 KBT-04*20</t>
        </is>
      </c>
      <c r="J1762" s="3" t="inlineStr">
        <is>
          <t>Cái</t>
        </is>
      </c>
      <c r="K1762" s="5" t="n">
        <v>170000</v>
      </c>
      <c r="L1762" s="5" t="n">
        <v>211000</v>
      </c>
      <c r="M1762" s="6" t="n">
        <v>272000</v>
      </c>
      <c r="N1762" s="5" t="n"/>
      <c r="O1762" s="5">
        <f>IF(AND(ISNUMBER(N1762),ISNUMBER(M1762)),N1762-M1762,"")</f>
        <v/>
      </c>
      <c r="P1762" s="7">
        <f>IF(AND(ISNUMBER(N1762),ISNUMBER(M1762),M1762&gt;0),(N1762-M1762)/M1762,"")</f>
        <v/>
      </c>
      <c r="Q1762" s="3">
        <f>IF(P1762="","",IF(P1762&lt;-0.02,"🔴 Bán phá giá sàn",IF(P1762&gt;0.05,"🔵 Bán cao hơn","🟢 Đúng giá sàn TMĐT")))</f>
        <v/>
      </c>
      <c r="R1762" s="3" t="n"/>
      <c r="S1762" s="4" t="n"/>
      <c r="T1762" s="4" t="n"/>
    </row>
    <row r="1763">
      <c r="A1763" s="3" t="n">
        <v>1762</v>
      </c>
      <c r="B1763" s="3" t="inlineStr">
        <is>
          <t>DL015</t>
        </is>
      </c>
      <c r="C1763" s="4" t="inlineStr">
        <is>
          <t>Điện máy Hùng Cường</t>
        </is>
      </c>
      <c r="D1763" s="3" t="inlineStr">
        <is>
          <t>HN</t>
        </is>
      </c>
      <c r="E1763" s="3" t="inlineStr">
        <is>
          <t>Lan</t>
        </is>
      </c>
      <c r="F1763" s="3" t="inlineStr">
        <is>
          <t>Shopee</t>
        </is>
      </c>
      <c r="G1763" s="4" t="inlineStr">
        <is>
          <t>SHOPEE: https://s.shopee.vn/3B8C7jVImf TIKTOK: LAZADA: WEBSITE BÁN HÀNG:</t>
        </is>
      </c>
      <c r="H1763" s="3" t="inlineStr">
        <is>
          <t>KBT-0432</t>
        </is>
      </c>
      <c r="I1763" s="4" t="inlineStr">
        <is>
          <t>Mũi khoan tháp M2 KBT-04*32</t>
        </is>
      </c>
      <c r="J1763" s="3" t="inlineStr">
        <is>
          <t>Cái</t>
        </is>
      </c>
      <c r="K1763" s="5" t="n">
        <v>319000</v>
      </c>
      <c r="L1763" s="5" t="n">
        <v>395000</v>
      </c>
      <c r="M1763" s="6" t="n">
        <v>510000</v>
      </c>
      <c r="N1763" s="5" t="n"/>
      <c r="O1763" s="5">
        <f>IF(AND(ISNUMBER(N1763),ISNUMBER(M1763)),N1763-M1763,"")</f>
        <v/>
      </c>
      <c r="P1763" s="7">
        <f>IF(AND(ISNUMBER(N1763),ISNUMBER(M1763),M1763&gt;0),(N1763-M1763)/M1763,"")</f>
        <v/>
      </c>
      <c r="Q1763" s="3">
        <f>IF(P1763="","",IF(P1763&lt;-0.02,"🔴 Bán phá giá sàn",IF(P1763&gt;0.05,"🔵 Bán cao hơn","🟢 Đúng giá sàn TMĐT")))</f>
        <v/>
      </c>
      <c r="R1763" s="3" t="n"/>
      <c r="S1763" s="4" t="n"/>
      <c r="T1763" s="4" t="n"/>
    </row>
    <row r="1764">
      <c r="A1764" s="3" t="n">
        <v>1763</v>
      </c>
      <c r="B1764" s="3" t="inlineStr">
        <is>
          <t>DL015</t>
        </is>
      </c>
      <c r="C1764" s="4" t="inlineStr">
        <is>
          <t>Điện máy Hùng Cường</t>
        </is>
      </c>
      <c r="D1764" s="3" t="inlineStr">
        <is>
          <t>HN</t>
        </is>
      </c>
      <c r="E1764" s="3" t="inlineStr">
        <is>
          <t>Lan</t>
        </is>
      </c>
      <c r="F1764" s="3" t="inlineStr">
        <is>
          <t>Shopee</t>
        </is>
      </c>
      <c r="G1764" s="4" t="inlineStr">
        <is>
          <t>SHOPEE: https://s.shopee.vn/3B8C7jVImf TIKTOK: LAZADA: WEBSITE BÁN HÀNG:</t>
        </is>
      </c>
      <c r="H1764" s="3" t="inlineStr"/>
      <c r="I1764" s="4" t="inlineStr">
        <is>
          <t>Mũi khoan tường không tắc kê KBLJ - 03.2*100</t>
        </is>
      </c>
      <c r="J1764" s="3" t="inlineStr">
        <is>
          <t>Cái</t>
        </is>
      </c>
      <c r="K1764" s="5" t="n">
        <v>269000</v>
      </c>
      <c r="L1764" s="5" t="n">
        <v>317000</v>
      </c>
      <c r="M1764" s="6" t="n">
        <v>390000</v>
      </c>
      <c r="N1764" s="5" t="n"/>
      <c r="O1764" s="5">
        <f>IF(AND(ISNUMBER(N1764),ISNUMBER(M1764)),N1764-M1764,"")</f>
        <v/>
      </c>
      <c r="P1764" s="7">
        <f>IF(AND(ISNUMBER(N1764),ISNUMBER(M1764),M1764&gt;0),(N1764-M1764)/M1764,"")</f>
        <v/>
      </c>
      <c r="Q1764" s="3">
        <f>IF(P1764="","",IF(P1764&lt;-0.02,"🔴 Bán phá giá sàn",IF(P1764&gt;0.05,"🔵 Bán cao hơn","🟢 Đúng giá sàn TMĐT")))</f>
        <v/>
      </c>
      <c r="R1764" s="3" t="n"/>
      <c r="S1764" s="4" t="n"/>
      <c r="T1764" s="4" t="n"/>
    </row>
    <row r="1765">
      <c r="A1765" s="3" t="n">
        <v>1764</v>
      </c>
      <c r="B1765" s="3" t="inlineStr">
        <is>
          <t>DL015</t>
        </is>
      </c>
      <c r="C1765" s="4" t="inlineStr">
        <is>
          <t>Điện máy Hùng Cường</t>
        </is>
      </c>
      <c r="D1765" s="3" t="inlineStr">
        <is>
          <t>HN</t>
        </is>
      </c>
      <c r="E1765" s="3" t="inlineStr">
        <is>
          <t>Lan</t>
        </is>
      </c>
      <c r="F1765" s="3" t="inlineStr">
        <is>
          <t>Shopee</t>
        </is>
      </c>
      <c r="G1765" s="4" t="inlineStr">
        <is>
          <t>SHOPEE: https://s.shopee.vn/3B8C7jVImf TIKTOK: LAZADA: WEBSITE BÁN HÀNG:</t>
        </is>
      </c>
      <c r="H1765" s="3" t="inlineStr"/>
      <c r="I1765" s="4" t="inlineStr">
        <is>
          <t>Mũi khoan tường không tắc kê KBLJ - 03.5*100</t>
        </is>
      </c>
      <c r="J1765" s="3" t="inlineStr">
        <is>
          <t>Cái</t>
        </is>
      </c>
      <c r="K1765" s="5" t="n">
        <v>269000</v>
      </c>
      <c r="L1765" s="5" t="n">
        <v>317000</v>
      </c>
      <c r="M1765" s="6" t="n">
        <v>390000</v>
      </c>
      <c r="N1765" s="5" t="n"/>
      <c r="O1765" s="5">
        <f>IF(AND(ISNUMBER(N1765),ISNUMBER(M1765)),N1765-M1765,"")</f>
        <v/>
      </c>
      <c r="P1765" s="7">
        <f>IF(AND(ISNUMBER(N1765),ISNUMBER(M1765),M1765&gt;0),(N1765-M1765)/M1765,"")</f>
        <v/>
      </c>
      <c r="Q1765" s="3">
        <f>IF(P1765="","",IF(P1765&lt;-0.02,"🔴 Bán phá giá sàn",IF(P1765&gt;0.05,"🔵 Bán cao hơn","🟢 Đúng giá sàn TMĐT")))</f>
        <v/>
      </c>
      <c r="R1765" s="3" t="n"/>
      <c r="S1765" s="4" t="n"/>
      <c r="T1765" s="4" t="n"/>
    </row>
    <row r="1766">
      <c r="A1766" s="3" t="n">
        <v>1765</v>
      </c>
      <c r="B1766" s="3" t="inlineStr">
        <is>
          <t>DL015</t>
        </is>
      </c>
      <c r="C1766" s="4" t="inlineStr">
        <is>
          <t>Điện máy Hùng Cường</t>
        </is>
      </c>
      <c r="D1766" s="3" t="inlineStr">
        <is>
          <t>HN</t>
        </is>
      </c>
      <c r="E1766" s="3" t="inlineStr">
        <is>
          <t>Lan</t>
        </is>
      </c>
      <c r="F1766" s="3" t="inlineStr">
        <is>
          <t>Shopee</t>
        </is>
      </c>
      <c r="G1766" s="4" t="inlineStr">
        <is>
          <t>SHOPEE: https://s.shopee.vn/3B8C7jVImf TIKTOK: LAZADA: WEBSITE BÁN HÀNG:</t>
        </is>
      </c>
      <c r="H1766" s="3" t="inlineStr"/>
      <c r="I1766" s="4" t="inlineStr">
        <is>
          <t>Mũi khoan tường không tắc kê KBLJ - 04*100</t>
        </is>
      </c>
      <c r="J1766" s="3" t="inlineStr">
        <is>
          <t>Cái</t>
        </is>
      </c>
      <c r="K1766" s="5" t="n">
        <v>269000</v>
      </c>
      <c r="L1766" s="5" t="n">
        <v>317000</v>
      </c>
      <c r="M1766" s="6" t="n">
        <v>390000</v>
      </c>
      <c r="N1766" s="5" t="n"/>
      <c r="O1766" s="5">
        <f>IF(AND(ISNUMBER(N1766),ISNUMBER(M1766)),N1766-M1766,"")</f>
        <v/>
      </c>
      <c r="P1766" s="7">
        <f>IF(AND(ISNUMBER(N1766),ISNUMBER(M1766),M1766&gt;0),(N1766-M1766)/M1766,"")</f>
        <v/>
      </c>
      <c r="Q1766" s="3">
        <f>IF(P1766="","",IF(P1766&lt;-0.02,"🔴 Bán phá giá sàn",IF(P1766&gt;0.05,"🔵 Bán cao hơn","🟢 Đúng giá sàn TMĐT")))</f>
        <v/>
      </c>
      <c r="R1766" s="3" t="n"/>
      <c r="S1766" s="4" t="n"/>
      <c r="T1766" s="4" t="n"/>
    </row>
    <row r="1767">
      <c r="A1767" s="3" t="n">
        <v>1766</v>
      </c>
      <c r="B1767" s="3" t="inlineStr">
        <is>
          <t>DL015</t>
        </is>
      </c>
      <c r="C1767" s="4" t="inlineStr">
        <is>
          <t>Điện máy Hùng Cường</t>
        </is>
      </c>
      <c r="D1767" s="3" t="inlineStr">
        <is>
          <t>HN</t>
        </is>
      </c>
      <c r="E1767" s="3" t="inlineStr">
        <is>
          <t>Lan</t>
        </is>
      </c>
      <c r="F1767" s="3" t="inlineStr">
        <is>
          <t>Shopee</t>
        </is>
      </c>
      <c r="G1767" s="4" t="inlineStr">
        <is>
          <t>SHOPEE: https://s.shopee.vn/3B8C7jVImf TIKTOK: LAZADA: WEBSITE BÁN HÀNG:</t>
        </is>
      </c>
      <c r="H1767" s="3" t="inlineStr"/>
      <c r="I1767" s="4" t="inlineStr">
        <is>
          <t>Mũi khoan tường không tắc kê KBLJ - 04.2*100</t>
        </is>
      </c>
      <c r="J1767" s="3" t="inlineStr">
        <is>
          <t>Cái</t>
        </is>
      </c>
      <c r="K1767" s="5" t="n">
        <v>269000</v>
      </c>
      <c r="L1767" s="5" t="n">
        <v>317000</v>
      </c>
      <c r="M1767" s="6" t="n">
        <v>390000</v>
      </c>
      <c r="N1767" s="5" t="n"/>
      <c r="O1767" s="5">
        <f>IF(AND(ISNUMBER(N1767),ISNUMBER(M1767)),N1767-M1767,"")</f>
        <v/>
      </c>
      <c r="P1767" s="7">
        <f>IF(AND(ISNUMBER(N1767),ISNUMBER(M1767),M1767&gt;0),(N1767-M1767)/M1767,"")</f>
        <v/>
      </c>
      <c r="Q1767" s="3">
        <f>IF(P1767="","",IF(P1767&lt;-0.02,"🔴 Bán phá giá sàn",IF(P1767&gt;0.05,"🔵 Bán cao hơn","🟢 Đúng giá sàn TMĐT")))</f>
        <v/>
      </c>
      <c r="R1767" s="3" t="n"/>
      <c r="S1767" s="4" t="n"/>
      <c r="T1767" s="4" t="n"/>
    </row>
    <row r="1768">
      <c r="A1768" s="3" t="n">
        <v>1767</v>
      </c>
      <c r="B1768" s="3" t="inlineStr">
        <is>
          <t>DL015</t>
        </is>
      </c>
      <c r="C1768" s="4" t="inlineStr">
        <is>
          <t>Điện máy Hùng Cường</t>
        </is>
      </c>
      <c r="D1768" s="3" t="inlineStr">
        <is>
          <t>HN</t>
        </is>
      </c>
      <c r="E1768" s="3" t="inlineStr">
        <is>
          <t>Lan</t>
        </is>
      </c>
      <c r="F1768" s="3" t="inlineStr">
        <is>
          <t>Shopee</t>
        </is>
      </c>
      <c r="G1768" s="4" t="inlineStr">
        <is>
          <t>SHOPEE: https://s.shopee.vn/3B8C7jVImf TIKTOK: LAZADA: WEBSITE BÁN HÀNG:</t>
        </is>
      </c>
      <c r="H1768" s="3" t="inlineStr"/>
      <c r="I1768" s="4" t="inlineStr">
        <is>
          <t>Mũi khoan tường không tắc kê KBLJ - 04.5*100</t>
        </is>
      </c>
      <c r="J1768" s="3" t="inlineStr">
        <is>
          <t>Cái</t>
        </is>
      </c>
      <c r="K1768" s="5" t="n">
        <v>269000</v>
      </c>
      <c r="L1768" s="5" t="n">
        <v>317000</v>
      </c>
      <c r="M1768" s="6" t="n">
        <v>390000</v>
      </c>
      <c r="N1768" s="5" t="n"/>
      <c r="O1768" s="5">
        <f>IF(AND(ISNUMBER(N1768),ISNUMBER(M1768)),N1768-M1768,"")</f>
        <v/>
      </c>
      <c r="P1768" s="7">
        <f>IF(AND(ISNUMBER(N1768),ISNUMBER(M1768),M1768&gt;0),(N1768-M1768)/M1768,"")</f>
        <v/>
      </c>
      <c r="Q1768" s="3">
        <f>IF(P1768="","",IF(P1768&lt;-0.02,"🔴 Bán phá giá sàn",IF(P1768&gt;0.05,"🔵 Bán cao hơn","🟢 Đúng giá sàn TMĐT")))</f>
        <v/>
      </c>
      <c r="R1768" s="3" t="n"/>
      <c r="S1768" s="4" t="n"/>
      <c r="T1768" s="4" t="n"/>
    </row>
    <row r="1769">
      <c r="A1769" s="3" t="n">
        <v>1768</v>
      </c>
      <c r="B1769" s="3" t="inlineStr">
        <is>
          <t>DL015</t>
        </is>
      </c>
      <c r="C1769" s="4" t="inlineStr">
        <is>
          <t>Điện máy Hùng Cường</t>
        </is>
      </c>
      <c r="D1769" s="3" t="inlineStr">
        <is>
          <t>HN</t>
        </is>
      </c>
      <c r="E1769" s="3" t="inlineStr">
        <is>
          <t>Lan</t>
        </is>
      </c>
      <c r="F1769" s="3" t="inlineStr">
        <is>
          <t>Shopee</t>
        </is>
      </c>
      <c r="G1769" s="4" t="inlineStr">
        <is>
          <t>SHOPEE: https://s.shopee.vn/3B8C7jVImf TIKTOK: LAZADA: WEBSITE BÁN HÀNG:</t>
        </is>
      </c>
      <c r="H1769" s="3" t="inlineStr"/>
      <c r="I1769" s="4" t="inlineStr">
        <is>
          <t>Mũi khoan tường không tắc kê KBLJ - 05*100</t>
        </is>
      </c>
      <c r="J1769" s="3" t="inlineStr">
        <is>
          <t>Cái</t>
        </is>
      </c>
      <c r="K1769" s="5" t="n">
        <v>269000</v>
      </c>
      <c r="L1769" s="5" t="n">
        <v>317000</v>
      </c>
      <c r="M1769" s="6" t="n">
        <v>390000</v>
      </c>
      <c r="N1769" s="5" t="n"/>
      <c r="O1769" s="5">
        <f>IF(AND(ISNUMBER(N1769),ISNUMBER(M1769)),N1769-M1769,"")</f>
        <v/>
      </c>
      <c r="P1769" s="7">
        <f>IF(AND(ISNUMBER(N1769),ISNUMBER(M1769),M1769&gt;0),(N1769-M1769)/M1769,"")</f>
        <v/>
      </c>
      <c r="Q1769" s="3">
        <f>IF(P1769="","",IF(P1769&lt;-0.02,"🔴 Bán phá giá sàn",IF(P1769&gt;0.05,"🔵 Bán cao hơn","🟢 Đúng giá sàn TMĐT")))</f>
        <v/>
      </c>
      <c r="R1769" s="3" t="n"/>
      <c r="S1769" s="4" t="n"/>
      <c r="T1769" s="4" t="n"/>
    </row>
    <row r="1770">
      <c r="A1770" s="3" t="n">
        <v>1769</v>
      </c>
      <c r="B1770" s="3" t="inlineStr">
        <is>
          <t>DL015</t>
        </is>
      </c>
      <c r="C1770" s="4" t="inlineStr">
        <is>
          <t>Điện máy Hùng Cường</t>
        </is>
      </c>
      <c r="D1770" s="3" t="inlineStr">
        <is>
          <t>HN</t>
        </is>
      </c>
      <c r="E1770" s="3" t="inlineStr">
        <is>
          <t>Lan</t>
        </is>
      </c>
      <c r="F1770" s="3" t="inlineStr">
        <is>
          <t>Shopee</t>
        </is>
      </c>
      <c r="G1770" s="4" t="inlineStr">
        <is>
          <t>SHOPEE: https://s.shopee.vn/3B8C7jVImf TIKTOK: LAZADA: WEBSITE BÁN HÀNG:</t>
        </is>
      </c>
      <c r="H1770" s="3" t="inlineStr">
        <is>
          <t>KB-1304</t>
        </is>
      </c>
      <c r="I1770" s="4" t="inlineStr">
        <is>
          <t>Mũi nong ống đồng KingBlue KB-1304</t>
        </is>
      </c>
      <c r="J1770" s="3" t="inlineStr">
        <is>
          <t>Cái</t>
        </is>
      </c>
      <c r="K1770" s="5" t="n">
        <v>215000</v>
      </c>
      <c r="L1770" s="5" t="n">
        <v>254000</v>
      </c>
      <c r="M1770" s="6" t="n">
        <v>312000</v>
      </c>
      <c r="N1770" s="5" t="n"/>
      <c r="O1770" s="5">
        <f>IF(AND(ISNUMBER(N1770),ISNUMBER(M1770)),N1770-M1770,"")</f>
        <v/>
      </c>
      <c r="P1770" s="7">
        <f>IF(AND(ISNUMBER(N1770),ISNUMBER(M1770),M1770&gt;0),(N1770-M1770)/M1770,"")</f>
        <v/>
      </c>
      <c r="Q1770" s="3">
        <f>IF(P1770="","",IF(P1770&lt;-0.02,"🔴 Bán phá giá sàn",IF(P1770&gt;0.05,"🔵 Bán cao hơn","🟢 Đúng giá sàn TMĐT")))</f>
        <v/>
      </c>
      <c r="R1770" s="3" t="n"/>
      <c r="S1770" s="4" t="n"/>
      <c r="T1770" s="4" t="n"/>
    </row>
    <row r="1771">
      <c r="A1771" s="3" t="n">
        <v>1770</v>
      </c>
      <c r="B1771" s="3" t="inlineStr">
        <is>
          <t>DL015</t>
        </is>
      </c>
      <c r="C1771" s="4" t="inlineStr">
        <is>
          <t>Điện máy Hùng Cường</t>
        </is>
      </c>
      <c r="D1771" s="3" t="inlineStr">
        <is>
          <t>HN</t>
        </is>
      </c>
      <c r="E1771" s="3" t="inlineStr">
        <is>
          <t>Lan</t>
        </is>
      </c>
      <c r="F1771" s="3" t="inlineStr">
        <is>
          <t>Shopee</t>
        </is>
      </c>
      <c r="G1771" s="4" t="inlineStr">
        <is>
          <t>SHOPEE: https://s.shopee.vn/3B8C7jVImf TIKTOK: LAZADA: WEBSITE BÁN HÀNG:</t>
        </is>
      </c>
      <c r="H1771" s="3" t="inlineStr"/>
      <c r="I1771" s="4" t="inlineStr">
        <is>
          <t>Phí bảo hành</t>
        </is>
      </c>
      <c r="J1771" s="3" t="inlineStr">
        <is>
          <t>Cái</t>
        </is>
      </c>
      <c r="K1771" s="5" t="n">
        <v>269000</v>
      </c>
      <c r="L1771" s="5" t="n">
        <v>317000</v>
      </c>
      <c r="M1771" s="6" t="n">
        <v>390000</v>
      </c>
      <c r="N1771" s="5" t="n"/>
      <c r="O1771" s="5">
        <f>IF(AND(ISNUMBER(N1771),ISNUMBER(M1771)),N1771-M1771,"")</f>
        <v/>
      </c>
      <c r="P1771" s="7">
        <f>IF(AND(ISNUMBER(N1771),ISNUMBER(M1771),M1771&gt;0),(N1771-M1771)/M1771,"")</f>
        <v/>
      </c>
      <c r="Q1771" s="3">
        <f>IF(P1771="","",IF(P1771&lt;-0.02,"🔴 Bán phá giá sàn",IF(P1771&gt;0.05,"🔵 Bán cao hơn","🟢 Đúng giá sàn TMĐT")))</f>
        <v/>
      </c>
      <c r="R1771" s="3" t="n"/>
      <c r="S1771" s="4" t="n"/>
      <c r="T1771" s="4" t="n"/>
    </row>
    <row r="1772">
      <c r="A1772" s="3" t="n">
        <v>1771</v>
      </c>
      <c r="B1772" s="3" t="inlineStr">
        <is>
          <t>DL015</t>
        </is>
      </c>
      <c r="C1772" s="4" t="inlineStr">
        <is>
          <t>Điện máy Hùng Cường</t>
        </is>
      </c>
      <c r="D1772" s="3" t="inlineStr">
        <is>
          <t>HN</t>
        </is>
      </c>
      <c r="E1772" s="3" t="inlineStr">
        <is>
          <t>Lan</t>
        </is>
      </c>
      <c r="F1772" s="3" t="inlineStr">
        <is>
          <t>Shopee</t>
        </is>
      </c>
      <c r="G1772" s="4" t="inlineStr">
        <is>
          <t>SHOPEE: https://s.shopee.vn/3B8C7jVImf TIKTOK: LAZADA: WEBSITE BÁN HÀNG:</t>
        </is>
      </c>
      <c r="H1772" s="3" t="inlineStr">
        <is>
          <t>B2040</t>
        </is>
      </c>
      <c r="I1772" s="4" t="inlineStr">
        <is>
          <t>Pin B2040</t>
        </is>
      </c>
      <c r="J1772" s="3" t="inlineStr">
        <is>
          <t>Cái</t>
        </is>
      </c>
      <c r="K1772" s="5" t="n">
        <v>660000</v>
      </c>
      <c r="L1772" s="5" t="n">
        <v>739000</v>
      </c>
      <c r="M1772" s="6" t="n">
        <v>858000</v>
      </c>
      <c r="N1772" s="5" t="n"/>
      <c r="O1772" s="5">
        <f>IF(AND(ISNUMBER(N1772),ISNUMBER(M1772)),N1772-M1772,"")</f>
        <v/>
      </c>
      <c r="P1772" s="7">
        <f>IF(AND(ISNUMBER(N1772),ISNUMBER(M1772),M1772&gt;0),(N1772-M1772)/M1772,"")</f>
        <v/>
      </c>
      <c r="Q1772" s="3">
        <f>IF(P1772="","",IF(P1772&lt;-0.02,"🔴 Bán phá giá sàn",IF(P1772&gt;0.05,"🔵 Bán cao hơn","🟢 Đúng giá sàn TMĐT")))</f>
        <v/>
      </c>
      <c r="R1772" s="3" t="n"/>
      <c r="S1772" s="4" t="n"/>
      <c r="T1772" s="4" t="n"/>
    </row>
    <row r="1773">
      <c r="A1773" s="3" t="n">
        <v>1772</v>
      </c>
      <c r="B1773" s="3" t="inlineStr">
        <is>
          <t>DL015</t>
        </is>
      </c>
      <c r="C1773" s="4" t="inlineStr">
        <is>
          <t>Điện máy Hùng Cường</t>
        </is>
      </c>
      <c r="D1773" s="3" t="inlineStr">
        <is>
          <t>HN</t>
        </is>
      </c>
      <c r="E1773" s="3" t="inlineStr">
        <is>
          <t>Lan</t>
        </is>
      </c>
      <c r="F1773" s="3" t="inlineStr">
        <is>
          <t>Shopee</t>
        </is>
      </c>
      <c r="G1773" s="4" t="inlineStr">
        <is>
          <t>SHOPEE: https://s.shopee.vn/3B8C7jVImf TIKTOK: LAZADA: WEBSITE BÁN HÀNG:</t>
        </is>
      </c>
      <c r="H1773" s="3" t="inlineStr">
        <is>
          <t>B2050</t>
        </is>
      </c>
      <c r="I1773" s="4" t="inlineStr">
        <is>
          <t>Pin B2050</t>
        </is>
      </c>
      <c r="J1773" s="3" t="inlineStr">
        <is>
          <t>Cái</t>
        </is>
      </c>
      <c r="K1773" s="5" t="n">
        <v>858000</v>
      </c>
      <c r="L1773" s="5" t="n">
        <v>961000</v>
      </c>
      <c r="M1773" s="6" t="n">
        <v>1115000</v>
      </c>
      <c r="N1773" s="5" t="n"/>
      <c r="O1773" s="5">
        <f>IF(AND(ISNUMBER(N1773),ISNUMBER(M1773)),N1773-M1773,"")</f>
        <v/>
      </c>
      <c r="P1773" s="7">
        <f>IF(AND(ISNUMBER(N1773),ISNUMBER(M1773),M1773&gt;0),(N1773-M1773)/M1773,"")</f>
        <v/>
      </c>
      <c r="Q1773" s="3">
        <f>IF(P1773="","",IF(P1773&lt;-0.02,"🔴 Bán phá giá sàn",IF(P1773&gt;0.05,"🔵 Bán cao hơn","🟢 Đúng giá sàn TMĐT")))</f>
        <v/>
      </c>
      <c r="R1773" s="3" t="n"/>
      <c r="S1773" s="4" t="n"/>
      <c r="T1773" s="4" t="n"/>
    </row>
    <row r="1774">
      <c r="A1774" s="3" t="n">
        <v>1773</v>
      </c>
      <c r="B1774" s="3" t="inlineStr">
        <is>
          <t>DL015</t>
        </is>
      </c>
      <c r="C1774" s="4" t="inlineStr">
        <is>
          <t>Điện máy Hùng Cường</t>
        </is>
      </c>
      <c r="D1774" s="3" t="inlineStr">
        <is>
          <t>HN</t>
        </is>
      </c>
      <c r="E1774" s="3" t="inlineStr">
        <is>
          <t>Lan</t>
        </is>
      </c>
      <c r="F1774" s="3" t="inlineStr">
        <is>
          <t>Shopee</t>
        </is>
      </c>
      <c r="G1774" s="4" t="inlineStr">
        <is>
          <t>SHOPEE: https://s.shopee.vn/3B8C7jVImf TIKTOK: LAZADA: WEBSITE BÁN HÀNG:</t>
        </is>
      </c>
      <c r="H1774" s="3" t="inlineStr">
        <is>
          <t>KM18QF</t>
        </is>
      </c>
      <c r="I1774" s="4" t="inlineStr">
        <is>
          <t>Ron Piston KM18QF</t>
        </is>
      </c>
      <c r="J1774" s="3" t="inlineStr">
        <is>
          <t>Cái</t>
        </is>
      </c>
      <c r="K1774" s="5" t="n">
        <v>2110000</v>
      </c>
      <c r="L1774" s="5" t="n">
        <v>2320000</v>
      </c>
      <c r="M1774" s="6" t="n">
        <v>2640000</v>
      </c>
      <c r="N1774" s="5" t="n"/>
      <c r="O1774" s="5">
        <f>IF(AND(ISNUMBER(N1774),ISNUMBER(M1774)),N1774-M1774,"")</f>
        <v/>
      </c>
      <c r="P1774" s="7">
        <f>IF(AND(ISNUMBER(N1774),ISNUMBER(M1774),M1774&gt;0),(N1774-M1774)/M1774,"")</f>
        <v/>
      </c>
      <c r="Q1774" s="3">
        <f>IF(P1774="","",IF(P1774&lt;-0.02,"🔴 Bán phá giá sàn",IF(P1774&gt;0.05,"🔵 Bán cao hơn","🟢 Đúng giá sàn TMĐT")))</f>
        <v/>
      </c>
      <c r="R1774" s="3" t="n"/>
      <c r="S1774" s="4" t="n"/>
      <c r="T1774" s="4" t="n"/>
    </row>
    <row r="1775">
      <c r="A1775" s="3" t="n">
        <v>1774</v>
      </c>
      <c r="B1775" s="3" t="inlineStr">
        <is>
          <t>DL015</t>
        </is>
      </c>
      <c r="C1775" s="4" t="inlineStr">
        <is>
          <t>Điện máy Hùng Cường</t>
        </is>
      </c>
      <c r="D1775" s="3" t="inlineStr">
        <is>
          <t>HN</t>
        </is>
      </c>
      <c r="E1775" s="3" t="inlineStr">
        <is>
          <t>Lan</t>
        </is>
      </c>
      <c r="F1775" s="3" t="inlineStr">
        <is>
          <t>Shopee</t>
        </is>
      </c>
      <c r="G1775" s="4" t="inlineStr">
        <is>
          <t>SHOPEE: https://s.shopee.vn/3B8C7jVImf TIKTOK: LAZADA: WEBSITE BÁN HÀNG:</t>
        </is>
      </c>
      <c r="H1775" s="3" t="inlineStr">
        <is>
          <t>KM18QE</t>
        </is>
      </c>
      <c r="I1775" s="4" t="inlineStr">
        <is>
          <t>Rotor máy khoan KM18QE</t>
        </is>
      </c>
      <c r="J1775" s="3" t="inlineStr">
        <is>
          <t>Cái</t>
        </is>
      </c>
      <c r="K1775" s="5" t="n">
        <v>2110000</v>
      </c>
      <c r="L1775" s="5" t="n">
        <v>2320000</v>
      </c>
      <c r="M1775" s="6" t="n">
        <v>2640000</v>
      </c>
      <c r="N1775" s="5" t="n"/>
      <c r="O1775" s="5">
        <f>IF(AND(ISNUMBER(N1775),ISNUMBER(M1775)),N1775-M1775,"")</f>
        <v/>
      </c>
      <c r="P1775" s="7">
        <f>IF(AND(ISNUMBER(N1775),ISNUMBER(M1775),M1775&gt;0),(N1775-M1775)/M1775,"")</f>
        <v/>
      </c>
      <c r="Q1775" s="3">
        <f>IF(P1775="","",IF(P1775&lt;-0.02,"🔴 Bán phá giá sàn",IF(P1775&gt;0.05,"🔵 Bán cao hơn","🟢 Đúng giá sàn TMĐT")))</f>
        <v/>
      </c>
      <c r="R1775" s="3" t="n"/>
      <c r="S1775" s="4" t="n"/>
      <c r="T1775" s="4" t="n"/>
    </row>
    <row r="1776">
      <c r="A1776" s="3" t="n">
        <v>1775</v>
      </c>
      <c r="B1776" s="3" t="inlineStr">
        <is>
          <t>DL015</t>
        </is>
      </c>
      <c r="C1776" s="4" t="inlineStr">
        <is>
          <t>Điện máy Hùng Cường</t>
        </is>
      </c>
      <c r="D1776" s="3" t="inlineStr">
        <is>
          <t>HN</t>
        </is>
      </c>
      <c r="E1776" s="3" t="inlineStr">
        <is>
          <t>Lan</t>
        </is>
      </c>
      <c r="F1776" s="3" t="inlineStr">
        <is>
          <t>Shopee</t>
        </is>
      </c>
      <c r="G1776" s="4" t="inlineStr">
        <is>
          <t>SHOPEE: https://s.shopee.vn/3B8C7jVImf TIKTOK: LAZADA: WEBSITE BÁN HÀNG:</t>
        </is>
      </c>
      <c r="H1776" s="3" t="inlineStr">
        <is>
          <t>B2A20</t>
        </is>
      </c>
      <c r="I1776" s="4" t="inlineStr">
        <is>
          <t>Sạc pin B2A20</t>
        </is>
      </c>
      <c r="J1776" s="3" t="inlineStr">
        <is>
          <t>Cái</t>
        </is>
      </c>
      <c r="K1776" s="5" t="n">
        <v>270000</v>
      </c>
      <c r="L1776" s="5" t="n">
        <v>302000</v>
      </c>
      <c r="M1776" s="6" t="n">
        <v>351000</v>
      </c>
      <c r="N1776" s="5" t="n"/>
      <c r="O1776" s="5">
        <f>IF(AND(ISNUMBER(N1776),ISNUMBER(M1776)),N1776-M1776,"")</f>
        <v/>
      </c>
      <c r="P1776" s="7">
        <f>IF(AND(ISNUMBER(N1776),ISNUMBER(M1776),M1776&gt;0),(N1776-M1776)/M1776,"")</f>
        <v/>
      </c>
      <c r="Q1776" s="3">
        <f>IF(P1776="","",IF(P1776&lt;-0.02,"🔴 Bán phá giá sàn",IF(P1776&gt;0.05,"🔵 Bán cao hơn","🟢 Đúng giá sàn TMĐT")))</f>
        <v/>
      </c>
      <c r="R1776" s="3" t="n"/>
      <c r="S1776" s="4" t="n"/>
      <c r="T1776" s="4" t="n"/>
    </row>
    <row r="1777">
      <c r="A1777" s="3" t="n">
        <v>1776</v>
      </c>
      <c r="B1777" s="3" t="inlineStr">
        <is>
          <t>DL015</t>
        </is>
      </c>
      <c r="C1777" s="4" t="inlineStr">
        <is>
          <t>Điện máy Hùng Cường</t>
        </is>
      </c>
      <c r="D1777" s="3" t="inlineStr">
        <is>
          <t>HN</t>
        </is>
      </c>
      <c r="E1777" s="3" t="inlineStr">
        <is>
          <t>Lan</t>
        </is>
      </c>
      <c r="F1777" s="3" t="inlineStr">
        <is>
          <t>Shopee</t>
        </is>
      </c>
      <c r="G1777" s="4" t="inlineStr">
        <is>
          <t>SHOPEE: https://s.shopee.vn/3B8C7jVImf TIKTOK: LAZADA: WEBSITE BÁN HÀNG:</t>
        </is>
      </c>
      <c r="H1777" s="3" t="inlineStr">
        <is>
          <t>KB848G</t>
        </is>
      </c>
      <c r="I1777" s="4" t="inlineStr">
        <is>
          <t>Siết tôn King Blue KB8*48G</t>
        </is>
      </c>
      <c r="J1777" s="3" t="inlineStr">
        <is>
          <t>Cái</t>
        </is>
      </c>
      <c r="K1777" s="5" t="n">
        <v>7500</v>
      </c>
      <c r="L1777" s="5" t="n">
        <v>10000</v>
      </c>
      <c r="M1777" s="6" t="n">
        <v>13000</v>
      </c>
      <c r="N1777" s="5" t="n"/>
      <c r="O1777" s="5">
        <f>IF(AND(ISNUMBER(N1777),ISNUMBER(M1777)),N1777-M1777,"")</f>
        <v/>
      </c>
      <c r="P1777" s="7">
        <f>IF(AND(ISNUMBER(N1777),ISNUMBER(M1777),M1777&gt;0),(N1777-M1777)/M1777,"")</f>
        <v/>
      </c>
      <c r="Q1777" s="3">
        <f>IF(P1777="","",IF(P1777&lt;-0.02,"🔴 Bán phá giá sàn",IF(P1777&gt;0.05,"🔵 Bán cao hơn","🟢 Đúng giá sàn TMĐT")))</f>
        <v/>
      </c>
      <c r="R1777" s="3" t="n"/>
      <c r="S1777" s="4" t="n"/>
      <c r="T1777" s="4" t="n"/>
    </row>
    <row r="1778">
      <c r="A1778" s="3" t="n">
        <v>1777</v>
      </c>
      <c r="B1778" s="3" t="inlineStr">
        <is>
          <t>DL015</t>
        </is>
      </c>
      <c r="C1778" s="4" t="inlineStr">
        <is>
          <t>Điện máy Hùng Cường</t>
        </is>
      </c>
      <c r="D1778" s="3" t="inlineStr">
        <is>
          <t>HN</t>
        </is>
      </c>
      <c r="E1778" s="3" t="inlineStr">
        <is>
          <t>Lan</t>
        </is>
      </c>
      <c r="F1778" s="3" t="inlineStr">
        <is>
          <t>Shopee</t>
        </is>
      </c>
      <c r="G1778" s="4" t="inlineStr">
        <is>
          <t>SHOPEE: https://s.shopee.vn/3B8C7jVImf TIKTOK: LAZADA: WEBSITE BÁN HÀNG:</t>
        </is>
      </c>
      <c r="H1778" s="3" t="inlineStr">
        <is>
          <t>ST08x42V</t>
        </is>
      </c>
      <c r="I1778" s="4" t="inlineStr">
        <is>
          <t>Siết tôn King Blue ST08x42V</t>
        </is>
      </c>
      <c r="J1778" s="3" t="inlineStr">
        <is>
          <t>Vỉ</t>
        </is>
      </c>
      <c r="K1778" s="5" t="n">
        <v>22000</v>
      </c>
      <c r="L1778" s="5" t="n">
        <v>28000</v>
      </c>
      <c r="M1778" s="6" t="n">
        <v>36000</v>
      </c>
      <c r="N1778" s="5" t="n"/>
      <c r="O1778" s="5">
        <f>IF(AND(ISNUMBER(N1778),ISNUMBER(M1778)),N1778-M1778,"")</f>
        <v/>
      </c>
      <c r="P1778" s="7">
        <f>IF(AND(ISNUMBER(N1778),ISNUMBER(M1778),M1778&gt;0),(N1778-M1778)/M1778,"")</f>
        <v/>
      </c>
      <c r="Q1778" s="3">
        <f>IF(P1778="","",IF(P1778&lt;-0.02,"🔴 Bán phá giá sàn",IF(P1778&gt;0.05,"🔵 Bán cao hơn","🟢 Đúng giá sàn TMĐT")))</f>
        <v/>
      </c>
      <c r="R1778" s="3" t="n"/>
      <c r="S1778" s="4" t="n"/>
      <c r="T1778" s="4" t="n"/>
    </row>
    <row r="1779">
      <c r="A1779" s="3" t="n">
        <v>1778</v>
      </c>
      <c r="B1779" s="3" t="inlineStr">
        <is>
          <t>DL015</t>
        </is>
      </c>
      <c r="C1779" s="4" t="inlineStr">
        <is>
          <t>Điện máy Hùng Cường</t>
        </is>
      </c>
      <c r="D1779" s="3" t="inlineStr">
        <is>
          <t>HN</t>
        </is>
      </c>
      <c r="E1779" s="3" t="inlineStr">
        <is>
          <t>Lan</t>
        </is>
      </c>
      <c r="F1779" s="3" t="inlineStr">
        <is>
          <t>Shopee</t>
        </is>
      </c>
      <c r="G1779" s="4" t="inlineStr">
        <is>
          <t>SHOPEE: https://s.shopee.vn/3B8C7jVImf TIKTOK: LAZADA: WEBSITE BÁN HÀNG:</t>
        </is>
      </c>
      <c r="H1779" s="3" t="inlineStr">
        <is>
          <t>ST08x65G</t>
        </is>
      </c>
      <c r="I1779" s="4" t="inlineStr">
        <is>
          <t>Siết tôn KingBlue ST08x65G</t>
        </is>
      </c>
      <c r="J1779" s="3" t="inlineStr">
        <is>
          <t>Cái</t>
        </is>
      </c>
      <c r="K1779" s="5" t="n">
        <v>8500</v>
      </c>
      <c r="L1779" s="5" t="n">
        <v>11000</v>
      </c>
      <c r="M1779" s="6" t="n">
        <v>14000</v>
      </c>
      <c r="N1779" s="5" t="n"/>
      <c r="O1779" s="5">
        <f>IF(AND(ISNUMBER(N1779),ISNUMBER(M1779)),N1779-M1779,"")</f>
        <v/>
      </c>
      <c r="P1779" s="7">
        <f>IF(AND(ISNUMBER(N1779),ISNUMBER(M1779),M1779&gt;0),(N1779-M1779)/M1779,"")</f>
        <v/>
      </c>
      <c r="Q1779" s="3">
        <f>IF(P1779="","",IF(P1779&lt;-0.02,"🔴 Bán phá giá sàn",IF(P1779&gt;0.05,"🔵 Bán cao hơn","🟢 Đúng giá sàn TMĐT")))</f>
        <v/>
      </c>
      <c r="R1779" s="3" t="n"/>
      <c r="S1779" s="4" t="n"/>
      <c r="T1779" s="4" t="n"/>
    </row>
    <row r="1780">
      <c r="A1780" s="3" t="n">
        <v>1779</v>
      </c>
      <c r="B1780" s="3" t="inlineStr">
        <is>
          <t>DL015</t>
        </is>
      </c>
      <c r="C1780" s="4" t="inlineStr">
        <is>
          <t>Điện máy Hùng Cường</t>
        </is>
      </c>
      <c r="D1780" s="3" t="inlineStr">
        <is>
          <t>HN</t>
        </is>
      </c>
      <c r="E1780" s="3" t="inlineStr">
        <is>
          <t>Lan</t>
        </is>
      </c>
      <c r="F1780" s="3" t="inlineStr">
        <is>
          <t>Shopee</t>
        </is>
      </c>
      <c r="G1780" s="4" t="inlineStr">
        <is>
          <t>SHOPEE: https://s.shopee.vn/3B8C7jVImf TIKTOK: LAZADA: WEBSITE BÁN HÀNG:</t>
        </is>
      </c>
      <c r="H1780" s="3" t="inlineStr">
        <is>
          <t>KBO-W71</t>
        </is>
      </c>
      <c r="I1780" s="4" t="inlineStr">
        <is>
          <t>Súng phun sơn KBO-W71</t>
        </is>
      </c>
      <c r="J1780" s="3" t="inlineStr">
        <is>
          <t>Cái</t>
        </is>
      </c>
      <c r="K1780" s="5" t="n">
        <v>317000</v>
      </c>
      <c r="L1780" s="5" t="n">
        <v>374000</v>
      </c>
      <c r="M1780" s="6" t="n">
        <v>460000</v>
      </c>
      <c r="N1780" s="5" t="n"/>
      <c r="O1780" s="5">
        <f>IF(AND(ISNUMBER(N1780),ISNUMBER(M1780)),N1780-M1780,"")</f>
        <v/>
      </c>
      <c r="P1780" s="7">
        <f>IF(AND(ISNUMBER(N1780),ISNUMBER(M1780),M1780&gt;0),(N1780-M1780)/M1780,"")</f>
        <v/>
      </c>
      <c r="Q1780" s="3">
        <f>IF(P1780="","",IF(P1780&lt;-0.02,"🔴 Bán phá giá sàn",IF(P1780&gt;0.05,"🔵 Bán cao hơn","🟢 Đúng giá sàn TMĐT")))</f>
        <v/>
      </c>
      <c r="R1780" s="3" t="n"/>
      <c r="S1780" s="4" t="n"/>
      <c r="T1780" s="4" t="n"/>
    </row>
    <row r="1781">
      <c r="A1781" s="3" t="n">
        <v>1780</v>
      </c>
      <c r="B1781" s="3" t="inlineStr">
        <is>
          <t>DL015</t>
        </is>
      </c>
      <c r="C1781" s="4" t="inlineStr">
        <is>
          <t>Điện máy Hùng Cường</t>
        </is>
      </c>
      <c r="D1781" s="3" t="inlineStr">
        <is>
          <t>HN</t>
        </is>
      </c>
      <c r="E1781" s="3" t="inlineStr">
        <is>
          <t>Lan</t>
        </is>
      </c>
      <c r="F1781" s="3" t="inlineStr">
        <is>
          <t>Shopee</t>
        </is>
      </c>
      <c r="G1781" s="4" t="inlineStr">
        <is>
          <t>SHOPEE: https://s.shopee.vn/3B8C7jVImf TIKTOK: LAZADA: WEBSITE BÁN HÀNG:</t>
        </is>
      </c>
      <c r="H1781" s="3" t="inlineStr">
        <is>
          <t>KHD4233</t>
        </is>
      </c>
      <c r="I1781" s="4" t="inlineStr">
        <is>
          <t>Thùng đựng đồ nghề KHD4233</t>
        </is>
      </c>
      <c r="J1781" s="3" t="inlineStr">
        <is>
          <t>Cái</t>
        </is>
      </c>
      <c r="K1781" s="5" t="n">
        <v>269000</v>
      </c>
      <c r="L1781" s="5" t="n">
        <v>317000</v>
      </c>
      <c r="M1781" s="6" t="n">
        <v>390000</v>
      </c>
      <c r="N1781" s="5" t="n"/>
      <c r="O1781" s="5">
        <f>IF(AND(ISNUMBER(N1781),ISNUMBER(M1781)),N1781-M1781,"")</f>
        <v/>
      </c>
      <c r="P1781" s="7">
        <f>IF(AND(ISNUMBER(N1781),ISNUMBER(M1781),M1781&gt;0),(N1781-M1781)/M1781,"")</f>
        <v/>
      </c>
      <c r="Q1781" s="3">
        <f>IF(P1781="","",IF(P1781&lt;-0.02,"🔴 Bán phá giá sàn",IF(P1781&gt;0.05,"🔵 Bán cao hơn","🟢 Đúng giá sàn TMĐT")))</f>
        <v/>
      </c>
      <c r="R1781" s="3" t="n"/>
      <c r="S1781" s="4" t="n"/>
      <c r="T1781" s="4" t="n"/>
    </row>
    <row r="1782">
      <c r="A1782" s="3" t="n">
        <v>1781</v>
      </c>
      <c r="B1782" s="3" t="inlineStr">
        <is>
          <t>DL015</t>
        </is>
      </c>
      <c r="C1782" s="4" t="inlineStr">
        <is>
          <t>Điện máy Hùng Cường</t>
        </is>
      </c>
      <c r="D1782" s="3" t="inlineStr">
        <is>
          <t>HN</t>
        </is>
      </c>
      <c r="E1782" s="3" t="inlineStr">
        <is>
          <t>Lan</t>
        </is>
      </c>
      <c r="F1782" s="3" t="inlineStr">
        <is>
          <t>Shopee</t>
        </is>
      </c>
      <c r="G1782" s="4" t="inlineStr">
        <is>
          <t>SHOPEE: https://s.shopee.vn/3B8C7jVImf TIKTOK: LAZADA: WEBSITE BÁN HÀNG:</t>
        </is>
      </c>
      <c r="H1782" s="3" t="inlineStr">
        <is>
          <t>KTT-60B</t>
        </is>
      </c>
      <c r="I1782" s="4" t="inlineStr">
        <is>
          <t>Thước thủy công nghiệp KTT-60B</t>
        </is>
      </c>
      <c r="J1782" s="3" t="inlineStr">
        <is>
          <t>Cái</t>
        </is>
      </c>
      <c r="K1782" s="5" t="n">
        <v>182000</v>
      </c>
      <c r="L1782" s="5" t="n">
        <v>215000</v>
      </c>
      <c r="M1782" s="6" t="n">
        <v>264000</v>
      </c>
      <c r="N1782" s="5" t="n"/>
      <c r="O1782" s="5">
        <f>IF(AND(ISNUMBER(N1782),ISNUMBER(M1782)),N1782-M1782,"")</f>
        <v/>
      </c>
      <c r="P1782" s="7">
        <f>IF(AND(ISNUMBER(N1782),ISNUMBER(M1782),M1782&gt;0),(N1782-M1782)/M1782,"")</f>
        <v/>
      </c>
      <c r="Q1782" s="3">
        <f>IF(P1782="","",IF(P1782&lt;-0.02,"🔴 Bán phá giá sàn",IF(P1782&gt;0.05,"🔵 Bán cao hơn","🟢 Đúng giá sàn TMĐT")))</f>
        <v/>
      </c>
      <c r="R1782" s="3" t="n"/>
      <c r="S1782" s="4" t="n"/>
      <c r="T1782" s="4" t="n"/>
    </row>
    <row r="1783">
      <c r="A1783" s="3" t="n">
        <v>1782</v>
      </c>
      <c r="B1783" s="3" t="inlineStr">
        <is>
          <t>DL015</t>
        </is>
      </c>
      <c r="C1783" s="4" t="inlineStr">
        <is>
          <t>Điện máy Hùng Cường</t>
        </is>
      </c>
      <c r="D1783" s="3" t="inlineStr">
        <is>
          <t>HN</t>
        </is>
      </c>
      <c r="E1783" s="3" t="inlineStr">
        <is>
          <t>Lan</t>
        </is>
      </c>
      <c r="F1783" s="3" t="inlineStr">
        <is>
          <t>Shopee</t>
        </is>
      </c>
      <c r="G1783" s="4" t="inlineStr">
        <is>
          <t>SHOPEE: https://s.shopee.vn/3B8C7jVImf TIKTOK: LAZADA: WEBSITE BÁN HÀNG:</t>
        </is>
      </c>
      <c r="H1783" s="3" t="inlineStr">
        <is>
          <t>KVS2-6200</t>
        </is>
      </c>
      <c r="I1783" s="4" t="inlineStr">
        <is>
          <t>Tuốc nơ vít 2 đầu KVS2-6*200</t>
        </is>
      </c>
      <c r="J1783" s="3" t="inlineStr">
        <is>
          <t>Cái</t>
        </is>
      </c>
      <c r="K1783" s="5" t="n">
        <v>44000</v>
      </c>
      <c r="L1783" s="5" t="n">
        <v>52000</v>
      </c>
      <c r="M1783" s="6" t="n">
        <v>64000</v>
      </c>
      <c r="N1783" s="5" t="n"/>
      <c r="O1783" s="5">
        <f>IF(AND(ISNUMBER(N1783),ISNUMBER(M1783)),N1783-M1783,"")</f>
        <v/>
      </c>
      <c r="P1783" s="7">
        <f>IF(AND(ISNUMBER(N1783),ISNUMBER(M1783),M1783&gt;0),(N1783-M1783)/M1783,"")</f>
        <v/>
      </c>
      <c r="Q1783" s="3">
        <f>IF(P1783="","",IF(P1783&lt;-0.02,"🔴 Bán phá giá sàn",IF(P1783&gt;0.05,"🔵 Bán cao hơn","🟢 Đúng giá sàn TMĐT")))</f>
        <v/>
      </c>
      <c r="R1783" s="3" t="n"/>
      <c r="S1783" s="4" t="n"/>
      <c r="T1783" s="4" t="n"/>
    </row>
    <row r="1784">
      <c r="A1784" s="3" t="n">
        <v>1783</v>
      </c>
      <c r="B1784" s="3" t="inlineStr">
        <is>
          <t>DL015</t>
        </is>
      </c>
      <c r="C1784" s="4" t="inlineStr">
        <is>
          <t>Điện máy Hùng Cường</t>
        </is>
      </c>
      <c r="D1784" s="3" t="inlineStr">
        <is>
          <t>HN</t>
        </is>
      </c>
      <c r="E1784" s="3" t="inlineStr">
        <is>
          <t>Lan</t>
        </is>
      </c>
      <c r="F1784" s="3" t="inlineStr">
        <is>
          <t>Shopee</t>
        </is>
      </c>
      <c r="G1784" s="4" t="inlineStr">
        <is>
          <t>SHOPEE: https://s.shopee.vn/3B8C7jVImf TIKTOK: LAZADA: WEBSITE BÁN HÀNG:</t>
        </is>
      </c>
      <c r="H1784" s="3" t="inlineStr">
        <is>
          <t>KM17</t>
        </is>
      </c>
      <c r="I1784" s="4" t="inlineStr">
        <is>
          <t>Tuýp KM17</t>
        </is>
      </c>
      <c r="J1784" s="3" t="inlineStr">
        <is>
          <t>Cái</t>
        </is>
      </c>
      <c r="K1784" s="5" t="n">
        <v>18000</v>
      </c>
      <c r="L1784" s="5" t="n">
        <v>21000</v>
      </c>
      <c r="M1784" s="6" t="n">
        <v>26000</v>
      </c>
      <c r="N1784" s="5" t="n"/>
      <c r="O1784" s="5">
        <f>IF(AND(ISNUMBER(N1784),ISNUMBER(M1784)),N1784-M1784,"")</f>
        <v/>
      </c>
      <c r="P1784" s="7">
        <f>IF(AND(ISNUMBER(N1784),ISNUMBER(M1784),M1784&gt;0),(N1784-M1784)/M1784,"")</f>
        <v/>
      </c>
      <c r="Q1784" s="3">
        <f>IF(P1784="","",IF(P1784&lt;-0.02,"🔴 Bán phá giá sàn",IF(P1784&gt;0.05,"🔵 Bán cao hơn","🟢 Đúng giá sàn TMĐT")))</f>
        <v/>
      </c>
      <c r="R1784" s="3" t="n"/>
      <c r="S1784" s="4" t="n"/>
      <c r="T1784" s="4" t="n"/>
    </row>
    <row r="1785">
      <c r="A1785" s="3" t="n">
        <v>1784</v>
      </c>
      <c r="B1785" s="3" t="inlineStr">
        <is>
          <t>DL015</t>
        </is>
      </c>
      <c r="C1785" s="4" t="inlineStr">
        <is>
          <t>Điện máy Hùng Cường</t>
        </is>
      </c>
      <c r="D1785" s="3" t="inlineStr">
        <is>
          <t>HN</t>
        </is>
      </c>
      <c r="E1785" s="3" t="inlineStr">
        <is>
          <t>Lan</t>
        </is>
      </c>
      <c r="F1785" s="3" t="inlineStr">
        <is>
          <t>Shopee</t>
        </is>
      </c>
      <c r="G1785" s="4" t="inlineStr">
        <is>
          <t>SHOPEE: https://s.shopee.vn/3B8C7jVImf TIKTOK: LAZADA: WEBSITE BÁN HÀNG:</t>
        </is>
      </c>
      <c r="H1785" s="3" t="inlineStr">
        <is>
          <t>KM19</t>
        </is>
      </c>
      <c r="I1785" s="4" t="inlineStr">
        <is>
          <t>Tuýp KM19</t>
        </is>
      </c>
      <c r="J1785" s="3" t="inlineStr">
        <is>
          <t>Cái</t>
        </is>
      </c>
      <c r="K1785" s="5" t="n">
        <v>19000</v>
      </c>
      <c r="L1785" s="5" t="n">
        <v>23000</v>
      </c>
      <c r="M1785" s="6" t="n">
        <v>28000</v>
      </c>
      <c r="N1785" s="5" t="n"/>
      <c r="O1785" s="5">
        <f>IF(AND(ISNUMBER(N1785),ISNUMBER(M1785)),N1785-M1785,"")</f>
        <v/>
      </c>
      <c r="P1785" s="7">
        <f>IF(AND(ISNUMBER(N1785),ISNUMBER(M1785),M1785&gt;0),(N1785-M1785)/M1785,"")</f>
        <v/>
      </c>
      <c r="Q1785" s="3">
        <f>IF(P1785="","",IF(P1785&lt;-0.02,"🔴 Bán phá giá sàn",IF(P1785&gt;0.05,"🔵 Bán cao hơn","🟢 Đúng giá sàn TMĐT")))</f>
        <v/>
      </c>
      <c r="R1785" s="3" t="n"/>
      <c r="S1785" s="4" t="n"/>
      <c r="T1785" s="4" t="n"/>
    </row>
    <row r="1786">
      <c r="A1786" s="3" t="n">
        <v>1785</v>
      </c>
      <c r="B1786" s="3" t="inlineStr">
        <is>
          <t>DL015</t>
        </is>
      </c>
      <c r="C1786" s="4" t="inlineStr">
        <is>
          <t>Điện máy Hùng Cường</t>
        </is>
      </c>
      <c r="D1786" s="3" t="inlineStr">
        <is>
          <t>HN</t>
        </is>
      </c>
      <c r="E1786" s="3" t="inlineStr">
        <is>
          <t>Lan</t>
        </is>
      </c>
      <c r="F1786" s="3" t="inlineStr">
        <is>
          <t>Shopee</t>
        </is>
      </c>
      <c r="G1786" s="4" t="inlineStr">
        <is>
          <t>SHOPEE: https://s.shopee.vn/3B8C7jVImf TIKTOK: LAZADA: WEBSITE BÁN HÀNG:</t>
        </is>
      </c>
      <c r="H1786" s="3" t="inlineStr">
        <is>
          <t>KFJ-432</t>
        </is>
      </c>
      <c r="I1786" s="4" t="inlineStr">
        <is>
          <t>Vít bê tông không dùng tắc kê KFJ-432</t>
        </is>
      </c>
      <c r="J1786" s="3" t="inlineStr">
        <is>
          <t>Hộp</t>
        </is>
      </c>
      <c r="K1786" s="5" t="n">
        <v>81000</v>
      </c>
      <c r="L1786" s="5" t="n">
        <v>101000</v>
      </c>
      <c r="M1786" s="6" t="n">
        <v>130000</v>
      </c>
      <c r="N1786" s="5" t="n"/>
      <c r="O1786" s="5">
        <f>IF(AND(ISNUMBER(N1786),ISNUMBER(M1786)),N1786-M1786,"")</f>
        <v/>
      </c>
      <c r="P1786" s="7">
        <f>IF(AND(ISNUMBER(N1786),ISNUMBER(M1786),M1786&gt;0),(N1786-M1786)/M1786,"")</f>
        <v/>
      </c>
      <c r="Q1786" s="3">
        <f>IF(P1786="","",IF(P1786&lt;-0.02,"🔴 Bán phá giá sàn",IF(P1786&gt;0.05,"🔵 Bán cao hơn","🟢 Đúng giá sàn TMĐT")))</f>
        <v/>
      </c>
      <c r="R1786" s="3" t="n"/>
      <c r="S1786" s="4" t="n"/>
      <c r="T1786" s="4" t="n"/>
    </row>
    <row r="1787">
      <c r="A1787" s="3" t="n">
        <v>1786</v>
      </c>
      <c r="B1787" s="3" t="inlineStr">
        <is>
          <t>DL015</t>
        </is>
      </c>
      <c r="C1787" s="4" t="inlineStr">
        <is>
          <t>Điện máy Hùng Cường</t>
        </is>
      </c>
      <c r="D1787" s="3" t="inlineStr">
        <is>
          <t>HN</t>
        </is>
      </c>
      <c r="E1787" s="3" t="inlineStr">
        <is>
          <t>Lan</t>
        </is>
      </c>
      <c r="F1787" s="3" t="inlineStr">
        <is>
          <t>Shopee</t>
        </is>
      </c>
      <c r="G1787" s="4" t="inlineStr">
        <is>
          <t>SHOPEE: https://s.shopee.vn/3B8C7jVImf TIKTOK: LAZADA: WEBSITE BÁN HÀNG:</t>
        </is>
      </c>
      <c r="H1787" s="3" t="inlineStr">
        <is>
          <t>KB4x100</t>
        </is>
      </c>
      <c r="I1787" s="4" t="inlineStr">
        <is>
          <t>Vít KingBlue KB4x100</t>
        </is>
      </c>
      <c r="J1787" s="3" t="inlineStr">
        <is>
          <t>Cái</t>
        </is>
      </c>
      <c r="K1787" s="5" t="n">
        <v>11000</v>
      </c>
      <c r="L1787" s="5" t="n">
        <v>14000</v>
      </c>
      <c r="M1787" s="6" t="n">
        <v>18000</v>
      </c>
      <c r="N1787" s="5" t="n"/>
      <c r="O1787" s="5">
        <f>IF(AND(ISNUMBER(N1787),ISNUMBER(M1787)),N1787-M1787,"")</f>
        <v/>
      </c>
      <c r="P1787" s="7">
        <f>IF(AND(ISNUMBER(N1787),ISNUMBER(M1787),M1787&gt;0),(N1787-M1787)/M1787,"")</f>
        <v/>
      </c>
      <c r="Q1787" s="3">
        <f>IF(P1787="","",IF(P1787&lt;-0.02,"🔴 Bán phá giá sàn",IF(P1787&gt;0.05,"🔵 Bán cao hơn","🟢 Đúng giá sàn TMĐT")))</f>
        <v/>
      </c>
      <c r="R1787" s="3" t="n"/>
      <c r="S1787" s="4" t="n"/>
      <c r="T1787" s="4" t="n"/>
    </row>
    <row r="1788">
      <c r="A1788" s="3" t="n">
        <v>1787</v>
      </c>
      <c r="B1788" s="3" t="inlineStr">
        <is>
          <t>DL015</t>
        </is>
      </c>
      <c r="C1788" s="4" t="inlineStr">
        <is>
          <t>Điện máy Hùng Cường</t>
        </is>
      </c>
      <c r="D1788" s="3" t="inlineStr">
        <is>
          <t>HN</t>
        </is>
      </c>
      <c r="E1788" s="3" t="inlineStr">
        <is>
          <t>Lan</t>
        </is>
      </c>
      <c r="F1788" s="3" t="inlineStr">
        <is>
          <t>Shopee</t>
        </is>
      </c>
      <c r="G1788" s="4" t="inlineStr">
        <is>
          <t>SHOPEE: https://s.shopee.vn/3B8C7jVImf TIKTOK: LAZADA: WEBSITE BÁN HÀNG:</t>
        </is>
      </c>
      <c r="H1788" s="3" t="inlineStr">
        <is>
          <t>KB4x65</t>
        </is>
      </c>
      <c r="I1788" s="4" t="inlineStr">
        <is>
          <t>Vít KingBlue KB4x65</t>
        </is>
      </c>
      <c r="J1788" s="3" t="inlineStr">
        <is>
          <t>Cái</t>
        </is>
      </c>
      <c r="K1788" s="5" t="n">
        <v>7500</v>
      </c>
      <c r="L1788" s="5" t="n">
        <v>10000</v>
      </c>
      <c r="M1788" s="6" t="n">
        <v>12500</v>
      </c>
      <c r="N1788" s="5" t="n"/>
      <c r="O1788" s="5">
        <f>IF(AND(ISNUMBER(N1788),ISNUMBER(M1788)),N1788-M1788,"")</f>
        <v/>
      </c>
      <c r="P1788" s="7">
        <f>IF(AND(ISNUMBER(N1788),ISNUMBER(M1788),M1788&gt;0),(N1788-M1788)/M1788,"")</f>
        <v/>
      </c>
      <c r="Q1788" s="3">
        <f>IF(P1788="","",IF(P1788&lt;-0.02,"🔴 Bán phá giá sàn",IF(P1788&gt;0.05,"🔵 Bán cao hơn","🟢 Đúng giá sàn TMĐT")))</f>
        <v/>
      </c>
      <c r="R1788" s="3" t="n"/>
      <c r="S1788" s="4" t="n"/>
      <c r="T1788" s="4" t="n"/>
    </row>
    <row r="1789">
      <c r="A1789" s="3" t="n">
        <v>1788</v>
      </c>
      <c r="B1789" s="3" t="inlineStr">
        <is>
          <t>DL015</t>
        </is>
      </c>
      <c r="C1789" s="4" t="inlineStr">
        <is>
          <t>Điện máy Hùng Cường</t>
        </is>
      </c>
      <c r="D1789" s="3" t="inlineStr">
        <is>
          <t>HN</t>
        </is>
      </c>
      <c r="E1789" s="3" t="inlineStr">
        <is>
          <t>Lan</t>
        </is>
      </c>
      <c r="F1789" s="3" t="inlineStr">
        <is>
          <t>Shopee</t>
        </is>
      </c>
      <c r="G1789" s="4" t="inlineStr">
        <is>
          <t>SHOPEE: https://s.shopee.vn/3B8C7jVImf TIKTOK: LAZADA: WEBSITE BÁN HÀNG:</t>
        </is>
      </c>
      <c r="H1789" s="3" t="inlineStr"/>
      <c r="I1789" s="4" t="inlineStr">
        <is>
          <t>Vỏ máy</t>
        </is>
      </c>
      <c r="J1789" s="3" t="inlineStr">
        <is>
          <t>Cái</t>
        </is>
      </c>
      <c r="K1789" s="5" t="n">
        <v>269000</v>
      </c>
      <c r="L1789" s="5" t="n">
        <v>317000</v>
      </c>
      <c r="M1789" s="6" t="n">
        <v>390000</v>
      </c>
      <c r="N1789" s="5" t="n"/>
      <c r="O1789" s="5">
        <f>IF(AND(ISNUMBER(N1789),ISNUMBER(M1789)),N1789-M1789,"")</f>
        <v/>
      </c>
      <c r="P1789" s="7">
        <f>IF(AND(ISNUMBER(N1789),ISNUMBER(M1789),M1789&gt;0),(N1789-M1789)/M1789,"")</f>
        <v/>
      </c>
      <c r="Q1789" s="3">
        <f>IF(P1789="","",IF(P1789&lt;-0.02,"🔴 Bán phá giá sàn",IF(P1789&gt;0.05,"🔵 Bán cao hơn","🟢 Đúng giá sàn TMĐT")))</f>
        <v/>
      </c>
      <c r="R1789" s="3" t="n"/>
      <c r="S1789" s="4" t="n"/>
      <c r="T1789" s="4" t="n"/>
    </row>
    <row r="1790">
      <c r="A1790" s="3" t="n">
        <v>1789</v>
      </c>
      <c r="B1790" s="3" t="inlineStr">
        <is>
          <t>DL015</t>
        </is>
      </c>
      <c r="C1790" s="4" t="inlineStr">
        <is>
          <t>Điện máy Hùng Cường</t>
        </is>
      </c>
      <c r="D1790" s="3" t="inlineStr">
        <is>
          <t>HN</t>
        </is>
      </c>
      <c r="E1790" s="3" t="inlineStr">
        <is>
          <t>Lan</t>
        </is>
      </c>
      <c r="F1790" s="3" t="inlineStr">
        <is>
          <t>Shopee</t>
        </is>
      </c>
      <c r="G1790" s="4" t="inlineStr">
        <is>
          <t>SHOPEE: https://s.shopee.vn/3B8C7jVImf TIKTOK: LAZADA: WEBSITE BÁN HÀNG:</t>
        </is>
      </c>
      <c r="H1790" s="3" t="inlineStr">
        <is>
          <t>KM18CX</t>
        </is>
      </c>
      <c r="I1790" s="4" t="inlineStr">
        <is>
          <t>Xích máy KM18CX</t>
        </is>
      </c>
      <c r="J1790" s="3" t="inlineStr">
        <is>
          <t>Cái</t>
        </is>
      </c>
      <c r="K1790" s="5" t="n">
        <v>1890000</v>
      </c>
      <c r="L1790" s="5" t="n">
        <v>2080000</v>
      </c>
      <c r="M1790" s="6" t="n">
        <v>2370000</v>
      </c>
      <c r="N1790" s="5" t="n"/>
      <c r="O1790" s="5">
        <f>IF(AND(ISNUMBER(N1790),ISNUMBER(M1790)),N1790-M1790,"")</f>
        <v/>
      </c>
      <c r="P1790" s="7">
        <f>IF(AND(ISNUMBER(N1790),ISNUMBER(M1790),M1790&gt;0),(N1790-M1790)/M1790,"")</f>
        <v/>
      </c>
      <c r="Q1790" s="3">
        <f>IF(P1790="","",IF(P1790&lt;-0.02,"🔴 Bán phá giá sàn",IF(P1790&gt;0.05,"🔵 Bán cao hơn","🟢 Đúng giá sàn TMĐT")))</f>
        <v/>
      </c>
      <c r="R1790" s="3" t="n"/>
      <c r="S1790" s="4" t="n"/>
      <c r="T1790" s="4" t="n"/>
    </row>
    <row r="1791">
      <c r="A1791" s="3" t="n">
        <v>1790</v>
      </c>
      <c r="B1791" s="3" t="inlineStr">
        <is>
          <t>DL016</t>
        </is>
      </c>
      <c r="C1791" s="4" t="inlineStr">
        <is>
          <t>Công ty Cổ Phần Kỹ Thuật và Công Nghệ Đức Phong</t>
        </is>
      </c>
      <c r="D1791" s="3" t="inlineStr">
        <is>
          <t>HN</t>
        </is>
      </c>
      <c r="E1791" s="3" t="inlineStr">
        <is>
          <t>Lan</t>
        </is>
      </c>
      <c r="F1791" s="3" t="inlineStr">
        <is>
          <t>Website bán hàng</t>
        </is>
      </c>
      <c r="G1791" s="4" t="inlineStr">
        <is>
          <t>SHOPEE: TIKTOK: LAZADA: WEBSITE BÁN HÀNG: https://ducphongstore.com/</t>
        </is>
      </c>
      <c r="H1791" s="3" t="inlineStr">
        <is>
          <t>KBY1-B10</t>
        </is>
      </c>
      <c r="I1791" s="4" t="inlineStr">
        <is>
          <t>Bộ mũi khoan thép Kingblue KBY1-B10</t>
        </is>
      </c>
      <c r="J1791" s="3" t="inlineStr">
        <is>
          <t>Bộ</t>
        </is>
      </c>
      <c r="K1791" s="5" t="n">
        <v>244000</v>
      </c>
      <c r="L1791" s="5" t="n">
        <v>302000</v>
      </c>
      <c r="M1791" s="6" t="n">
        <v>390000</v>
      </c>
      <c r="N1791" s="5" t="n"/>
      <c r="O1791" s="5">
        <f>IF(AND(ISNUMBER(N1791),ISNUMBER(M1791)),N1791-M1791,"")</f>
        <v/>
      </c>
      <c r="P1791" s="7">
        <f>IF(AND(ISNUMBER(N1791),ISNUMBER(M1791),M1791&gt;0),(N1791-M1791)/M1791,"")</f>
        <v/>
      </c>
      <c r="Q1791" s="3">
        <f>IF(P1791="","",IF(P1791&lt;-0.02,"🔴 Bán phá giá sàn",IF(P1791&gt;0.05,"🔵 Bán cao hơn","🟢 Đúng giá sàn TMĐT")))</f>
        <v/>
      </c>
      <c r="R1791" s="3" t="n"/>
      <c r="S1791" s="4" t="n"/>
      <c r="T1791" s="4" t="n"/>
    </row>
    <row r="1792">
      <c r="A1792" s="3" t="n">
        <v>1791</v>
      </c>
      <c r="B1792" s="3" t="inlineStr">
        <is>
          <t>DL016</t>
        </is>
      </c>
      <c r="C1792" s="4" t="inlineStr">
        <is>
          <t>Công ty Cổ Phần Kỹ Thuật và Công Nghệ Đức Phong</t>
        </is>
      </c>
      <c r="D1792" s="3" t="inlineStr">
        <is>
          <t>HN</t>
        </is>
      </c>
      <c r="E1792" s="3" t="inlineStr">
        <is>
          <t>Lan</t>
        </is>
      </c>
      <c r="F1792" s="3" t="inlineStr">
        <is>
          <t>Website bán hàng</t>
        </is>
      </c>
      <c r="G1792" s="4" t="inlineStr">
        <is>
          <t>SHOPEE: TIKTOK: LAZADA: WEBSITE BÁN HÀNG: https://ducphongstore.com/</t>
        </is>
      </c>
      <c r="H1792" s="3" t="inlineStr">
        <is>
          <t>KIE154</t>
        </is>
      </c>
      <c r="I1792" s="4" t="inlineStr">
        <is>
          <t>Bút thử điện KIE154</t>
        </is>
      </c>
      <c r="J1792" s="3" t="inlineStr">
        <is>
          <t>Cái</t>
        </is>
      </c>
      <c r="K1792" s="5" t="n">
        <v>61000</v>
      </c>
      <c r="L1792" s="5" t="n">
        <v>72000</v>
      </c>
      <c r="M1792" s="6" t="n">
        <v>89000</v>
      </c>
      <c r="N1792" s="5" t="n"/>
      <c r="O1792" s="5">
        <f>IF(AND(ISNUMBER(N1792),ISNUMBER(M1792)),N1792-M1792,"")</f>
        <v/>
      </c>
      <c r="P1792" s="7">
        <f>IF(AND(ISNUMBER(N1792),ISNUMBER(M1792),M1792&gt;0),(N1792-M1792)/M1792,"")</f>
        <v/>
      </c>
      <c r="Q1792" s="3">
        <f>IF(P1792="","",IF(P1792&lt;-0.02,"🔴 Bán phá giá sàn",IF(P1792&gt;0.05,"🔵 Bán cao hơn","🟢 Đúng giá sàn TMĐT")))</f>
        <v/>
      </c>
      <c r="R1792" s="3" t="n"/>
      <c r="S1792" s="4" t="n"/>
      <c r="T1792" s="4" t="n"/>
    </row>
    <row r="1793">
      <c r="A1793" s="3" t="n">
        <v>1792</v>
      </c>
      <c r="B1793" s="3" t="inlineStr">
        <is>
          <t>DL016</t>
        </is>
      </c>
      <c r="C1793" s="4" t="inlineStr">
        <is>
          <t>Công ty Cổ Phần Kỹ Thuật và Công Nghệ Đức Phong</t>
        </is>
      </c>
      <c r="D1793" s="3" t="inlineStr">
        <is>
          <t>HN</t>
        </is>
      </c>
      <c r="E1793" s="3" t="inlineStr">
        <is>
          <t>Lan</t>
        </is>
      </c>
      <c r="F1793" s="3" t="inlineStr">
        <is>
          <t>Website bán hàng</t>
        </is>
      </c>
      <c r="G1793" s="4" t="inlineStr">
        <is>
          <t>SHOPEE: TIKTOK: LAZADA: WEBSITE BÁN HÀNG: https://ducphongstore.com/</t>
        </is>
      </c>
      <c r="H1793" s="3" t="inlineStr">
        <is>
          <t>D1-107x1.2</t>
        </is>
      </c>
      <c r="I1793" s="4" t="inlineStr">
        <is>
          <t>Đá cắt sắt, inox KingBlue D1-107x1.2 xanh (Hộp sắt)</t>
        </is>
      </c>
      <c r="J1793" s="3" t="inlineStr">
        <is>
          <t>Cái</t>
        </is>
      </c>
      <c r="K1793" s="5" t="n">
        <v>4000</v>
      </c>
      <c r="L1793" s="5" t="n">
        <v>5000</v>
      </c>
      <c r="M1793" s="6" t="n">
        <v>6500</v>
      </c>
      <c r="N1793" s="5" t="n"/>
      <c r="O1793" s="5">
        <f>IF(AND(ISNUMBER(N1793),ISNUMBER(M1793)),N1793-M1793,"")</f>
        <v/>
      </c>
      <c r="P1793" s="7">
        <f>IF(AND(ISNUMBER(N1793),ISNUMBER(M1793),M1793&gt;0),(N1793-M1793)/M1793,"")</f>
        <v/>
      </c>
      <c r="Q1793" s="3">
        <f>IF(P1793="","",IF(P1793&lt;-0.02,"🔴 Bán phá giá sàn",IF(P1793&gt;0.05,"🔵 Bán cao hơn","🟢 Đúng giá sàn TMĐT")))</f>
        <v/>
      </c>
      <c r="R1793" s="3" t="n"/>
      <c r="S1793" s="4" t="n"/>
      <c r="T1793" s="4" t="n"/>
    </row>
    <row r="1794">
      <c r="A1794" s="3" t="n">
        <v>1793</v>
      </c>
      <c r="B1794" s="3" t="inlineStr">
        <is>
          <t>DL016</t>
        </is>
      </c>
      <c r="C1794" s="4" t="inlineStr">
        <is>
          <t>Công ty Cổ Phần Kỹ Thuật và Công Nghệ Đức Phong</t>
        </is>
      </c>
      <c r="D1794" s="3" t="inlineStr">
        <is>
          <t>HN</t>
        </is>
      </c>
      <c r="E1794" s="3" t="inlineStr">
        <is>
          <t>Lan</t>
        </is>
      </c>
      <c r="F1794" s="3" t="inlineStr">
        <is>
          <t>Website bán hàng</t>
        </is>
      </c>
      <c r="G1794" s="4" t="inlineStr">
        <is>
          <t>SHOPEE: TIKTOK: LAZADA: WEBSITE BÁN HÀNG: https://ducphongstore.com/</t>
        </is>
      </c>
      <c r="H1794" s="3" t="inlineStr">
        <is>
          <t>D3-107x1.2</t>
        </is>
      </c>
      <c r="I1794" s="4" t="inlineStr">
        <is>
          <t>Đá cắt sắt, inox KingBlue D3-107x1.2 xanh ( hộp sắt)</t>
        </is>
      </c>
      <c r="J1794" s="3" t="inlineStr">
        <is>
          <t>Viên</t>
        </is>
      </c>
      <c r="K1794" s="5" t="n">
        <v>4600</v>
      </c>
      <c r="L1794" s="5" t="n">
        <v>5800</v>
      </c>
      <c r="M1794" s="6" t="n">
        <v>7500</v>
      </c>
      <c r="N1794" s="5" t="n"/>
      <c r="O1794" s="5">
        <f>IF(AND(ISNUMBER(N1794),ISNUMBER(M1794)),N1794-M1794,"")</f>
        <v/>
      </c>
      <c r="P1794" s="7">
        <f>IF(AND(ISNUMBER(N1794),ISNUMBER(M1794),M1794&gt;0),(N1794-M1794)/M1794,"")</f>
        <v/>
      </c>
      <c r="Q1794" s="3">
        <f>IF(P1794="","",IF(P1794&lt;-0.02,"🔴 Bán phá giá sàn",IF(P1794&gt;0.05,"🔵 Bán cao hơn","🟢 Đúng giá sàn TMĐT")))</f>
        <v/>
      </c>
      <c r="R1794" s="3" t="n"/>
      <c r="S1794" s="4" t="n"/>
      <c r="T1794" s="4" t="n"/>
    </row>
    <row r="1795">
      <c r="A1795" s="3" t="n">
        <v>1794</v>
      </c>
      <c r="B1795" s="3" t="inlineStr">
        <is>
          <t>DL016</t>
        </is>
      </c>
      <c r="C1795" s="4" t="inlineStr">
        <is>
          <t>Công ty Cổ Phần Kỹ Thuật và Công Nghệ Đức Phong</t>
        </is>
      </c>
      <c r="D1795" s="3" t="inlineStr">
        <is>
          <t>HN</t>
        </is>
      </c>
      <c r="E1795" s="3" t="inlineStr">
        <is>
          <t>Lan</t>
        </is>
      </c>
      <c r="F1795" s="3" t="inlineStr">
        <is>
          <t>Website bán hàng</t>
        </is>
      </c>
      <c r="G1795" s="4" t="inlineStr">
        <is>
          <t>SHOPEE: TIKTOK: LAZADA: WEBSITE BÁN HÀNG: https://ducphongstore.com/</t>
        </is>
      </c>
      <c r="H1795" s="3" t="inlineStr">
        <is>
          <t>D3-125x1.8</t>
        </is>
      </c>
      <c r="I1795" s="4" t="inlineStr">
        <is>
          <t>Đá cắt sắt, inox Kingblue D3-125x1.8 xanh</t>
        </is>
      </c>
      <c r="J1795" s="3" t="inlineStr">
        <is>
          <t>Viên</t>
        </is>
      </c>
      <c r="K1795" s="5" t="n">
        <v>9700</v>
      </c>
      <c r="L1795" s="5" t="n">
        <v>12000</v>
      </c>
      <c r="M1795" s="6" t="n">
        <v>15500</v>
      </c>
      <c r="N1795" s="5" t="n"/>
      <c r="O1795" s="5">
        <f>IF(AND(ISNUMBER(N1795),ISNUMBER(M1795)),N1795-M1795,"")</f>
        <v/>
      </c>
      <c r="P1795" s="7">
        <f>IF(AND(ISNUMBER(N1795),ISNUMBER(M1795),M1795&gt;0),(N1795-M1795)/M1795,"")</f>
        <v/>
      </c>
      <c r="Q1795" s="3">
        <f>IF(P1795="","",IF(P1795&lt;-0.02,"🔴 Bán phá giá sàn",IF(P1795&gt;0.05,"🔵 Bán cao hơn","🟢 Đúng giá sàn TMĐT")))</f>
        <v/>
      </c>
      <c r="R1795" s="3" t="n"/>
      <c r="S1795" s="4" t="n"/>
      <c r="T1795" s="4" t="n"/>
    </row>
    <row r="1796">
      <c r="A1796" s="3" t="n">
        <v>1795</v>
      </c>
      <c r="B1796" s="3" t="inlineStr">
        <is>
          <t>DL016</t>
        </is>
      </c>
      <c r="C1796" s="4" t="inlineStr">
        <is>
          <t>Công ty Cổ Phần Kỹ Thuật và Công Nghệ Đức Phong</t>
        </is>
      </c>
      <c r="D1796" s="3" t="inlineStr">
        <is>
          <t>HN</t>
        </is>
      </c>
      <c r="E1796" s="3" t="inlineStr">
        <is>
          <t>Lan</t>
        </is>
      </c>
      <c r="F1796" s="3" t="inlineStr">
        <is>
          <t>Website bán hàng</t>
        </is>
      </c>
      <c r="G1796" s="4" t="inlineStr">
        <is>
          <t>SHOPEE: TIKTOK: LAZADA: WEBSITE BÁN HÀNG: https://ducphongstore.com/</t>
        </is>
      </c>
      <c r="H1796" s="3" t="inlineStr">
        <is>
          <t>QE420</t>
        </is>
      </c>
      <c r="I1796" s="4" t="inlineStr">
        <is>
          <t>Kéo cắt trên cao Kingblue QE420</t>
        </is>
      </c>
      <c r="J1796" s="3" t="inlineStr">
        <is>
          <t>Cái</t>
        </is>
      </c>
      <c r="K1796" s="5" t="n">
        <v>797000</v>
      </c>
      <c r="L1796" s="5" t="n">
        <v>941000</v>
      </c>
      <c r="M1796" s="6" t="n">
        <v>1156000</v>
      </c>
      <c r="N1796" s="5" t="n"/>
      <c r="O1796" s="5">
        <f>IF(AND(ISNUMBER(N1796),ISNUMBER(M1796)),N1796-M1796,"")</f>
        <v/>
      </c>
      <c r="P1796" s="7">
        <f>IF(AND(ISNUMBER(N1796),ISNUMBER(M1796),M1796&gt;0),(N1796-M1796)/M1796,"")</f>
        <v/>
      </c>
      <c r="Q1796" s="3">
        <f>IF(P1796="","",IF(P1796&lt;-0.02,"🔴 Bán phá giá sàn",IF(P1796&gt;0.05,"🔵 Bán cao hơn","🟢 Đúng giá sàn TMĐT")))</f>
        <v/>
      </c>
      <c r="R1796" s="3" t="n"/>
      <c r="S1796" s="4" t="n"/>
      <c r="T1796" s="4" t="n"/>
    </row>
    <row r="1797">
      <c r="A1797" s="3" t="n">
        <v>1796</v>
      </c>
      <c r="B1797" s="3" t="inlineStr">
        <is>
          <t>DL016</t>
        </is>
      </c>
      <c r="C1797" s="4" t="inlineStr">
        <is>
          <t>Công ty Cổ Phần Kỹ Thuật và Công Nghệ Đức Phong</t>
        </is>
      </c>
      <c r="D1797" s="3" t="inlineStr">
        <is>
          <t>HN</t>
        </is>
      </c>
      <c r="E1797" s="3" t="inlineStr">
        <is>
          <t>Lan</t>
        </is>
      </c>
      <c r="F1797" s="3" t="inlineStr">
        <is>
          <t>Website bán hàng</t>
        </is>
      </c>
      <c r="G1797" s="4" t="inlineStr">
        <is>
          <t>SHOPEE: TIKTOK: LAZADA: WEBSITE BÁN HÀNG: https://ducphongstore.com/</t>
        </is>
      </c>
      <c r="H1797" s="3" t="inlineStr">
        <is>
          <t>KBB-80MM</t>
        </is>
      </c>
      <c r="I1797" s="4" t="inlineStr">
        <is>
          <t>Khoan Kính KingBlue KBB-80MM</t>
        </is>
      </c>
      <c r="J1797" s="3" t="inlineStr">
        <is>
          <t>Cái</t>
        </is>
      </c>
      <c r="K1797" s="5" t="n">
        <v>269000</v>
      </c>
      <c r="L1797" s="5" t="n">
        <v>317000</v>
      </c>
      <c r="M1797" s="6" t="n">
        <v>390000</v>
      </c>
      <c r="N1797" s="5" t="n"/>
      <c r="O1797" s="5">
        <f>IF(AND(ISNUMBER(N1797),ISNUMBER(M1797)),N1797-M1797,"")</f>
        <v/>
      </c>
      <c r="P1797" s="7">
        <f>IF(AND(ISNUMBER(N1797),ISNUMBER(M1797),M1797&gt;0),(N1797-M1797)/M1797,"")</f>
        <v/>
      </c>
      <c r="Q1797" s="3">
        <f>IF(P1797="","",IF(P1797&lt;-0.02,"🔴 Bán phá giá sàn",IF(P1797&gt;0.05,"🔵 Bán cao hơn","🟢 Đúng giá sàn TMĐT")))</f>
        <v/>
      </c>
      <c r="R1797" s="3" t="n"/>
      <c r="S1797" s="4" t="n"/>
      <c r="T1797" s="4" t="n"/>
    </row>
    <row r="1798">
      <c r="A1798" s="3" t="n">
        <v>1797</v>
      </c>
      <c r="B1798" s="3" t="inlineStr">
        <is>
          <t>DL016</t>
        </is>
      </c>
      <c r="C1798" s="4" t="inlineStr">
        <is>
          <t>Công ty Cổ Phần Kỹ Thuật và Công Nghệ Đức Phong</t>
        </is>
      </c>
      <c r="D1798" s="3" t="inlineStr">
        <is>
          <t>HN</t>
        </is>
      </c>
      <c r="E1798" s="3" t="inlineStr">
        <is>
          <t>Lan</t>
        </is>
      </c>
      <c r="F1798" s="3" t="inlineStr">
        <is>
          <t>Website bán hàng</t>
        </is>
      </c>
      <c r="G1798" s="4" t="inlineStr">
        <is>
          <t>SHOPEE: TIKTOK: LAZADA: WEBSITE BÁN HÀNG: https://ducphongstore.com/</t>
        </is>
      </c>
      <c r="H1798" s="3" t="inlineStr">
        <is>
          <t>KBB-90MM</t>
        </is>
      </c>
      <c r="I1798" s="4" t="inlineStr">
        <is>
          <t>Khoan Kính KingBlue KBB-90MM</t>
        </is>
      </c>
      <c r="J1798" s="3" t="inlineStr">
        <is>
          <t>Cái</t>
        </is>
      </c>
      <c r="K1798" s="5" t="n">
        <v>269000</v>
      </c>
      <c r="L1798" s="5" t="n">
        <v>317000</v>
      </c>
      <c r="M1798" s="6" t="n">
        <v>390000</v>
      </c>
      <c r="N1798" s="5" t="n"/>
      <c r="O1798" s="5">
        <f>IF(AND(ISNUMBER(N1798),ISNUMBER(M1798)),N1798-M1798,"")</f>
        <v/>
      </c>
      <c r="P1798" s="7">
        <f>IF(AND(ISNUMBER(N1798),ISNUMBER(M1798),M1798&gt;0),(N1798-M1798)/M1798,"")</f>
        <v/>
      </c>
      <c r="Q1798" s="3">
        <f>IF(P1798="","",IF(P1798&lt;-0.02,"🔴 Bán phá giá sàn",IF(P1798&gt;0.05,"🔵 Bán cao hơn","🟢 Đúng giá sàn TMĐT")))</f>
        <v/>
      </c>
      <c r="R1798" s="3" t="n"/>
      <c r="S1798" s="4" t="n"/>
      <c r="T1798" s="4" t="n"/>
    </row>
    <row r="1799">
      <c r="A1799" s="3" t="n">
        <v>1798</v>
      </c>
      <c r="B1799" s="3" t="inlineStr">
        <is>
          <t>DL016</t>
        </is>
      </c>
      <c r="C1799" s="4" t="inlineStr">
        <is>
          <t>Công ty Cổ Phần Kỹ Thuật và Công Nghệ Đức Phong</t>
        </is>
      </c>
      <c r="D1799" s="3" t="inlineStr">
        <is>
          <t>HN</t>
        </is>
      </c>
      <c r="E1799" s="3" t="inlineStr">
        <is>
          <t>Lan</t>
        </is>
      </c>
      <c r="F1799" s="3" t="inlineStr">
        <is>
          <t>Website bán hàng</t>
        </is>
      </c>
      <c r="G1799" s="4" t="inlineStr">
        <is>
          <t>SHOPEE: TIKTOK: LAZADA: WEBSITE BÁN HÀNG: https://ducphongstore.com/</t>
        </is>
      </c>
      <c r="H1799" s="3" t="inlineStr">
        <is>
          <t>K1-185x32T</t>
        </is>
      </c>
      <c r="I1799" s="4" t="inlineStr">
        <is>
          <t>Lưỡi cưa kim loại KingBlue K1-185x32T (Cưa sắt)</t>
        </is>
      </c>
      <c r="J1799" s="3" t="inlineStr">
        <is>
          <t>Cái</t>
        </is>
      </c>
      <c r="K1799" s="5" t="n">
        <v>273000</v>
      </c>
      <c r="L1799" s="5" t="n">
        <v>322000</v>
      </c>
      <c r="M1799" s="6" t="n">
        <v>396000</v>
      </c>
      <c r="N1799" s="5" t="n"/>
      <c r="O1799" s="5">
        <f>IF(AND(ISNUMBER(N1799),ISNUMBER(M1799)),N1799-M1799,"")</f>
        <v/>
      </c>
      <c r="P1799" s="7">
        <f>IF(AND(ISNUMBER(N1799),ISNUMBER(M1799),M1799&gt;0),(N1799-M1799)/M1799,"")</f>
        <v/>
      </c>
      <c r="Q1799" s="3">
        <f>IF(P1799="","",IF(P1799&lt;-0.02,"🔴 Bán phá giá sàn",IF(P1799&gt;0.05,"🔵 Bán cao hơn","🟢 Đúng giá sàn TMĐT")))</f>
        <v/>
      </c>
      <c r="R1799" s="3" t="n"/>
      <c r="S1799" s="4" t="n"/>
      <c r="T1799" s="4" t="n"/>
    </row>
    <row r="1800">
      <c r="A1800" s="3" t="n">
        <v>1799</v>
      </c>
      <c r="B1800" s="3" t="inlineStr">
        <is>
          <t>DL016</t>
        </is>
      </c>
      <c r="C1800" s="4" t="inlineStr">
        <is>
          <t>Công ty Cổ Phần Kỹ Thuật và Công Nghệ Đức Phong</t>
        </is>
      </c>
      <c r="D1800" s="3" t="inlineStr">
        <is>
          <t>HN</t>
        </is>
      </c>
      <c r="E1800" s="3" t="inlineStr">
        <is>
          <t>Lan</t>
        </is>
      </c>
      <c r="F1800" s="3" t="inlineStr">
        <is>
          <t>Website bán hàng</t>
        </is>
      </c>
      <c r="G1800" s="4" t="inlineStr">
        <is>
          <t>SHOPEE: TIKTOK: LAZADA: WEBSITE BÁN HÀNG: https://ducphongstore.com/</t>
        </is>
      </c>
      <c r="H1800" s="3" t="inlineStr">
        <is>
          <t>KM18QD</t>
        </is>
      </c>
      <c r="I1800" s="4" t="inlineStr">
        <is>
          <t>Máy Khoan 3 Chức Năng 18V KM18QD</t>
        </is>
      </c>
      <c r="J1800" s="3" t="inlineStr">
        <is>
          <t>Cái</t>
        </is>
      </c>
      <c r="K1800" s="5" t="n">
        <v>1780000</v>
      </c>
      <c r="L1800" s="5" t="n">
        <v>1960000</v>
      </c>
      <c r="M1800" s="6" t="n">
        <v>2230000</v>
      </c>
      <c r="N1800" s="5" t="n"/>
      <c r="O1800" s="5">
        <f>IF(AND(ISNUMBER(N1800),ISNUMBER(M1800)),N1800-M1800,"")</f>
        <v/>
      </c>
      <c r="P1800" s="7">
        <f>IF(AND(ISNUMBER(N1800),ISNUMBER(M1800),M1800&gt;0),(N1800-M1800)/M1800,"")</f>
        <v/>
      </c>
      <c r="Q1800" s="3">
        <f>IF(P1800="","",IF(P1800&lt;-0.02,"🔴 Bán phá giá sàn",IF(P1800&gt;0.05,"🔵 Bán cao hơn","🟢 Đúng giá sàn TMĐT")))</f>
        <v/>
      </c>
      <c r="R1800" s="3" t="n"/>
      <c r="S1800" s="4" t="n"/>
      <c r="T1800" s="4" t="n"/>
    </row>
    <row r="1801">
      <c r="A1801" s="3" t="n">
        <v>1800</v>
      </c>
      <c r="B1801" s="3" t="inlineStr">
        <is>
          <t>DL016</t>
        </is>
      </c>
      <c r="C1801" s="4" t="inlineStr">
        <is>
          <t>Công ty Cổ Phần Kỹ Thuật và Công Nghệ Đức Phong</t>
        </is>
      </c>
      <c r="D1801" s="3" t="inlineStr">
        <is>
          <t>HN</t>
        </is>
      </c>
      <c r="E1801" s="3" t="inlineStr">
        <is>
          <t>Lan</t>
        </is>
      </c>
      <c r="F1801" s="3" t="inlineStr">
        <is>
          <t>Website bán hàng</t>
        </is>
      </c>
      <c r="G1801" s="4" t="inlineStr">
        <is>
          <t>SHOPEE: TIKTOK: LAZADA: WEBSITE BÁN HÀNG: https://ducphongstore.com/</t>
        </is>
      </c>
      <c r="H1801" s="3" t="inlineStr"/>
      <c r="I1801" s="4" t="inlineStr">
        <is>
          <t>Mũi định tâm chuôi dài</t>
        </is>
      </c>
      <c r="J1801" s="3" t="inlineStr">
        <is>
          <t>Cái</t>
        </is>
      </c>
      <c r="K1801" s="5" t="n">
        <v>269000</v>
      </c>
      <c r="L1801" s="5" t="n">
        <v>317000</v>
      </c>
      <c r="M1801" s="6" t="n">
        <v>390000</v>
      </c>
      <c r="N1801" s="5" t="n"/>
      <c r="O1801" s="5">
        <f>IF(AND(ISNUMBER(N1801),ISNUMBER(M1801)),N1801-M1801,"")</f>
        <v/>
      </c>
      <c r="P1801" s="7">
        <f>IF(AND(ISNUMBER(N1801),ISNUMBER(M1801),M1801&gt;0),(N1801-M1801)/M1801,"")</f>
        <v/>
      </c>
      <c r="Q1801" s="3">
        <f>IF(P1801="","",IF(P1801&lt;-0.02,"🔴 Bán phá giá sàn",IF(P1801&gt;0.05,"🔵 Bán cao hơn","🟢 Đúng giá sàn TMĐT")))</f>
        <v/>
      </c>
      <c r="R1801" s="3" t="n"/>
      <c r="S1801" s="4" t="n"/>
      <c r="T1801" s="4" t="n"/>
    </row>
    <row r="1802">
      <c r="A1802" s="3" t="n">
        <v>1801</v>
      </c>
      <c r="B1802" s="3" t="inlineStr">
        <is>
          <t>DL016</t>
        </is>
      </c>
      <c r="C1802" s="4" t="inlineStr">
        <is>
          <t>Công ty Cổ Phần Kỹ Thuật và Công Nghệ Đức Phong</t>
        </is>
      </c>
      <c r="D1802" s="3" t="inlineStr">
        <is>
          <t>HN</t>
        </is>
      </c>
      <c r="E1802" s="3" t="inlineStr">
        <is>
          <t>Lan</t>
        </is>
      </c>
      <c r="F1802" s="3" t="inlineStr">
        <is>
          <t>Website bán hàng</t>
        </is>
      </c>
      <c r="G1802" s="4" t="inlineStr">
        <is>
          <t>SHOPEE: TIKTOK: LAZADA: WEBSITE BÁN HÀNG: https://ducphongstore.com/</t>
        </is>
      </c>
      <c r="H1802" s="3" t="inlineStr">
        <is>
          <t>KBL2-10310</t>
        </is>
      </c>
      <c r="I1802" s="4" t="inlineStr">
        <is>
          <t>Mũi khoan bê tông gài xuyên tường 2 cạnh KBL2-10*310</t>
        </is>
      </c>
      <c r="J1802" s="3" t="inlineStr">
        <is>
          <t>Cái</t>
        </is>
      </c>
      <c r="K1802" s="5" t="n">
        <v>44000</v>
      </c>
      <c r="L1802" s="5" t="n">
        <v>54000</v>
      </c>
      <c r="M1802" s="6" t="n">
        <v>68000</v>
      </c>
      <c r="N1802" s="5" t="n"/>
      <c r="O1802" s="5">
        <f>IF(AND(ISNUMBER(N1802),ISNUMBER(M1802)),N1802-M1802,"")</f>
        <v/>
      </c>
      <c r="P1802" s="7">
        <f>IF(AND(ISNUMBER(N1802),ISNUMBER(M1802),M1802&gt;0),(N1802-M1802)/M1802,"")</f>
        <v/>
      </c>
      <c r="Q1802" s="3">
        <f>IF(P1802="","",IF(P1802&lt;-0.02,"🔴 Bán phá giá sàn",IF(P1802&gt;0.05,"🔵 Bán cao hơn","🟢 Đúng giá sàn TMĐT")))</f>
        <v/>
      </c>
      <c r="R1802" s="3" t="n"/>
      <c r="S1802" s="4" t="n"/>
      <c r="T1802" s="4" t="n"/>
    </row>
    <row r="1803">
      <c r="A1803" s="3" t="n">
        <v>1802</v>
      </c>
      <c r="B1803" s="3" t="inlineStr">
        <is>
          <t>DL016</t>
        </is>
      </c>
      <c r="C1803" s="4" t="inlineStr">
        <is>
          <t>Công ty Cổ Phần Kỹ Thuật và Công Nghệ Đức Phong</t>
        </is>
      </c>
      <c r="D1803" s="3" t="inlineStr">
        <is>
          <t>HN</t>
        </is>
      </c>
      <c r="E1803" s="3" t="inlineStr">
        <is>
          <t>Lan</t>
        </is>
      </c>
      <c r="F1803" s="3" t="inlineStr">
        <is>
          <t>Website bán hàng</t>
        </is>
      </c>
      <c r="G1803" s="4" t="inlineStr">
        <is>
          <t>SHOPEE: TIKTOK: LAZADA: WEBSITE BÁN HÀNG: https://ducphongstore.com/</t>
        </is>
      </c>
      <c r="H1803" s="3" t="inlineStr">
        <is>
          <t>KBL2-12310</t>
        </is>
      </c>
      <c r="I1803" s="4" t="inlineStr">
        <is>
          <t>Mũi khoan bê tông gài xuyên tường 2 cạnh KBL2-12*310</t>
        </is>
      </c>
      <c r="J1803" s="3" t="inlineStr">
        <is>
          <t>Cái</t>
        </is>
      </c>
      <c r="K1803" s="5" t="n">
        <v>45000</v>
      </c>
      <c r="L1803" s="5" t="n">
        <v>55000</v>
      </c>
      <c r="M1803" s="6" t="n">
        <v>70000</v>
      </c>
      <c r="N1803" s="5" t="n"/>
      <c r="O1803" s="5">
        <f>IF(AND(ISNUMBER(N1803),ISNUMBER(M1803)),N1803-M1803,"")</f>
        <v/>
      </c>
      <c r="P1803" s="7">
        <f>IF(AND(ISNUMBER(N1803),ISNUMBER(M1803),M1803&gt;0),(N1803-M1803)/M1803,"")</f>
        <v/>
      </c>
      <c r="Q1803" s="3">
        <f>IF(P1803="","",IF(P1803&lt;-0.02,"🔴 Bán phá giá sàn",IF(P1803&gt;0.05,"🔵 Bán cao hơn","🟢 Đúng giá sàn TMĐT")))</f>
        <v/>
      </c>
      <c r="R1803" s="3" t="n"/>
      <c r="S1803" s="4" t="n"/>
      <c r="T1803" s="4" t="n"/>
    </row>
    <row r="1804">
      <c r="A1804" s="3" t="n">
        <v>1803</v>
      </c>
      <c r="B1804" s="3" t="inlineStr">
        <is>
          <t>DL016</t>
        </is>
      </c>
      <c r="C1804" s="4" t="inlineStr">
        <is>
          <t>Công ty Cổ Phần Kỹ Thuật và Công Nghệ Đức Phong</t>
        </is>
      </c>
      <c r="D1804" s="3" t="inlineStr">
        <is>
          <t>HN</t>
        </is>
      </c>
      <c r="E1804" s="3" t="inlineStr">
        <is>
          <t>Lan</t>
        </is>
      </c>
      <c r="F1804" s="3" t="inlineStr">
        <is>
          <t>Website bán hàng</t>
        </is>
      </c>
      <c r="G1804" s="4" t="inlineStr">
        <is>
          <t>SHOPEE: TIKTOK: LAZADA: WEBSITE BÁN HÀNG: https://ducphongstore.com/</t>
        </is>
      </c>
      <c r="H1804" s="3" t="inlineStr">
        <is>
          <t>KBRS-60155</t>
        </is>
      </c>
      <c r="I1804" s="4" t="inlineStr">
        <is>
          <t>Mũi khoan rút lõi KBRS-60*155</t>
        </is>
      </c>
      <c r="J1804" s="3" t="inlineStr">
        <is>
          <t>Cái</t>
        </is>
      </c>
      <c r="K1804" s="5" t="n">
        <v>269000</v>
      </c>
      <c r="L1804" s="5" t="n">
        <v>317000</v>
      </c>
      <c r="M1804" s="6" t="n">
        <v>390000</v>
      </c>
      <c r="N1804" s="5" t="n"/>
      <c r="O1804" s="5">
        <f>IF(AND(ISNUMBER(N1804),ISNUMBER(M1804)),N1804-M1804,"")</f>
        <v/>
      </c>
      <c r="P1804" s="7">
        <f>IF(AND(ISNUMBER(N1804),ISNUMBER(M1804),M1804&gt;0),(N1804-M1804)/M1804,"")</f>
        <v/>
      </c>
      <c r="Q1804" s="3">
        <f>IF(P1804="","",IF(P1804&lt;-0.02,"🔴 Bán phá giá sàn",IF(P1804&gt;0.05,"🔵 Bán cao hơn","🟢 Đúng giá sàn TMĐT")))</f>
        <v/>
      </c>
      <c r="R1804" s="3" t="n"/>
      <c r="S1804" s="4" t="n"/>
      <c r="T1804" s="4" t="n"/>
    </row>
    <row r="1805">
      <c r="A1805" s="3" t="n">
        <v>1804</v>
      </c>
      <c r="B1805" s="3" t="inlineStr">
        <is>
          <t>DL016</t>
        </is>
      </c>
      <c r="C1805" s="4" t="inlineStr">
        <is>
          <t>Công ty Cổ Phần Kỹ Thuật và Công Nghệ Đức Phong</t>
        </is>
      </c>
      <c r="D1805" s="3" t="inlineStr">
        <is>
          <t>HN</t>
        </is>
      </c>
      <c r="E1805" s="3" t="inlineStr">
        <is>
          <t>Lan</t>
        </is>
      </c>
      <c r="F1805" s="3" t="inlineStr">
        <is>
          <t>Website bán hàng</t>
        </is>
      </c>
      <c r="G1805" s="4" t="inlineStr">
        <is>
          <t>SHOPEE: TIKTOK: LAZADA: WEBSITE BÁN HÀNG: https://ducphongstore.com/</t>
        </is>
      </c>
      <c r="H1805" s="3" t="inlineStr">
        <is>
          <t>KBR-M30.5</t>
        </is>
      </c>
      <c r="I1805" s="4" t="inlineStr">
        <is>
          <t>Mũi khoan TARO KBR-M3*0.5</t>
        </is>
      </c>
      <c r="J1805" s="3" t="inlineStr">
        <is>
          <t>Cái</t>
        </is>
      </c>
      <c r="K1805" s="5" t="n">
        <v>58000</v>
      </c>
      <c r="L1805" s="5" t="n">
        <v>72000</v>
      </c>
      <c r="M1805" s="6" t="n">
        <v>93000</v>
      </c>
      <c r="N1805" s="5" t="n"/>
      <c r="O1805" s="5">
        <f>IF(AND(ISNUMBER(N1805),ISNUMBER(M1805)),N1805-M1805,"")</f>
        <v/>
      </c>
      <c r="P1805" s="7">
        <f>IF(AND(ISNUMBER(N1805),ISNUMBER(M1805),M1805&gt;0),(N1805-M1805)/M1805,"")</f>
        <v/>
      </c>
      <c r="Q1805" s="3">
        <f>IF(P1805="","",IF(P1805&lt;-0.02,"🔴 Bán phá giá sàn",IF(P1805&gt;0.05,"🔵 Bán cao hơn","🟢 Đúng giá sàn TMĐT")))</f>
        <v/>
      </c>
      <c r="R1805" s="3" t="n"/>
      <c r="S1805" s="4" t="n"/>
      <c r="T1805" s="4" t="n"/>
    </row>
    <row r="1806">
      <c r="A1806" s="3" t="n">
        <v>1805</v>
      </c>
      <c r="B1806" s="3" t="inlineStr">
        <is>
          <t>DL016</t>
        </is>
      </c>
      <c r="C1806" s="4" t="inlineStr">
        <is>
          <t>Công ty Cổ Phần Kỹ Thuật và Công Nghệ Đức Phong</t>
        </is>
      </c>
      <c r="D1806" s="3" t="inlineStr">
        <is>
          <t>HN</t>
        </is>
      </c>
      <c r="E1806" s="3" t="inlineStr">
        <is>
          <t>Lan</t>
        </is>
      </c>
      <c r="F1806" s="3" t="inlineStr">
        <is>
          <t>Website bán hàng</t>
        </is>
      </c>
      <c r="G1806" s="4" t="inlineStr">
        <is>
          <t>SHOPEE: TIKTOK: LAZADA: WEBSITE BÁN HÀNG: https://ducphongstore.com/</t>
        </is>
      </c>
      <c r="H1806" s="3" t="inlineStr">
        <is>
          <t>KBR-M40.7</t>
        </is>
      </c>
      <c r="I1806" s="4" t="inlineStr">
        <is>
          <t>Mũi khoan TARO KBR-M4*0.7</t>
        </is>
      </c>
      <c r="J1806" s="3" t="inlineStr">
        <is>
          <t>Cái</t>
        </is>
      </c>
      <c r="K1806" s="5" t="n">
        <v>58000</v>
      </c>
      <c r="L1806" s="5" t="n">
        <v>72000</v>
      </c>
      <c r="M1806" s="6" t="n">
        <v>93000</v>
      </c>
      <c r="N1806" s="5" t="n"/>
      <c r="O1806" s="5">
        <f>IF(AND(ISNUMBER(N1806),ISNUMBER(M1806)),N1806-M1806,"")</f>
        <v/>
      </c>
      <c r="P1806" s="7">
        <f>IF(AND(ISNUMBER(N1806),ISNUMBER(M1806),M1806&gt;0),(N1806-M1806)/M1806,"")</f>
        <v/>
      </c>
      <c r="Q1806" s="3">
        <f>IF(P1806="","",IF(P1806&lt;-0.02,"🔴 Bán phá giá sàn",IF(P1806&gt;0.05,"🔵 Bán cao hơn","🟢 Đúng giá sàn TMĐT")))</f>
        <v/>
      </c>
      <c r="R1806" s="3" t="n"/>
      <c r="S1806" s="4" t="n"/>
      <c r="T1806" s="4" t="n"/>
    </row>
    <row r="1807">
      <c r="A1807" s="3" t="n">
        <v>1806</v>
      </c>
      <c r="B1807" s="3" t="inlineStr">
        <is>
          <t>DL016</t>
        </is>
      </c>
      <c r="C1807" s="4" t="inlineStr">
        <is>
          <t>Công ty Cổ Phần Kỹ Thuật và Công Nghệ Đức Phong</t>
        </is>
      </c>
      <c r="D1807" s="3" t="inlineStr">
        <is>
          <t>HN</t>
        </is>
      </c>
      <c r="E1807" s="3" t="inlineStr">
        <is>
          <t>Lan</t>
        </is>
      </c>
      <c r="F1807" s="3" t="inlineStr">
        <is>
          <t>Website bán hàng</t>
        </is>
      </c>
      <c r="G1807" s="4" t="inlineStr">
        <is>
          <t>SHOPEE: TIKTOK: LAZADA: WEBSITE BÁN HÀNG: https://ducphongstore.com/</t>
        </is>
      </c>
      <c r="H1807" s="3" t="inlineStr">
        <is>
          <t>KBR-M50.8</t>
        </is>
      </c>
      <c r="I1807" s="4" t="inlineStr">
        <is>
          <t>Mũi khoan TARO KBR-M5*0.8</t>
        </is>
      </c>
      <c r="J1807" s="3" t="inlineStr">
        <is>
          <t>Cái</t>
        </is>
      </c>
      <c r="K1807" s="5" t="n">
        <v>58000</v>
      </c>
      <c r="L1807" s="5" t="n">
        <v>72000</v>
      </c>
      <c r="M1807" s="6" t="n">
        <v>93000</v>
      </c>
      <c r="N1807" s="5" t="n"/>
      <c r="O1807" s="5">
        <f>IF(AND(ISNUMBER(N1807),ISNUMBER(M1807)),N1807-M1807,"")</f>
        <v/>
      </c>
      <c r="P1807" s="7">
        <f>IF(AND(ISNUMBER(N1807),ISNUMBER(M1807),M1807&gt;0),(N1807-M1807)/M1807,"")</f>
        <v/>
      </c>
      <c r="Q1807" s="3">
        <f>IF(P1807="","",IF(P1807&lt;-0.02,"🔴 Bán phá giá sàn",IF(P1807&gt;0.05,"🔵 Bán cao hơn","🟢 Đúng giá sàn TMĐT")))</f>
        <v/>
      </c>
      <c r="R1807" s="3" t="n"/>
      <c r="S1807" s="4" t="n"/>
      <c r="T1807" s="4" t="n"/>
    </row>
    <row r="1808">
      <c r="A1808" s="3" t="n">
        <v>1807</v>
      </c>
      <c r="B1808" s="3" t="inlineStr">
        <is>
          <t>DL016</t>
        </is>
      </c>
      <c r="C1808" s="4" t="inlineStr">
        <is>
          <t>Công ty Cổ Phần Kỹ Thuật và Công Nghệ Đức Phong</t>
        </is>
      </c>
      <c r="D1808" s="3" t="inlineStr">
        <is>
          <t>HN</t>
        </is>
      </c>
      <c r="E1808" s="3" t="inlineStr">
        <is>
          <t>Lan</t>
        </is>
      </c>
      <c r="F1808" s="3" t="inlineStr">
        <is>
          <t>Website bán hàng</t>
        </is>
      </c>
      <c r="G1808" s="4" t="inlineStr">
        <is>
          <t>SHOPEE: TIKTOK: LAZADA: WEBSITE BÁN HÀNG: https://ducphongstore.com/</t>
        </is>
      </c>
      <c r="H1808" s="3" t="inlineStr">
        <is>
          <t>KBT-0420</t>
        </is>
      </c>
      <c r="I1808" s="4" t="inlineStr">
        <is>
          <t>Mũi khoan tháp M2 KBT-04*20</t>
        </is>
      </c>
      <c r="J1808" s="3" t="inlineStr">
        <is>
          <t>Cái</t>
        </is>
      </c>
      <c r="K1808" s="5" t="n">
        <v>170000</v>
      </c>
      <c r="L1808" s="5" t="n">
        <v>211000</v>
      </c>
      <c r="M1808" s="6" t="n">
        <v>272000</v>
      </c>
      <c r="N1808" s="5" t="n"/>
      <c r="O1808" s="5">
        <f>IF(AND(ISNUMBER(N1808),ISNUMBER(M1808)),N1808-M1808,"")</f>
        <v/>
      </c>
      <c r="P1808" s="7">
        <f>IF(AND(ISNUMBER(N1808),ISNUMBER(M1808),M1808&gt;0),(N1808-M1808)/M1808,"")</f>
        <v/>
      </c>
      <c r="Q1808" s="3">
        <f>IF(P1808="","",IF(P1808&lt;-0.02,"🔴 Bán phá giá sàn",IF(P1808&gt;0.05,"🔵 Bán cao hơn","🟢 Đúng giá sàn TMĐT")))</f>
        <v/>
      </c>
      <c r="R1808" s="3" t="n"/>
      <c r="S1808" s="4" t="n"/>
      <c r="T1808" s="4" t="n"/>
    </row>
    <row r="1809">
      <c r="A1809" s="3" t="n">
        <v>1808</v>
      </c>
      <c r="B1809" s="3" t="inlineStr">
        <is>
          <t>DL016</t>
        </is>
      </c>
      <c r="C1809" s="4" t="inlineStr">
        <is>
          <t>Công ty Cổ Phần Kỹ Thuật và Công Nghệ Đức Phong</t>
        </is>
      </c>
      <c r="D1809" s="3" t="inlineStr">
        <is>
          <t>HN</t>
        </is>
      </c>
      <c r="E1809" s="3" t="inlineStr">
        <is>
          <t>Lan</t>
        </is>
      </c>
      <c r="F1809" s="3" t="inlineStr">
        <is>
          <t>Website bán hàng</t>
        </is>
      </c>
      <c r="G1809" s="4" t="inlineStr">
        <is>
          <t>SHOPEE: TIKTOK: LAZADA: WEBSITE BÁN HÀNG: https://ducphongstore.com/</t>
        </is>
      </c>
      <c r="H1809" s="3" t="inlineStr">
        <is>
          <t>KBT-0432</t>
        </is>
      </c>
      <c r="I1809" s="4" t="inlineStr">
        <is>
          <t>Mũi khoan tháp M2 KBT-04*32</t>
        </is>
      </c>
      <c r="J1809" s="3" t="inlineStr">
        <is>
          <t>Cái</t>
        </is>
      </c>
      <c r="K1809" s="5" t="n">
        <v>319000</v>
      </c>
      <c r="L1809" s="5" t="n">
        <v>395000</v>
      </c>
      <c r="M1809" s="6" t="n">
        <v>510000</v>
      </c>
      <c r="N1809" s="5" t="n"/>
      <c r="O1809" s="5">
        <f>IF(AND(ISNUMBER(N1809),ISNUMBER(M1809)),N1809-M1809,"")</f>
        <v/>
      </c>
      <c r="P1809" s="7">
        <f>IF(AND(ISNUMBER(N1809),ISNUMBER(M1809),M1809&gt;0),(N1809-M1809)/M1809,"")</f>
        <v/>
      </c>
      <c r="Q1809" s="3">
        <f>IF(P1809="","",IF(P1809&lt;-0.02,"🔴 Bán phá giá sàn",IF(P1809&gt;0.05,"🔵 Bán cao hơn","🟢 Đúng giá sàn TMĐT")))</f>
        <v/>
      </c>
      <c r="R1809" s="3" t="n"/>
      <c r="S1809" s="4" t="n"/>
      <c r="T1809" s="4" t="n"/>
    </row>
    <row r="1810">
      <c r="A1810" s="3" t="n">
        <v>1809</v>
      </c>
      <c r="B1810" s="3" t="inlineStr">
        <is>
          <t>DL016</t>
        </is>
      </c>
      <c r="C1810" s="4" t="inlineStr">
        <is>
          <t>Công ty Cổ Phần Kỹ Thuật và Công Nghệ Đức Phong</t>
        </is>
      </c>
      <c r="D1810" s="3" t="inlineStr">
        <is>
          <t>HN</t>
        </is>
      </c>
      <c r="E1810" s="3" t="inlineStr">
        <is>
          <t>Lan</t>
        </is>
      </c>
      <c r="F1810" s="3" t="inlineStr">
        <is>
          <t>Website bán hàng</t>
        </is>
      </c>
      <c r="G1810" s="4" t="inlineStr">
        <is>
          <t>SHOPEE: TIKTOK: LAZADA: WEBSITE BÁN HÀNG: https://ducphongstore.com/</t>
        </is>
      </c>
      <c r="H1810" s="3" t="inlineStr">
        <is>
          <t>M3-20/35</t>
        </is>
      </c>
      <c r="I1810" s="4" t="inlineStr">
        <is>
          <t>Mũi khoan từ KingBlue M3-20/35</t>
        </is>
      </c>
      <c r="J1810" s="3" t="inlineStr">
        <is>
          <t>Cái</t>
        </is>
      </c>
      <c r="K1810" s="5" t="n">
        <v>269000</v>
      </c>
      <c r="L1810" s="5" t="n">
        <v>317000</v>
      </c>
      <c r="M1810" s="6" t="n">
        <v>390000</v>
      </c>
      <c r="N1810" s="5" t="n"/>
      <c r="O1810" s="5">
        <f>IF(AND(ISNUMBER(N1810),ISNUMBER(M1810)),N1810-M1810,"")</f>
        <v/>
      </c>
      <c r="P1810" s="7">
        <f>IF(AND(ISNUMBER(N1810),ISNUMBER(M1810),M1810&gt;0),(N1810-M1810)/M1810,"")</f>
        <v/>
      </c>
      <c r="Q1810" s="3">
        <f>IF(P1810="","",IF(P1810&lt;-0.02,"🔴 Bán phá giá sàn",IF(P1810&gt;0.05,"🔵 Bán cao hơn","🟢 Đúng giá sàn TMĐT")))</f>
        <v/>
      </c>
      <c r="R1810" s="3" t="n"/>
      <c r="S1810" s="4" t="n"/>
      <c r="T1810" s="4" t="n"/>
    </row>
    <row r="1811">
      <c r="A1811" s="3" t="n">
        <v>1810</v>
      </c>
      <c r="B1811" s="3" t="inlineStr">
        <is>
          <t>DL016</t>
        </is>
      </c>
      <c r="C1811" s="4" t="inlineStr">
        <is>
          <t>Công ty Cổ Phần Kỹ Thuật và Công Nghệ Đức Phong</t>
        </is>
      </c>
      <c r="D1811" s="3" t="inlineStr">
        <is>
          <t>HN</t>
        </is>
      </c>
      <c r="E1811" s="3" t="inlineStr">
        <is>
          <t>Lan</t>
        </is>
      </c>
      <c r="F1811" s="3" t="inlineStr">
        <is>
          <t>Website bán hàng</t>
        </is>
      </c>
      <c r="G1811" s="4" t="inlineStr">
        <is>
          <t>SHOPEE: TIKTOK: LAZADA: WEBSITE BÁN HÀNG: https://ducphongstore.com/</t>
        </is>
      </c>
      <c r="H1811" s="3" t="inlineStr">
        <is>
          <t>M3-24/35</t>
        </is>
      </c>
      <c r="I1811" s="4" t="inlineStr">
        <is>
          <t>Mũi khoan từ KingBlue M3-24/35</t>
        </is>
      </c>
      <c r="J1811" s="3" t="inlineStr">
        <is>
          <t>Cái</t>
        </is>
      </c>
      <c r="K1811" s="5" t="n">
        <v>269000</v>
      </c>
      <c r="L1811" s="5" t="n">
        <v>317000</v>
      </c>
      <c r="M1811" s="6" t="n">
        <v>390000</v>
      </c>
      <c r="N1811" s="5" t="n"/>
      <c r="O1811" s="5">
        <f>IF(AND(ISNUMBER(N1811),ISNUMBER(M1811)),N1811-M1811,"")</f>
        <v/>
      </c>
      <c r="P1811" s="7">
        <f>IF(AND(ISNUMBER(N1811),ISNUMBER(M1811),M1811&gt;0),(N1811-M1811)/M1811,"")</f>
        <v/>
      </c>
      <c r="Q1811" s="3">
        <f>IF(P1811="","",IF(P1811&lt;-0.02,"🔴 Bán phá giá sàn",IF(P1811&gt;0.05,"🔵 Bán cao hơn","🟢 Đúng giá sàn TMĐT")))</f>
        <v/>
      </c>
      <c r="R1811" s="3" t="n"/>
      <c r="S1811" s="4" t="n"/>
      <c r="T1811" s="4" t="n"/>
    </row>
    <row r="1812">
      <c r="A1812" s="3" t="n">
        <v>1811</v>
      </c>
      <c r="B1812" s="3" t="inlineStr">
        <is>
          <t>DL016</t>
        </is>
      </c>
      <c r="C1812" s="4" t="inlineStr">
        <is>
          <t>Công ty Cổ Phần Kỹ Thuật và Công Nghệ Đức Phong</t>
        </is>
      </c>
      <c r="D1812" s="3" t="inlineStr">
        <is>
          <t>HN</t>
        </is>
      </c>
      <c r="E1812" s="3" t="inlineStr">
        <is>
          <t>Lan</t>
        </is>
      </c>
      <c r="F1812" s="3" t="inlineStr">
        <is>
          <t>Website bán hàng</t>
        </is>
      </c>
      <c r="G1812" s="4" t="inlineStr">
        <is>
          <t>SHOPEE: TIKTOK: LAZADA: WEBSITE BÁN HÀNG: https://ducphongstore.com/</t>
        </is>
      </c>
      <c r="H1812" s="3" t="inlineStr">
        <is>
          <t>M3-28/35</t>
        </is>
      </c>
      <c r="I1812" s="4" t="inlineStr">
        <is>
          <t>Mũi khoan từ KingBlue M3-28/35</t>
        </is>
      </c>
      <c r="J1812" s="3" t="inlineStr">
        <is>
          <t>Cái</t>
        </is>
      </c>
      <c r="K1812" s="5" t="n">
        <v>269000</v>
      </c>
      <c r="L1812" s="5" t="n">
        <v>317000</v>
      </c>
      <c r="M1812" s="6" t="n">
        <v>390000</v>
      </c>
      <c r="N1812" s="5" t="n"/>
      <c r="O1812" s="5">
        <f>IF(AND(ISNUMBER(N1812),ISNUMBER(M1812)),N1812-M1812,"")</f>
        <v/>
      </c>
      <c r="P1812" s="7">
        <f>IF(AND(ISNUMBER(N1812),ISNUMBER(M1812),M1812&gt;0),(N1812-M1812)/M1812,"")</f>
        <v/>
      </c>
      <c r="Q1812" s="3">
        <f>IF(P1812="","",IF(P1812&lt;-0.02,"🔴 Bán phá giá sàn",IF(P1812&gt;0.05,"🔵 Bán cao hơn","🟢 Đúng giá sàn TMĐT")))</f>
        <v/>
      </c>
      <c r="R1812" s="3" t="n"/>
      <c r="S1812" s="4" t="n"/>
      <c r="T1812" s="4" t="n"/>
    </row>
    <row r="1813">
      <c r="A1813" s="3" t="n">
        <v>1812</v>
      </c>
      <c r="B1813" s="3" t="inlineStr">
        <is>
          <t>DL016</t>
        </is>
      </c>
      <c r="C1813" s="4" t="inlineStr">
        <is>
          <t>Công ty Cổ Phần Kỹ Thuật và Công Nghệ Đức Phong</t>
        </is>
      </c>
      <c r="D1813" s="3" t="inlineStr">
        <is>
          <t>HN</t>
        </is>
      </c>
      <c r="E1813" s="3" t="inlineStr">
        <is>
          <t>Lan</t>
        </is>
      </c>
      <c r="F1813" s="3" t="inlineStr">
        <is>
          <t>Website bán hàng</t>
        </is>
      </c>
      <c r="G1813" s="4" t="inlineStr">
        <is>
          <t>SHOPEE: TIKTOK: LAZADA: WEBSITE BÁN HÀNG: https://ducphongstore.com/</t>
        </is>
      </c>
      <c r="H1813" s="3" t="inlineStr"/>
      <c r="I1813" s="4" t="inlineStr">
        <is>
          <t>Mũi khoan tường không tắc kê KBLJ - 03*100</t>
        </is>
      </c>
      <c r="J1813" s="3" t="inlineStr">
        <is>
          <t>Cái</t>
        </is>
      </c>
      <c r="K1813" s="5" t="n">
        <v>269000</v>
      </c>
      <c r="L1813" s="5" t="n">
        <v>317000</v>
      </c>
      <c r="M1813" s="6" t="n">
        <v>390000</v>
      </c>
      <c r="N1813" s="5" t="n"/>
      <c r="O1813" s="5">
        <f>IF(AND(ISNUMBER(N1813),ISNUMBER(M1813)),N1813-M1813,"")</f>
        <v/>
      </c>
      <c r="P1813" s="7">
        <f>IF(AND(ISNUMBER(N1813),ISNUMBER(M1813),M1813&gt;0),(N1813-M1813)/M1813,"")</f>
        <v/>
      </c>
      <c r="Q1813" s="3">
        <f>IF(P1813="","",IF(P1813&lt;-0.02,"🔴 Bán phá giá sàn",IF(P1813&gt;0.05,"🔵 Bán cao hơn","🟢 Đúng giá sàn TMĐT")))</f>
        <v/>
      </c>
      <c r="R1813" s="3" t="n"/>
      <c r="S1813" s="4" t="n"/>
      <c r="T1813" s="4" t="n"/>
    </row>
    <row r="1814">
      <c r="A1814" s="3" t="n">
        <v>1813</v>
      </c>
      <c r="B1814" s="3" t="inlineStr">
        <is>
          <t>DL016</t>
        </is>
      </c>
      <c r="C1814" s="4" t="inlineStr">
        <is>
          <t>Công ty Cổ Phần Kỹ Thuật và Công Nghệ Đức Phong</t>
        </is>
      </c>
      <c r="D1814" s="3" t="inlineStr">
        <is>
          <t>HN</t>
        </is>
      </c>
      <c r="E1814" s="3" t="inlineStr">
        <is>
          <t>Lan</t>
        </is>
      </c>
      <c r="F1814" s="3" t="inlineStr">
        <is>
          <t>Website bán hàng</t>
        </is>
      </c>
      <c r="G1814" s="4" t="inlineStr">
        <is>
          <t>SHOPEE: TIKTOK: LAZADA: WEBSITE BÁN HÀNG: https://ducphongstore.com/</t>
        </is>
      </c>
      <c r="H1814" s="3" t="inlineStr">
        <is>
          <t>KBX2-21</t>
        </is>
      </c>
      <c r="I1814" s="4" t="inlineStr">
        <is>
          <t>Mũi khoét gỗ KBX2-21</t>
        </is>
      </c>
      <c r="J1814" s="3" t="inlineStr">
        <is>
          <t>Cái</t>
        </is>
      </c>
      <c r="K1814" s="5" t="n">
        <v>68000</v>
      </c>
      <c r="L1814" s="5" t="n">
        <v>80000</v>
      </c>
      <c r="M1814" s="6" t="n">
        <v>99000</v>
      </c>
      <c r="N1814" s="5" t="n"/>
      <c r="O1814" s="5">
        <f>IF(AND(ISNUMBER(N1814),ISNUMBER(M1814)),N1814-M1814,"")</f>
        <v/>
      </c>
      <c r="P1814" s="7">
        <f>IF(AND(ISNUMBER(N1814),ISNUMBER(M1814),M1814&gt;0),(N1814-M1814)/M1814,"")</f>
        <v/>
      </c>
      <c r="Q1814" s="3">
        <f>IF(P1814="","",IF(P1814&lt;-0.02,"🔴 Bán phá giá sàn",IF(P1814&gt;0.05,"🔵 Bán cao hơn","🟢 Đúng giá sàn TMĐT")))</f>
        <v/>
      </c>
      <c r="R1814" s="3" t="n"/>
      <c r="S1814" s="4" t="n"/>
      <c r="T1814" s="4" t="n"/>
    </row>
    <row r="1815">
      <c r="A1815" s="3" t="n">
        <v>1814</v>
      </c>
      <c r="B1815" s="3" t="inlineStr">
        <is>
          <t>DL016</t>
        </is>
      </c>
      <c r="C1815" s="4" t="inlineStr">
        <is>
          <t>Công ty Cổ Phần Kỹ Thuật và Công Nghệ Đức Phong</t>
        </is>
      </c>
      <c r="D1815" s="3" t="inlineStr">
        <is>
          <t>HN</t>
        </is>
      </c>
      <c r="E1815" s="3" t="inlineStr">
        <is>
          <t>Lan</t>
        </is>
      </c>
      <c r="F1815" s="3" t="inlineStr">
        <is>
          <t>Website bán hàng</t>
        </is>
      </c>
      <c r="G1815" s="4" t="inlineStr">
        <is>
          <t>SHOPEE: TIKTOK: LAZADA: WEBSITE BÁN HÀNG: https://ducphongstore.com/</t>
        </is>
      </c>
      <c r="H1815" s="3" t="inlineStr">
        <is>
          <t>R1-90/25</t>
        </is>
      </c>
      <c r="I1815" s="4" t="inlineStr">
        <is>
          <t>Mũi khoét hợp kim Bluebird R1-90/25</t>
        </is>
      </c>
      <c r="J1815" s="3" t="inlineStr">
        <is>
          <t>Cái</t>
        </is>
      </c>
      <c r="K1815" s="5" t="n">
        <v>328000</v>
      </c>
      <c r="L1815" s="5" t="n">
        <v>400000</v>
      </c>
      <c r="M1815" s="6" t="n">
        <v>508000</v>
      </c>
      <c r="N1815" s="5" t="n"/>
      <c r="O1815" s="5">
        <f>IF(AND(ISNUMBER(N1815),ISNUMBER(M1815)),N1815-M1815,"")</f>
        <v/>
      </c>
      <c r="P1815" s="7">
        <f>IF(AND(ISNUMBER(N1815),ISNUMBER(M1815),M1815&gt;0),(N1815-M1815)/M1815,"")</f>
        <v/>
      </c>
      <c r="Q1815" s="3">
        <f>IF(P1815="","",IF(P1815&lt;-0.02,"🔴 Bán phá giá sàn",IF(P1815&gt;0.05,"🔵 Bán cao hơn","🟢 Đúng giá sàn TMĐT")))</f>
        <v/>
      </c>
      <c r="R1815" s="3" t="n"/>
      <c r="S1815" s="4" t="n"/>
      <c r="T1815" s="4" t="n"/>
    </row>
    <row r="1816">
      <c r="A1816" s="3" t="n">
        <v>1815</v>
      </c>
      <c r="B1816" s="3" t="inlineStr">
        <is>
          <t>DL016</t>
        </is>
      </c>
      <c r="C1816" s="4" t="inlineStr">
        <is>
          <t>Công ty Cổ Phần Kỹ Thuật và Công Nghệ Đức Phong</t>
        </is>
      </c>
      <c r="D1816" s="3" t="inlineStr">
        <is>
          <t>HN</t>
        </is>
      </c>
      <c r="E1816" s="3" t="inlineStr">
        <is>
          <t>Lan</t>
        </is>
      </c>
      <c r="F1816" s="3" t="inlineStr">
        <is>
          <t>Website bán hàng</t>
        </is>
      </c>
      <c r="G1816" s="4" t="inlineStr">
        <is>
          <t>SHOPEE: TIKTOK: LAZADA: WEBSITE BÁN HÀNG: https://ducphongstore.com/</t>
        </is>
      </c>
      <c r="H1816" s="3" t="inlineStr">
        <is>
          <t>KZ-60</t>
        </is>
      </c>
      <c r="I1816" s="4" t="inlineStr">
        <is>
          <t>Nhám xếp KingBlue KZ-60 (NEW)</t>
        </is>
      </c>
      <c r="J1816" s="3" t="inlineStr">
        <is>
          <t>Cái</t>
        </is>
      </c>
      <c r="K1816" s="5" t="n">
        <v>269000</v>
      </c>
      <c r="L1816" s="5" t="n">
        <v>317000</v>
      </c>
      <c r="M1816" s="6" t="n">
        <v>390000</v>
      </c>
      <c r="N1816" s="5" t="n"/>
      <c r="O1816" s="5">
        <f>IF(AND(ISNUMBER(N1816),ISNUMBER(M1816)),N1816-M1816,"")</f>
        <v/>
      </c>
      <c r="P1816" s="7">
        <f>IF(AND(ISNUMBER(N1816),ISNUMBER(M1816),M1816&gt;0),(N1816-M1816)/M1816,"")</f>
        <v/>
      </c>
      <c r="Q1816" s="3">
        <f>IF(P1816="","",IF(P1816&lt;-0.02,"🔴 Bán phá giá sàn",IF(P1816&gt;0.05,"🔵 Bán cao hơn","🟢 Đúng giá sàn TMĐT")))</f>
        <v/>
      </c>
      <c r="R1816" s="3" t="n"/>
      <c r="S1816" s="4" t="n"/>
      <c r="T1816" s="4" t="n"/>
    </row>
    <row r="1817">
      <c r="A1817" s="3" t="n">
        <v>1816</v>
      </c>
      <c r="B1817" s="3" t="inlineStr">
        <is>
          <t>DL016</t>
        </is>
      </c>
      <c r="C1817" s="4" t="inlineStr">
        <is>
          <t>Công ty Cổ Phần Kỹ Thuật và Công Nghệ Đức Phong</t>
        </is>
      </c>
      <c r="D1817" s="3" t="inlineStr">
        <is>
          <t>HN</t>
        </is>
      </c>
      <c r="E1817" s="3" t="inlineStr">
        <is>
          <t>Lan</t>
        </is>
      </c>
      <c r="F1817" s="3" t="inlineStr">
        <is>
          <t>Website bán hàng</t>
        </is>
      </c>
      <c r="G1817" s="4" t="inlineStr">
        <is>
          <t>SHOPEE: TIKTOK: LAZADA: WEBSITE BÁN HÀNG: https://ducphongstore.com/</t>
        </is>
      </c>
      <c r="H1817" s="3" t="inlineStr">
        <is>
          <t>MP4018</t>
        </is>
      </c>
      <c r="I1817" s="4" t="inlineStr">
        <is>
          <t>Pin MP4018</t>
        </is>
      </c>
      <c r="J1817" s="3" t="inlineStr">
        <is>
          <t>Cái</t>
        </is>
      </c>
      <c r="K1817" s="5" t="n">
        <v>730000</v>
      </c>
      <c r="L1817" s="5" t="n">
        <v>818000</v>
      </c>
      <c r="M1817" s="6" t="n">
        <v>949000</v>
      </c>
      <c r="N1817" s="5" t="n"/>
      <c r="O1817" s="5">
        <f>IF(AND(ISNUMBER(N1817),ISNUMBER(M1817)),N1817-M1817,"")</f>
        <v/>
      </c>
      <c r="P1817" s="7">
        <f>IF(AND(ISNUMBER(N1817),ISNUMBER(M1817),M1817&gt;0),(N1817-M1817)/M1817,"")</f>
        <v/>
      </c>
      <c r="Q1817" s="3">
        <f>IF(P1817="","",IF(P1817&lt;-0.02,"🔴 Bán phá giá sàn",IF(P1817&gt;0.05,"🔵 Bán cao hơn","🟢 Đúng giá sàn TMĐT")))</f>
        <v/>
      </c>
      <c r="R1817" s="3" t="n"/>
      <c r="S1817" s="4" t="n"/>
      <c r="T1817" s="4" t="n"/>
    </row>
    <row r="1818">
      <c r="A1818" s="3" t="n">
        <v>1817</v>
      </c>
      <c r="B1818" s="3" t="inlineStr">
        <is>
          <t>DL016</t>
        </is>
      </c>
      <c r="C1818" s="4" t="inlineStr">
        <is>
          <t>Công ty Cổ Phần Kỹ Thuật và Công Nghệ Đức Phong</t>
        </is>
      </c>
      <c r="D1818" s="3" t="inlineStr">
        <is>
          <t>HN</t>
        </is>
      </c>
      <c r="E1818" s="3" t="inlineStr">
        <is>
          <t>Lan</t>
        </is>
      </c>
      <c r="F1818" s="3" t="inlineStr">
        <is>
          <t>Website bán hàng</t>
        </is>
      </c>
      <c r="G1818" s="4" t="inlineStr">
        <is>
          <t>SHOPEE: TIKTOK: LAZADA: WEBSITE BÁN HÀNG: https://ducphongstore.com/</t>
        </is>
      </c>
      <c r="H1818" s="3" t="inlineStr">
        <is>
          <t>MS2A18</t>
        </is>
      </c>
      <c r="I1818" s="4" t="inlineStr">
        <is>
          <t>Sạc MS2A18</t>
        </is>
      </c>
      <c r="J1818" s="3" t="inlineStr">
        <is>
          <t>Cái</t>
        </is>
      </c>
      <c r="K1818" s="5" t="n">
        <v>290000</v>
      </c>
      <c r="L1818" s="5" t="n">
        <v>325000</v>
      </c>
      <c r="M1818" s="6" t="n">
        <v>377000</v>
      </c>
      <c r="N1818" s="5" t="n"/>
      <c r="O1818" s="5">
        <f>IF(AND(ISNUMBER(N1818),ISNUMBER(M1818)),N1818-M1818,"")</f>
        <v/>
      </c>
      <c r="P1818" s="7">
        <f>IF(AND(ISNUMBER(N1818),ISNUMBER(M1818),M1818&gt;0),(N1818-M1818)/M1818,"")</f>
        <v/>
      </c>
      <c r="Q1818" s="3">
        <f>IF(P1818="","",IF(P1818&lt;-0.02,"🔴 Bán phá giá sàn",IF(P1818&gt;0.05,"🔵 Bán cao hơn","🟢 Đúng giá sàn TMĐT")))</f>
        <v/>
      </c>
      <c r="R1818" s="3" t="n"/>
      <c r="S1818" s="4" t="n"/>
      <c r="T1818" s="4" t="n"/>
    </row>
    <row r="1819">
      <c r="A1819" s="3" t="n">
        <v>1818</v>
      </c>
      <c r="B1819" s="3" t="inlineStr">
        <is>
          <t>DL016</t>
        </is>
      </c>
      <c r="C1819" s="4" t="inlineStr">
        <is>
          <t>Công ty Cổ Phần Kỹ Thuật và Công Nghệ Đức Phong</t>
        </is>
      </c>
      <c r="D1819" s="3" t="inlineStr">
        <is>
          <t>HN</t>
        </is>
      </c>
      <c r="E1819" s="3" t="inlineStr">
        <is>
          <t>Lan</t>
        </is>
      </c>
      <c r="F1819" s="3" t="inlineStr">
        <is>
          <t>Website bán hàng</t>
        </is>
      </c>
      <c r="G1819" s="4" t="inlineStr">
        <is>
          <t>SHOPEE: TIKTOK: LAZADA: WEBSITE BÁN HÀNG: https://ducphongstore.com/</t>
        </is>
      </c>
      <c r="H1819" s="3" t="inlineStr">
        <is>
          <t>KBO-W71</t>
        </is>
      </c>
      <c r="I1819" s="4" t="inlineStr">
        <is>
          <t>Súng phun sơn KBO-W71</t>
        </is>
      </c>
      <c r="J1819" s="3" t="inlineStr">
        <is>
          <t>Cái</t>
        </is>
      </c>
      <c r="K1819" s="5" t="n">
        <v>317000</v>
      </c>
      <c r="L1819" s="5" t="n">
        <v>374000</v>
      </c>
      <c r="M1819" s="6" t="n">
        <v>460000</v>
      </c>
      <c r="N1819" s="5" t="n"/>
      <c r="O1819" s="5">
        <f>IF(AND(ISNUMBER(N1819),ISNUMBER(M1819)),N1819-M1819,"")</f>
        <v/>
      </c>
      <c r="P1819" s="7">
        <f>IF(AND(ISNUMBER(N1819),ISNUMBER(M1819),M1819&gt;0),(N1819-M1819)/M1819,"")</f>
        <v/>
      </c>
      <c r="Q1819" s="3">
        <f>IF(P1819="","",IF(P1819&lt;-0.02,"🔴 Bán phá giá sàn",IF(P1819&gt;0.05,"🔵 Bán cao hơn","🟢 Đúng giá sàn TMĐT")))</f>
        <v/>
      </c>
      <c r="R1819" s="3" t="n"/>
      <c r="S1819" s="4" t="n"/>
      <c r="T1819" s="4" t="n"/>
    </row>
    <row r="1820">
      <c r="A1820" s="3" t="n">
        <v>1819</v>
      </c>
      <c r="B1820" s="3" t="inlineStr">
        <is>
          <t>DL017</t>
        </is>
      </c>
      <c r="C1820" s="4" t="inlineStr">
        <is>
          <t>Điện máy Việt Nhật</t>
        </is>
      </c>
      <c r="D1820" s="3" t="inlineStr">
        <is>
          <t>HN</t>
        </is>
      </c>
      <c r="E1820" s="3" t="inlineStr">
        <is>
          <t>ĐIỆP</t>
        </is>
      </c>
      <c r="F1820" s="3" t="inlineStr">
        <is>
          <t>Shopee, Tiktok, Lazada, Website bán hàng</t>
        </is>
      </c>
      <c r="G1820" s="4" t="inlineStr">
        <is>
          <t>SHOPEE: https://www.shopee.vn/vietnhat3838 TIKTOK: dienmayvietnhat LAZADA: https://www.lazada.vn/shop/viet-nhat- WEBSITE BÁN HÀNG: https://dienmayvietnhat.vn/</t>
        </is>
      </c>
      <c r="H1820" s="3" t="inlineStr">
        <is>
          <t>CG-1000</t>
        </is>
      </c>
      <c r="I1820" s="4" t="inlineStr">
        <is>
          <t>Bàn cắt gạch CG-1000</t>
        </is>
      </c>
      <c r="J1820" s="3" t="inlineStr">
        <is>
          <t>Cái</t>
        </is>
      </c>
      <c r="K1820" s="5" t="n">
        <v>2420000</v>
      </c>
      <c r="L1820" s="5" t="n">
        <v>2710000</v>
      </c>
      <c r="M1820" s="6" t="n">
        <v>3146000</v>
      </c>
      <c r="N1820" s="5" t="n"/>
      <c r="O1820" s="5">
        <f>IF(AND(ISNUMBER(N1820),ISNUMBER(M1820)),N1820-M1820,"")</f>
        <v/>
      </c>
      <c r="P1820" s="7">
        <f>IF(AND(ISNUMBER(N1820),ISNUMBER(M1820),M1820&gt;0),(N1820-M1820)/M1820,"")</f>
        <v/>
      </c>
      <c r="Q1820" s="3">
        <f>IF(P1820="","",IF(P1820&lt;-0.02,"🔴 Bán phá giá sàn",IF(P1820&gt;0.05,"🔵 Bán cao hơn","🟢 Đúng giá sàn TMĐT")))</f>
        <v/>
      </c>
      <c r="R1820" s="3" t="n"/>
      <c r="S1820" s="4" t="n"/>
      <c r="T1820" s="4" t="n"/>
    </row>
    <row r="1821">
      <c r="A1821" s="3" t="n">
        <v>1820</v>
      </c>
      <c r="B1821" s="3" t="inlineStr">
        <is>
          <t>DL017</t>
        </is>
      </c>
      <c r="C1821" s="4" t="inlineStr">
        <is>
          <t>Điện máy Việt Nhật</t>
        </is>
      </c>
      <c r="D1821" s="3" t="inlineStr">
        <is>
          <t>HN</t>
        </is>
      </c>
      <c r="E1821" s="3" t="inlineStr">
        <is>
          <t>ĐIỆP</t>
        </is>
      </c>
      <c r="F1821" s="3" t="inlineStr">
        <is>
          <t>Shopee, Tiktok, Lazada, Website bán hàng</t>
        </is>
      </c>
      <c r="G1821" s="4" t="inlineStr">
        <is>
          <t>SHOPEE: https://www.shopee.vn/vietnhat3838 TIKTOK: dienmayvietnhat LAZADA: https://www.lazada.vn/shop/viet-nhat- WEBSITE BÁN HÀNG: https://dienmayvietnhat.vn/</t>
        </is>
      </c>
      <c r="H1821" s="3" t="inlineStr">
        <is>
          <t>CG-1200</t>
        </is>
      </c>
      <c r="I1821" s="4" t="inlineStr">
        <is>
          <t>Bàn cắt gạch CG-1200</t>
        </is>
      </c>
      <c r="J1821" s="3" t="inlineStr">
        <is>
          <t>Cái</t>
        </is>
      </c>
      <c r="K1821" s="5" t="n">
        <v>269000</v>
      </c>
      <c r="L1821" s="5" t="n">
        <v>317000</v>
      </c>
      <c r="M1821" s="6" t="n">
        <v>390000</v>
      </c>
      <c r="N1821" s="5" t="n"/>
      <c r="O1821" s="5">
        <f>IF(AND(ISNUMBER(N1821),ISNUMBER(M1821)),N1821-M1821,"")</f>
        <v/>
      </c>
      <c r="P1821" s="7">
        <f>IF(AND(ISNUMBER(N1821),ISNUMBER(M1821),M1821&gt;0),(N1821-M1821)/M1821,"")</f>
        <v/>
      </c>
      <c r="Q1821" s="3">
        <f>IF(P1821="","",IF(P1821&lt;-0.02,"🔴 Bán phá giá sàn",IF(P1821&gt;0.05,"🔵 Bán cao hơn","🟢 Đúng giá sàn TMĐT")))</f>
        <v/>
      </c>
      <c r="R1821" s="3" t="n"/>
      <c r="S1821" s="4" t="n"/>
      <c r="T1821" s="4" t="n"/>
    </row>
    <row r="1822">
      <c r="A1822" s="3" t="n">
        <v>1821</v>
      </c>
      <c r="B1822" s="3" t="inlineStr">
        <is>
          <t>DL017</t>
        </is>
      </c>
      <c r="C1822" s="4" t="inlineStr">
        <is>
          <t>Điện máy Việt Nhật</t>
        </is>
      </c>
      <c r="D1822" s="3" t="inlineStr">
        <is>
          <t>HN</t>
        </is>
      </c>
      <c r="E1822" s="3" t="inlineStr">
        <is>
          <t>ĐIỆP</t>
        </is>
      </c>
      <c r="F1822" s="3" t="inlineStr">
        <is>
          <t>Shopee, Tiktok, Lazada, Website bán hàng</t>
        </is>
      </c>
      <c r="G1822" s="4" t="inlineStr">
        <is>
          <t>SHOPEE: https://www.shopee.vn/vietnhat3838 TIKTOK: dienmayvietnhat LAZADA: https://www.lazada.vn/shop/viet-nhat- WEBSITE BÁN HÀNG: https://dienmayvietnhat.vn/</t>
        </is>
      </c>
      <c r="H1822" s="3" t="inlineStr">
        <is>
          <t>KH1-B10</t>
        </is>
      </c>
      <c r="I1822" s="4" t="inlineStr">
        <is>
          <t>Bộ cờ lê KH1-B10</t>
        </is>
      </c>
      <c r="J1822" s="3" t="inlineStr">
        <is>
          <t>Bộ</t>
        </is>
      </c>
      <c r="K1822" s="5" t="n">
        <v>435000</v>
      </c>
      <c r="L1822" s="5" t="n">
        <v>513000</v>
      </c>
      <c r="M1822" s="6" t="n">
        <v>631000</v>
      </c>
      <c r="N1822" s="5" t="n"/>
      <c r="O1822" s="5">
        <f>IF(AND(ISNUMBER(N1822),ISNUMBER(M1822)),N1822-M1822,"")</f>
        <v/>
      </c>
      <c r="P1822" s="7">
        <f>IF(AND(ISNUMBER(N1822),ISNUMBER(M1822),M1822&gt;0),(N1822-M1822)/M1822,"")</f>
        <v/>
      </c>
      <c r="Q1822" s="3">
        <f>IF(P1822="","",IF(P1822&lt;-0.02,"🔴 Bán phá giá sàn",IF(P1822&gt;0.05,"🔵 Bán cao hơn","🟢 Đúng giá sàn TMĐT")))</f>
        <v/>
      </c>
      <c r="R1822" s="3" t="n"/>
      <c r="S1822" s="4" t="n"/>
      <c r="T1822" s="4" t="n"/>
    </row>
    <row r="1823">
      <c r="A1823" s="3" t="n">
        <v>1822</v>
      </c>
      <c r="B1823" s="3" t="inlineStr">
        <is>
          <t>DL017</t>
        </is>
      </c>
      <c r="C1823" s="4" t="inlineStr">
        <is>
          <t>Điện máy Việt Nhật</t>
        </is>
      </c>
      <c r="D1823" s="3" t="inlineStr">
        <is>
          <t>HN</t>
        </is>
      </c>
      <c r="E1823" s="3" t="inlineStr">
        <is>
          <t>ĐIỆP</t>
        </is>
      </c>
      <c r="F1823" s="3" t="inlineStr">
        <is>
          <t>Shopee, Tiktok, Lazada, Website bán hàng</t>
        </is>
      </c>
      <c r="G1823" s="4" t="inlineStr">
        <is>
          <t>SHOPEE: https://www.shopee.vn/vietnhat3838 TIKTOK: dienmayvietnhat LAZADA: https://www.lazada.vn/shop/viet-nhat- WEBSITE BÁN HÀNG: https://dienmayvietnhat.vn/</t>
        </is>
      </c>
      <c r="H1823" s="3" t="inlineStr">
        <is>
          <t>KH2-B9</t>
        </is>
      </c>
      <c r="I1823" s="4" t="inlineStr">
        <is>
          <t>Bộ cờ lê vòng miệng KH2-B9</t>
        </is>
      </c>
      <c r="J1823" s="3" t="inlineStr">
        <is>
          <t>Cái</t>
        </is>
      </c>
      <c r="K1823" s="5" t="n">
        <v>269000</v>
      </c>
      <c r="L1823" s="5" t="n">
        <v>317000</v>
      </c>
      <c r="M1823" s="6" t="n">
        <v>390000</v>
      </c>
      <c r="N1823" s="5" t="n"/>
      <c r="O1823" s="5">
        <f>IF(AND(ISNUMBER(N1823),ISNUMBER(M1823)),N1823-M1823,"")</f>
        <v/>
      </c>
      <c r="P1823" s="7">
        <f>IF(AND(ISNUMBER(N1823),ISNUMBER(M1823),M1823&gt;0),(N1823-M1823)/M1823,"")</f>
        <v/>
      </c>
      <c r="Q1823" s="3">
        <f>IF(P1823="","",IF(P1823&lt;-0.02,"🔴 Bán phá giá sàn",IF(P1823&gt;0.05,"🔵 Bán cao hơn","🟢 Đúng giá sàn TMĐT")))</f>
        <v/>
      </c>
      <c r="R1823" s="3" t="n"/>
      <c r="S1823" s="4" t="n"/>
      <c r="T1823" s="4" t="n"/>
    </row>
    <row r="1824">
      <c r="A1824" s="3" t="n">
        <v>1823</v>
      </c>
      <c r="B1824" s="3" t="inlineStr">
        <is>
          <t>DL017</t>
        </is>
      </c>
      <c r="C1824" s="4" t="inlineStr">
        <is>
          <t>Điện máy Việt Nhật</t>
        </is>
      </c>
      <c r="D1824" s="3" t="inlineStr">
        <is>
          <t>HN</t>
        </is>
      </c>
      <c r="E1824" s="3" t="inlineStr">
        <is>
          <t>ĐIỆP</t>
        </is>
      </c>
      <c r="F1824" s="3" t="inlineStr">
        <is>
          <t>Shopee, Tiktok, Lazada, Website bán hàng</t>
        </is>
      </c>
      <c r="G1824" s="4" t="inlineStr">
        <is>
          <t>SHOPEE: https://www.shopee.vn/vietnhat3838 TIKTOK: dienmayvietnhat LAZADA: https://www.lazada.vn/shop/viet-nhat- WEBSITE BÁN HÀNG: https://dienmayvietnhat.vn/</t>
        </is>
      </c>
      <c r="H1824" s="3" t="inlineStr">
        <is>
          <t>KH3-B7</t>
        </is>
      </c>
      <c r="I1824" s="4" t="inlineStr">
        <is>
          <t>Bộ cờ lê vòng miệng tự động KH3-B7</t>
        </is>
      </c>
      <c r="J1824" s="3" t="inlineStr">
        <is>
          <t>Cái</t>
        </is>
      </c>
      <c r="K1824" s="5" t="n">
        <v>269000</v>
      </c>
      <c r="L1824" s="5" t="n">
        <v>317000</v>
      </c>
      <c r="M1824" s="6" t="n">
        <v>390000</v>
      </c>
      <c r="N1824" s="5" t="n"/>
      <c r="O1824" s="5">
        <f>IF(AND(ISNUMBER(N1824),ISNUMBER(M1824)),N1824-M1824,"")</f>
        <v/>
      </c>
      <c r="P1824" s="7">
        <f>IF(AND(ISNUMBER(N1824),ISNUMBER(M1824),M1824&gt;0),(N1824-M1824)/M1824,"")</f>
        <v/>
      </c>
      <c r="Q1824" s="3">
        <f>IF(P1824="","",IF(P1824&lt;-0.02,"🔴 Bán phá giá sàn",IF(P1824&gt;0.05,"🔵 Bán cao hơn","🟢 Đúng giá sàn TMĐT")))</f>
        <v/>
      </c>
      <c r="R1824" s="3" t="n"/>
      <c r="S1824" s="4" t="n"/>
      <c r="T1824" s="4" t="n"/>
    </row>
    <row r="1825">
      <c r="A1825" s="3" t="n">
        <v>1824</v>
      </c>
      <c r="B1825" s="3" t="inlineStr">
        <is>
          <t>DL017</t>
        </is>
      </c>
      <c r="C1825" s="4" t="inlineStr">
        <is>
          <t>Điện máy Việt Nhật</t>
        </is>
      </c>
      <c r="D1825" s="3" t="inlineStr">
        <is>
          <t>HN</t>
        </is>
      </c>
      <c r="E1825" s="3" t="inlineStr">
        <is>
          <t>ĐIỆP</t>
        </is>
      </c>
      <c r="F1825" s="3" t="inlineStr">
        <is>
          <t>Shopee, Tiktok, Lazada, Website bán hàng</t>
        </is>
      </c>
      <c r="G1825" s="4" t="inlineStr">
        <is>
          <t>SHOPEE: https://www.shopee.vn/vietnhat3838 TIKTOK: dienmayvietnhat LAZADA: https://www.lazada.vn/shop/viet-nhat- WEBSITE BÁN HÀNG: https://dienmayvietnhat.vn/</t>
        </is>
      </c>
      <c r="H1825" s="3" t="inlineStr">
        <is>
          <t>T9100E</t>
        </is>
      </c>
      <c r="I1825" s="4" t="inlineStr">
        <is>
          <t>Bộ đầu hoa thị T9100E</t>
        </is>
      </c>
      <c r="J1825" s="3" t="inlineStr">
        <is>
          <t>Bộ</t>
        </is>
      </c>
      <c r="K1825" s="5" t="n">
        <v>86000</v>
      </c>
      <c r="L1825" s="5" t="n">
        <v>108000</v>
      </c>
      <c r="M1825" s="6" t="n">
        <v>142000</v>
      </c>
      <c r="N1825" s="5" t="n"/>
      <c r="O1825" s="5">
        <f>IF(AND(ISNUMBER(N1825),ISNUMBER(M1825)),N1825-M1825,"")</f>
        <v/>
      </c>
      <c r="P1825" s="7">
        <f>IF(AND(ISNUMBER(N1825),ISNUMBER(M1825),M1825&gt;0),(N1825-M1825)/M1825,"")</f>
        <v/>
      </c>
      <c r="Q1825" s="3">
        <f>IF(P1825="","",IF(P1825&lt;-0.02,"🔴 Bán phá giá sàn",IF(P1825&gt;0.05,"🔵 Bán cao hơn","🟢 Đúng giá sàn TMĐT")))</f>
        <v/>
      </c>
      <c r="R1825" s="3" t="n"/>
      <c r="S1825" s="4" t="n"/>
      <c r="T1825" s="4" t="n"/>
    </row>
    <row r="1826">
      <c r="A1826" s="3" t="n">
        <v>1825</v>
      </c>
      <c r="B1826" s="3" t="inlineStr">
        <is>
          <t>DL017</t>
        </is>
      </c>
      <c r="C1826" s="4" t="inlineStr">
        <is>
          <t>Điện máy Việt Nhật</t>
        </is>
      </c>
      <c r="D1826" s="3" t="inlineStr">
        <is>
          <t>HN</t>
        </is>
      </c>
      <c r="E1826" s="3" t="inlineStr">
        <is>
          <t>ĐIỆP</t>
        </is>
      </c>
      <c r="F1826" s="3" t="inlineStr">
        <is>
          <t>Shopee, Tiktok, Lazada, Website bán hàng</t>
        </is>
      </c>
      <c r="G1826" s="4" t="inlineStr">
        <is>
          <t>SHOPEE: https://www.shopee.vn/vietnhat3838 TIKTOK: dienmayvietnhat LAZADA: https://www.lazada.vn/shop/viet-nhat- WEBSITE BÁN HÀNG: https://dienmayvietnhat.vn/</t>
        </is>
      </c>
      <c r="H1826" s="3" t="inlineStr">
        <is>
          <t>L8100E</t>
        </is>
      </c>
      <c r="I1826" s="4" t="inlineStr">
        <is>
          <t>Bộ đầu lục giác L8100E</t>
        </is>
      </c>
      <c r="J1826" s="3" t="inlineStr">
        <is>
          <t>Bộ</t>
        </is>
      </c>
      <c r="K1826" s="5" t="n">
        <v>86000</v>
      </c>
      <c r="L1826" s="5" t="n">
        <v>108000</v>
      </c>
      <c r="M1826" s="6" t="n">
        <v>142000</v>
      </c>
      <c r="N1826" s="5" t="n"/>
      <c r="O1826" s="5">
        <f>IF(AND(ISNUMBER(N1826),ISNUMBER(M1826)),N1826-M1826,"")</f>
        <v/>
      </c>
      <c r="P1826" s="7">
        <f>IF(AND(ISNUMBER(N1826),ISNUMBER(M1826),M1826&gt;0),(N1826-M1826)/M1826,"")</f>
        <v/>
      </c>
      <c r="Q1826" s="3">
        <f>IF(P1826="","",IF(P1826&lt;-0.02,"🔴 Bán phá giá sàn",IF(P1826&gt;0.05,"🔵 Bán cao hơn","🟢 Đúng giá sàn TMĐT")))</f>
        <v/>
      </c>
      <c r="R1826" s="3" t="n"/>
      <c r="S1826" s="4" t="n"/>
      <c r="T1826" s="4" t="n"/>
    </row>
    <row r="1827">
      <c r="A1827" s="3" t="n">
        <v>1826</v>
      </c>
      <c r="B1827" s="3" t="inlineStr">
        <is>
          <t>DL017</t>
        </is>
      </c>
      <c r="C1827" s="4" t="inlineStr">
        <is>
          <t>Điện máy Việt Nhật</t>
        </is>
      </c>
      <c r="D1827" s="3" t="inlineStr">
        <is>
          <t>HN</t>
        </is>
      </c>
      <c r="E1827" s="3" t="inlineStr">
        <is>
          <t>ĐIỆP</t>
        </is>
      </c>
      <c r="F1827" s="3" t="inlineStr">
        <is>
          <t>Shopee, Tiktok, Lazada, Website bán hàng</t>
        </is>
      </c>
      <c r="G1827" s="4" t="inlineStr">
        <is>
          <t>SHOPEE: https://www.shopee.vn/vietnhat3838 TIKTOK: dienmayvietnhat LAZADA: https://www.lazada.vn/shop/viet-nhat- WEBSITE BÁN HÀNG: https://dienmayvietnhat.vn/</t>
        </is>
      </c>
      <c r="H1827" s="3" t="inlineStr">
        <is>
          <t>KB-R1323</t>
        </is>
      </c>
      <c r="I1827" s="4" t="inlineStr">
        <is>
          <t>Bộ loe ống đồng 2 chức năng KingBlue KB-R1323</t>
        </is>
      </c>
      <c r="J1827" s="3" t="inlineStr">
        <is>
          <t>Cái</t>
        </is>
      </c>
      <c r="K1827" s="5" t="n">
        <v>1720000</v>
      </c>
      <c r="L1827" s="5" t="n">
        <v>1926000</v>
      </c>
      <c r="M1827" s="6" t="n">
        <v>2236000</v>
      </c>
      <c r="N1827" s="5" t="n"/>
      <c r="O1827" s="5">
        <f>IF(AND(ISNUMBER(N1827),ISNUMBER(M1827)),N1827-M1827,"")</f>
        <v/>
      </c>
      <c r="P1827" s="7">
        <f>IF(AND(ISNUMBER(N1827),ISNUMBER(M1827),M1827&gt;0),(N1827-M1827)/M1827,"")</f>
        <v/>
      </c>
      <c r="Q1827" s="3">
        <f>IF(P1827="","",IF(P1827&lt;-0.02,"🔴 Bán phá giá sàn",IF(P1827&gt;0.05,"🔵 Bán cao hơn","🟢 Đúng giá sàn TMĐT")))</f>
        <v/>
      </c>
      <c r="R1827" s="3" t="n"/>
      <c r="S1827" s="4" t="n"/>
      <c r="T1827" s="4" t="n"/>
    </row>
    <row r="1828">
      <c r="A1828" s="3" t="n">
        <v>1827</v>
      </c>
      <c r="B1828" s="3" t="inlineStr">
        <is>
          <t>DL017</t>
        </is>
      </c>
      <c r="C1828" s="4" t="inlineStr">
        <is>
          <t>Điện máy Việt Nhật</t>
        </is>
      </c>
      <c r="D1828" s="3" t="inlineStr">
        <is>
          <t>HN</t>
        </is>
      </c>
      <c r="E1828" s="3" t="inlineStr">
        <is>
          <t>ĐIỆP</t>
        </is>
      </c>
      <c r="F1828" s="3" t="inlineStr">
        <is>
          <t>Shopee, Tiktok, Lazada, Website bán hàng</t>
        </is>
      </c>
      <c r="G1828" s="4" t="inlineStr">
        <is>
          <t>SHOPEE: https://www.shopee.vn/vietnhat3838 TIKTOK: dienmayvietnhat LAZADA: https://www.lazada.vn/shop/viet-nhat- WEBSITE BÁN HÀNG: https://dienmayvietnhat.vn/</t>
        </is>
      </c>
      <c r="H1828" s="3" t="inlineStr">
        <is>
          <t>KB-C1323</t>
        </is>
      </c>
      <c r="I1828" s="4" t="inlineStr">
        <is>
          <t>Bộ loe ống đồng KingBlue KB-C1323</t>
        </is>
      </c>
      <c r="J1828" s="3" t="inlineStr">
        <is>
          <t>Cái</t>
        </is>
      </c>
      <c r="K1828" s="5" t="n">
        <v>1140000</v>
      </c>
      <c r="L1828" s="5" t="n">
        <v>1277000</v>
      </c>
      <c r="M1828" s="6" t="n">
        <v>1482000</v>
      </c>
      <c r="N1828" s="5" t="n"/>
      <c r="O1828" s="5">
        <f>IF(AND(ISNUMBER(N1828),ISNUMBER(M1828)),N1828-M1828,"")</f>
        <v/>
      </c>
      <c r="P1828" s="7">
        <f>IF(AND(ISNUMBER(N1828),ISNUMBER(M1828),M1828&gt;0),(N1828-M1828)/M1828,"")</f>
        <v/>
      </c>
      <c r="Q1828" s="3">
        <f>IF(P1828="","",IF(P1828&lt;-0.02,"🔴 Bán phá giá sàn",IF(P1828&gt;0.05,"🔵 Bán cao hơn","🟢 Đúng giá sàn TMĐT")))</f>
        <v/>
      </c>
      <c r="R1828" s="3" t="n"/>
      <c r="S1828" s="4" t="n"/>
      <c r="T1828" s="4" t="n"/>
    </row>
    <row r="1829">
      <c r="A1829" s="3" t="n">
        <v>1828</v>
      </c>
      <c r="B1829" s="3" t="inlineStr">
        <is>
          <t>DL017</t>
        </is>
      </c>
      <c r="C1829" s="4" t="inlineStr">
        <is>
          <t>Điện máy Việt Nhật</t>
        </is>
      </c>
      <c r="D1829" s="3" t="inlineStr">
        <is>
          <t>HN</t>
        </is>
      </c>
      <c r="E1829" s="3" t="inlineStr">
        <is>
          <t>ĐIỆP</t>
        </is>
      </c>
      <c r="F1829" s="3" t="inlineStr">
        <is>
          <t>Shopee, Tiktok, Lazada, Website bán hàng</t>
        </is>
      </c>
      <c r="G1829" s="4" t="inlineStr">
        <is>
          <t>SHOPEE: https://www.shopee.vn/vietnhat3838 TIKTOK: dienmayvietnhat LAZADA: https://www.lazada.vn/shop/viet-nhat- WEBSITE BÁN HÀNG: https://dienmayvietnhat.vn/</t>
        </is>
      </c>
      <c r="H1829" s="3" t="inlineStr">
        <is>
          <t>KHF015</t>
        </is>
      </c>
      <c r="I1829" s="4" t="inlineStr">
        <is>
          <t>Bộ mũi khoan King Blue KHF015</t>
        </is>
      </c>
      <c r="J1829" s="3" t="inlineStr">
        <is>
          <t>Cái</t>
        </is>
      </c>
      <c r="K1829" s="5" t="n">
        <v>269000</v>
      </c>
      <c r="L1829" s="5" t="n">
        <v>317000</v>
      </c>
      <c r="M1829" s="6" t="n">
        <v>390000</v>
      </c>
      <c r="N1829" s="5" t="n"/>
      <c r="O1829" s="5">
        <f>IF(AND(ISNUMBER(N1829),ISNUMBER(M1829)),N1829-M1829,"")</f>
        <v/>
      </c>
      <c r="P1829" s="7">
        <f>IF(AND(ISNUMBER(N1829),ISNUMBER(M1829),M1829&gt;0),(N1829-M1829)/M1829,"")</f>
        <v/>
      </c>
      <c r="Q1829" s="3">
        <f>IF(P1829="","",IF(P1829&lt;-0.02,"🔴 Bán phá giá sàn",IF(P1829&gt;0.05,"🔵 Bán cao hơn","🟢 Đúng giá sàn TMĐT")))</f>
        <v/>
      </c>
      <c r="R1829" s="3" t="n"/>
      <c r="S1829" s="4" t="n"/>
      <c r="T1829" s="4" t="n"/>
    </row>
    <row r="1830">
      <c r="A1830" s="3" t="n">
        <v>1829</v>
      </c>
      <c r="B1830" s="3" t="inlineStr">
        <is>
          <t>DL017</t>
        </is>
      </c>
      <c r="C1830" s="4" t="inlineStr">
        <is>
          <t>Điện máy Việt Nhật</t>
        </is>
      </c>
      <c r="D1830" s="3" t="inlineStr">
        <is>
          <t>HN</t>
        </is>
      </c>
      <c r="E1830" s="3" t="inlineStr">
        <is>
          <t>ĐIỆP</t>
        </is>
      </c>
      <c r="F1830" s="3" t="inlineStr">
        <is>
          <t>Shopee, Tiktok, Lazada, Website bán hàng</t>
        </is>
      </c>
      <c r="G1830" s="4" t="inlineStr">
        <is>
          <t>SHOPEE: https://www.shopee.vn/vietnhat3838 TIKTOK: dienmayvietnhat LAZADA: https://www.lazada.vn/shop/viet-nhat- WEBSITE BÁN HÀNG: https://dienmayvietnhat.vn/</t>
        </is>
      </c>
      <c r="H1830" s="3" t="inlineStr">
        <is>
          <t>KLJ015</t>
        </is>
      </c>
      <c r="I1830" s="4" t="inlineStr">
        <is>
          <t>Bộ mũi khoan King Blue KLJ015</t>
        </is>
      </c>
      <c r="J1830" s="3" t="inlineStr">
        <is>
          <t>Cái</t>
        </is>
      </c>
      <c r="K1830" s="5" t="n">
        <v>269000</v>
      </c>
      <c r="L1830" s="5" t="n">
        <v>317000</v>
      </c>
      <c r="M1830" s="6" t="n">
        <v>390000</v>
      </c>
      <c r="N1830" s="5" t="n"/>
      <c r="O1830" s="5">
        <f>IF(AND(ISNUMBER(N1830),ISNUMBER(M1830)),N1830-M1830,"")</f>
        <v/>
      </c>
      <c r="P1830" s="7">
        <f>IF(AND(ISNUMBER(N1830),ISNUMBER(M1830),M1830&gt;0),(N1830-M1830)/M1830,"")</f>
        <v/>
      </c>
      <c r="Q1830" s="3">
        <f>IF(P1830="","",IF(P1830&lt;-0.02,"🔴 Bán phá giá sàn",IF(P1830&gt;0.05,"🔵 Bán cao hơn","🟢 Đúng giá sàn TMĐT")))</f>
        <v/>
      </c>
      <c r="R1830" s="3" t="n"/>
      <c r="S1830" s="4" t="n"/>
      <c r="T1830" s="4" t="n"/>
    </row>
    <row r="1831">
      <c r="A1831" s="3" t="n">
        <v>1830</v>
      </c>
      <c r="B1831" s="3" t="inlineStr">
        <is>
          <t>DL017</t>
        </is>
      </c>
      <c r="C1831" s="4" t="inlineStr">
        <is>
          <t>Điện máy Việt Nhật</t>
        </is>
      </c>
      <c r="D1831" s="3" t="inlineStr">
        <is>
          <t>HN</t>
        </is>
      </c>
      <c r="E1831" s="3" t="inlineStr">
        <is>
          <t>ĐIỆP</t>
        </is>
      </c>
      <c r="F1831" s="3" t="inlineStr">
        <is>
          <t>Shopee, Tiktok, Lazada, Website bán hàng</t>
        </is>
      </c>
      <c r="G1831" s="4" t="inlineStr">
        <is>
          <t>SHOPEE: https://www.shopee.vn/vietnhat3838 TIKTOK: dienmayvietnhat LAZADA: https://www.lazada.vn/shop/viet-nhat- WEBSITE BÁN HÀNG: https://dienmayvietnhat.vn/</t>
        </is>
      </c>
      <c r="H1831" s="3" t="inlineStr">
        <is>
          <t>KIC140</t>
        </is>
      </c>
      <c r="I1831" s="4" t="inlineStr">
        <is>
          <t>Bút thử điện KIC140</t>
        </is>
      </c>
      <c r="J1831" s="3" t="inlineStr">
        <is>
          <t>Cái</t>
        </is>
      </c>
      <c r="K1831" s="5" t="n">
        <v>14000</v>
      </c>
      <c r="L1831" s="5" t="n">
        <v>16000</v>
      </c>
      <c r="M1831" s="6" t="n">
        <v>20000</v>
      </c>
      <c r="N1831" s="5" t="n"/>
      <c r="O1831" s="5">
        <f>IF(AND(ISNUMBER(N1831),ISNUMBER(M1831)),N1831-M1831,"")</f>
        <v/>
      </c>
      <c r="P1831" s="7">
        <f>IF(AND(ISNUMBER(N1831),ISNUMBER(M1831),M1831&gt;0),(N1831-M1831)/M1831,"")</f>
        <v/>
      </c>
      <c r="Q1831" s="3">
        <f>IF(P1831="","",IF(P1831&lt;-0.02,"🔴 Bán phá giá sàn",IF(P1831&gt;0.05,"🔵 Bán cao hơn","🟢 Đúng giá sàn TMĐT")))</f>
        <v/>
      </c>
      <c r="R1831" s="3" t="n"/>
      <c r="S1831" s="4" t="n"/>
      <c r="T1831" s="4" t="n"/>
    </row>
    <row r="1832">
      <c r="A1832" s="3" t="n">
        <v>1831</v>
      </c>
      <c r="B1832" s="3" t="inlineStr">
        <is>
          <t>DL017</t>
        </is>
      </c>
      <c r="C1832" s="4" t="inlineStr">
        <is>
          <t>Điện máy Việt Nhật</t>
        </is>
      </c>
      <c r="D1832" s="3" t="inlineStr">
        <is>
          <t>HN</t>
        </is>
      </c>
      <c r="E1832" s="3" t="inlineStr">
        <is>
          <t>ĐIỆP</t>
        </is>
      </c>
      <c r="F1832" s="3" t="inlineStr">
        <is>
          <t>Shopee, Tiktok, Lazada, Website bán hàng</t>
        </is>
      </c>
      <c r="G1832" s="4" t="inlineStr">
        <is>
          <t>SHOPEE: https://www.shopee.vn/vietnhat3838 TIKTOK: dienmayvietnhat LAZADA: https://www.lazada.vn/shop/viet-nhat- WEBSITE BÁN HÀNG: https://dienmayvietnhat.vn/</t>
        </is>
      </c>
      <c r="H1832" s="3" t="inlineStr">
        <is>
          <t>KID160</t>
        </is>
      </c>
      <c r="I1832" s="4" t="inlineStr">
        <is>
          <t>Bút thử điện KID160</t>
        </is>
      </c>
      <c r="J1832" s="3" t="inlineStr">
        <is>
          <t>Cái</t>
        </is>
      </c>
      <c r="K1832" s="5" t="n">
        <v>43000</v>
      </c>
      <c r="L1832" s="5" t="n">
        <v>51000</v>
      </c>
      <c r="M1832" s="6" t="n">
        <v>62000</v>
      </c>
      <c r="N1832" s="5" t="n"/>
      <c r="O1832" s="5">
        <f>IF(AND(ISNUMBER(N1832),ISNUMBER(M1832)),N1832-M1832,"")</f>
        <v/>
      </c>
      <c r="P1832" s="7">
        <f>IF(AND(ISNUMBER(N1832),ISNUMBER(M1832),M1832&gt;0),(N1832-M1832)/M1832,"")</f>
        <v/>
      </c>
      <c r="Q1832" s="3">
        <f>IF(P1832="","",IF(P1832&lt;-0.02,"🔴 Bán phá giá sàn",IF(P1832&gt;0.05,"🔵 Bán cao hơn","🟢 Đúng giá sàn TMĐT")))</f>
        <v/>
      </c>
      <c r="R1832" s="3" t="n"/>
      <c r="S1832" s="4" t="n"/>
      <c r="T1832" s="4" t="n"/>
    </row>
    <row r="1833">
      <c r="A1833" s="3" t="n">
        <v>1832</v>
      </c>
      <c r="B1833" s="3" t="inlineStr">
        <is>
          <t>DL017</t>
        </is>
      </c>
      <c r="C1833" s="4" t="inlineStr">
        <is>
          <t>Điện máy Việt Nhật</t>
        </is>
      </c>
      <c r="D1833" s="3" t="inlineStr">
        <is>
          <t>HN</t>
        </is>
      </c>
      <c r="E1833" s="3" t="inlineStr">
        <is>
          <t>ĐIỆP</t>
        </is>
      </c>
      <c r="F1833" s="3" t="inlineStr">
        <is>
          <t>Shopee, Tiktok, Lazada, Website bán hàng</t>
        </is>
      </c>
      <c r="G1833" s="4" t="inlineStr">
        <is>
          <t>SHOPEE: https://www.shopee.vn/vietnhat3838 TIKTOK: dienmayvietnhat LAZADA: https://www.lazada.vn/shop/viet-nhat- WEBSITE BÁN HÀNG: https://dienmayvietnhat.vn/</t>
        </is>
      </c>
      <c r="H1833" s="3" t="inlineStr">
        <is>
          <t>KLC-01</t>
        </is>
      </c>
      <c r="I1833" s="4" t="inlineStr">
        <is>
          <t>Cần siết lực (cần nổ) KLC-01</t>
        </is>
      </c>
      <c r="J1833" s="3" t="inlineStr">
        <is>
          <t>Cái</t>
        </is>
      </c>
      <c r="K1833" s="5" t="n">
        <v>655000</v>
      </c>
      <c r="L1833" s="5" t="n">
        <v>773000</v>
      </c>
      <c r="M1833" s="6" t="n">
        <v>950000</v>
      </c>
      <c r="N1833" s="5" t="n"/>
      <c r="O1833" s="5">
        <f>IF(AND(ISNUMBER(N1833),ISNUMBER(M1833)),N1833-M1833,"")</f>
        <v/>
      </c>
      <c r="P1833" s="7">
        <f>IF(AND(ISNUMBER(N1833),ISNUMBER(M1833),M1833&gt;0),(N1833-M1833)/M1833,"")</f>
        <v/>
      </c>
      <c r="Q1833" s="3">
        <f>IF(P1833="","",IF(P1833&lt;-0.02,"🔴 Bán phá giá sàn",IF(P1833&gt;0.05,"🔵 Bán cao hơn","🟢 Đúng giá sàn TMĐT")))</f>
        <v/>
      </c>
      <c r="R1833" s="3" t="n"/>
      <c r="S1833" s="4" t="n"/>
      <c r="T1833" s="4" t="n"/>
    </row>
    <row r="1834">
      <c r="A1834" s="3" t="n">
        <v>1833</v>
      </c>
      <c r="B1834" s="3" t="inlineStr">
        <is>
          <t>DL017</t>
        </is>
      </c>
      <c r="C1834" s="4" t="inlineStr">
        <is>
          <t>Điện máy Việt Nhật</t>
        </is>
      </c>
      <c r="D1834" s="3" t="inlineStr">
        <is>
          <t>HN</t>
        </is>
      </c>
      <c r="E1834" s="3" t="inlineStr">
        <is>
          <t>ĐIỆP</t>
        </is>
      </c>
      <c r="F1834" s="3" t="inlineStr">
        <is>
          <t>Shopee, Tiktok, Lazada, Website bán hàng</t>
        </is>
      </c>
      <c r="G1834" s="4" t="inlineStr">
        <is>
          <t>SHOPEE: https://www.shopee.vn/vietnhat3838 TIKTOK: dienmayvietnhat LAZADA: https://www.lazada.vn/shop/viet-nhat- WEBSITE BÁN HÀNG: https://dienmayvietnhat.vn/</t>
        </is>
      </c>
      <c r="H1834" s="3" t="inlineStr">
        <is>
          <t>KFCN10.400</t>
        </is>
      </c>
      <c r="I1834" s="4" t="inlineStr">
        <is>
          <t>Cảo chữ F - KFCN10.400</t>
        </is>
      </c>
      <c r="J1834" s="3" t="inlineStr">
        <is>
          <t>Cái</t>
        </is>
      </c>
      <c r="K1834" s="5" t="n">
        <v>269000</v>
      </c>
      <c r="L1834" s="5" t="n">
        <v>317000</v>
      </c>
      <c r="M1834" s="6" t="n">
        <v>390000</v>
      </c>
      <c r="N1834" s="5" t="n"/>
      <c r="O1834" s="5">
        <f>IF(AND(ISNUMBER(N1834),ISNUMBER(M1834)),N1834-M1834,"")</f>
        <v/>
      </c>
      <c r="P1834" s="7">
        <f>IF(AND(ISNUMBER(N1834),ISNUMBER(M1834),M1834&gt;0),(N1834-M1834)/M1834,"")</f>
        <v/>
      </c>
      <c r="Q1834" s="3">
        <f>IF(P1834="","",IF(P1834&lt;-0.02,"🔴 Bán phá giá sàn",IF(P1834&gt;0.05,"🔵 Bán cao hơn","🟢 Đúng giá sàn TMĐT")))</f>
        <v/>
      </c>
      <c r="R1834" s="3" t="n"/>
      <c r="S1834" s="4" t="n"/>
      <c r="T1834" s="4" t="n"/>
    </row>
    <row r="1835">
      <c r="A1835" s="3" t="n">
        <v>1834</v>
      </c>
      <c r="B1835" s="3" t="inlineStr">
        <is>
          <t>DL017</t>
        </is>
      </c>
      <c r="C1835" s="4" t="inlineStr">
        <is>
          <t>Điện máy Việt Nhật</t>
        </is>
      </c>
      <c r="D1835" s="3" t="inlineStr">
        <is>
          <t>HN</t>
        </is>
      </c>
      <c r="E1835" s="3" t="inlineStr">
        <is>
          <t>ĐIỆP</t>
        </is>
      </c>
      <c r="F1835" s="3" t="inlineStr">
        <is>
          <t>Shopee, Tiktok, Lazada, Website bán hàng</t>
        </is>
      </c>
      <c r="G1835" s="4" t="inlineStr">
        <is>
          <t>SHOPEE: https://www.shopee.vn/vietnhat3838 TIKTOK: dienmayvietnhat LAZADA: https://www.lazada.vn/shop/viet-nhat- WEBSITE BÁN HÀNG: https://dienmayvietnhat.vn/</t>
        </is>
      </c>
      <c r="H1835" s="3" t="inlineStr">
        <is>
          <t>KB-05X</t>
        </is>
      </c>
      <c r="I1835" s="4" t="inlineStr">
        <is>
          <t>Chân máy laser KB-05X</t>
        </is>
      </c>
      <c r="J1835" s="3" t="inlineStr">
        <is>
          <t>Cái</t>
        </is>
      </c>
      <c r="K1835" s="5" t="n">
        <v>1350000</v>
      </c>
      <c r="L1835" s="5" t="n">
        <v>1510000</v>
      </c>
      <c r="M1835" s="6" t="n">
        <v>1760000</v>
      </c>
      <c r="N1835" s="5" t="n"/>
      <c r="O1835" s="5">
        <f>IF(AND(ISNUMBER(N1835),ISNUMBER(M1835)),N1835-M1835,"")</f>
        <v/>
      </c>
      <c r="P1835" s="7">
        <f>IF(AND(ISNUMBER(N1835),ISNUMBER(M1835),M1835&gt;0),(N1835-M1835)/M1835,"")</f>
        <v/>
      </c>
      <c r="Q1835" s="3">
        <f>IF(P1835="","",IF(P1835&lt;-0.02,"🔴 Bán phá giá sàn",IF(P1835&gt;0.05,"🔵 Bán cao hơn","🟢 Đúng giá sàn TMĐT")))</f>
        <v/>
      </c>
      <c r="R1835" s="3" t="n"/>
      <c r="S1835" s="4" t="n"/>
      <c r="T1835" s="4" t="n"/>
    </row>
    <row r="1836">
      <c r="A1836" s="3" t="n">
        <v>1835</v>
      </c>
      <c r="B1836" s="3" t="inlineStr">
        <is>
          <t>DL017</t>
        </is>
      </c>
      <c r="C1836" s="4" t="inlineStr">
        <is>
          <t>Điện máy Việt Nhật</t>
        </is>
      </c>
      <c r="D1836" s="3" t="inlineStr">
        <is>
          <t>HN</t>
        </is>
      </c>
      <c r="E1836" s="3" t="inlineStr">
        <is>
          <t>ĐIỆP</t>
        </is>
      </c>
      <c r="F1836" s="3" t="inlineStr">
        <is>
          <t>Shopee, Tiktok, Lazada, Website bán hàng</t>
        </is>
      </c>
      <c r="G1836" s="4" t="inlineStr">
        <is>
          <t>SHOPEE: https://www.shopee.vn/vietnhat3838 TIKTOK: dienmayvietnhat LAZADA: https://www.lazada.vn/shop/viet-nhat- WEBSITE BÁN HÀNG: https://dienmayvietnhat.vn/</t>
        </is>
      </c>
      <c r="H1836" s="3" t="inlineStr">
        <is>
          <t>M1-110x5L</t>
        </is>
      </c>
      <c r="I1836" s="4" t="inlineStr">
        <is>
          <t>Chén mài Kingblue M1-110x5L (Vàng)</t>
        </is>
      </c>
      <c r="J1836" s="3" t="inlineStr">
        <is>
          <t>Cái</t>
        </is>
      </c>
      <c r="K1836" s="5" t="n">
        <v>77000</v>
      </c>
      <c r="L1836" s="5" t="n">
        <v>91000</v>
      </c>
      <c r="M1836" s="6" t="n">
        <v>112000</v>
      </c>
      <c r="N1836" s="5" t="n"/>
      <c r="O1836" s="5">
        <f>IF(AND(ISNUMBER(N1836),ISNUMBER(M1836)),N1836-M1836,"")</f>
        <v/>
      </c>
      <c r="P1836" s="7">
        <f>IF(AND(ISNUMBER(N1836),ISNUMBER(M1836),M1836&gt;0),(N1836-M1836)/M1836,"")</f>
        <v/>
      </c>
      <c r="Q1836" s="3">
        <f>IF(P1836="","",IF(P1836&lt;-0.02,"🔴 Bán phá giá sàn",IF(P1836&gt;0.05,"🔵 Bán cao hơn","🟢 Đúng giá sàn TMĐT")))</f>
        <v/>
      </c>
      <c r="R1836" s="3" t="n"/>
      <c r="S1836" s="4" t="n"/>
      <c r="T1836" s="4" t="n"/>
    </row>
    <row r="1837">
      <c r="A1837" s="3" t="n">
        <v>1836</v>
      </c>
      <c r="B1837" s="3" t="inlineStr">
        <is>
          <t>DL017</t>
        </is>
      </c>
      <c r="C1837" s="4" t="inlineStr">
        <is>
          <t>Điện máy Việt Nhật</t>
        </is>
      </c>
      <c r="D1837" s="3" t="inlineStr">
        <is>
          <t>HN</t>
        </is>
      </c>
      <c r="E1837" s="3" t="inlineStr">
        <is>
          <t>ĐIỆP</t>
        </is>
      </c>
      <c r="F1837" s="3" t="inlineStr">
        <is>
          <t>Shopee, Tiktok, Lazada, Website bán hàng</t>
        </is>
      </c>
      <c r="G1837" s="4" t="inlineStr">
        <is>
          <t>SHOPEE: https://www.shopee.vn/vietnhat3838 TIKTOK: dienmayvietnhat LAZADA: https://www.lazada.vn/shop/viet-nhat- WEBSITE BÁN HÀNG: https://dienmayvietnhat.vn/</t>
        </is>
      </c>
      <c r="H1837" s="3" t="inlineStr">
        <is>
          <t>M2-150x5R</t>
        </is>
      </c>
      <c r="I1837" s="4" t="inlineStr">
        <is>
          <t>Chén mài KingBlue M2-150x5R (Xanh)</t>
        </is>
      </c>
      <c r="J1837" s="3" t="inlineStr">
        <is>
          <t>Cái</t>
        </is>
      </c>
      <c r="K1837" s="5" t="n">
        <v>380000</v>
      </c>
      <c r="L1837" s="5" t="n">
        <v>448000</v>
      </c>
      <c r="M1837" s="6" t="n">
        <v>551000</v>
      </c>
      <c r="N1837" s="5" t="n"/>
      <c r="O1837" s="5">
        <f>IF(AND(ISNUMBER(N1837),ISNUMBER(M1837)),N1837-M1837,"")</f>
        <v/>
      </c>
      <c r="P1837" s="7">
        <f>IF(AND(ISNUMBER(N1837),ISNUMBER(M1837),M1837&gt;0),(N1837-M1837)/M1837,"")</f>
        <v/>
      </c>
      <c r="Q1837" s="3">
        <f>IF(P1837="","",IF(P1837&lt;-0.02,"🔴 Bán phá giá sàn",IF(P1837&gt;0.05,"🔵 Bán cao hơn","🟢 Đúng giá sàn TMĐT")))</f>
        <v/>
      </c>
      <c r="R1837" s="3" t="n"/>
      <c r="S1837" s="4" t="n"/>
      <c r="T1837" s="4" t="n"/>
    </row>
    <row r="1838">
      <c r="A1838" s="3" t="n">
        <v>1837</v>
      </c>
      <c r="B1838" s="3" t="inlineStr">
        <is>
          <t>DL017</t>
        </is>
      </c>
      <c r="C1838" s="4" t="inlineStr">
        <is>
          <t>Điện máy Việt Nhật</t>
        </is>
      </c>
      <c r="D1838" s="3" t="inlineStr">
        <is>
          <t>HN</t>
        </is>
      </c>
      <c r="E1838" s="3" t="inlineStr">
        <is>
          <t>ĐIỆP</t>
        </is>
      </c>
      <c r="F1838" s="3" t="inlineStr">
        <is>
          <t>Shopee, Tiktok, Lazada, Website bán hàng</t>
        </is>
      </c>
      <c r="G1838" s="4" t="inlineStr">
        <is>
          <t>SHOPEE: https://www.shopee.vn/vietnhat3838 TIKTOK: dienmayvietnhat LAZADA: https://www.lazada.vn/shop/viet-nhat- WEBSITE BÁN HÀNG: https://dienmayvietnhat.vn/</t>
        </is>
      </c>
      <c r="H1838" s="3" t="inlineStr">
        <is>
          <t>MS-125x4R</t>
        </is>
      </c>
      <c r="I1838" s="4" t="inlineStr">
        <is>
          <t>Chén mài Kingblue MS-125x4R (Đỏ)</t>
        </is>
      </c>
      <c r="J1838" s="3" t="inlineStr">
        <is>
          <t>Cái</t>
        </is>
      </c>
      <c r="K1838" s="5" t="n">
        <v>93000</v>
      </c>
      <c r="L1838" s="5" t="n">
        <v>110000</v>
      </c>
      <c r="M1838" s="6" t="n">
        <v>135000</v>
      </c>
      <c r="N1838" s="5" t="n"/>
      <c r="O1838" s="5">
        <f>IF(AND(ISNUMBER(N1838),ISNUMBER(M1838)),N1838-M1838,"")</f>
        <v/>
      </c>
      <c r="P1838" s="7">
        <f>IF(AND(ISNUMBER(N1838),ISNUMBER(M1838),M1838&gt;0),(N1838-M1838)/M1838,"")</f>
        <v/>
      </c>
      <c r="Q1838" s="3">
        <f>IF(P1838="","",IF(P1838&lt;-0.02,"🔴 Bán phá giá sàn",IF(P1838&gt;0.05,"🔵 Bán cao hơn","🟢 Đúng giá sàn TMĐT")))</f>
        <v/>
      </c>
      <c r="R1838" s="3" t="n"/>
      <c r="S1838" s="4" t="n"/>
      <c r="T1838" s="4" t="n"/>
    </row>
    <row r="1839">
      <c r="A1839" s="3" t="n">
        <v>1838</v>
      </c>
      <c r="B1839" s="3" t="inlineStr">
        <is>
          <t>DL017</t>
        </is>
      </c>
      <c r="C1839" s="4" t="inlineStr">
        <is>
          <t>Điện máy Việt Nhật</t>
        </is>
      </c>
      <c r="D1839" s="3" t="inlineStr">
        <is>
          <t>HN</t>
        </is>
      </c>
      <c r="E1839" s="3" t="inlineStr">
        <is>
          <t>ĐIỆP</t>
        </is>
      </c>
      <c r="F1839" s="3" t="inlineStr">
        <is>
          <t>Shopee, Tiktok, Lazada, Website bán hàng</t>
        </is>
      </c>
      <c r="G1839" s="4" t="inlineStr">
        <is>
          <t>SHOPEE: https://www.shopee.vn/vietnhat3838 TIKTOK: dienmayvietnhat LAZADA: https://www.lazada.vn/shop/viet-nhat- WEBSITE BÁN HÀNG: https://dienmayvietnhat.vn/</t>
        </is>
      </c>
      <c r="H1839" s="3" t="inlineStr"/>
      <c r="I1839" s="4" t="inlineStr">
        <is>
          <t>Chuôi gài ngắn (không định tâm)</t>
        </is>
      </c>
      <c r="J1839" s="3" t="inlineStr">
        <is>
          <t>Cái</t>
        </is>
      </c>
      <c r="K1839" s="5" t="n">
        <v>269000</v>
      </c>
      <c r="L1839" s="5" t="n">
        <v>317000</v>
      </c>
      <c r="M1839" s="6" t="n">
        <v>390000</v>
      </c>
      <c r="N1839" s="5" t="n"/>
      <c r="O1839" s="5">
        <f>IF(AND(ISNUMBER(N1839),ISNUMBER(M1839)),N1839-M1839,"")</f>
        <v/>
      </c>
      <c r="P1839" s="7">
        <f>IF(AND(ISNUMBER(N1839),ISNUMBER(M1839),M1839&gt;0),(N1839-M1839)/M1839,"")</f>
        <v/>
      </c>
      <c r="Q1839" s="3">
        <f>IF(P1839="","",IF(P1839&lt;-0.02,"🔴 Bán phá giá sàn",IF(P1839&gt;0.05,"🔵 Bán cao hơn","🟢 Đúng giá sàn TMĐT")))</f>
        <v/>
      </c>
      <c r="R1839" s="3" t="n"/>
      <c r="S1839" s="4" t="n"/>
      <c r="T1839" s="4" t="n"/>
    </row>
    <row r="1840">
      <c r="A1840" s="3" t="n">
        <v>1839</v>
      </c>
      <c r="B1840" s="3" t="inlineStr">
        <is>
          <t>DL017</t>
        </is>
      </c>
      <c r="C1840" s="4" t="inlineStr">
        <is>
          <t>Điện máy Việt Nhật</t>
        </is>
      </c>
      <c r="D1840" s="3" t="inlineStr">
        <is>
          <t>HN</t>
        </is>
      </c>
      <c r="E1840" s="3" t="inlineStr">
        <is>
          <t>ĐIỆP</t>
        </is>
      </c>
      <c r="F1840" s="3" t="inlineStr">
        <is>
          <t>Shopee, Tiktok, Lazada, Website bán hàng</t>
        </is>
      </c>
      <c r="G1840" s="4" t="inlineStr">
        <is>
          <t>SHOPEE: https://www.shopee.vn/vietnhat3838 TIKTOK: dienmayvietnhat LAZADA: https://www.lazada.vn/shop/viet-nhat- WEBSITE BÁN HÀNG: https://dienmayvietnhat.vn/</t>
        </is>
      </c>
      <c r="H1840" s="3" t="inlineStr">
        <is>
          <t>SDST-M22</t>
        </is>
      </c>
      <c r="I1840" s="4" t="inlineStr">
        <is>
          <t>Chuôi khoan rút lõi gài SDST-M22</t>
        </is>
      </c>
      <c r="J1840" s="3" t="inlineStr">
        <is>
          <t>Cái</t>
        </is>
      </c>
      <c r="K1840" s="5" t="n">
        <v>24000</v>
      </c>
      <c r="L1840" s="5" t="n">
        <v>30000</v>
      </c>
      <c r="M1840" s="6" t="n">
        <v>38000</v>
      </c>
      <c r="N1840" s="5" t="n"/>
      <c r="O1840" s="5">
        <f>IF(AND(ISNUMBER(N1840),ISNUMBER(M1840)),N1840-M1840,"")</f>
        <v/>
      </c>
      <c r="P1840" s="7">
        <f>IF(AND(ISNUMBER(N1840),ISNUMBER(M1840),M1840&gt;0),(N1840-M1840)/M1840,"")</f>
        <v/>
      </c>
      <c r="Q1840" s="3">
        <f>IF(P1840="","",IF(P1840&lt;-0.02,"🔴 Bán phá giá sàn",IF(P1840&gt;0.05,"🔵 Bán cao hơn","🟢 Đúng giá sàn TMĐT")))</f>
        <v/>
      </c>
      <c r="R1840" s="3" t="n"/>
      <c r="S1840" s="4" t="n"/>
      <c r="T1840" s="4" t="n"/>
    </row>
    <row r="1841">
      <c r="A1841" s="3" t="n">
        <v>1840</v>
      </c>
      <c r="B1841" s="3" t="inlineStr">
        <is>
          <t>DL017</t>
        </is>
      </c>
      <c r="C1841" s="4" t="inlineStr">
        <is>
          <t>Điện máy Việt Nhật</t>
        </is>
      </c>
      <c r="D1841" s="3" t="inlineStr">
        <is>
          <t>HN</t>
        </is>
      </c>
      <c r="E1841" s="3" t="inlineStr">
        <is>
          <t>ĐIỆP</t>
        </is>
      </c>
      <c r="F1841" s="3" t="inlineStr">
        <is>
          <t>Shopee, Tiktok, Lazada, Website bán hàng</t>
        </is>
      </c>
      <c r="G1841" s="4" t="inlineStr">
        <is>
          <t>SHOPEE: https://www.shopee.vn/vietnhat3838 TIKTOK: dienmayvietnhat LAZADA: https://www.lazada.vn/shop/viet-nhat- WEBSITE BÁN HÀNG: https://dienmayvietnhat.vn/</t>
        </is>
      </c>
      <c r="H1841" s="3" t="inlineStr">
        <is>
          <t>DLG-M22</t>
        </is>
      </c>
      <c r="I1841" s="4" t="inlineStr">
        <is>
          <t>Chuôi khoan rút lõi lục giác DLG-M22</t>
        </is>
      </c>
      <c r="J1841" s="3" t="inlineStr">
        <is>
          <t>Cái</t>
        </is>
      </c>
      <c r="K1841" s="5" t="n">
        <v>24000</v>
      </c>
      <c r="L1841" s="5" t="n">
        <v>30000</v>
      </c>
      <c r="M1841" s="6" t="n">
        <v>38000</v>
      </c>
      <c r="N1841" s="5" t="n"/>
      <c r="O1841" s="5">
        <f>IF(AND(ISNUMBER(N1841),ISNUMBER(M1841)),N1841-M1841,"")</f>
        <v/>
      </c>
      <c r="P1841" s="7">
        <f>IF(AND(ISNUMBER(N1841),ISNUMBER(M1841),M1841&gt;0),(N1841-M1841)/M1841,"")</f>
        <v/>
      </c>
      <c r="Q1841" s="3">
        <f>IF(P1841="","",IF(P1841&lt;-0.02,"🔴 Bán phá giá sàn",IF(P1841&gt;0.05,"🔵 Bán cao hơn","🟢 Đúng giá sàn TMĐT")))</f>
        <v/>
      </c>
      <c r="R1841" s="3" t="n"/>
      <c r="S1841" s="4" t="n"/>
      <c r="T1841" s="4" t="n"/>
    </row>
    <row r="1842">
      <c r="A1842" s="3" t="n">
        <v>1841</v>
      </c>
      <c r="B1842" s="3" t="inlineStr">
        <is>
          <t>DL017</t>
        </is>
      </c>
      <c r="C1842" s="4" t="inlineStr">
        <is>
          <t>Điện máy Việt Nhật</t>
        </is>
      </c>
      <c r="D1842" s="3" t="inlineStr">
        <is>
          <t>HN</t>
        </is>
      </c>
      <c r="E1842" s="3" t="inlineStr">
        <is>
          <t>ĐIỆP</t>
        </is>
      </c>
      <c r="F1842" s="3" t="inlineStr">
        <is>
          <t>Shopee, Tiktok, Lazada, Website bán hàng</t>
        </is>
      </c>
      <c r="G1842" s="4" t="inlineStr">
        <is>
          <t>SHOPEE: https://www.shopee.vn/vietnhat3838 TIKTOK: dienmayvietnhat LAZADA: https://www.lazada.vn/shop/viet-nhat- WEBSITE BÁN HÀNG: https://dienmayvietnhat.vn/</t>
        </is>
      </c>
      <c r="H1842" s="3" t="inlineStr"/>
      <c r="I1842" s="4" t="inlineStr">
        <is>
          <t>Chuôi khoan rút lõi lục giác LGST</t>
        </is>
      </c>
      <c r="J1842" s="3" t="inlineStr">
        <is>
          <t>Cái</t>
        </is>
      </c>
      <c r="K1842" s="5" t="n">
        <v>269000</v>
      </c>
      <c r="L1842" s="5" t="n">
        <v>317000</v>
      </c>
      <c r="M1842" s="6" t="n">
        <v>390000</v>
      </c>
      <c r="N1842" s="5" t="n"/>
      <c r="O1842" s="5">
        <f>IF(AND(ISNUMBER(N1842),ISNUMBER(M1842)),N1842-M1842,"")</f>
        <v/>
      </c>
      <c r="P1842" s="7">
        <f>IF(AND(ISNUMBER(N1842),ISNUMBER(M1842),M1842&gt;0),(N1842-M1842)/M1842,"")</f>
        <v/>
      </c>
      <c r="Q1842" s="3">
        <f>IF(P1842="","",IF(P1842&lt;-0.02,"🔴 Bán phá giá sàn",IF(P1842&gt;0.05,"🔵 Bán cao hơn","🟢 Đúng giá sàn TMĐT")))</f>
        <v/>
      </c>
      <c r="R1842" s="3" t="n"/>
      <c r="S1842" s="4" t="n"/>
      <c r="T1842" s="4" t="n"/>
    </row>
    <row r="1843">
      <c r="A1843" s="3" t="n">
        <v>1842</v>
      </c>
      <c r="B1843" s="3" t="inlineStr">
        <is>
          <t>DL017</t>
        </is>
      </c>
      <c r="C1843" s="4" t="inlineStr">
        <is>
          <t>Điện máy Việt Nhật</t>
        </is>
      </c>
      <c r="D1843" s="3" t="inlineStr">
        <is>
          <t>HN</t>
        </is>
      </c>
      <c r="E1843" s="3" t="inlineStr">
        <is>
          <t>ĐIỆP</t>
        </is>
      </c>
      <c r="F1843" s="3" t="inlineStr">
        <is>
          <t>Shopee, Tiktok, Lazada, Website bán hàng</t>
        </is>
      </c>
      <c r="G1843" s="4" t="inlineStr">
        <is>
          <t>SHOPEE: https://www.shopee.vn/vietnhat3838 TIKTOK: dienmayvietnhat LAZADA: https://www.lazada.vn/shop/viet-nhat- WEBSITE BÁN HÀNG: https://dienmayvietnhat.vn/</t>
        </is>
      </c>
      <c r="H1843" s="3" t="inlineStr"/>
      <c r="I1843" s="4" t="inlineStr">
        <is>
          <t>Cờ lê lực 17mm</t>
        </is>
      </c>
      <c r="J1843" s="3" t="inlineStr">
        <is>
          <t>Cái</t>
        </is>
      </c>
      <c r="K1843" s="5" t="n">
        <v>269000</v>
      </c>
      <c r="L1843" s="5" t="n">
        <v>317000</v>
      </c>
      <c r="M1843" s="6" t="n">
        <v>390000</v>
      </c>
      <c r="N1843" s="5" t="n"/>
      <c r="O1843" s="5">
        <f>IF(AND(ISNUMBER(N1843),ISNUMBER(M1843)),N1843-M1843,"")</f>
        <v/>
      </c>
      <c r="P1843" s="7">
        <f>IF(AND(ISNUMBER(N1843),ISNUMBER(M1843),M1843&gt;0),(N1843-M1843)/M1843,"")</f>
        <v/>
      </c>
      <c r="Q1843" s="3">
        <f>IF(P1843="","",IF(P1843&lt;-0.02,"🔴 Bán phá giá sàn",IF(P1843&gt;0.05,"🔵 Bán cao hơn","🟢 Đúng giá sàn TMĐT")))</f>
        <v/>
      </c>
      <c r="R1843" s="3" t="n"/>
      <c r="S1843" s="4" t="n"/>
      <c r="T1843" s="4" t="n"/>
    </row>
    <row r="1844">
      <c r="A1844" s="3" t="n">
        <v>1843</v>
      </c>
      <c r="B1844" s="3" t="inlineStr">
        <is>
          <t>DL017</t>
        </is>
      </c>
      <c r="C1844" s="4" t="inlineStr">
        <is>
          <t>Điện máy Việt Nhật</t>
        </is>
      </c>
      <c r="D1844" s="3" t="inlineStr">
        <is>
          <t>HN</t>
        </is>
      </c>
      <c r="E1844" s="3" t="inlineStr">
        <is>
          <t>ĐIỆP</t>
        </is>
      </c>
      <c r="F1844" s="3" t="inlineStr">
        <is>
          <t>Shopee, Tiktok, Lazada, Website bán hàng</t>
        </is>
      </c>
      <c r="G1844" s="4" t="inlineStr">
        <is>
          <t>SHOPEE: https://www.shopee.vn/vietnhat3838 TIKTOK: dienmayvietnhat LAZADA: https://www.lazada.vn/shop/viet-nhat- WEBSITE BÁN HÀNG: https://dienmayvietnhat.vn/</t>
        </is>
      </c>
      <c r="H1844" s="3" t="inlineStr"/>
      <c r="I1844" s="4" t="inlineStr">
        <is>
          <t>Cờ lê lực 24mm</t>
        </is>
      </c>
      <c r="J1844" s="3" t="inlineStr">
        <is>
          <t>Cái</t>
        </is>
      </c>
      <c r="K1844" s="5" t="n">
        <v>269000</v>
      </c>
      <c r="L1844" s="5" t="n">
        <v>317000</v>
      </c>
      <c r="M1844" s="6" t="n">
        <v>390000</v>
      </c>
      <c r="N1844" s="5" t="n"/>
      <c r="O1844" s="5">
        <f>IF(AND(ISNUMBER(N1844),ISNUMBER(M1844)),N1844-M1844,"")</f>
        <v/>
      </c>
      <c r="P1844" s="7">
        <f>IF(AND(ISNUMBER(N1844),ISNUMBER(M1844),M1844&gt;0),(N1844-M1844)/M1844,"")</f>
        <v/>
      </c>
      <c r="Q1844" s="3">
        <f>IF(P1844="","",IF(P1844&lt;-0.02,"🔴 Bán phá giá sàn",IF(P1844&gt;0.05,"🔵 Bán cao hơn","🟢 Đúng giá sàn TMĐT")))</f>
        <v/>
      </c>
      <c r="R1844" s="3" t="n"/>
      <c r="S1844" s="4" t="n"/>
      <c r="T1844" s="4" t="n"/>
    </row>
    <row r="1845">
      <c r="A1845" s="3" t="n">
        <v>1844</v>
      </c>
      <c r="B1845" s="3" t="inlineStr">
        <is>
          <t>DL017</t>
        </is>
      </c>
      <c r="C1845" s="4" t="inlineStr">
        <is>
          <t>Điện máy Việt Nhật</t>
        </is>
      </c>
      <c r="D1845" s="3" t="inlineStr">
        <is>
          <t>HN</t>
        </is>
      </c>
      <c r="E1845" s="3" t="inlineStr">
        <is>
          <t>ĐIỆP</t>
        </is>
      </c>
      <c r="F1845" s="3" t="inlineStr">
        <is>
          <t>Shopee, Tiktok, Lazada, Website bán hàng</t>
        </is>
      </c>
      <c r="G1845" s="4" t="inlineStr">
        <is>
          <t>SHOPEE: https://www.shopee.vn/vietnhat3838 TIKTOK: dienmayvietnhat LAZADA: https://www.lazada.vn/shop/viet-nhat- WEBSITE BÁN HÀNG: https://dienmayvietnhat.vn/</t>
        </is>
      </c>
      <c r="H1845" s="3" t="inlineStr">
        <is>
          <t>KH3-08</t>
        </is>
      </c>
      <c r="I1845" s="4" t="inlineStr">
        <is>
          <t>Cờ lê vòng miệng tự động ( càng cua đảo chiều) KH3-08</t>
        </is>
      </c>
      <c r="J1845" s="3" t="inlineStr">
        <is>
          <t>Cái</t>
        </is>
      </c>
      <c r="K1845" s="5" t="n">
        <v>54000</v>
      </c>
      <c r="L1845" s="5" t="n">
        <v>64000</v>
      </c>
      <c r="M1845" s="6" t="n">
        <v>78000</v>
      </c>
      <c r="N1845" s="5" t="n"/>
      <c r="O1845" s="5">
        <f>IF(AND(ISNUMBER(N1845),ISNUMBER(M1845)),N1845-M1845,"")</f>
        <v/>
      </c>
      <c r="P1845" s="7">
        <f>IF(AND(ISNUMBER(N1845),ISNUMBER(M1845),M1845&gt;0),(N1845-M1845)/M1845,"")</f>
        <v/>
      </c>
      <c r="Q1845" s="3">
        <f>IF(P1845="","",IF(P1845&lt;-0.02,"🔴 Bán phá giá sàn",IF(P1845&gt;0.05,"🔵 Bán cao hơn","🟢 Đúng giá sàn TMĐT")))</f>
        <v/>
      </c>
      <c r="R1845" s="3" t="n"/>
      <c r="S1845" s="4" t="n"/>
      <c r="T1845" s="4" t="n"/>
    </row>
    <row r="1846">
      <c r="A1846" s="3" t="n">
        <v>1845</v>
      </c>
      <c r="B1846" s="3" t="inlineStr">
        <is>
          <t>DL017</t>
        </is>
      </c>
      <c r="C1846" s="4" t="inlineStr">
        <is>
          <t>Điện máy Việt Nhật</t>
        </is>
      </c>
      <c r="D1846" s="3" t="inlineStr">
        <is>
          <t>HN</t>
        </is>
      </c>
      <c r="E1846" s="3" t="inlineStr">
        <is>
          <t>ĐIỆP</t>
        </is>
      </c>
      <c r="F1846" s="3" t="inlineStr">
        <is>
          <t>Shopee, Tiktok, Lazada, Website bán hàng</t>
        </is>
      </c>
      <c r="G1846" s="4" t="inlineStr">
        <is>
          <t>SHOPEE: https://www.shopee.vn/vietnhat3838 TIKTOK: dienmayvietnhat LAZADA: https://www.lazada.vn/shop/viet-nhat- WEBSITE BÁN HÀNG: https://dienmayvietnhat.vn/</t>
        </is>
      </c>
      <c r="H1846" s="3" t="inlineStr">
        <is>
          <t>KH3-10</t>
        </is>
      </c>
      <c r="I1846" s="4" t="inlineStr">
        <is>
          <t>Cờ lê vòng miệng tự động ( càng cua đảo chiều) KH3-10</t>
        </is>
      </c>
      <c r="J1846" s="3" t="inlineStr">
        <is>
          <t>Cái</t>
        </is>
      </c>
      <c r="K1846" s="5" t="n">
        <v>62000</v>
      </c>
      <c r="L1846" s="5" t="n">
        <v>73000</v>
      </c>
      <c r="M1846" s="6" t="n">
        <v>90000</v>
      </c>
      <c r="N1846" s="5" t="n"/>
      <c r="O1846" s="5">
        <f>IF(AND(ISNUMBER(N1846),ISNUMBER(M1846)),N1846-M1846,"")</f>
        <v/>
      </c>
      <c r="P1846" s="7">
        <f>IF(AND(ISNUMBER(N1846),ISNUMBER(M1846),M1846&gt;0),(N1846-M1846)/M1846,"")</f>
        <v/>
      </c>
      <c r="Q1846" s="3">
        <f>IF(P1846="","",IF(P1846&lt;-0.02,"🔴 Bán phá giá sàn",IF(P1846&gt;0.05,"🔵 Bán cao hơn","🟢 Đúng giá sàn TMĐT")))</f>
        <v/>
      </c>
      <c r="R1846" s="3" t="n"/>
      <c r="S1846" s="4" t="n"/>
      <c r="T1846" s="4" t="n"/>
    </row>
    <row r="1847">
      <c r="A1847" s="3" t="n">
        <v>1846</v>
      </c>
      <c r="B1847" s="3" t="inlineStr">
        <is>
          <t>DL017</t>
        </is>
      </c>
      <c r="C1847" s="4" t="inlineStr">
        <is>
          <t>Điện máy Việt Nhật</t>
        </is>
      </c>
      <c r="D1847" s="3" t="inlineStr">
        <is>
          <t>HN</t>
        </is>
      </c>
      <c r="E1847" s="3" t="inlineStr">
        <is>
          <t>ĐIỆP</t>
        </is>
      </c>
      <c r="F1847" s="3" t="inlineStr">
        <is>
          <t>Shopee, Tiktok, Lazada, Website bán hàng</t>
        </is>
      </c>
      <c r="G1847" s="4" t="inlineStr">
        <is>
          <t>SHOPEE: https://www.shopee.vn/vietnhat3838 TIKTOK: dienmayvietnhat LAZADA: https://www.lazada.vn/shop/viet-nhat- WEBSITE BÁN HÀNG: https://dienmayvietnhat.vn/</t>
        </is>
      </c>
      <c r="H1847" s="3" t="inlineStr">
        <is>
          <t>KH3-12</t>
        </is>
      </c>
      <c r="I1847" s="4" t="inlineStr">
        <is>
          <t>Cờ lê vòng miệng tự động ( càng cua đảo chiều) KH3-12</t>
        </is>
      </c>
      <c r="J1847" s="3" t="inlineStr">
        <is>
          <t>Cái</t>
        </is>
      </c>
      <c r="K1847" s="5" t="n">
        <v>70000</v>
      </c>
      <c r="L1847" s="5" t="n">
        <v>83000</v>
      </c>
      <c r="M1847" s="6" t="n">
        <v>102000</v>
      </c>
      <c r="N1847" s="5" t="n"/>
      <c r="O1847" s="5">
        <f>IF(AND(ISNUMBER(N1847),ISNUMBER(M1847)),N1847-M1847,"")</f>
        <v/>
      </c>
      <c r="P1847" s="7">
        <f>IF(AND(ISNUMBER(N1847),ISNUMBER(M1847),M1847&gt;0),(N1847-M1847)/M1847,"")</f>
        <v/>
      </c>
      <c r="Q1847" s="3">
        <f>IF(P1847="","",IF(P1847&lt;-0.02,"🔴 Bán phá giá sàn",IF(P1847&gt;0.05,"🔵 Bán cao hơn","🟢 Đúng giá sàn TMĐT")))</f>
        <v/>
      </c>
      <c r="R1847" s="3" t="n"/>
      <c r="S1847" s="4" t="n"/>
      <c r="T1847" s="4" t="n"/>
    </row>
    <row r="1848">
      <c r="A1848" s="3" t="n">
        <v>1847</v>
      </c>
      <c r="B1848" s="3" t="inlineStr">
        <is>
          <t>DL017</t>
        </is>
      </c>
      <c r="C1848" s="4" t="inlineStr">
        <is>
          <t>Điện máy Việt Nhật</t>
        </is>
      </c>
      <c r="D1848" s="3" t="inlineStr">
        <is>
          <t>HN</t>
        </is>
      </c>
      <c r="E1848" s="3" t="inlineStr">
        <is>
          <t>ĐIỆP</t>
        </is>
      </c>
      <c r="F1848" s="3" t="inlineStr">
        <is>
          <t>Shopee, Tiktok, Lazada, Website bán hàng</t>
        </is>
      </c>
      <c r="G1848" s="4" t="inlineStr">
        <is>
          <t>SHOPEE: https://www.shopee.vn/vietnhat3838 TIKTOK: dienmayvietnhat LAZADA: https://www.lazada.vn/shop/viet-nhat- WEBSITE BÁN HÀNG: https://dienmayvietnhat.vn/</t>
        </is>
      </c>
      <c r="H1848" s="3" t="inlineStr">
        <is>
          <t>KH3-13</t>
        </is>
      </c>
      <c r="I1848" s="4" t="inlineStr">
        <is>
          <t>Cờ lê vòng miệng tự động ( càng cua đảo chiều) KH3-13</t>
        </is>
      </c>
      <c r="J1848" s="3" t="inlineStr">
        <is>
          <t>Cái</t>
        </is>
      </c>
      <c r="K1848" s="5" t="n">
        <v>75000</v>
      </c>
      <c r="L1848" s="5" t="n">
        <v>89000</v>
      </c>
      <c r="M1848" s="6" t="n">
        <v>109000</v>
      </c>
      <c r="N1848" s="5" t="n"/>
      <c r="O1848" s="5">
        <f>IF(AND(ISNUMBER(N1848),ISNUMBER(M1848)),N1848-M1848,"")</f>
        <v/>
      </c>
      <c r="P1848" s="7">
        <f>IF(AND(ISNUMBER(N1848),ISNUMBER(M1848),M1848&gt;0),(N1848-M1848)/M1848,"")</f>
        <v/>
      </c>
      <c r="Q1848" s="3">
        <f>IF(P1848="","",IF(P1848&lt;-0.02,"🔴 Bán phá giá sàn",IF(P1848&gt;0.05,"🔵 Bán cao hơn","🟢 Đúng giá sàn TMĐT")))</f>
        <v/>
      </c>
      <c r="R1848" s="3" t="n"/>
      <c r="S1848" s="4" t="n"/>
      <c r="T1848" s="4" t="n"/>
    </row>
    <row r="1849">
      <c r="A1849" s="3" t="n">
        <v>1848</v>
      </c>
      <c r="B1849" s="3" t="inlineStr">
        <is>
          <t>DL017</t>
        </is>
      </c>
      <c r="C1849" s="4" t="inlineStr">
        <is>
          <t>Điện máy Việt Nhật</t>
        </is>
      </c>
      <c r="D1849" s="3" t="inlineStr">
        <is>
          <t>HN</t>
        </is>
      </c>
      <c r="E1849" s="3" t="inlineStr">
        <is>
          <t>ĐIỆP</t>
        </is>
      </c>
      <c r="F1849" s="3" t="inlineStr">
        <is>
          <t>Shopee, Tiktok, Lazada, Website bán hàng</t>
        </is>
      </c>
      <c r="G1849" s="4" t="inlineStr">
        <is>
          <t>SHOPEE: https://www.shopee.vn/vietnhat3838 TIKTOK: dienmayvietnhat LAZADA: https://www.lazada.vn/shop/viet-nhat- WEBSITE BÁN HÀNG: https://dienmayvietnhat.vn/</t>
        </is>
      </c>
      <c r="H1849" s="3" t="inlineStr">
        <is>
          <t>KH3-17</t>
        </is>
      </c>
      <c r="I1849" s="4" t="inlineStr">
        <is>
          <t>Cờ lê vòng miệng tự động ( càng cua đảo chiều) KH3-17</t>
        </is>
      </c>
      <c r="J1849" s="3" t="inlineStr">
        <is>
          <t>Cái</t>
        </is>
      </c>
      <c r="K1849" s="5" t="n">
        <v>97000</v>
      </c>
      <c r="L1849" s="5" t="n">
        <v>115000</v>
      </c>
      <c r="M1849" s="6" t="n">
        <v>141000</v>
      </c>
      <c r="N1849" s="5" t="n"/>
      <c r="O1849" s="5">
        <f>IF(AND(ISNUMBER(N1849),ISNUMBER(M1849)),N1849-M1849,"")</f>
        <v/>
      </c>
      <c r="P1849" s="7">
        <f>IF(AND(ISNUMBER(N1849),ISNUMBER(M1849),M1849&gt;0),(N1849-M1849)/M1849,"")</f>
        <v/>
      </c>
      <c r="Q1849" s="3">
        <f>IF(P1849="","",IF(P1849&lt;-0.02,"🔴 Bán phá giá sàn",IF(P1849&gt;0.05,"🔵 Bán cao hơn","🟢 Đúng giá sàn TMĐT")))</f>
        <v/>
      </c>
      <c r="R1849" s="3" t="n"/>
      <c r="S1849" s="4" t="n"/>
      <c r="T1849" s="4" t="n"/>
    </row>
    <row r="1850">
      <c r="A1850" s="3" t="n">
        <v>1849</v>
      </c>
      <c r="B1850" s="3" t="inlineStr">
        <is>
          <t>DL017</t>
        </is>
      </c>
      <c r="C1850" s="4" t="inlineStr">
        <is>
          <t>Điện máy Việt Nhật</t>
        </is>
      </c>
      <c r="D1850" s="3" t="inlineStr">
        <is>
          <t>HN</t>
        </is>
      </c>
      <c r="E1850" s="3" t="inlineStr">
        <is>
          <t>ĐIỆP</t>
        </is>
      </c>
      <c r="F1850" s="3" t="inlineStr">
        <is>
          <t>Shopee, Tiktok, Lazada, Website bán hàng</t>
        </is>
      </c>
      <c r="G1850" s="4" t="inlineStr">
        <is>
          <t>SHOPEE: https://www.shopee.vn/vietnhat3838 TIKTOK: dienmayvietnhat LAZADA: https://www.lazada.vn/shop/viet-nhat- WEBSITE BÁN HÀNG: https://dienmayvietnhat.vn/</t>
        </is>
      </c>
      <c r="H1850" s="3" t="inlineStr">
        <is>
          <t>KH3-19</t>
        </is>
      </c>
      <c r="I1850" s="4" t="inlineStr">
        <is>
          <t>Cờ lê vòng miệng tự động ( càng cua đảo chiều) KH3-19</t>
        </is>
      </c>
      <c r="J1850" s="3" t="inlineStr">
        <is>
          <t>Cái</t>
        </is>
      </c>
      <c r="K1850" s="5" t="n">
        <v>108000</v>
      </c>
      <c r="L1850" s="5" t="n">
        <v>128000</v>
      </c>
      <c r="M1850" s="6" t="n">
        <v>157000</v>
      </c>
      <c r="N1850" s="5" t="n"/>
      <c r="O1850" s="5">
        <f>IF(AND(ISNUMBER(N1850),ISNUMBER(M1850)),N1850-M1850,"")</f>
        <v/>
      </c>
      <c r="P1850" s="7">
        <f>IF(AND(ISNUMBER(N1850),ISNUMBER(M1850),M1850&gt;0),(N1850-M1850)/M1850,"")</f>
        <v/>
      </c>
      <c r="Q1850" s="3">
        <f>IF(P1850="","",IF(P1850&lt;-0.02,"🔴 Bán phá giá sàn",IF(P1850&gt;0.05,"🔵 Bán cao hơn","🟢 Đúng giá sàn TMĐT")))</f>
        <v/>
      </c>
      <c r="R1850" s="3" t="n"/>
      <c r="S1850" s="4" t="n"/>
      <c r="T1850" s="4" t="n"/>
    </row>
    <row r="1851">
      <c r="A1851" s="3" t="n">
        <v>1850</v>
      </c>
      <c r="B1851" s="3" t="inlineStr">
        <is>
          <t>DL017</t>
        </is>
      </c>
      <c r="C1851" s="4" t="inlineStr">
        <is>
          <t>Điện máy Việt Nhật</t>
        </is>
      </c>
      <c r="D1851" s="3" t="inlineStr">
        <is>
          <t>HN</t>
        </is>
      </c>
      <c r="E1851" s="3" t="inlineStr">
        <is>
          <t>ĐIỆP</t>
        </is>
      </c>
      <c r="F1851" s="3" t="inlineStr">
        <is>
          <t>Shopee, Tiktok, Lazada, Website bán hàng</t>
        </is>
      </c>
      <c r="G1851" s="4" t="inlineStr">
        <is>
          <t>SHOPEE: https://www.shopee.vn/vietnhat3838 TIKTOK: dienmayvietnhat LAZADA: https://www.lazada.vn/shop/viet-nhat- WEBSITE BÁN HÀNG: https://dienmayvietnhat.vn/</t>
        </is>
      </c>
      <c r="H1851" s="3" t="inlineStr">
        <is>
          <t>KB-ST18</t>
        </is>
      </c>
      <c r="I1851" s="4" t="inlineStr">
        <is>
          <t>Công cụ đóng đinh bán tự động KB-ST18</t>
        </is>
      </c>
      <c r="J1851" s="3" t="inlineStr">
        <is>
          <t>Cái</t>
        </is>
      </c>
      <c r="K1851" s="5" t="n">
        <v>242000</v>
      </c>
      <c r="L1851" s="5" t="n">
        <v>286000</v>
      </c>
      <c r="M1851" s="6" t="n">
        <v>351000</v>
      </c>
      <c r="N1851" s="5" t="n"/>
      <c r="O1851" s="5">
        <f>IF(AND(ISNUMBER(N1851),ISNUMBER(M1851)),N1851-M1851,"")</f>
        <v/>
      </c>
      <c r="P1851" s="7">
        <f>IF(AND(ISNUMBER(N1851),ISNUMBER(M1851),M1851&gt;0),(N1851-M1851)/M1851,"")</f>
        <v/>
      </c>
      <c r="Q1851" s="3">
        <f>IF(P1851="","",IF(P1851&lt;-0.02,"🔴 Bán phá giá sàn",IF(P1851&gt;0.05,"🔵 Bán cao hơn","🟢 Đúng giá sàn TMĐT")))</f>
        <v/>
      </c>
      <c r="R1851" s="3" t="n"/>
      <c r="S1851" s="4" t="n"/>
      <c r="T1851" s="4" t="n"/>
    </row>
    <row r="1852">
      <c r="A1852" s="3" t="n">
        <v>1851</v>
      </c>
      <c r="B1852" s="3" t="inlineStr">
        <is>
          <t>DL017</t>
        </is>
      </c>
      <c r="C1852" s="4" t="inlineStr">
        <is>
          <t>Điện máy Việt Nhật</t>
        </is>
      </c>
      <c r="D1852" s="3" t="inlineStr">
        <is>
          <t>HN</t>
        </is>
      </c>
      <c r="E1852" s="3" t="inlineStr">
        <is>
          <t>ĐIỆP</t>
        </is>
      </c>
      <c r="F1852" s="3" t="inlineStr">
        <is>
          <t>Shopee, Tiktok, Lazada, Website bán hàng</t>
        </is>
      </c>
      <c r="G1852" s="4" t="inlineStr">
        <is>
          <t>SHOPEE: https://www.shopee.vn/vietnhat3838 TIKTOK: dienmayvietnhat LAZADA: https://www.lazada.vn/shop/viet-nhat- WEBSITE BÁN HÀNG: https://dienmayvietnhat.vn/</t>
        </is>
      </c>
      <c r="H1852" s="3" t="inlineStr">
        <is>
          <t>ES180i</t>
        </is>
      </c>
      <c r="I1852" s="4" t="inlineStr">
        <is>
          <t>Cưa gấp KingBlue ES180i</t>
        </is>
      </c>
      <c r="J1852" s="3" t="inlineStr">
        <is>
          <t>Cái</t>
        </is>
      </c>
      <c r="K1852" s="5" t="n">
        <v>139000</v>
      </c>
      <c r="L1852" s="5" t="n">
        <v>164000</v>
      </c>
      <c r="M1852" s="6" t="n">
        <v>202000</v>
      </c>
      <c r="N1852" s="5" t="n"/>
      <c r="O1852" s="5">
        <f>IF(AND(ISNUMBER(N1852),ISNUMBER(M1852)),N1852-M1852,"")</f>
        <v/>
      </c>
      <c r="P1852" s="7">
        <f>IF(AND(ISNUMBER(N1852),ISNUMBER(M1852),M1852&gt;0),(N1852-M1852)/M1852,"")</f>
        <v/>
      </c>
      <c r="Q1852" s="3">
        <f>IF(P1852="","",IF(P1852&lt;-0.02,"🔴 Bán phá giá sàn",IF(P1852&gt;0.05,"🔵 Bán cao hơn","🟢 Đúng giá sàn TMĐT")))</f>
        <v/>
      </c>
      <c r="R1852" s="3" t="n"/>
      <c r="S1852" s="4" t="n"/>
      <c r="T1852" s="4" t="n"/>
    </row>
    <row r="1853">
      <c r="A1853" s="3" t="n">
        <v>1852</v>
      </c>
      <c r="B1853" s="3" t="inlineStr">
        <is>
          <t>DL017</t>
        </is>
      </c>
      <c r="C1853" s="4" t="inlineStr">
        <is>
          <t>Điện máy Việt Nhật</t>
        </is>
      </c>
      <c r="D1853" s="3" t="inlineStr">
        <is>
          <t>HN</t>
        </is>
      </c>
      <c r="E1853" s="3" t="inlineStr">
        <is>
          <t>ĐIỆP</t>
        </is>
      </c>
      <c r="F1853" s="3" t="inlineStr">
        <is>
          <t>Shopee, Tiktok, Lazada, Website bán hàng</t>
        </is>
      </c>
      <c r="G1853" s="4" t="inlineStr">
        <is>
          <t>SHOPEE: https://www.shopee.vn/vietnhat3838 TIKTOK: dienmayvietnhat LAZADA: https://www.lazada.vn/shop/viet-nhat- WEBSITE BÁN HÀNG: https://dienmayvietnhat.vn/</t>
        </is>
      </c>
      <c r="H1853" s="3" t="inlineStr">
        <is>
          <t>ES250</t>
        </is>
      </c>
      <c r="I1853" s="4" t="inlineStr">
        <is>
          <t>Cưa gấp KingBlue ES250</t>
        </is>
      </c>
      <c r="J1853" s="3" t="inlineStr">
        <is>
          <t>Cái</t>
        </is>
      </c>
      <c r="K1853" s="5" t="n">
        <v>185000</v>
      </c>
      <c r="L1853" s="5" t="n">
        <v>218000</v>
      </c>
      <c r="M1853" s="6" t="n">
        <v>268000</v>
      </c>
      <c r="N1853" s="5" t="n"/>
      <c r="O1853" s="5">
        <f>IF(AND(ISNUMBER(N1853),ISNUMBER(M1853)),N1853-M1853,"")</f>
        <v/>
      </c>
      <c r="P1853" s="7">
        <f>IF(AND(ISNUMBER(N1853),ISNUMBER(M1853),M1853&gt;0),(N1853-M1853)/M1853,"")</f>
        <v/>
      </c>
      <c r="Q1853" s="3">
        <f>IF(P1853="","",IF(P1853&lt;-0.02,"🔴 Bán phá giá sàn",IF(P1853&gt;0.05,"🔵 Bán cao hơn","🟢 Đúng giá sàn TMĐT")))</f>
        <v/>
      </c>
      <c r="R1853" s="3" t="n"/>
      <c r="S1853" s="4" t="n"/>
      <c r="T1853" s="4" t="n"/>
    </row>
    <row r="1854">
      <c r="A1854" s="3" t="n">
        <v>1853</v>
      </c>
      <c r="B1854" s="3" t="inlineStr">
        <is>
          <t>DL017</t>
        </is>
      </c>
      <c r="C1854" s="4" t="inlineStr">
        <is>
          <t>Điện máy Việt Nhật</t>
        </is>
      </c>
      <c r="D1854" s="3" t="inlineStr">
        <is>
          <t>HN</t>
        </is>
      </c>
      <c r="E1854" s="3" t="inlineStr">
        <is>
          <t>ĐIỆP</t>
        </is>
      </c>
      <c r="F1854" s="3" t="inlineStr">
        <is>
          <t>Shopee, Tiktok, Lazada, Website bán hàng</t>
        </is>
      </c>
      <c r="G1854" s="4" t="inlineStr">
        <is>
          <t>SHOPEE: https://www.shopee.vn/vietnhat3838 TIKTOK: dienmayvietnhat LAZADA: https://www.lazada.vn/shop/viet-nhat- WEBSITE BÁN HÀNG: https://dienmayvietnhat.vn/</t>
        </is>
      </c>
      <c r="H1854" s="3" t="inlineStr">
        <is>
          <t>D3-300x2.8</t>
        </is>
      </c>
      <c r="I1854" s="4" t="inlineStr">
        <is>
          <t>Đá cắt sắt, inox KingBlue D3-300x2.8 S</t>
        </is>
      </c>
      <c r="J1854" s="3" t="inlineStr">
        <is>
          <t>Viên</t>
        </is>
      </c>
      <c r="K1854" s="5" t="n">
        <v>38500</v>
      </c>
      <c r="L1854" s="5" t="n">
        <v>46000</v>
      </c>
      <c r="M1854" s="6" t="n">
        <v>56000</v>
      </c>
      <c r="N1854" s="5" t="n"/>
      <c r="O1854" s="5">
        <f>IF(AND(ISNUMBER(N1854),ISNUMBER(M1854)),N1854-M1854,"")</f>
        <v/>
      </c>
      <c r="P1854" s="7">
        <f>IF(AND(ISNUMBER(N1854),ISNUMBER(M1854),M1854&gt;0),(N1854-M1854)/M1854,"")</f>
        <v/>
      </c>
      <c r="Q1854" s="3">
        <f>IF(P1854="","",IF(P1854&lt;-0.02,"🔴 Bán phá giá sàn",IF(P1854&gt;0.05,"🔵 Bán cao hơn","🟢 Đúng giá sàn TMĐT")))</f>
        <v/>
      </c>
      <c r="R1854" s="3" t="n"/>
      <c r="S1854" s="4" t="n"/>
      <c r="T1854" s="4" t="n"/>
    </row>
    <row r="1855">
      <c r="A1855" s="3" t="n">
        <v>1854</v>
      </c>
      <c r="B1855" s="3" t="inlineStr">
        <is>
          <t>DL017</t>
        </is>
      </c>
      <c r="C1855" s="4" t="inlineStr">
        <is>
          <t>Điện máy Việt Nhật</t>
        </is>
      </c>
      <c r="D1855" s="3" t="inlineStr">
        <is>
          <t>HN</t>
        </is>
      </c>
      <c r="E1855" s="3" t="inlineStr">
        <is>
          <t>ĐIỆP</t>
        </is>
      </c>
      <c r="F1855" s="3" t="inlineStr">
        <is>
          <t>Shopee, Tiktok, Lazada, Website bán hàng</t>
        </is>
      </c>
      <c r="G1855" s="4" t="inlineStr">
        <is>
          <t>SHOPEE: https://www.shopee.vn/vietnhat3838 TIKTOK: dienmayvietnhat LAZADA: https://www.lazada.vn/shop/viet-nhat- WEBSITE BÁN HÀNG: https://dienmayvietnhat.vn/</t>
        </is>
      </c>
      <c r="H1855" s="3" t="inlineStr">
        <is>
          <t>D3-400x3.0</t>
        </is>
      </c>
      <c r="I1855" s="4" t="inlineStr">
        <is>
          <t>Đá cắt sắt, inox KingBlue D3-400x3.0 S</t>
        </is>
      </c>
      <c r="J1855" s="3" t="inlineStr">
        <is>
          <t>Cái</t>
        </is>
      </c>
      <c r="K1855" s="5" t="n">
        <v>67000</v>
      </c>
      <c r="L1855" s="5" t="n">
        <v>77000</v>
      </c>
      <c r="M1855" s="6" t="n">
        <v>93000</v>
      </c>
      <c r="N1855" s="5" t="n"/>
      <c r="O1855" s="5">
        <f>IF(AND(ISNUMBER(N1855),ISNUMBER(M1855)),N1855-M1855,"")</f>
        <v/>
      </c>
      <c r="P1855" s="7">
        <f>IF(AND(ISNUMBER(N1855),ISNUMBER(M1855),M1855&gt;0),(N1855-M1855)/M1855,"")</f>
        <v/>
      </c>
      <c r="Q1855" s="3">
        <f>IF(P1855="","",IF(P1855&lt;-0.02,"🔴 Bán phá giá sàn",IF(P1855&gt;0.05,"🔵 Bán cao hơn","🟢 Đúng giá sàn TMĐT")))</f>
        <v/>
      </c>
      <c r="R1855" s="3" t="n"/>
      <c r="S1855" s="4" t="n"/>
      <c r="T1855" s="4" t="n"/>
    </row>
    <row r="1856">
      <c r="A1856" s="3" t="n">
        <v>1855</v>
      </c>
      <c r="B1856" s="3" t="inlineStr">
        <is>
          <t>DL017</t>
        </is>
      </c>
      <c r="C1856" s="4" t="inlineStr">
        <is>
          <t>Điện máy Việt Nhật</t>
        </is>
      </c>
      <c r="D1856" s="3" t="inlineStr">
        <is>
          <t>HN</t>
        </is>
      </c>
      <c r="E1856" s="3" t="inlineStr">
        <is>
          <t>ĐIỆP</t>
        </is>
      </c>
      <c r="F1856" s="3" t="inlineStr">
        <is>
          <t>Shopee, Tiktok, Lazada, Website bán hàng</t>
        </is>
      </c>
      <c r="G1856" s="4" t="inlineStr">
        <is>
          <t>SHOPEE: https://www.shopee.vn/vietnhat3838 TIKTOK: dienmayvietnhat LAZADA: https://www.lazada.vn/shop/viet-nhat- WEBSITE BÁN HÀNG: https://dienmayvietnhat.vn/</t>
        </is>
      </c>
      <c r="H1856" s="3" t="inlineStr">
        <is>
          <t>D3-100x6.0mm</t>
        </is>
      </c>
      <c r="I1856" s="4" t="inlineStr">
        <is>
          <t>Đá mài sắt,inox KingBlue D3-100x6.0mm</t>
        </is>
      </c>
      <c r="J1856" s="3" t="inlineStr">
        <is>
          <t>Cái</t>
        </is>
      </c>
      <c r="K1856" s="5" t="n">
        <v>269000</v>
      </c>
      <c r="L1856" s="5" t="n">
        <v>317000</v>
      </c>
      <c r="M1856" s="6" t="n">
        <v>390000</v>
      </c>
      <c r="N1856" s="5" t="n"/>
      <c r="O1856" s="5">
        <f>IF(AND(ISNUMBER(N1856),ISNUMBER(M1856)),N1856-M1856,"")</f>
        <v/>
      </c>
      <c r="P1856" s="7">
        <f>IF(AND(ISNUMBER(N1856),ISNUMBER(M1856),M1856&gt;0),(N1856-M1856)/M1856,"")</f>
        <v/>
      </c>
      <c r="Q1856" s="3">
        <f>IF(P1856="","",IF(P1856&lt;-0.02,"🔴 Bán phá giá sàn",IF(P1856&gt;0.05,"🔵 Bán cao hơn","🟢 Đúng giá sàn TMĐT")))</f>
        <v/>
      </c>
      <c r="R1856" s="3" t="n"/>
      <c r="S1856" s="4" t="n"/>
      <c r="T1856" s="4" t="n"/>
    </row>
    <row r="1857">
      <c r="A1857" s="3" t="n">
        <v>1856</v>
      </c>
      <c r="B1857" s="3" t="inlineStr">
        <is>
          <t>DL017</t>
        </is>
      </c>
      <c r="C1857" s="4" t="inlineStr">
        <is>
          <t>Điện máy Việt Nhật</t>
        </is>
      </c>
      <c r="D1857" s="3" t="inlineStr">
        <is>
          <t>HN</t>
        </is>
      </c>
      <c r="E1857" s="3" t="inlineStr">
        <is>
          <t>ĐIỆP</t>
        </is>
      </c>
      <c r="F1857" s="3" t="inlineStr">
        <is>
          <t>Shopee, Tiktok, Lazada, Website bán hàng</t>
        </is>
      </c>
      <c r="G1857" s="4" t="inlineStr">
        <is>
          <t>SHOPEE: https://www.shopee.vn/vietnhat3838 TIKTOK: dienmayvietnhat LAZADA: https://www.lazada.vn/shop/viet-nhat- WEBSITE BÁN HÀNG: https://dienmayvietnhat.vn/</t>
        </is>
      </c>
      <c r="H1857" s="3" t="inlineStr">
        <is>
          <t>KJH-05</t>
        </is>
      </c>
      <c r="I1857" s="4" t="inlineStr">
        <is>
          <t>Dao rọc cáp đa năng KJH-05</t>
        </is>
      </c>
      <c r="J1857" s="3" t="inlineStr">
        <is>
          <t>Cái</t>
        </is>
      </c>
      <c r="K1857" s="5" t="n">
        <v>119000</v>
      </c>
      <c r="L1857" s="5" t="n">
        <v>141000</v>
      </c>
      <c r="M1857" s="6" t="n">
        <v>173000</v>
      </c>
      <c r="N1857" s="5" t="n"/>
      <c r="O1857" s="5">
        <f>IF(AND(ISNUMBER(N1857),ISNUMBER(M1857)),N1857-M1857,"")</f>
        <v/>
      </c>
      <c r="P1857" s="7">
        <f>IF(AND(ISNUMBER(N1857),ISNUMBER(M1857),M1857&gt;0),(N1857-M1857)/M1857,"")</f>
        <v/>
      </c>
      <c r="Q1857" s="3">
        <f>IF(P1857="","",IF(P1857&lt;-0.02,"🔴 Bán phá giá sàn",IF(P1857&gt;0.05,"🔵 Bán cao hơn","🟢 Đúng giá sàn TMĐT")))</f>
        <v/>
      </c>
      <c r="R1857" s="3" t="n"/>
      <c r="S1857" s="4" t="n"/>
      <c r="T1857" s="4" t="n"/>
    </row>
    <row r="1858">
      <c r="A1858" s="3" t="n">
        <v>1857</v>
      </c>
      <c r="B1858" s="3" t="inlineStr">
        <is>
          <t>DL017</t>
        </is>
      </c>
      <c r="C1858" s="4" t="inlineStr">
        <is>
          <t>Điện máy Việt Nhật</t>
        </is>
      </c>
      <c r="D1858" s="3" t="inlineStr">
        <is>
          <t>HN</t>
        </is>
      </c>
      <c r="E1858" s="3" t="inlineStr">
        <is>
          <t>ĐIỆP</t>
        </is>
      </c>
      <c r="F1858" s="3" t="inlineStr">
        <is>
          <t>Shopee, Tiktok, Lazada, Website bán hàng</t>
        </is>
      </c>
      <c r="G1858" s="4" t="inlineStr">
        <is>
          <t>SHOPEE: https://www.shopee.vn/vietnhat3838 TIKTOK: dienmayvietnhat LAZADA: https://www.lazada.vn/shop/viet-nhat- WEBSITE BÁN HÀNG: https://dienmayvietnhat.vn/</t>
        </is>
      </c>
      <c r="H1858" s="3" t="inlineStr">
        <is>
          <t>CM07</t>
        </is>
      </c>
      <c r="I1858" s="4" t="inlineStr">
        <is>
          <t>Đầu chụp bulon KingBlue CM07</t>
        </is>
      </c>
      <c r="J1858" s="3" t="inlineStr">
        <is>
          <t>Hộp</t>
        </is>
      </c>
      <c r="K1858" s="5" t="n">
        <v>143000</v>
      </c>
      <c r="L1858" s="5" t="n">
        <v>180000</v>
      </c>
      <c r="M1858" s="6" t="n">
        <v>236000</v>
      </c>
      <c r="N1858" s="5" t="n"/>
      <c r="O1858" s="5">
        <f>IF(AND(ISNUMBER(N1858),ISNUMBER(M1858)),N1858-M1858,"")</f>
        <v/>
      </c>
      <c r="P1858" s="7">
        <f>IF(AND(ISNUMBER(N1858),ISNUMBER(M1858),M1858&gt;0),(N1858-M1858)/M1858,"")</f>
        <v/>
      </c>
      <c r="Q1858" s="3">
        <f>IF(P1858="","",IF(P1858&lt;-0.02,"🔴 Bán phá giá sàn",IF(P1858&gt;0.05,"🔵 Bán cao hơn","🟢 Đúng giá sàn TMĐT")))</f>
        <v/>
      </c>
      <c r="R1858" s="3" t="n"/>
      <c r="S1858" s="4" t="n"/>
      <c r="T1858" s="4" t="n"/>
    </row>
    <row r="1859">
      <c r="A1859" s="3" t="n">
        <v>1858</v>
      </c>
      <c r="B1859" s="3" t="inlineStr">
        <is>
          <t>DL017</t>
        </is>
      </c>
      <c r="C1859" s="4" t="inlineStr">
        <is>
          <t>Điện máy Việt Nhật</t>
        </is>
      </c>
      <c r="D1859" s="3" t="inlineStr">
        <is>
          <t>HN</t>
        </is>
      </c>
      <c r="E1859" s="3" t="inlineStr">
        <is>
          <t>ĐIỆP</t>
        </is>
      </c>
      <c r="F1859" s="3" t="inlineStr">
        <is>
          <t>Shopee, Tiktok, Lazada, Website bán hàng</t>
        </is>
      </c>
      <c r="G1859" s="4" t="inlineStr">
        <is>
          <t>SHOPEE: https://www.shopee.vn/vietnhat3838 TIKTOK: dienmayvietnhat LAZADA: https://www.lazada.vn/shop/viet-nhat- WEBSITE BÁN HÀNG: https://dienmayvietnhat.vn/</t>
        </is>
      </c>
      <c r="H1859" s="3" t="inlineStr">
        <is>
          <t>CM08</t>
        </is>
      </c>
      <c r="I1859" s="4" t="inlineStr">
        <is>
          <t>Đầu chụp bulon KingBlue CM08</t>
        </is>
      </c>
      <c r="J1859" s="3" t="inlineStr">
        <is>
          <t>Hộp</t>
        </is>
      </c>
      <c r="K1859" s="5" t="n">
        <v>154000</v>
      </c>
      <c r="L1859" s="5" t="n">
        <v>194000</v>
      </c>
      <c r="M1859" s="6" t="n">
        <v>254000</v>
      </c>
      <c r="N1859" s="5" t="n"/>
      <c r="O1859" s="5">
        <f>IF(AND(ISNUMBER(N1859),ISNUMBER(M1859)),N1859-M1859,"")</f>
        <v/>
      </c>
      <c r="P1859" s="7">
        <f>IF(AND(ISNUMBER(N1859),ISNUMBER(M1859),M1859&gt;0),(N1859-M1859)/M1859,"")</f>
        <v/>
      </c>
      <c r="Q1859" s="3">
        <f>IF(P1859="","",IF(P1859&lt;-0.02,"🔴 Bán phá giá sàn",IF(P1859&gt;0.05,"🔵 Bán cao hơn","🟢 Đúng giá sàn TMĐT")))</f>
        <v/>
      </c>
      <c r="R1859" s="3" t="n"/>
      <c r="S1859" s="4" t="n"/>
      <c r="T1859" s="4" t="n"/>
    </row>
    <row r="1860">
      <c r="A1860" s="3" t="n">
        <v>1859</v>
      </c>
      <c r="B1860" s="3" t="inlineStr">
        <is>
          <t>DL017</t>
        </is>
      </c>
      <c r="C1860" s="4" t="inlineStr">
        <is>
          <t>Điện máy Việt Nhật</t>
        </is>
      </c>
      <c r="D1860" s="3" t="inlineStr">
        <is>
          <t>HN</t>
        </is>
      </c>
      <c r="E1860" s="3" t="inlineStr">
        <is>
          <t>ĐIỆP</t>
        </is>
      </c>
      <c r="F1860" s="3" t="inlineStr">
        <is>
          <t>Shopee, Tiktok, Lazada, Website bán hàng</t>
        </is>
      </c>
      <c r="G1860" s="4" t="inlineStr">
        <is>
          <t>SHOPEE: https://www.shopee.vn/vietnhat3838 TIKTOK: dienmayvietnhat LAZADA: https://www.lazada.vn/shop/viet-nhat- WEBSITE BÁN HÀNG: https://dienmayvietnhat.vn/</t>
        </is>
      </c>
      <c r="H1860" s="3" t="inlineStr">
        <is>
          <t>CM10</t>
        </is>
      </c>
      <c r="I1860" s="4" t="inlineStr">
        <is>
          <t>Đầu chụp bulon KingBlue CM10</t>
        </is>
      </c>
      <c r="J1860" s="3" t="inlineStr">
        <is>
          <t>Hộp</t>
        </is>
      </c>
      <c r="K1860" s="5" t="n">
        <v>176000</v>
      </c>
      <c r="L1860" s="5" t="n">
        <v>222000</v>
      </c>
      <c r="M1860" s="6" t="n">
        <v>290000</v>
      </c>
      <c r="N1860" s="5" t="n"/>
      <c r="O1860" s="5">
        <f>IF(AND(ISNUMBER(N1860),ISNUMBER(M1860)),N1860-M1860,"")</f>
        <v/>
      </c>
      <c r="P1860" s="7">
        <f>IF(AND(ISNUMBER(N1860),ISNUMBER(M1860),M1860&gt;0),(N1860-M1860)/M1860,"")</f>
        <v/>
      </c>
      <c r="Q1860" s="3">
        <f>IF(P1860="","",IF(P1860&lt;-0.02,"🔴 Bán phá giá sàn",IF(P1860&gt;0.05,"🔵 Bán cao hơn","🟢 Đúng giá sàn TMĐT")))</f>
        <v/>
      </c>
      <c r="R1860" s="3" t="n"/>
      <c r="S1860" s="4" t="n"/>
      <c r="T1860" s="4" t="n"/>
    </row>
    <row r="1861">
      <c r="A1861" s="3" t="n">
        <v>1860</v>
      </c>
      <c r="B1861" s="3" t="inlineStr">
        <is>
          <t>DL017</t>
        </is>
      </c>
      <c r="C1861" s="4" t="inlineStr">
        <is>
          <t>Điện máy Việt Nhật</t>
        </is>
      </c>
      <c r="D1861" s="3" t="inlineStr">
        <is>
          <t>HN</t>
        </is>
      </c>
      <c r="E1861" s="3" t="inlineStr">
        <is>
          <t>ĐIỆP</t>
        </is>
      </c>
      <c r="F1861" s="3" t="inlineStr">
        <is>
          <t>Shopee, Tiktok, Lazada, Website bán hàng</t>
        </is>
      </c>
      <c r="G1861" s="4" t="inlineStr">
        <is>
          <t>SHOPEE: https://www.shopee.vn/vietnhat3838 TIKTOK: dienmayvietnhat LAZADA: https://www.lazada.vn/shop/viet-nhat- WEBSITE BÁN HÀNG: https://dienmayvietnhat.vn/</t>
        </is>
      </c>
      <c r="H1861" s="3" t="inlineStr">
        <is>
          <t>CM12</t>
        </is>
      </c>
      <c r="I1861" s="4" t="inlineStr">
        <is>
          <t>Đầu chụp bulon KingBlue CM12</t>
        </is>
      </c>
      <c r="J1861" s="3" t="inlineStr">
        <is>
          <t>Hộp</t>
        </is>
      </c>
      <c r="K1861" s="5" t="n">
        <v>99000</v>
      </c>
      <c r="L1861" s="5" t="n">
        <v>125000</v>
      </c>
      <c r="M1861" s="6" t="n">
        <v>163000</v>
      </c>
      <c r="N1861" s="5" t="n"/>
      <c r="O1861" s="5">
        <f>IF(AND(ISNUMBER(N1861),ISNUMBER(M1861)),N1861-M1861,"")</f>
        <v/>
      </c>
      <c r="P1861" s="7">
        <f>IF(AND(ISNUMBER(N1861),ISNUMBER(M1861),M1861&gt;0),(N1861-M1861)/M1861,"")</f>
        <v/>
      </c>
      <c r="Q1861" s="3">
        <f>IF(P1861="","",IF(P1861&lt;-0.02,"🔴 Bán phá giá sàn",IF(P1861&gt;0.05,"🔵 Bán cao hơn","🟢 Đúng giá sàn TMĐT")))</f>
        <v/>
      </c>
      <c r="R1861" s="3" t="n"/>
      <c r="S1861" s="4" t="n"/>
      <c r="T1861" s="4" t="n"/>
    </row>
    <row r="1862">
      <c r="A1862" s="3" t="n">
        <v>1861</v>
      </c>
      <c r="B1862" s="3" t="inlineStr">
        <is>
          <t>DL017</t>
        </is>
      </c>
      <c r="C1862" s="4" t="inlineStr">
        <is>
          <t>Điện máy Việt Nhật</t>
        </is>
      </c>
      <c r="D1862" s="3" t="inlineStr">
        <is>
          <t>HN</t>
        </is>
      </c>
      <c r="E1862" s="3" t="inlineStr">
        <is>
          <t>ĐIỆP</t>
        </is>
      </c>
      <c r="F1862" s="3" t="inlineStr">
        <is>
          <t>Shopee, Tiktok, Lazada, Website bán hàng</t>
        </is>
      </c>
      <c r="G1862" s="4" t="inlineStr">
        <is>
          <t>SHOPEE: https://www.shopee.vn/vietnhat3838 TIKTOK: dienmayvietnhat LAZADA: https://www.lazada.vn/shop/viet-nhat- WEBSITE BÁN HÀNG: https://dienmayvietnhat.vn/</t>
        </is>
      </c>
      <c r="H1862" s="3" t="inlineStr">
        <is>
          <t>CM13</t>
        </is>
      </c>
      <c r="I1862" s="4" t="inlineStr">
        <is>
          <t>Đầu chụp bulon KingBlue CM13</t>
        </is>
      </c>
      <c r="J1862" s="3" t="inlineStr">
        <is>
          <t>Hộp</t>
        </is>
      </c>
      <c r="K1862" s="5" t="n">
        <v>105000</v>
      </c>
      <c r="L1862" s="5" t="n">
        <v>132000</v>
      </c>
      <c r="M1862" s="6" t="n">
        <v>173000</v>
      </c>
      <c r="N1862" s="5" t="n"/>
      <c r="O1862" s="5">
        <f>IF(AND(ISNUMBER(N1862),ISNUMBER(M1862)),N1862-M1862,"")</f>
        <v/>
      </c>
      <c r="P1862" s="7">
        <f>IF(AND(ISNUMBER(N1862),ISNUMBER(M1862),M1862&gt;0),(N1862-M1862)/M1862,"")</f>
        <v/>
      </c>
      <c r="Q1862" s="3">
        <f>IF(P1862="","",IF(P1862&lt;-0.02,"🔴 Bán phá giá sàn",IF(P1862&gt;0.05,"🔵 Bán cao hơn","🟢 Đúng giá sàn TMĐT")))</f>
        <v/>
      </c>
      <c r="R1862" s="3" t="n"/>
      <c r="S1862" s="4" t="n"/>
      <c r="T1862" s="4" t="n"/>
    </row>
    <row r="1863">
      <c r="A1863" s="3" t="n">
        <v>1862</v>
      </c>
      <c r="B1863" s="3" t="inlineStr">
        <is>
          <t>DL017</t>
        </is>
      </c>
      <c r="C1863" s="4" t="inlineStr">
        <is>
          <t>Điện máy Việt Nhật</t>
        </is>
      </c>
      <c r="D1863" s="3" t="inlineStr">
        <is>
          <t>HN</t>
        </is>
      </c>
      <c r="E1863" s="3" t="inlineStr">
        <is>
          <t>ĐIỆP</t>
        </is>
      </c>
      <c r="F1863" s="3" t="inlineStr">
        <is>
          <t>Shopee, Tiktok, Lazada, Website bán hàng</t>
        </is>
      </c>
      <c r="G1863" s="4" t="inlineStr">
        <is>
          <t>SHOPEE: https://www.shopee.vn/vietnhat3838 TIKTOK: dienmayvietnhat LAZADA: https://www.lazada.vn/shop/viet-nhat- WEBSITE BÁN HÀNG: https://dienmayvietnhat.vn/</t>
        </is>
      </c>
      <c r="H1863" s="3" t="inlineStr">
        <is>
          <t>CM14</t>
        </is>
      </c>
      <c r="I1863" s="4" t="inlineStr">
        <is>
          <t>Đầu chụp bulon KingBlue CM14</t>
        </is>
      </c>
      <c r="J1863" s="3" t="inlineStr">
        <is>
          <t>Hộp</t>
        </is>
      </c>
      <c r="K1863" s="5" t="n">
        <v>105000</v>
      </c>
      <c r="L1863" s="5" t="n">
        <v>132000</v>
      </c>
      <c r="M1863" s="6" t="n">
        <v>173000</v>
      </c>
      <c r="N1863" s="5" t="n"/>
      <c r="O1863" s="5">
        <f>IF(AND(ISNUMBER(N1863),ISNUMBER(M1863)),N1863-M1863,"")</f>
        <v/>
      </c>
      <c r="P1863" s="7">
        <f>IF(AND(ISNUMBER(N1863),ISNUMBER(M1863),M1863&gt;0),(N1863-M1863)/M1863,"")</f>
        <v/>
      </c>
      <c r="Q1863" s="3">
        <f>IF(P1863="","",IF(P1863&lt;-0.02,"🔴 Bán phá giá sàn",IF(P1863&gt;0.05,"🔵 Bán cao hơn","🟢 Đúng giá sàn TMĐT")))</f>
        <v/>
      </c>
      <c r="R1863" s="3" t="n"/>
      <c r="S1863" s="4" t="n"/>
      <c r="T1863" s="4" t="n"/>
    </row>
    <row r="1864">
      <c r="A1864" s="3" t="n">
        <v>1863</v>
      </c>
      <c r="B1864" s="3" t="inlineStr">
        <is>
          <t>DL017</t>
        </is>
      </c>
      <c r="C1864" s="4" t="inlineStr">
        <is>
          <t>Điện máy Việt Nhật</t>
        </is>
      </c>
      <c r="D1864" s="3" t="inlineStr">
        <is>
          <t>HN</t>
        </is>
      </c>
      <c r="E1864" s="3" t="inlineStr">
        <is>
          <t>ĐIỆP</t>
        </is>
      </c>
      <c r="F1864" s="3" t="inlineStr">
        <is>
          <t>Shopee, Tiktok, Lazada, Website bán hàng</t>
        </is>
      </c>
      <c r="G1864" s="4" t="inlineStr">
        <is>
          <t>SHOPEE: https://www.shopee.vn/vietnhat3838 TIKTOK: dienmayvietnhat LAZADA: https://www.lazada.vn/shop/viet-nhat- WEBSITE BÁN HÀNG: https://dienmayvietnhat.vn/</t>
        </is>
      </c>
      <c r="H1864" s="3" t="inlineStr">
        <is>
          <t>CM17</t>
        </is>
      </c>
      <c r="I1864" s="4" t="inlineStr">
        <is>
          <t>Đầu chụp bulon KingBlue CM17</t>
        </is>
      </c>
      <c r="J1864" s="3" t="inlineStr">
        <is>
          <t>Hộp</t>
        </is>
      </c>
      <c r="K1864" s="5" t="n">
        <v>110000</v>
      </c>
      <c r="L1864" s="5" t="n">
        <v>139000</v>
      </c>
      <c r="M1864" s="6" t="n">
        <v>182000</v>
      </c>
      <c r="N1864" s="5" t="n"/>
      <c r="O1864" s="5">
        <f>IF(AND(ISNUMBER(N1864),ISNUMBER(M1864)),N1864-M1864,"")</f>
        <v/>
      </c>
      <c r="P1864" s="7">
        <f>IF(AND(ISNUMBER(N1864),ISNUMBER(M1864),M1864&gt;0),(N1864-M1864)/M1864,"")</f>
        <v/>
      </c>
      <c r="Q1864" s="3">
        <f>IF(P1864="","",IF(P1864&lt;-0.02,"🔴 Bán phá giá sàn",IF(P1864&gt;0.05,"🔵 Bán cao hơn","🟢 Đúng giá sàn TMĐT")))</f>
        <v/>
      </c>
      <c r="R1864" s="3" t="n"/>
      <c r="S1864" s="4" t="n"/>
      <c r="T1864" s="4" t="n"/>
    </row>
    <row r="1865">
      <c r="A1865" s="3" t="n">
        <v>1864</v>
      </c>
      <c r="B1865" s="3" t="inlineStr">
        <is>
          <t>DL017</t>
        </is>
      </c>
      <c r="C1865" s="4" t="inlineStr">
        <is>
          <t>Điện máy Việt Nhật</t>
        </is>
      </c>
      <c r="D1865" s="3" t="inlineStr">
        <is>
          <t>HN</t>
        </is>
      </c>
      <c r="E1865" s="3" t="inlineStr">
        <is>
          <t>ĐIỆP</t>
        </is>
      </c>
      <c r="F1865" s="3" t="inlineStr">
        <is>
          <t>Shopee, Tiktok, Lazada, Website bán hàng</t>
        </is>
      </c>
      <c r="G1865" s="4" t="inlineStr">
        <is>
          <t>SHOPEE: https://www.shopee.vn/vietnhat3838 TIKTOK: dienmayvietnhat LAZADA: https://www.lazada.vn/shop/viet-nhat- WEBSITE BÁN HÀNG: https://dienmayvietnhat.vn/</t>
        </is>
      </c>
      <c r="H1865" s="3" t="inlineStr">
        <is>
          <t>CM19</t>
        </is>
      </c>
      <c r="I1865" s="4" t="inlineStr">
        <is>
          <t>Đầu chụp bulon KingBlue CM19</t>
        </is>
      </c>
      <c r="J1865" s="3" t="inlineStr">
        <is>
          <t>Hộp</t>
        </is>
      </c>
      <c r="K1865" s="5" t="n">
        <v>86000</v>
      </c>
      <c r="L1865" s="5" t="n">
        <v>108000</v>
      </c>
      <c r="M1865" s="6" t="n">
        <v>142000</v>
      </c>
      <c r="N1865" s="5" t="n"/>
      <c r="O1865" s="5">
        <f>IF(AND(ISNUMBER(N1865),ISNUMBER(M1865)),N1865-M1865,"")</f>
        <v/>
      </c>
      <c r="P1865" s="7">
        <f>IF(AND(ISNUMBER(N1865),ISNUMBER(M1865),M1865&gt;0),(N1865-M1865)/M1865,"")</f>
        <v/>
      </c>
      <c r="Q1865" s="3">
        <f>IF(P1865="","",IF(P1865&lt;-0.02,"🔴 Bán phá giá sàn",IF(P1865&gt;0.05,"🔵 Bán cao hơn","🟢 Đúng giá sàn TMĐT")))</f>
        <v/>
      </c>
      <c r="R1865" s="3" t="n"/>
      <c r="S1865" s="4" t="n"/>
      <c r="T1865" s="4" t="n"/>
    </row>
    <row r="1866">
      <c r="A1866" s="3" t="n">
        <v>1865</v>
      </c>
      <c r="B1866" s="3" t="inlineStr">
        <is>
          <t>DL017</t>
        </is>
      </c>
      <c r="C1866" s="4" t="inlineStr">
        <is>
          <t>Điện máy Việt Nhật</t>
        </is>
      </c>
      <c r="D1866" s="3" t="inlineStr">
        <is>
          <t>HN</t>
        </is>
      </c>
      <c r="E1866" s="3" t="inlineStr">
        <is>
          <t>ĐIỆP</t>
        </is>
      </c>
      <c r="F1866" s="3" t="inlineStr">
        <is>
          <t>Shopee, Tiktok, Lazada, Website bán hàng</t>
        </is>
      </c>
      <c r="G1866" s="4" t="inlineStr">
        <is>
          <t>SHOPEE: https://www.shopee.vn/vietnhat3838 TIKTOK: dienmayvietnhat LAZADA: https://www.lazada.vn/shop/viet-nhat- WEBSITE BÁN HÀNG: https://dienmayvietnhat.vn/</t>
        </is>
      </c>
      <c r="H1866" s="3" t="inlineStr">
        <is>
          <t>K49M</t>
        </is>
      </c>
      <c r="I1866" s="4" t="inlineStr">
        <is>
          <t>Đầu khò gas K49M</t>
        </is>
      </c>
      <c r="J1866" s="3" t="inlineStr">
        <is>
          <t>Cái</t>
        </is>
      </c>
      <c r="K1866" s="5" t="n">
        <v>269000</v>
      </c>
      <c r="L1866" s="5" t="n">
        <v>317000</v>
      </c>
      <c r="M1866" s="6" t="n">
        <v>390000</v>
      </c>
      <c r="N1866" s="5" t="n"/>
      <c r="O1866" s="5">
        <f>IF(AND(ISNUMBER(N1866),ISNUMBER(M1866)),N1866-M1866,"")</f>
        <v/>
      </c>
      <c r="P1866" s="7">
        <f>IF(AND(ISNUMBER(N1866),ISNUMBER(M1866),M1866&gt;0),(N1866-M1866)/M1866,"")</f>
        <v/>
      </c>
      <c r="Q1866" s="3">
        <f>IF(P1866="","",IF(P1866&lt;-0.02,"🔴 Bán phá giá sàn",IF(P1866&gt;0.05,"🔵 Bán cao hơn","🟢 Đúng giá sàn TMĐT")))</f>
        <v/>
      </c>
      <c r="R1866" s="3" t="n"/>
      <c r="S1866" s="4" t="n"/>
      <c r="T1866" s="4" t="n"/>
    </row>
    <row r="1867">
      <c r="A1867" s="3" t="n">
        <v>1866</v>
      </c>
      <c r="B1867" s="3" t="inlineStr">
        <is>
          <t>DL017</t>
        </is>
      </c>
      <c r="C1867" s="4" t="inlineStr">
        <is>
          <t>Điện máy Việt Nhật</t>
        </is>
      </c>
      <c r="D1867" s="3" t="inlineStr">
        <is>
          <t>HN</t>
        </is>
      </c>
      <c r="E1867" s="3" t="inlineStr">
        <is>
          <t>ĐIỆP</t>
        </is>
      </c>
      <c r="F1867" s="3" t="inlineStr">
        <is>
          <t>Shopee, Tiktok, Lazada, Website bán hàng</t>
        </is>
      </c>
      <c r="G1867" s="4" t="inlineStr">
        <is>
          <t>SHOPEE: https://www.shopee.vn/vietnhat3838 TIKTOK: dienmayvietnhat LAZADA: https://www.lazada.vn/shop/viet-nhat- WEBSITE BÁN HÀNG: https://dienmayvietnhat.vn/</t>
        </is>
      </c>
      <c r="H1867" s="3" t="inlineStr"/>
      <c r="I1867" s="4" t="inlineStr">
        <is>
          <t>Đầu nạp gas</t>
        </is>
      </c>
      <c r="J1867" s="3" t="inlineStr">
        <is>
          <t>Cái</t>
        </is>
      </c>
      <c r="K1867" s="5" t="n">
        <v>269000</v>
      </c>
      <c r="L1867" s="5" t="n">
        <v>317000</v>
      </c>
      <c r="M1867" s="6" t="n">
        <v>390000</v>
      </c>
      <c r="N1867" s="5" t="n"/>
      <c r="O1867" s="5">
        <f>IF(AND(ISNUMBER(N1867),ISNUMBER(M1867)),N1867-M1867,"")</f>
        <v/>
      </c>
      <c r="P1867" s="7">
        <f>IF(AND(ISNUMBER(N1867),ISNUMBER(M1867),M1867&gt;0),(N1867-M1867)/M1867,"")</f>
        <v/>
      </c>
      <c r="Q1867" s="3">
        <f>IF(P1867="","",IF(P1867&lt;-0.02,"🔴 Bán phá giá sàn",IF(P1867&gt;0.05,"🔵 Bán cao hơn","🟢 Đúng giá sàn TMĐT")))</f>
        <v/>
      </c>
      <c r="R1867" s="3" t="n"/>
      <c r="S1867" s="4" t="n"/>
      <c r="T1867" s="4" t="n"/>
    </row>
    <row r="1868">
      <c r="A1868" s="3" t="n">
        <v>1867</v>
      </c>
      <c r="B1868" s="3" t="inlineStr">
        <is>
          <t>DL017</t>
        </is>
      </c>
      <c r="C1868" s="4" t="inlineStr">
        <is>
          <t>Điện máy Việt Nhật</t>
        </is>
      </c>
      <c r="D1868" s="3" t="inlineStr">
        <is>
          <t>HN</t>
        </is>
      </c>
      <c r="E1868" s="3" t="inlineStr">
        <is>
          <t>ĐIỆP</t>
        </is>
      </c>
      <c r="F1868" s="3" t="inlineStr">
        <is>
          <t>Shopee, Tiktok, Lazada, Website bán hàng</t>
        </is>
      </c>
      <c r="G1868" s="4" t="inlineStr">
        <is>
          <t>SHOPEE: https://www.shopee.vn/vietnhat3838 TIKTOK: dienmayvietnhat LAZADA: https://www.lazada.vn/shop/viet-nhat- WEBSITE BÁN HÀNG: https://dienmayvietnhat.vn/</t>
        </is>
      </c>
      <c r="H1868" s="3" t="inlineStr">
        <is>
          <t>T265E-T20</t>
        </is>
      </c>
      <c r="I1868" s="4" t="inlineStr">
        <is>
          <t>Đầu vít hoa thị KingBlue T265E-T20</t>
        </is>
      </c>
      <c r="J1868" s="3" t="inlineStr">
        <is>
          <t>Vỉ</t>
        </is>
      </c>
      <c r="K1868" s="5" t="n">
        <v>17000</v>
      </c>
      <c r="L1868" s="5" t="n">
        <v>22000</v>
      </c>
      <c r="M1868" s="6" t="n">
        <v>29000</v>
      </c>
      <c r="N1868" s="5" t="n"/>
      <c r="O1868" s="5">
        <f>IF(AND(ISNUMBER(N1868),ISNUMBER(M1868)),N1868-M1868,"")</f>
        <v/>
      </c>
      <c r="P1868" s="7">
        <f>IF(AND(ISNUMBER(N1868),ISNUMBER(M1868),M1868&gt;0),(N1868-M1868)/M1868,"")</f>
        <v/>
      </c>
      <c r="Q1868" s="3">
        <f>IF(P1868="","",IF(P1868&lt;-0.02,"🔴 Bán phá giá sàn",IF(P1868&gt;0.05,"🔵 Bán cao hơn","🟢 Đúng giá sàn TMĐT")))</f>
        <v/>
      </c>
      <c r="R1868" s="3" t="n"/>
      <c r="S1868" s="4" t="n"/>
      <c r="T1868" s="4" t="n"/>
    </row>
    <row r="1869">
      <c r="A1869" s="3" t="n">
        <v>1868</v>
      </c>
      <c r="B1869" s="3" t="inlineStr">
        <is>
          <t>DL017</t>
        </is>
      </c>
      <c r="C1869" s="4" t="inlineStr">
        <is>
          <t>Điện máy Việt Nhật</t>
        </is>
      </c>
      <c r="D1869" s="3" t="inlineStr">
        <is>
          <t>HN</t>
        </is>
      </c>
      <c r="E1869" s="3" t="inlineStr">
        <is>
          <t>ĐIỆP</t>
        </is>
      </c>
      <c r="F1869" s="3" t="inlineStr">
        <is>
          <t>Shopee, Tiktok, Lazada, Website bán hàng</t>
        </is>
      </c>
      <c r="G1869" s="4" t="inlineStr">
        <is>
          <t>SHOPEE: https://www.shopee.vn/vietnhat3838 TIKTOK: dienmayvietnhat LAZADA: https://www.lazada.vn/shop/viet-nhat- WEBSITE BÁN HÀNG: https://dienmayvietnhat.vn/</t>
        </is>
      </c>
      <c r="H1869" s="3" t="inlineStr">
        <is>
          <t>T265E-T25</t>
        </is>
      </c>
      <c r="I1869" s="4" t="inlineStr">
        <is>
          <t>Đầu vít hoa thị KingBlue T265E-T25</t>
        </is>
      </c>
      <c r="J1869" s="3" t="inlineStr">
        <is>
          <t>Vỉ</t>
        </is>
      </c>
      <c r="K1869" s="5" t="n">
        <v>17000</v>
      </c>
      <c r="L1869" s="5" t="n">
        <v>22000</v>
      </c>
      <c r="M1869" s="6" t="n">
        <v>29000</v>
      </c>
      <c r="N1869" s="5" t="n"/>
      <c r="O1869" s="5">
        <f>IF(AND(ISNUMBER(N1869),ISNUMBER(M1869)),N1869-M1869,"")</f>
        <v/>
      </c>
      <c r="P1869" s="7">
        <f>IF(AND(ISNUMBER(N1869),ISNUMBER(M1869),M1869&gt;0),(N1869-M1869)/M1869,"")</f>
        <v/>
      </c>
      <c r="Q1869" s="3">
        <f>IF(P1869="","",IF(P1869&lt;-0.02,"🔴 Bán phá giá sàn",IF(P1869&gt;0.05,"🔵 Bán cao hơn","🟢 Đúng giá sàn TMĐT")))</f>
        <v/>
      </c>
      <c r="R1869" s="3" t="n"/>
      <c r="S1869" s="4" t="n"/>
      <c r="T1869" s="4" t="n"/>
    </row>
    <row r="1870">
      <c r="A1870" s="3" t="n">
        <v>1869</v>
      </c>
      <c r="B1870" s="3" t="inlineStr">
        <is>
          <t>DL017</t>
        </is>
      </c>
      <c r="C1870" s="4" t="inlineStr">
        <is>
          <t>Điện máy Việt Nhật</t>
        </is>
      </c>
      <c r="D1870" s="3" t="inlineStr">
        <is>
          <t>HN</t>
        </is>
      </c>
      <c r="E1870" s="3" t="inlineStr">
        <is>
          <t>ĐIỆP</t>
        </is>
      </c>
      <c r="F1870" s="3" t="inlineStr">
        <is>
          <t>Shopee, Tiktok, Lazada, Website bán hàng</t>
        </is>
      </c>
      <c r="G1870" s="4" t="inlineStr">
        <is>
          <t>SHOPEE: https://www.shopee.vn/vietnhat3838 TIKTOK: dienmayvietnhat LAZADA: https://www.lazada.vn/shop/viet-nhat- WEBSITE BÁN HÀNG: https://dienmayvietnhat.vn/</t>
        </is>
      </c>
      <c r="H1870" s="3" t="inlineStr">
        <is>
          <t>T265E-T40</t>
        </is>
      </c>
      <c r="I1870" s="4" t="inlineStr">
        <is>
          <t>Đầu vít hoa thị KingBlue T265E-T40</t>
        </is>
      </c>
      <c r="J1870" s="3" t="inlineStr">
        <is>
          <t>Vỉ</t>
        </is>
      </c>
      <c r="K1870" s="5" t="n">
        <v>17000</v>
      </c>
      <c r="L1870" s="5" t="n">
        <v>22000</v>
      </c>
      <c r="M1870" s="6" t="n">
        <v>29000</v>
      </c>
      <c r="N1870" s="5" t="n"/>
      <c r="O1870" s="5">
        <f>IF(AND(ISNUMBER(N1870),ISNUMBER(M1870)),N1870-M1870,"")</f>
        <v/>
      </c>
      <c r="P1870" s="7">
        <f>IF(AND(ISNUMBER(N1870),ISNUMBER(M1870),M1870&gt;0),(N1870-M1870)/M1870,"")</f>
        <v/>
      </c>
      <c r="Q1870" s="3">
        <f>IF(P1870="","",IF(P1870&lt;-0.02,"🔴 Bán phá giá sàn",IF(P1870&gt;0.05,"🔵 Bán cao hơn","🟢 Đúng giá sàn TMĐT")))</f>
        <v/>
      </c>
      <c r="R1870" s="3" t="n"/>
      <c r="S1870" s="4" t="n"/>
      <c r="T1870" s="4" t="n"/>
    </row>
    <row r="1871">
      <c r="A1871" s="3" t="n">
        <v>1870</v>
      </c>
      <c r="B1871" s="3" t="inlineStr">
        <is>
          <t>DL017</t>
        </is>
      </c>
      <c r="C1871" s="4" t="inlineStr">
        <is>
          <t>Điện máy Việt Nhật</t>
        </is>
      </c>
      <c r="D1871" s="3" t="inlineStr">
        <is>
          <t>HN</t>
        </is>
      </c>
      <c r="E1871" s="3" t="inlineStr">
        <is>
          <t>ĐIỆP</t>
        </is>
      </c>
      <c r="F1871" s="3" t="inlineStr">
        <is>
          <t>Shopee, Tiktok, Lazada, Website bán hàng</t>
        </is>
      </c>
      <c r="G1871" s="4" t="inlineStr">
        <is>
          <t>SHOPEE: https://www.shopee.vn/vietnhat3838 TIKTOK: dienmayvietnhat LAZADA: https://www.lazada.vn/shop/viet-nhat- WEBSITE BÁN HÀNG: https://dienmayvietnhat.vn/</t>
        </is>
      </c>
      <c r="H1871" s="3" t="inlineStr">
        <is>
          <t>T265E-T50</t>
        </is>
      </c>
      <c r="I1871" s="4" t="inlineStr">
        <is>
          <t>Đầu vít hoa thị KingBlue T265E-T50</t>
        </is>
      </c>
      <c r="J1871" s="3" t="inlineStr">
        <is>
          <t>Vỉ</t>
        </is>
      </c>
      <c r="K1871" s="5" t="n">
        <v>41000</v>
      </c>
      <c r="L1871" s="5" t="n">
        <v>53000</v>
      </c>
      <c r="M1871" s="6" t="n">
        <v>70000</v>
      </c>
      <c r="N1871" s="5" t="n"/>
      <c r="O1871" s="5">
        <f>IF(AND(ISNUMBER(N1871),ISNUMBER(M1871)),N1871-M1871,"")</f>
        <v/>
      </c>
      <c r="P1871" s="7">
        <f>IF(AND(ISNUMBER(N1871),ISNUMBER(M1871),M1871&gt;0),(N1871-M1871)/M1871,"")</f>
        <v/>
      </c>
      <c r="Q1871" s="3">
        <f>IF(P1871="","",IF(P1871&lt;-0.02,"🔴 Bán phá giá sàn",IF(P1871&gt;0.05,"🔵 Bán cao hơn","🟢 Đúng giá sàn TMĐT")))</f>
        <v/>
      </c>
      <c r="R1871" s="3" t="n"/>
      <c r="S1871" s="4" t="n"/>
      <c r="T1871" s="4" t="n"/>
    </row>
    <row r="1872">
      <c r="A1872" s="3" t="n">
        <v>1871</v>
      </c>
      <c r="B1872" s="3" t="inlineStr">
        <is>
          <t>DL017</t>
        </is>
      </c>
      <c r="C1872" s="4" t="inlineStr">
        <is>
          <t>Điện máy Việt Nhật</t>
        </is>
      </c>
      <c r="D1872" s="3" t="inlineStr">
        <is>
          <t>HN</t>
        </is>
      </c>
      <c r="E1872" s="3" t="inlineStr">
        <is>
          <t>ĐIỆP</t>
        </is>
      </c>
      <c r="F1872" s="3" t="inlineStr">
        <is>
          <t>Shopee, Tiktok, Lazada, Website bán hàng</t>
        </is>
      </c>
      <c r="G1872" s="4" t="inlineStr">
        <is>
          <t>SHOPEE: https://www.shopee.vn/vietnhat3838 TIKTOK: dienmayvietnhat LAZADA: https://www.lazada.vn/shop/viet-nhat- WEBSITE BÁN HÀNG: https://dienmayvietnhat.vn/</t>
        </is>
      </c>
      <c r="H1872" s="3" t="inlineStr">
        <is>
          <t>KBA-I1800</t>
        </is>
      </c>
      <c r="I1872" s="4" t="inlineStr">
        <is>
          <t>Dây bố thép 10m - Phụ kiện máy rửa xe KBA-I1800</t>
        </is>
      </c>
      <c r="J1872" s="3" t="inlineStr">
        <is>
          <t>Cái</t>
        </is>
      </c>
      <c r="K1872" s="5" t="n">
        <v>269000</v>
      </c>
      <c r="L1872" s="5" t="n">
        <v>317000</v>
      </c>
      <c r="M1872" s="6" t="n">
        <v>390000</v>
      </c>
      <c r="N1872" s="5" t="n"/>
      <c r="O1872" s="5">
        <f>IF(AND(ISNUMBER(N1872),ISNUMBER(M1872)),N1872-M1872,"")</f>
        <v/>
      </c>
      <c r="P1872" s="7">
        <f>IF(AND(ISNUMBER(N1872),ISNUMBER(M1872),M1872&gt;0),(N1872-M1872)/M1872,"")</f>
        <v/>
      </c>
      <c r="Q1872" s="3">
        <f>IF(P1872="","",IF(P1872&lt;-0.02,"🔴 Bán phá giá sàn",IF(P1872&gt;0.05,"🔵 Bán cao hơn","🟢 Đúng giá sàn TMĐT")))</f>
        <v/>
      </c>
      <c r="R1872" s="3" t="n"/>
      <c r="S1872" s="4" t="n"/>
      <c r="T1872" s="4" t="n"/>
    </row>
    <row r="1873">
      <c r="A1873" s="3" t="n">
        <v>1872</v>
      </c>
      <c r="B1873" s="3" t="inlineStr">
        <is>
          <t>DL017</t>
        </is>
      </c>
      <c r="C1873" s="4" t="inlineStr">
        <is>
          <t>Điện máy Việt Nhật</t>
        </is>
      </c>
      <c r="D1873" s="3" t="inlineStr">
        <is>
          <t>HN</t>
        </is>
      </c>
      <c r="E1873" s="3" t="inlineStr">
        <is>
          <t>ĐIỆP</t>
        </is>
      </c>
      <c r="F1873" s="3" t="inlineStr">
        <is>
          <t>Shopee, Tiktok, Lazada, Website bán hàng</t>
        </is>
      </c>
      <c r="G1873" s="4" t="inlineStr">
        <is>
          <t>SHOPEE: https://www.shopee.vn/vietnhat3838 TIKTOK: dienmayvietnhat LAZADA: https://www.lazada.vn/shop/viet-nhat- WEBSITE BÁN HÀNG: https://dienmayvietnhat.vn/</t>
        </is>
      </c>
      <c r="H1873" s="3" t="inlineStr">
        <is>
          <t>LED1000</t>
        </is>
      </c>
      <c r="I1873" s="4" t="inlineStr">
        <is>
          <t>Đèn Pin siêu sáng LED1000</t>
        </is>
      </c>
      <c r="J1873" s="3" t="inlineStr">
        <is>
          <t>Cái</t>
        </is>
      </c>
      <c r="K1873" s="5" t="n">
        <v>269000</v>
      </c>
      <c r="L1873" s="5" t="n">
        <v>317000</v>
      </c>
      <c r="M1873" s="6" t="n">
        <v>390000</v>
      </c>
      <c r="N1873" s="5" t="n"/>
      <c r="O1873" s="5">
        <f>IF(AND(ISNUMBER(N1873),ISNUMBER(M1873)),N1873-M1873,"")</f>
        <v/>
      </c>
      <c r="P1873" s="7">
        <f>IF(AND(ISNUMBER(N1873),ISNUMBER(M1873),M1873&gt;0),(N1873-M1873)/M1873,"")</f>
        <v/>
      </c>
      <c r="Q1873" s="3">
        <f>IF(P1873="","",IF(P1873&lt;-0.02,"🔴 Bán phá giá sàn",IF(P1873&gt;0.05,"🔵 Bán cao hơn","🟢 Đúng giá sàn TMĐT")))</f>
        <v/>
      </c>
      <c r="R1873" s="3" t="n"/>
      <c r="S1873" s="4" t="n"/>
      <c r="T1873" s="4" t="n"/>
    </row>
    <row r="1874">
      <c r="A1874" s="3" t="n">
        <v>1873</v>
      </c>
      <c r="B1874" s="3" t="inlineStr">
        <is>
          <t>DL017</t>
        </is>
      </c>
      <c r="C1874" s="4" t="inlineStr">
        <is>
          <t>Điện máy Việt Nhật</t>
        </is>
      </c>
      <c r="D1874" s="3" t="inlineStr">
        <is>
          <t>HN</t>
        </is>
      </c>
      <c r="E1874" s="3" t="inlineStr">
        <is>
          <t>ĐIỆP</t>
        </is>
      </c>
      <c r="F1874" s="3" t="inlineStr">
        <is>
          <t>Shopee, Tiktok, Lazada, Website bán hàng</t>
        </is>
      </c>
      <c r="G1874" s="4" t="inlineStr">
        <is>
          <t>SHOPEE: https://www.shopee.vn/vietnhat3838 TIKTOK: dienmayvietnhat LAZADA: https://www.lazada.vn/shop/viet-nhat- WEBSITE BÁN HÀNG: https://dienmayvietnhat.vn/</t>
        </is>
      </c>
      <c r="H1874" s="3" t="inlineStr"/>
      <c r="I1874" s="4" t="inlineStr">
        <is>
          <t>Định tâm</t>
        </is>
      </c>
      <c r="J1874" s="3" t="inlineStr">
        <is>
          <t>Cái</t>
        </is>
      </c>
      <c r="K1874" s="5" t="n">
        <v>269000</v>
      </c>
      <c r="L1874" s="5" t="n">
        <v>317000</v>
      </c>
      <c r="M1874" s="6" t="n">
        <v>390000</v>
      </c>
      <c r="N1874" s="5" t="n"/>
      <c r="O1874" s="5">
        <f>IF(AND(ISNUMBER(N1874),ISNUMBER(M1874)),N1874-M1874,"")</f>
        <v/>
      </c>
      <c r="P1874" s="7">
        <f>IF(AND(ISNUMBER(N1874),ISNUMBER(M1874),M1874&gt;0),(N1874-M1874)/M1874,"")</f>
        <v/>
      </c>
      <c r="Q1874" s="3">
        <f>IF(P1874="","",IF(P1874&lt;-0.02,"🔴 Bán phá giá sàn",IF(P1874&gt;0.05,"🔵 Bán cao hơn","🟢 Đúng giá sàn TMĐT")))</f>
        <v/>
      </c>
      <c r="R1874" s="3" t="n"/>
      <c r="S1874" s="4" t="n"/>
      <c r="T1874" s="4" t="n"/>
    </row>
    <row r="1875">
      <c r="A1875" s="3" t="n">
        <v>1874</v>
      </c>
      <c r="B1875" s="3" t="inlineStr">
        <is>
          <t>DL017</t>
        </is>
      </c>
      <c r="C1875" s="4" t="inlineStr">
        <is>
          <t>Điện máy Việt Nhật</t>
        </is>
      </c>
      <c r="D1875" s="3" t="inlineStr">
        <is>
          <t>HN</t>
        </is>
      </c>
      <c r="E1875" s="3" t="inlineStr">
        <is>
          <t>ĐIỆP</t>
        </is>
      </c>
      <c r="F1875" s="3" t="inlineStr">
        <is>
          <t>Shopee, Tiktok, Lazada, Website bán hàng</t>
        </is>
      </c>
      <c r="G1875" s="4" t="inlineStr">
        <is>
          <t>SHOPEE: https://www.shopee.vn/vietnhat3838 TIKTOK: dienmayvietnhat LAZADA: https://www.lazada.vn/shop/viet-nhat- WEBSITE BÁN HÀNG: https://dienmayvietnhat.vn/</t>
        </is>
      </c>
      <c r="H1875" s="3" t="inlineStr">
        <is>
          <t>K54M</t>
        </is>
      </c>
      <c r="I1875" s="4" t="inlineStr">
        <is>
          <t>Dụng cụ khò gas mini K54M</t>
        </is>
      </c>
      <c r="J1875" s="3" t="inlineStr">
        <is>
          <t>Cái</t>
        </is>
      </c>
      <c r="K1875" s="5" t="n">
        <v>209000</v>
      </c>
      <c r="L1875" s="5" t="n">
        <v>247000</v>
      </c>
      <c r="M1875" s="6" t="n">
        <v>303000</v>
      </c>
      <c r="N1875" s="5" t="n"/>
      <c r="O1875" s="5">
        <f>IF(AND(ISNUMBER(N1875),ISNUMBER(M1875)),N1875-M1875,"")</f>
        <v/>
      </c>
      <c r="P1875" s="7">
        <f>IF(AND(ISNUMBER(N1875),ISNUMBER(M1875),M1875&gt;0),(N1875-M1875)/M1875,"")</f>
        <v/>
      </c>
      <c r="Q1875" s="3">
        <f>IF(P1875="","",IF(P1875&lt;-0.02,"🔴 Bán phá giá sàn",IF(P1875&gt;0.05,"🔵 Bán cao hơn","🟢 Đúng giá sàn TMĐT")))</f>
        <v/>
      </c>
      <c r="R1875" s="3" t="n"/>
      <c r="S1875" s="4" t="n"/>
      <c r="T1875" s="4" t="n"/>
    </row>
    <row r="1876">
      <c r="A1876" s="3" t="n">
        <v>1875</v>
      </c>
      <c r="B1876" s="3" t="inlineStr">
        <is>
          <t>DL017</t>
        </is>
      </c>
      <c r="C1876" s="4" t="inlineStr">
        <is>
          <t>Điện máy Việt Nhật</t>
        </is>
      </c>
      <c r="D1876" s="3" t="inlineStr">
        <is>
          <t>HN</t>
        </is>
      </c>
      <c r="E1876" s="3" t="inlineStr">
        <is>
          <t>ĐIỆP</t>
        </is>
      </c>
      <c r="F1876" s="3" t="inlineStr">
        <is>
          <t>Shopee, Tiktok, Lazada, Website bán hàng</t>
        </is>
      </c>
      <c r="G1876" s="4" t="inlineStr">
        <is>
          <t>SHOPEE: https://www.shopee.vn/vietnhat3838 TIKTOK: dienmayvietnhat LAZADA: https://www.lazada.vn/shop/viet-nhat- WEBSITE BÁN HÀNG: https://dienmayvietnhat.vn/</t>
        </is>
      </c>
      <c r="H1876" s="3" t="inlineStr">
        <is>
          <t>KB-1301</t>
        </is>
      </c>
      <c r="I1876" s="4" t="inlineStr">
        <is>
          <t>Dụng cụ vát mép (ba via) ống đồng KingBlue, KB-1301</t>
        </is>
      </c>
      <c r="J1876" s="3" t="inlineStr">
        <is>
          <t>Cái</t>
        </is>
      </c>
      <c r="K1876" s="5" t="n">
        <v>135000</v>
      </c>
      <c r="L1876" s="5" t="n">
        <v>159000</v>
      </c>
      <c r="M1876" s="6" t="n">
        <v>196000</v>
      </c>
      <c r="N1876" s="5" t="n"/>
      <c r="O1876" s="5">
        <f>IF(AND(ISNUMBER(N1876),ISNUMBER(M1876)),N1876-M1876,"")</f>
        <v/>
      </c>
      <c r="P1876" s="7">
        <f>IF(AND(ISNUMBER(N1876),ISNUMBER(M1876),M1876&gt;0),(N1876-M1876)/M1876,"")</f>
        <v/>
      </c>
      <c r="Q1876" s="3">
        <f>IF(P1876="","",IF(P1876&lt;-0.02,"🔴 Bán phá giá sàn",IF(P1876&gt;0.05,"🔵 Bán cao hơn","🟢 Đúng giá sàn TMĐT")))</f>
        <v/>
      </c>
      <c r="R1876" s="3" t="n"/>
      <c r="S1876" s="4" t="n"/>
      <c r="T1876" s="4" t="n"/>
    </row>
    <row r="1877">
      <c r="A1877" s="3" t="n">
        <v>1876</v>
      </c>
      <c r="B1877" s="3" t="inlineStr">
        <is>
          <t>DL017</t>
        </is>
      </c>
      <c r="C1877" s="4" t="inlineStr">
        <is>
          <t>Điện máy Việt Nhật</t>
        </is>
      </c>
      <c r="D1877" s="3" t="inlineStr">
        <is>
          <t>HN</t>
        </is>
      </c>
      <c r="E1877" s="3" t="inlineStr">
        <is>
          <t>ĐIỆP</t>
        </is>
      </c>
      <c r="F1877" s="3" t="inlineStr">
        <is>
          <t>Shopee, Tiktok, Lazada, Website bán hàng</t>
        </is>
      </c>
      <c r="G1877" s="4" t="inlineStr">
        <is>
          <t>SHOPEE: https://www.shopee.vn/vietnhat3838 TIKTOK: dienmayvietnhat LAZADA: https://www.lazada.vn/shop/viet-nhat- WEBSITE BÁN HÀNG: https://dienmayvietnhat.vn/</t>
        </is>
      </c>
      <c r="H1877" s="3" t="inlineStr">
        <is>
          <t>KFG-16/6</t>
        </is>
      </c>
      <c r="I1877" s="4" t="inlineStr">
        <is>
          <t>Ghim KFG-16/6</t>
        </is>
      </c>
      <c r="J1877" s="3" t="inlineStr">
        <is>
          <t>Hộp</t>
        </is>
      </c>
      <c r="K1877" s="5" t="n">
        <v>27000</v>
      </c>
      <c r="L1877" s="5" t="n">
        <v>32000</v>
      </c>
      <c r="M1877" s="6" t="n">
        <v>39000</v>
      </c>
      <c r="N1877" s="5" t="n"/>
      <c r="O1877" s="5">
        <f>IF(AND(ISNUMBER(N1877),ISNUMBER(M1877)),N1877-M1877,"")</f>
        <v/>
      </c>
      <c r="P1877" s="7">
        <f>IF(AND(ISNUMBER(N1877),ISNUMBER(M1877),M1877&gt;0),(N1877-M1877)/M1877,"")</f>
        <v/>
      </c>
      <c r="Q1877" s="3">
        <f>IF(P1877="","",IF(P1877&lt;-0.02,"🔴 Bán phá giá sàn",IF(P1877&gt;0.05,"🔵 Bán cao hơn","🟢 Đúng giá sàn TMĐT")))</f>
        <v/>
      </c>
      <c r="R1877" s="3" t="n"/>
      <c r="S1877" s="4" t="n"/>
      <c r="T1877" s="4" t="n"/>
    </row>
    <row r="1878">
      <c r="A1878" s="3" t="n">
        <v>1877</v>
      </c>
      <c r="B1878" s="3" t="inlineStr">
        <is>
          <t>DL017</t>
        </is>
      </c>
      <c r="C1878" s="4" t="inlineStr">
        <is>
          <t>Điện máy Việt Nhật</t>
        </is>
      </c>
      <c r="D1878" s="3" t="inlineStr">
        <is>
          <t>HN</t>
        </is>
      </c>
      <c r="E1878" s="3" t="inlineStr">
        <is>
          <t>ĐIỆP</t>
        </is>
      </c>
      <c r="F1878" s="3" t="inlineStr">
        <is>
          <t>Shopee, Tiktok, Lazada, Website bán hàng</t>
        </is>
      </c>
      <c r="G1878" s="4" t="inlineStr">
        <is>
          <t>SHOPEE: https://www.shopee.vn/vietnhat3838 TIKTOK: dienmayvietnhat LAZADA: https://www.lazada.vn/shop/viet-nhat- WEBSITE BÁN HÀNG: https://dienmayvietnhat.vn/</t>
        </is>
      </c>
      <c r="H1878" s="3" t="inlineStr">
        <is>
          <t>KFG-16/8</t>
        </is>
      </c>
      <c r="I1878" s="4" t="inlineStr">
        <is>
          <t>Ghim KFG-16/8</t>
        </is>
      </c>
      <c r="J1878" s="3" t="inlineStr">
        <is>
          <t>Hộp</t>
        </is>
      </c>
      <c r="K1878" s="5" t="n">
        <v>31000</v>
      </c>
      <c r="L1878" s="5" t="n">
        <v>37000</v>
      </c>
      <c r="M1878" s="6" t="n">
        <v>45000</v>
      </c>
      <c r="N1878" s="5" t="n"/>
      <c r="O1878" s="5">
        <f>IF(AND(ISNUMBER(N1878),ISNUMBER(M1878)),N1878-M1878,"")</f>
        <v/>
      </c>
      <c r="P1878" s="7">
        <f>IF(AND(ISNUMBER(N1878),ISNUMBER(M1878),M1878&gt;0),(N1878-M1878)/M1878,"")</f>
        <v/>
      </c>
      <c r="Q1878" s="3">
        <f>IF(P1878="","",IF(P1878&lt;-0.02,"🔴 Bán phá giá sàn",IF(P1878&gt;0.05,"🔵 Bán cao hơn","🟢 Đúng giá sàn TMĐT")))</f>
        <v/>
      </c>
      <c r="R1878" s="3" t="n"/>
      <c r="S1878" s="4" t="n"/>
      <c r="T1878" s="4" t="n"/>
    </row>
    <row r="1879">
      <c r="A1879" s="3" t="n">
        <v>1878</v>
      </c>
      <c r="B1879" s="3" t="inlineStr">
        <is>
          <t>DL017</t>
        </is>
      </c>
      <c r="C1879" s="4" t="inlineStr">
        <is>
          <t>Điện máy Việt Nhật</t>
        </is>
      </c>
      <c r="D1879" s="3" t="inlineStr">
        <is>
          <t>HN</t>
        </is>
      </c>
      <c r="E1879" s="3" t="inlineStr">
        <is>
          <t>ĐIỆP</t>
        </is>
      </c>
      <c r="F1879" s="3" t="inlineStr">
        <is>
          <t>Shopee, Tiktok, Lazada, Website bán hàng</t>
        </is>
      </c>
      <c r="G1879" s="4" t="inlineStr">
        <is>
          <t>SHOPEE: https://www.shopee.vn/vietnhat3838 TIKTOK: dienmayvietnhat LAZADA: https://www.lazada.vn/shop/viet-nhat- WEBSITE BÁN HÀNG: https://dienmayvietnhat.vn/</t>
        </is>
      </c>
      <c r="H1879" s="3" t="inlineStr">
        <is>
          <t>HKE-200</t>
        </is>
      </c>
      <c r="I1879" s="4" t="inlineStr">
        <is>
          <t>Hít kính điện tử HKE-200</t>
        </is>
      </c>
      <c r="J1879" s="3" t="inlineStr">
        <is>
          <t>Cái</t>
        </is>
      </c>
      <c r="K1879" s="5" t="n">
        <v>583000</v>
      </c>
      <c r="L1879" s="5" t="n">
        <v>676000</v>
      </c>
      <c r="M1879" s="6" t="n">
        <v>816000</v>
      </c>
      <c r="N1879" s="5" t="n"/>
      <c r="O1879" s="5">
        <f>IF(AND(ISNUMBER(N1879),ISNUMBER(M1879)),N1879-M1879,"")</f>
        <v/>
      </c>
      <c r="P1879" s="7">
        <f>IF(AND(ISNUMBER(N1879),ISNUMBER(M1879),M1879&gt;0),(N1879-M1879)/M1879,"")</f>
        <v/>
      </c>
      <c r="Q1879" s="3">
        <f>IF(P1879="","",IF(P1879&lt;-0.02,"🔴 Bán phá giá sàn",IF(P1879&gt;0.05,"🔵 Bán cao hơn","🟢 Đúng giá sàn TMĐT")))</f>
        <v/>
      </c>
      <c r="R1879" s="3" t="n"/>
      <c r="S1879" s="4" t="n"/>
      <c r="T1879" s="4" t="n"/>
    </row>
    <row r="1880">
      <c r="A1880" s="3" t="n">
        <v>1879</v>
      </c>
      <c r="B1880" s="3" t="inlineStr">
        <is>
          <t>DL017</t>
        </is>
      </c>
      <c r="C1880" s="4" t="inlineStr">
        <is>
          <t>Điện máy Việt Nhật</t>
        </is>
      </c>
      <c r="D1880" s="3" t="inlineStr">
        <is>
          <t>HN</t>
        </is>
      </c>
      <c r="E1880" s="3" t="inlineStr">
        <is>
          <t>ĐIỆP</t>
        </is>
      </c>
      <c r="F1880" s="3" t="inlineStr">
        <is>
          <t>Shopee, Tiktok, Lazada, Website bán hàng</t>
        </is>
      </c>
      <c r="G1880" s="4" t="inlineStr">
        <is>
          <t>SHOPEE: https://www.shopee.vn/vietnhat3838 TIKTOK: dienmayvietnhat LAZADA: https://www.lazada.vn/shop/viet-nhat- WEBSITE BÁN HÀNG: https://dienmayvietnhat.vn/</t>
        </is>
      </c>
      <c r="H1880" s="3" t="inlineStr">
        <is>
          <t>KPQ-32</t>
        </is>
      </c>
      <c r="I1880" s="4" t="inlineStr">
        <is>
          <t>Kéo cắt góc nẹp điện KPQ-32</t>
        </is>
      </c>
      <c r="J1880" s="3" t="inlineStr">
        <is>
          <t>Cái</t>
        </is>
      </c>
      <c r="K1880" s="5" t="n">
        <v>163000</v>
      </c>
      <c r="L1880" s="5" t="n">
        <v>192000</v>
      </c>
      <c r="M1880" s="6" t="n">
        <v>236000</v>
      </c>
      <c r="N1880" s="5" t="n"/>
      <c r="O1880" s="5">
        <f>IF(AND(ISNUMBER(N1880),ISNUMBER(M1880)),N1880-M1880,"")</f>
        <v/>
      </c>
      <c r="P1880" s="7">
        <f>IF(AND(ISNUMBER(N1880),ISNUMBER(M1880),M1880&gt;0),(N1880-M1880)/M1880,"")</f>
        <v/>
      </c>
      <c r="Q1880" s="3">
        <f>IF(P1880="","",IF(P1880&lt;-0.02,"🔴 Bán phá giá sàn",IF(P1880&gt;0.05,"🔵 Bán cao hơn","🟢 Đúng giá sàn TMĐT")))</f>
        <v/>
      </c>
      <c r="R1880" s="3" t="n"/>
      <c r="S1880" s="4" t="n"/>
      <c r="T1880" s="4" t="n"/>
    </row>
    <row r="1881">
      <c r="A1881" s="3" t="n">
        <v>1880</v>
      </c>
      <c r="B1881" s="3" t="inlineStr">
        <is>
          <t>DL017</t>
        </is>
      </c>
      <c r="C1881" s="4" t="inlineStr">
        <is>
          <t>Điện máy Việt Nhật</t>
        </is>
      </c>
      <c r="D1881" s="3" t="inlineStr">
        <is>
          <t>HN</t>
        </is>
      </c>
      <c r="E1881" s="3" t="inlineStr">
        <is>
          <t>ĐIỆP</t>
        </is>
      </c>
      <c r="F1881" s="3" t="inlineStr">
        <is>
          <t>Shopee, Tiktok, Lazada, Website bán hàng</t>
        </is>
      </c>
      <c r="G1881" s="4" t="inlineStr">
        <is>
          <t>SHOPEE: https://www.shopee.vn/vietnhat3838 TIKTOK: dienmayvietnhat LAZADA: https://www.lazada.vn/shop/viet-nhat- WEBSITE BÁN HÀNG: https://dienmayvietnhat.vn/</t>
        </is>
      </c>
      <c r="H1881" s="3" t="inlineStr">
        <is>
          <t>KPC-142</t>
        </is>
      </c>
      <c r="I1881" s="4" t="inlineStr">
        <is>
          <t>Kéo cắt ống KPC-142 (NEW)</t>
        </is>
      </c>
      <c r="J1881" s="3" t="inlineStr">
        <is>
          <t>Cái</t>
        </is>
      </c>
      <c r="K1881" s="5" t="n">
        <v>269000</v>
      </c>
      <c r="L1881" s="5" t="n">
        <v>317000</v>
      </c>
      <c r="M1881" s="6" t="n">
        <v>390000</v>
      </c>
      <c r="N1881" s="5" t="n"/>
      <c r="O1881" s="5">
        <f>IF(AND(ISNUMBER(N1881),ISNUMBER(M1881)),N1881-M1881,"")</f>
        <v/>
      </c>
      <c r="P1881" s="7">
        <f>IF(AND(ISNUMBER(N1881),ISNUMBER(M1881),M1881&gt;0),(N1881-M1881)/M1881,"")</f>
        <v/>
      </c>
      <c r="Q1881" s="3">
        <f>IF(P1881="","",IF(P1881&lt;-0.02,"🔴 Bán phá giá sàn",IF(P1881&gt;0.05,"🔵 Bán cao hơn","🟢 Đúng giá sàn TMĐT")))</f>
        <v/>
      </c>
      <c r="R1881" s="3" t="n"/>
      <c r="S1881" s="4" t="n"/>
      <c r="T1881" s="4" t="n"/>
    </row>
    <row r="1882">
      <c r="A1882" s="3" t="n">
        <v>1881</v>
      </c>
      <c r="B1882" s="3" t="inlineStr">
        <is>
          <t>DL017</t>
        </is>
      </c>
      <c r="C1882" s="4" t="inlineStr">
        <is>
          <t>Điện máy Việt Nhật</t>
        </is>
      </c>
      <c r="D1882" s="3" t="inlineStr">
        <is>
          <t>HN</t>
        </is>
      </c>
      <c r="E1882" s="3" t="inlineStr">
        <is>
          <t>ĐIỆP</t>
        </is>
      </c>
      <c r="F1882" s="3" t="inlineStr">
        <is>
          <t>Shopee, Tiktok, Lazada, Website bán hàng</t>
        </is>
      </c>
      <c r="G1882" s="4" t="inlineStr">
        <is>
          <t>SHOPEE: https://www.shopee.vn/vietnhat3838 TIKTOK: dienmayvietnhat LAZADA: https://www.lazada.vn/shop/viet-nhat- WEBSITE BÁN HÀNG: https://dienmayvietnhat.vn/</t>
        </is>
      </c>
      <c r="H1882" s="3" t="inlineStr">
        <is>
          <t>KPC-164</t>
        </is>
      </c>
      <c r="I1882" s="4" t="inlineStr">
        <is>
          <t>Kéo cắt ống KPC-164</t>
        </is>
      </c>
      <c r="J1882" s="3" t="inlineStr">
        <is>
          <t>Cái</t>
        </is>
      </c>
      <c r="K1882" s="5" t="n">
        <v>262000</v>
      </c>
      <c r="L1882" s="5" t="n">
        <v>309000</v>
      </c>
      <c r="M1882" s="6" t="n">
        <v>380000</v>
      </c>
      <c r="N1882" s="5" t="n"/>
      <c r="O1882" s="5">
        <f>IF(AND(ISNUMBER(N1882),ISNUMBER(M1882)),N1882-M1882,"")</f>
        <v/>
      </c>
      <c r="P1882" s="7">
        <f>IF(AND(ISNUMBER(N1882),ISNUMBER(M1882),M1882&gt;0),(N1882-M1882)/M1882,"")</f>
        <v/>
      </c>
      <c r="Q1882" s="3">
        <f>IF(P1882="","",IF(P1882&lt;-0.02,"🔴 Bán phá giá sàn",IF(P1882&gt;0.05,"🔵 Bán cao hơn","🟢 Đúng giá sàn TMĐT")))</f>
        <v/>
      </c>
      <c r="R1882" s="3" t="n"/>
      <c r="S1882" s="4" t="n"/>
      <c r="T1882" s="4" t="n"/>
    </row>
    <row r="1883">
      <c r="A1883" s="3" t="n">
        <v>1882</v>
      </c>
      <c r="B1883" s="3" t="inlineStr">
        <is>
          <t>DL017</t>
        </is>
      </c>
      <c r="C1883" s="4" t="inlineStr">
        <is>
          <t>Điện máy Việt Nhật</t>
        </is>
      </c>
      <c r="D1883" s="3" t="inlineStr">
        <is>
          <t>HN</t>
        </is>
      </c>
      <c r="E1883" s="3" t="inlineStr">
        <is>
          <t>ĐIỆP</t>
        </is>
      </c>
      <c r="F1883" s="3" t="inlineStr">
        <is>
          <t>Shopee, Tiktok, Lazada, Website bán hàng</t>
        </is>
      </c>
      <c r="G1883" s="4" t="inlineStr">
        <is>
          <t>SHOPEE: https://www.shopee.vn/vietnhat3838 TIKTOK: dienmayvietnhat LAZADA: https://www.lazada.vn/shop/viet-nhat- WEBSITE BÁN HÀNG: https://dienmayvietnhat.vn/</t>
        </is>
      </c>
      <c r="H1883" s="3" t="inlineStr">
        <is>
          <t>KB006-Q5</t>
        </is>
      </c>
      <c r="I1883" s="4" t="inlineStr">
        <is>
          <t>Kéo KB006-Q5</t>
        </is>
      </c>
      <c r="J1883" s="3" t="inlineStr">
        <is>
          <t>Cái</t>
        </is>
      </c>
      <c r="K1883" s="5" t="n">
        <v>128000</v>
      </c>
      <c r="L1883" s="5" t="n">
        <v>151000</v>
      </c>
      <c r="M1883" s="6" t="n">
        <v>186000</v>
      </c>
      <c r="N1883" s="5" t="n"/>
      <c r="O1883" s="5">
        <f>IF(AND(ISNUMBER(N1883),ISNUMBER(M1883)),N1883-M1883,"")</f>
        <v/>
      </c>
      <c r="P1883" s="7">
        <f>IF(AND(ISNUMBER(N1883),ISNUMBER(M1883),M1883&gt;0),(N1883-M1883)/M1883,"")</f>
        <v/>
      </c>
      <c r="Q1883" s="3">
        <f>IF(P1883="","",IF(P1883&lt;-0.02,"🔴 Bán phá giá sàn",IF(P1883&gt;0.05,"🔵 Bán cao hơn","🟢 Đúng giá sàn TMĐT")))</f>
        <v/>
      </c>
      <c r="R1883" s="3" t="n"/>
      <c r="S1883" s="4" t="n"/>
      <c r="T1883" s="4" t="n"/>
    </row>
    <row r="1884">
      <c r="A1884" s="3" t="n">
        <v>1883</v>
      </c>
      <c r="B1884" s="3" t="inlineStr">
        <is>
          <t>DL017</t>
        </is>
      </c>
      <c r="C1884" s="4" t="inlineStr">
        <is>
          <t>Điện máy Việt Nhật</t>
        </is>
      </c>
      <c r="D1884" s="3" t="inlineStr">
        <is>
          <t>HN</t>
        </is>
      </c>
      <c r="E1884" s="3" t="inlineStr">
        <is>
          <t>ĐIỆP</t>
        </is>
      </c>
      <c r="F1884" s="3" t="inlineStr">
        <is>
          <t>Shopee, Tiktok, Lazada, Website bán hàng</t>
        </is>
      </c>
      <c r="G1884" s="4" t="inlineStr">
        <is>
          <t>SHOPEE: https://www.shopee.vn/vietnhat3838 TIKTOK: dienmayvietnhat LAZADA: https://www.lazada.vn/shop/viet-nhat- WEBSITE BÁN HÀNG: https://dienmayvietnhat.vn/</t>
        </is>
      </c>
      <c r="H1884" s="3" t="inlineStr">
        <is>
          <t>KB006-Q6</t>
        </is>
      </c>
      <c r="I1884" s="4" t="inlineStr">
        <is>
          <t>Kéo KB006-Q6</t>
        </is>
      </c>
      <c r="J1884" s="3" t="inlineStr">
        <is>
          <t>Cái</t>
        </is>
      </c>
      <c r="K1884" s="5" t="n">
        <v>141000</v>
      </c>
      <c r="L1884" s="5" t="n">
        <v>167000</v>
      </c>
      <c r="M1884" s="6" t="n">
        <v>205000</v>
      </c>
      <c r="N1884" s="5" t="n"/>
      <c r="O1884" s="5">
        <f>IF(AND(ISNUMBER(N1884),ISNUMBER(M1884)),N1884-M1884,"")</f>
        <v/>
      </c>
      <c r="P1884" s="7">
        <f>IF(AND(ISNUMBER(N1884),ISNUMBER(M1884),M1884&gt;0),(N1884-M1884)/M1884,"")</f>
        <v/>
      </c>
      <c r="Q1884" s="3">
        <f>IF(P1884="","",IF(P1884&lt;-0.02,"🔴 Bán phá giá sàn",IF(P1884&gt;0.05,"🔵 Bán cao hơn","🟢 Đúng giá sàn TMĐT")))</f>
        <v/>
      </c>
      <c r="R1884" s="3" t="n"/>
      <c r="S1884" s="4" t="n"/>
      <c r="T1884" s="4" t="n"/>
    </row>
    <row r="1885">
      <c r="A1885" s="3" t="n">
        <v>1884</v>
      </c>
      <c r="B1885" s="3" t="inlineStr">
        <is>
          <t>DL017</t>
        </is>
      </c>
      <c r="C1885" s="4" t="inlineStr">
        <is>
          <t>Điện máy Việt Nhật</t>
        </is>
      </c>
      <c r="D1885" s="3" t="inlineStr">
        <is>
          <t>HN</t>
        </is>
      </c>
      <c r="E1885" s="3" t="inlineStr">
        <is>
          <t>ĐIỆP</t>
        </is>
      </c>
      <c r="F1885" s="3" t="inlineStr">
        <is>
          <t>Shopee, Tiktok, Lazada, Website bán hàng</t>
        </is>
      </c>
      <c r="G1885" s="4" t="inlineStr">
        <is>
          <t>SHOPEE: https://www.shopee.vn/vietnhat3838 TIKTOK: dienmayvietnhat LAZADA: https://www.lazada.vn/shop/viet-nhat- WEBSITE BÁN HÀNG: https://dienmayvietnhat.vn/</t>
        </is>
      </c>
      <c r="H1885" s="3" t="inlineStr">
        <is>
          <t>KBM2-06160</t>
        </is>
      </c>
      <c r="I1885" s="4" t="inlineStr">
        <is>
          <t>Khoan bê tông chuôi lục giác KBM2-06*160</t>
        </is>
      </c>
      <c r="J1885" s="3" t="inlineStr">
        <is>
          <t>Cái</t>
        </is>
      </c>
      <c r="K1885" s="5" t="n">
        <v>22000</v>
      </c>
      <c r="L1885" s="5" t="n">
        <v>27000</v>
      </c>
      <c r="M1885" s="6" t="n">
        <v>34000</v>
      </c>
      <c r="N1885" s="5" t="n"/>
      <c r="O1885" s="5">
        <f>IF(AND(ISNUMBER(N1885),ISNUMBER(M1885)),N1885-M1885,"")</f>
        <v/>
      </c>
      <c r="P1885" s="7">
        <f>IF(AND(ISNUMBER(N1885),ISNUMBER(M1885),M1885&gt;0),(N1885-M1885)/M1885,"")</f>
        <v/>
      </c>
      <c r="Q1885" s="3">
        <f>IF(P1885="","",IF(P1885&lt;-0.02,"🔴 Bán phá giá sàn",IF(P1885&gt;0.05,"🔵 Bán cao hơn","🟢 Đúng giá sàn TMĐT")))</f>
        <v/>
      </c>
      <c r="R1885" s="3" t="n"/>
      <c r="S1885" s="4" t="n"/>
      <c r="T1885" s="4" t="n"/>
    </row>
    <row r="1886">
      <c r="A1886" s="3" t="n">
        <v>1885</v>
      </c>
      <c r="B1886" s="3" t="inlineStr">
        <is>
          <t>DL017</t>
        </is>
      </c>
      <c r="C1886" s="4" t="inlineStr">
        <is>
          <t>Điện máy Việt Nhật</t>
        </is>
      </c>
      <c r="D1886" s="3" t="inlineStr">
        <is>
          <t>HN</t>
        </is>
      </c>
      <c r="E1886" s="3" t="inlineStr">
        <is>
          <t>ĐIỆP</t>
        </is>
      </c>
      <c r="F1886" s="3" t="inlineStr">
        <is>
          <t>Shopee, Tiktok, Lazada, Website bán hàng</t>
        </is>
      </c>
      <c r="G1886" s="4" t="inlineStr">
        <is>
          <t>SHOPEE: https://www.shopee.vn/vietnhat3838 TIKTOK: dienmayvietnhat LAZADA: https://www.lazada.vn/shop/viet-nhat- WEBSITE BÁN HÀNG: https://dienmayvietnhat.vn/</t>
        </is>
      </c>
      <c r="H1886" s="3" t="inlineStr">
        <is>
          <t>KBM2-08160</t>
        </is>
      </c>
      <c r="I1886" s="4" t="inlineStr">
        <is>
          <t>Khoan bê tông chuôi lục giác KBM2-08*160</t>
        </is>
      </c>
      <c r="J1886" s="3" t="inlineStr">
        <is>
          <t>Cái</t>
        </is>
      </c>
      <c r="K1886" s="5" t="n">
        <v>24000</v>
      </c>
      <c r="L1886" s="5" t="n">
        <v>29000</v>
      </c>
      <c r="M1886" s="6" t="n">
        <v>37000</v>
      </c>
      <c r="N1886" s="5" t="n"/>
      <c r="O1886" s="5">
        <f>IF(AND(ISNUMBER(N1886),ISNUMBER(M1886)),N1886-M1886,"")</f>
        <v/>
      </c>
      <c r="P1886" s="7">
        <f>IF(AND(ISNUMBER(N1886),ISNUMBER(M1886),M1886&gt;0),(N1886-M1886)/M1886,"")</f>
        <v/>
      </c>
      <c r="Q1886" s="3">
        <f>IF(P1886="","",IF(P1886&lt;-0.02,"🔴 Bán phá giá sàn",IF(P1886&gt;0.05,"🔵 Bán cao hơn","🟢 Đúng giá sàn TMĐT")))</f>
        <v/>
      </c>
      <c r="R1886" s="3" t="n"/>
      <c r="S1886" s="4" t="n"/>
      <c r="T1886" s="4" t="n"/>
    </row>
    <row r="1887">
      <c r="A1887" s="3" t="n">
        <v>1886</v>
      </c>
      <c r="B1887" s="3" t="inlineStr">
        <is>
          <t>DL017</t>
        </is>
      </c>
      <c r="C1887" s="4" t="inlineStr">
        <is>
          <t>Điện máy Việt Nhật</t>
        </is>
      </c>
      <c r="D1887" s="3" t="inlineStr">
        <is>
          <t>HN</t>
        </is>
      </c>
      <c r="E1887" s="3" t="inlineStr">
        <is>
          <t>ĐIỆP</t>
        </is>
      </c>
      <c r="F1887" s="3" t="inlineStr">
        <is>
          <t>Shopee, Tiktok, Lazada, Website bán hàng</t>
        </is>
      </c>
      <c r="G1887" s="4" t="inlineStr">
        <is>
          <t>SHOPEE: https://www.shopee.vn/vietnhat3838 TIKTOK: dienmayvietnhat LAZADA: https://www.lazada.vn/shop/viet-nhat- WEBSITE BÁN HÀNG: https://dienmayvietnhat.vn/</t>
        </is>
      </c>
      <c r="H1887" s="3" t="inlineStr">
        <is>
          <t>KBM2-12160</t>
        </is>
      </c>
      <c r="I1887" s="4" t="inlineStr">
        <is>
          <t>Khoan bê tông chuôi lục giác KBM2-12*160</t>
        </is>
      </c>
      <c r="J1887" s="3" t="inlineStr">
        <is>
          <t>Cái</t>
        </is>
      </c>
      <c r="K1887" s="5" t="n">
        <v>32000</v>
      </c>
      <c r="L1887" s="5" t="n">
        <v>39000</v>
      </c>
      <c r="M1887" s="6" t="n">
        <v>50000</v>
      </c>
      <c r="N1887" s="5" t="n"/>
      <c r="O1887" s="5">
        <f>IF(AND(ISNUMBER(N1887),ISNUMBER(M1887)),N1887-M1887,"")</f>
        <v/>
      </c>
      <c r="P1887" s="7">
        <f>IF(AND(ISNUMBER(N1887),ISNUMBER(M1887),M1887&gt;0),(N1887-M1887)/M1887,"")</f>
        <v/>
      </c>
      <c r="Q1887" s="3">
        <f>IF(P1887="","",IF(P1887&lt;-0.02,"🔴 Bán phá giá sàn",IF(P1887&gt;0.05,"🔵 Bán cao hơn","🟢 Đúng giá sàn TMĐT")))</f>
        <v/>
      </c>
      <c r="R1887" s="3" t="n"/>
      <c r="S1887" s="4" t="n"/>
      <c r="T1887" s="4" t="n"/>
    </row>
    <row r="1888">
      <c r="A1888" s="3" t="n">
        <v>1887</v>
      </c>
      <c r="B1888" s="3" t="inlineStr">
        <is>
          <t>DL017</t>
        </is>
      </c>
      <c r="C1888" s="4" t="inlineStr">
        <is>
          <t>Điện máy Việt Nhật</t>
        </is>
      </c>
      <c r="D1888" s="3" t="inlineStr">
        <is>
          <t>HN</t>
        </is>
      </c>
      <c r="E1888" s="3" t="inlineStr">
        <is>
          <t>ĐIỆP</t>
        </is>
      </c>
      <c r="F1888" s="3" t="inlineStr">
        <is>
          <t>Shopee, Tiktok, Lazada, Website bán hàng</t>
        </is>
      </c>
      <c r="G1888" s="4" t="inlineStr">
        <is>
          <t>SHOPEE: https://www.shopee.vn/vietnhat3838 TIKTOK: dienmayvietnhat LAZADA: https://www.lazada.vn/shop/viet-nhat- WEBSITE BÁN HÀNG: https://dienmayvietnhat.vn/</t>
        </is>
      </c>
      <c r="H1888" s="3" t="inlineStr">
        <is>
          <t>KBY3-030CO</t>
        </is>
      </c>
      <c r="I1888" s="4" t="inlineStr">
        <is>
          <t>Khoan inox chuôi lục KBY3-030CO</t>
        </is>
      </c>
      <c r="J1888" s="3" t="inlineStr">
        <is>
          <t>Vỉ</t>
        </is>
      </c>
      <c r="K1888" s="5" t="n">
        <v>31000</v>
      </c>
      <c r="L1888" s="5" t="n">
        <v>39000</v>
      </c>
      <c r="M1888" s="6" t="n">
        <v>50000</v>
      </c>
      <c r="N1888" s="5" t="n"/>
      <c r="O1888" s="5">
        <f>IF(AND(ISNUMBER(N1888),ISNUMBER(M1888)),N1888-M1888,"")</f>
        <v/>
      </c>
      <c r="P1888" s="7">
        <f>IF(AND(ISNUMBER(N1888),ISNUMBER(M1888),M1888&gt;0),(N1888-M1888)/M1888,"")</f>
        <v/>
      </c>
      <c r="Q1888" s="3">
        <f>IF(P1888="","",IF(P1888&lt;-0.02,"🔴 Bán phá giá sàn",IF(P1888&gt;0.05,"🔵 Bán cao hơn","🟢 Đúng giá sàn TMĐT")))</f>
        <v/>
      </c>
      <c r="R1888" s="3" t="n"/>
      <c r="S1888" s="4" t="n"/>
      <c r="T1888" s="4" t="n"/>
    </row>
    <row r="1889">
      <c r="A1889" s="3" t="n">
        <v>1888</v>
      </c>
      <c r="B1889" s="3" t="inlineStr">
        <is>
          <t>DL017</t>
        </is>
      </c>
      <c r="C1889" s="4" t="inlineStr">
        <is>
          <t>Điện máy Việt Nhật</t>
        </is>
      </c>
      <c r="D1889" s="3" t="inlineStr">
        <is>
          <t>HN</t>
        </is>
      </c>
      <c r="E1889" s="3" t="inlineStr">
        <is>
          <t>ĐIỆP</t>
        </is>
      </c>
      <c r="F1889" s="3" t="inlineStr">
        <is>
          <t>Shopee, Tiktok, Lazada, Website bán hàng</t>
        </is>
      </c>
      <c r="G1889" s="4" t="inlineStr">
        <is>
          <t>SHOPEE: https://www.shopee.vn/vietnhat3838 TIKTOK: dienmayvietnhat LAZADA: https://www.lazada.vn/shop/viet-nhat- WEBSITE BÁN HÀNG: https://dienmayvietnhat.vn/</t>
        </is>
      </c>
      <c r="H1889" s="3" t="inlineStr">
        <is>
          <t>KBY3-040CO</t>
        </is>
      </c>
      <c r="I1889" s="4" t="inlineStr">
        <is>
          <t>Khoan inox chuôi lục KBY3-040CO</t>
        </is>
      </c>
      <c r="J1889" s="3" t="inlineStr">
        <is>
          <t>Vỉ</t>
        </is>
      </c>
      <c r="K1889" s="5" t="n">
        <v>40000</v>
      </c>
      <c r="L1889" s="5" t="n">
        <v>50000</v>
      </c>
      <c r="M1889" s="6" t="n">
        <v>64000</v>
      </c>
      <c r="N1889" s="5" t="n"/>
      <c r="O1889" s="5">
        <f>IF(AND(ISNUMBER(N1889),ISNUMBER(M1889)),N1889-M1889,"")</f>
        <v/>
      </c>
      <c r="P1889" s="7">
        <f>IF(AND(ISNUMBER(N1889),ISNUMBER(M1889),M1889&gt;0),(N1889-M1889)/M1889,"")</f>
        <v/>
      </c>
      <c r="Q1889" s="3">
        <f>IF(P1889="","",IF(P1889&lt;-0.02,"🔴 Bán phá giá sàn",IF(P1889&gt;0.05,"🔵 Bán cao hơn","🟢 Đúng giá sàn TMĐT")))</f>
        <v/>
      </c>
      <c r="R1889" s="3" t="n"/>
      <c r="S1889" s="4" t="n"/>
      <c r="T1889" s="4" t="n"/>
    </row>
    <row r="1890">
      <c r="A1890" s="3" t="n">
        <v>1889</v>
      </c>
      <c r="B1890" s="3" t="inlineStr">
        <is>
          <t>DL017</t>
        </is>
      </c>
      <c r="C1890" s="4" t="inlineStr">
        <is>
          <t>Điện máy Việt Nhật</t>
        </is>
      </c>
      <c r="D1890" s="3" t="inlineStr">
        <is>
          <t>HN</t>
        </is>
      </c>
      <c r="E1890" s="3" t="inlineStr">
        <is>
          <t>ĐIỆP</t>
        </is>
      </c>
      <c r="F1890" s="3" t="inlineStr">
        <is>
          <t>Shopee, Tiktok, Lazada, Website bán hàng</t>
        </is>
      </c>
      <c r="G1890" s="4" t="inlineStr">
        <is>
          <t>SHOPEE: https://www.shopee.vn/vietnhat3838 TIKTOK: dienmayvietnhat LAZADA: https://www.lazada.vn/shop/viet-nhat- WEBSITE BÁN HÀNG: https://dienmayvietnhat.vn/</t>
        </is>
      </c>
      <c r="H1890" s="3" t="inlineStr">
        <is>
          <t>KBB-42MM</t>
        </is>
      </c>
      <c r="I1890" s="4" t="inlineStr">
        <is>
          <t>Khoan Kính KingBlue KBB-42MM</t>
        </is>
      </c>
      <c r="J1890" s="3" t="inlineStr">
        <is>
          <t>Cái</t>
        </is>
      </c>
      <c r="K1890" s="5" t="n">
        <v>269000</v>
      </c>
      <c r="L1890" s="5" t="n">
        <v>317000</v>
      </c>
      <c r="M1890" s="6" t="n">
        <v>390000</v>
      </c>
      <c r="N1890" s="5" t="n"/>
      <c r="O1890" s="5">
        <f>IF(AND(ISNUMBER(N1890),ISNUMBER(M1890)),N1890-M1890,"")</f>
        <v/>
      </c>
      <c r="P1890" s="7">
        <f>IF(AND(ISNUMBER(N1890),ISNUMBER(M1890),M1890&gt;0),(N1890-M1890)/M1890,"")</f>
        <v/>
      </c>
      <c r="Q1890" s="3">
        <f>IF(P1890="","",IF(P1890&lt;-0.02,"🔴 Bán phá giá sàn",IF(P1890&gt;0.05,"🔵 Bán cao hơn","🟢 Đúng giá sàn TMĐT")))</f>
        <v/>
      </c>
      <c r="R1890" s="3" t="n"/>
      <c r="S1890" s="4" t="n"/>
      <c r="T1890" s="4" t="n"/>
    </row>
    <row r="1891">
      <c r="A1891" s="3" t="n">
        <v>1890</v>
      </c>
      <c r="B1891" s="3" t="inlineStr">
        <is>
          <t>DL017</t>
        </is>
      </c>
      <c r="C1891" s="4" t="inlineStr">
        <is>
          <t>Điện máy Việt Nhật</t>
        </is>
      </c>
      <c r="D1891" s="3" t="inlineStr">
        <is>
          <t>HN</t>
        </is>
      </c>
      <c r="E1891" s="3" t="inlineStr">
        <is>
          <t>ĐIỆP</t>
        </is>
      </c>
      <c r="F1891" s="3" t="inlineStr">
        <is>
          <t>Shopee, Tiktok, Lazada, Website bán hàng</t>
        </is>
      </c>
      <c r="G1891" s="4" t="inlineStr">
        <is>
          <t>SHOPEE: https://www.shopee.vn/vietnhat3838 TIKTOK: dienmayvietnhat LAZADA: https://www.lazada.vn/shop/viet-nhat- WEBSITE BÁN HÀNG: https://dienmayvietnhat.vn/</t>
        </is>
      </c>
      <c r="H1891" s="3" t="inlineStr">
        <is>
          <t>KRLK-44370</t>
        </is>
      </c>
      <c r="I1891" s="4" t="inlineStr">
        <is>
          <t>Khoan rút lõi bê tông nước + khô KRLK-44*370</t>
        </is>
      </c>
      <c r="J1891" s="3" t="inlineStr">
        <is>
          <t>Cái</t>
        </is>
      </c>
      <c r="K1891" s="5" t="n">
        <v>212000</v>
      </c>
      <c r="L1891" s="5" t="n">
        <v>254000</v>
      </c>
      <c r="M1891" s="6" t="n">
        <v>318000</v>
      </c>
      <c r="N1891" s="5" t="n"/>
      <c r="O1891" s="5">
        <f>IF(AND(ISNUMBER(N1891),ISNUMBER(M1891)),N1891-M1891,"")</f>
        <v/>
      </c>
      <c r="P1891" s="7">
        <f>IF(AND(ISNUMBER(N1891),ISNUMBER(M1891),M1891&gt;0),(N1891-M1891)/M1891,"")</f>
        <v/>
      </c>
      <c r="Q1891" s="3">
        <f>IF(P1891="","",IF(P1891&lt;-0.02,"🔴 Bán phá giá sàn",IF(P1891&gt;0.05,"🔵 Bán cao hơn","🟢 Đúng giá sàn TMĐT")))</f>
        <v/>
      </c>
      <c r="R1891" s="3" t="n"/>
      <c r="S1891" s="4" t="n"/>
      <c r="T1891" s="4" t="n"/>
    </row>
    <row r="1892">
      <c r="A1892" s="3" t="n">
        <v>1891</v>
      </c>
      <c r="B1892" s="3" t="inlineStr">
        <is>
          <t>DL017</t>
        </is>
      </c>
      <c r="C1892" s="4" t="inlineStr">
        <is>
          <t>Điện máy Việt Nhật</t>
        </is>
      </c>
      <c r="D1892" s="3" t="inlineStr">
        <is>
          <t>HN</t>
        </is>
      </c>
      <c r="E1892" s="3" t="inlineStr">
        <is>
          <t>ĐIỆP</t>
        </is>
      </c>
      <c r="F1892" s="3" t="inlineStr">
        <is>
          <t>Shopee, Tiktok, Lazada, Website bán hàng</t>
        </is>
      </c>
      <c r="G1892" s="4" t="inlineStr">
        <is>
          <t>SHOPEE: https://www.shopee.vn/vietnhat3838 TIKTOK: dienmayvietnhat LAZADA: https://www.lazada.vn/shop/viet-nhat- WEBSITE BÁN HÀNG: https://dienmayvietnhat.vn/</t>
        </is>
      </c>
      <c r="H1892" s="3" t="inlineStr">
        <is>
          <t>KRLK-51370</t>
        </is>
      </c>
      <c r="I1892" s="4" t="inlineStr">
        <is>
          <t>Khoan rút lõi bê tông nước + khô KRLK-51*370</t>
        </is>
      </c>
      <c r="J1892" s="3" t="inlineStr">
        <is>
          <t>Cái</t>
        </is>
      </c>
      <c r="K1892" s="5" t="n">
        <v>231000</v>
      </c>
      <c r="L1892" s="5" t="n">
        <v>277000</v>
      </c>
      <c r="M1892" s="6" t="n">
        <v>347000</v>
      </c>
      <c r="N1892" s="5" t="n"/>
      <c r="O1892" s="5">
        <f>IF(AND(ISNUMBER(N1892),ISNUMBER(M1892)),N1892-M1892,"")</f>
        <v/>
      </c>
      <c r="P1892" s="7">
        <f>IF(AND(ISNUMBER(N1892),ISNUMBER(M1892),M1892&gt;0),(N1892-M1892)/M1892,"")</f>
        <v/>
      </c>
      <c r="Q1892" s="3">
        <f>IF(P1892="","",IF(P1892&lt;-0.02,"🔴 Bán phá giá sàn",IF(P1892&gt;0.05,"🔵 Bán cao hơn","🟢 Đúng giá sàn TMĐT")))</f>
        <v/>
      </c>
      <c r="R1892" s="3" t="n"/>
      <c r="S1892" s="4" t="n"/>
      <c r="T1892" s="4" t="n"/>
    </row>
    <row r="1893">
      <c r="A1893" s="3" t="n">
        <v>1892</v>
      </c>
      <c r="B1893" s="3" t="inlineStr">
        <is>
          <t>DL017</t>
        </is>
      </c>
      <c r="C1893" s="4" t="inlineStr">
        <is>
          <t>Điện máy Việt Nhật</t>
        </is>
      </c>
      <c r="D1893" s="3" t="inlineStr">
        <is>
          <t>HN</t>
        </is>
      </c>
      <c r="E1893" s="3" t="inlineStr">
        <is>
          <t>ĐIỆP</t>
        </is>
      </c>
      <c r="F1893" s="3" t="inlineStr">
        <is>
          <t>Shopee, Tiktok, Lazada, Website bán hàng</t>
        </is>
      </c>
      <c r="G1893" s="4" t="inlineStr">
        <is>
          <t>SHOPEE: https://www.shopee.vn/vietnhat3838 TIKTOK: dienmayvietnhat LAZADA: https://www.lazada.vn/shop/viet-nhat- WEBSITE BÁN HÀNG: https://dienmayvietnhat.vn/</t>
        </is>
      </c>
      <c r="H1893" s="3" t="inlineStr">
        <is>
          <t>KRL-132350</t>
        </is>
      </c>
      <c r="I1893" s="4" t="inlineStr">
        <is>
          <t>Khoan rút lõi bê tông nước KRL-132*350</t>
        </is>
      </c>
      <c r="J1893" s="3" t="inlineStr">
        <is>
          <t>Cái</t>
        </is>
      </c>
      <c r="K1893" s="5" t="n">
        <v>718000</v>
      </c>
      <c r="L1893" s="5" t="n">
        <v>862000</v>
      </c>
      <c r="M1893" s="6" t="n">
        <v>1077000</v>
      </c>
      <c r="N1893" s="5" t="n"/>
      <c r="O1893" s="5">
        <f>IF(AND(ISNUMBER(N1893),ISNUMBER(M1893)),N1893-M1893,"")</f>
        <v/>
      </c>
      <c r="P1893" s="7">
        <f>IF(AND(ISNUMBER(N1893),ISNUMBER(M1893),M1893&gt;0),(N1893-M1893)/M1893,"")</f>
        <v/>
      </c>
      <c r="Q1893" s="3">
        <f>IF(P1893="","",IF(P1893&lt;-0.02,"🔴 Bán phá giá sàn",IF(P1893&gt;0.05,"🔵 Bán cao hơn","🟢 Đúng giá sàn TMĐT")))</f>
        <v/>
      </c>
      <c r="R1893" s="3" t="n"/>
      <c r="S1893" s="4" t="n"/>
      <c r="T1893" s="4" t="n"/>
    </row>
    <row r="1894">
      <c r="A1894" s="3" t="n">
        <v>1893</v>
      </c>
      <c r="B1894" s="3" t="inlineStr">
        <is>
          <t>DL017</t>
        </is>
      </c>
      <c r="C1894" s="4" t="inlineStr">
        <is>
          <t>Điện máy Việt Nhật</t>
        </is>
      </c>
      <c r="D1894" s="3" t="inlineStr">
        <is>
          <t>HN</t>
        </is>
      </c>
      <c r="E1894" s="3" t="inlineStr">
        <is>
          <t>ĐIỆP</t>
        </is>
      </c>
      <c r="F1894" s="3" t="inlineStr">
        <is>
          <t>Shopee, Tiktok, Lazada, Website bán hàng</t>
        </is>
      </c>
      <c r="G1894" s="4" t="inlineStr">
        <is>
          <t>SHOPEE: https://www.shopee.vn/vietnhat3838 TIKTOK: dienmayvietnhat LAZADA: https://www.lazada.vn/shop/viet-nhat- WEBSITE BÁN HÀNG: https://dienmayvietnhat.vn/</t>
        </is>
      </c>
      <c r="H1894" s="3" t="inlineStr">
        <is>
          <t>NG107</t>
        </is>
      </c>
      <c r="I1894" s="4" t="inlineStr">
        <is>
          <t>Kích nâng gạch NG107</t>
        </is>
      </c>
      <c r="J1894" s="3" t="inlineStr">
        <is>
          <t>Cái</t>
        </is>
      </c>
      <c r="K1894" s="5" t="n">
        <v>105000</v>
      </c>
      <c r="L1894" s="5" t="n">
        <v>124000</v>
      </c>
      <c r="M1894" s="6" t="n">
        <v>152000</v>
      </c>
      <c r="N1894" s="5" t="n"/>
      <c r="O1894" s="5">
        <f>IF(AND(ISNUMBER(N1894),ISNUMBER(M1894)),N1894-M1894,"")</f>
        <v/>
      </c>
      <c r="P1894" s="7">
        <f>IF(AND(ISNUMBER(N1894),ISNUMBER(M1894),M1894&gt;0),(N1894-M1894)/M1894,"")</f>
        <v/>
      </c>
      <c r="Q1894" s="3">
        <f>IF(P1894="","",IF(P1894&lt;-0.02,"🔴 Bán phá giá sàn",IF(P1894&gt;0.05,"🔵 Bán cao hơn","🟢 Đúng giá sàn TMĐT")))</f>
        <v/>
      </c>
      <c r="R1894" s="3" t="n"/>
      <c r="S1894" s="4" t="n"/>
      <c r="T1894" s="4" t="n"/>
    </row>
    <row r="1895">
      <c r="A1895" s="3" t="n">
        <v>1894</v>
      </c>
      <c r="B1895" s="3" t="inlineStr">
        <is>
          <t>DL017</t>
        </is>
      </c>
      <c r="C1895" s="4" t="inlineStr">
        <is>
          <t>Điện máy Việt Nhật</t>
        </is>
      </c>
      <c r="D1895" s="3" t="inlineStr">
        <is>
          <t>HN</t>
        </is>
      </c>
      <c r="E1895" s="3" t="inlineStr">
        <is>
          <t>ĐIỆP</t>
        </is>
      </c>
      <c r="F1895" s="3" t="inlineStr">
        <is>
          <t>Shopee, Tiktok, Lazada, Website bán hàng</t>
        </is>
      </c>
      <c r="G1895" s="4" t="inlineStr">
        <is>
          <t>SHOPEE: https://www.shopee.vn/vietnhat3838 TIKTOK: dienmayvietnhat LAZADA: https://www.lazada.vn/shop/viet-nhat- WEBSITE BÁN HÀNG: https://dienmayvietnhat.vn/</t>
        </is>
      </c>
      <c r="H1895" s="3" t="inlineStr">
        <is>
          <t>KJ-105B</t>
        </is>
      </c>
      <c r="I1895" s="4" t="inlineStr">
        <is>
          <t>Kìm bấm đinh rút KJ-105B</t>
        </is>
      </c>
      <c r="J1895" s="3" t="inlineStr">
        <is>
          <t>Cái</t>
        </is>
      </c>
      <c r="K1895" s="5" t="n">
        <v>109000</v>
      </c>
      <c r="L1895" s="5" t="n">
        <v>129000</v>
      </c>
      <c r="M1895" s="6" t="n">
        <v>158000</v>
      </c>
      <c r="N1895" s="5" t="n"/>
      <c r="O1895" s="5">
        <f>IF(AND(ISNUMBER(N1895),ISNUMBER(M1895)),N1895-M1895,"")</f>
        <v/>
      </c>
      <c r="P1895" s="7">
        <f>IF(AND(ISNUMBER(N1895),ISNUMBER(M1895),M1895&gt;0),(N1895-M1895)/M1895,"")</f>
        <v/>
      </c>
      <c r="Q1895" s="3">
        <f>IF(P1895="","",IF(P1895&lt;-0.02,"🔴 Bán phá giá sàn",IF(P1895&gt;0.05,"🔵 Bán cao hơn","🟢 Đúng giá sàn TMĐT")))</f>
        <v/>
      </c>
      <c r="R1895" s="3" t="n"/>
      <c r="S1895" s="4" t="n"/>
      <c r="T1895" s="4" t="n"/>
    </row>
    <row r="1896">
      <c r="A1896" s="3" t="n">
        <v>1895</v>
      </c>
      <c r="B1896" s="3" t="inlineStr">
        <is>
          <t>DL017</t>
        </is>
      </c>
      <c r="C1896" s="4" t="inlineStr">
        <is>
          <t>Điện máy Việt Nhật</t>
        </is>
      </c>
      <c r="D1896" s="3" t="inlineStr">
        <is>
          <t>HN</t>
        </is>
      </c>
      <c r="E1896" s="3" t="inlineStr">
        <is>
          <t>ĐIỆP</t>
        </is>
      </c>
      <c r="F1896" s="3" t="inlineStr">
        <is>
          <t>Shopee, Tiktok, Lazada, Website bán hàng</t>
        </is>
      </c>
      <c r="G1896" s="4" t="inlineStr">
        <is>
          <t>SHOPEE: https://www.shopee.vn/vietnhat3838 TIKTOK: dienmayvietnhat LAZADA: https://www.lazada.vn/shop/viet-nhat- WEBSITE BÁN HÀNG: https://dienmayvietnhat.vn/</t>
        </is>
      </c>
      <c r="H1896" s="3" t="inlineStr">
        <is>
          <t>KS3-208</t>
        </is>
      </c>
      <c r="I1896" s="4" t="inlineStr">
        <is>
          <t>Kìm chữ C KS3-208</t>
        </is>
      </c>
      <c r="J1896" s="3" t="inlineStr">
        <is>
          <t>Cái</t>
        </is>
      </c>
      <c r="K1896" s="5" t="n">
        <v>132000</v>
      </c>
      <c r="L1896" s="5" t="n">
        <v>156000</v>
      </c>
      <c r="M1896" s="6" t="n">
        <v>191000</v>
      </c>
      <c r="N1896" s="5" t="n"/>
      <c r="O1896" s="5">
        <f>IF(AND(ISNUMBER(N1896),ISNUMBER(M1896)),N1896-M1896,"")</f>
        <v/>
      </c>
      <c r="P1896" s="7">
        <f>IF(AND(ISNUMBER(N1896),ISNUMBER(M1896),M1896&gt;0),(N1896-M1896)/M1896,"")</f>
        <v/>
      </c>
      <c r="Q1896" s="3">
        <f>IF(P1896="","",IF(P1896&lt;-0.02,"🔴 Bán phá giá sàn",IF(P1896&gt;0.05,"🔵 Bán cao hơn","🟢 Đúng giá sàn TMĐT")))</f>
        <v/>
      </c>
      <c r="R1896" s="3" t="n"/>
      <c r="S1896" s="4" t="n"/>
      <c r="T1896" s="4" t="n"/>
    </row>
    <row r="1897">
      <c r="A1897" s="3" t="n">
        <v>1896</v>
      </c>
      <c r="B1897" s="3" t="inlineStr">
        <is>
          <t>DL017</t>
        </is>
      </c>
      <c r="C1897" s="4" t="inlineStr">
        <is>
          <t>Điện máy Việt Nhật</t>
        </is>
      </c>
      <c r="D1897" s="3" t="inlineStr">
        <is>
          <t>HN</t>
        </is>
      </c>
      <c r="E1897" s="3" t="inlineStr">
        <is>
          <t>ĐIỆP</t>
        </is>
      </c>
      <c r="F1897" s="3" t="inlineStr">
        <is>
          <t>Shopee, Tiktok, Lazada, Website bán hàng</t>
        </is>
      </c>
      <c r="G1897" s="4" t="inlineStr">
        <is>
          <t>SHOPEE: https://www.shopee.vn/vietnhat3838 TIKTOK: dienmayvietnhat LAZADA: https://www.lazada.vn/shop/viet-nhat- WEBSITE BÁN HÀNG: https://dienmayvietnhat.vn/</t>
        </is>
      </c>
      <c r="H1897" s="3" t="inlineStr">
        <is>
          <t>KCL-200</t>
        </is>
      </c>
      <c r="I1897" s="4" t="inlineStr">
        <is>
          <t>Kìm cộng lực mini KCL-200</t>
        </is>
      </c>
      <c r="J1897" s="3" t="inlineStr">
        <is>
          <t>Cái</t>
        </is>
      </c>
      <c r="K1897" s="5" t="n">
        <v>269000</v>
      </c>
      <c r="L1897" s="5" t="n">
        <v>317000</v>
      </c>
      <c r="M1897" s="6" t="n">
        <v>390000</v>
      </c>
      <c r="N1897" s="5" t="n"/>
      <c r="O1897" s="5">
        <f>IF(AND(ISNUMBER(N1897),ISNUMBER(M1897)),N1897-M1897,"")</f>
        <v/>
      </c>
      <c r="P1897" s="7">
        <f>IF(AND(ISNUMBER(N1897),ISNUMBER(M1897),M1897&gt;0),(N1897-M1897)/M1897,"")</f>
        <v/>
      </c>
      <c r="Q1897" s="3">
        <f>IF(P1897="","",IF(P1897&lt;-0.02,"🔴 Bán phá giá sàn",IF(P1897&gt;0.05,"🔵 Bán cao hơn","🟢 Đúng giá sàn TMĐT")))</f>
        <v/>
      </c>
      <c r="R1897" s="3" t="n"/>
      <c r="S1897" s="4" t="n"/>
      <c r="T1897" s="4" t="n"/>
    </row>
    <row r="1898">
      <c r="A1898" s="3" t="n">
        <v>1897</v>
      </c>
      <c r="B1898" s="3" t="inlineStr">
        <is>
          <t>DL017</t>
        </is>
      </c>
      <c r="C1898" s="4" t="inlineStr">
        <is>
          <t>Điện máy Việt Nhật</t>
        </is>
      </c>
      <c r="D1898" s="3" t="inlineStr">
        <is>
          <t>HN</t>
        </is>
      </c>
      <c r="E1898" s="3" t="inlineStr">
        <is>
          <t>ĐIỆP</t>
        </is>
      </c>
      <c r="F1898" s="3" t="inlineStr">
        <is>
          <t>Shopee, Tiktok, Lazada, Website bán hàng</t>
        </is>
      </c>
      <c r="G1898" s="4" t="inlineStr">
        <is>
          <t>SHOPEE: https://www.shopee.vn/vietnhat3838 TIKTOK: dienmayvietnhat LAZADA: https://www.lazada.vn/shop/viet-nhat- WEBSITE BÁN HÀNG: https://dienmayvietnhat.vn/</t>
        </is>
      </c>
      <c r="H1898" s="3" t="inlineStr"/>
      <c r="I1898" s="4" t="inlineStr">
        <is>
          <t>Kìm cong phe ngoài KCE 180</t>
        </is>
      </c>
      <c r="J1898" s="3" t="inlineStr">
        <is>
          <t>Cái</t>
        </is>
      </c>
      <c r="K1898" s="5" t="n">
        <v>269000</v>
      </c>
      <c r="L1898" s="5" t="n">
        <v>317000</v>
      </c>
      <c r="M1898" s="6" t="n">
        <v>390000</v>
      </c>
      <c r="N1898" s="5" t="n"/>
      <c r="O1898" s="5">
        <f>IF(AND(ISNUMBER(N1898),ISNUMBER(M1898)),N1898-M1898,"")</f>
        <v/>
      </c>
      <c r="P1898" s="7">
        <f>IF(AND(ISNUMBER(N1898),ISNUMBER(M1898),M1898&gt;0),(N1898-M1898)/M1898,"")</f>
        <v/>
      </c>
      <c r="Q1898" s="3">
        <f>IF(P1898="","",IF(P1898&lt;-0.02,"🔴 Bán phá giá sàn",IF(P1898&gt;0.05,"🔵 Bán cao hơn","🟢 Đúng giá sàn TMĐT")))</f>
        <v/>
      </c>
      <c r="R1898" s="3" t="n"/>
      <c r="S1898" s="4" t="n"/>
      <c r="T1898" s="4" t="n"/>
    </row>
    <row r="1899">
      <c r="A1899" s="3" t="n">
        <v>1898</v>
      </c>
      <c r="B1899" s="3" t="inlineStr">
        <is>
          <t>DL017</t>
        </is>
      </c>
      <c r="C1899" s="4" t="inlineStr">
        <is>
          <t>Điện máy Việt Nhật</t>
        </is>
      </c>
      <c r="D1899" s="3" t="inlineStr">
        <is>
          <t>HN</t>
        </is>
      </c>
      <c r="E1899" s="3" t="inlineStr">
        <is>
          <t>ĐIỆP</t>
        </is>
      </c>
      <c r="F1899" s="3" t="inlineStr">
        <is>
          <t>Shopee, Tiktok, Lazada, Website bán hàng</t>
        </is>
      </c>
      <c r="G1899" s="4" t="inlineStr">
        <is>
          <t>SHOPEE: https://www.shopee.vn/vietnhat3838 TIKTOK: dienmayvietnhat LAZADA: https://www.lazada.vn/shop/viet-nhat- WEBSITE BÁN HÀNG: https://dienmayvietnhat.vn/</t>
        </is>
      </c>
      <c r="H1899" s="3" t="inlineStr"/>
      <c r="I1899" s="4" t="inlineStr">
        <is>
          <t>Kìm cong phe trong KCD 180</t>
        </is>
      </c>
      <c r="J1899" s="3" t="inlineStr">
        <is>
          <t>Cái</t>
        </is>
      </c>
      <c r="K1899" s="5" t="n">
        <v>269000</v>
      </c>
      <c r="L1899" s="5" t="n">
        <v>317000</v>
      </c>
      <c r="M1899" s="6" t="n">
        <v>390000</v>
      </c>
      <c r="N1899" s="5" t="n"/>
      <c r="O1899" s="5">
        <f>IF(AND(ISNUMBER(N1899),ISNUMBER(M1899)),N1899-M1899,"")</f>
        <v/>
      </c>
      <c r="P1899" s="7">
        <f>IF(AND(ISNUMBER(N1899),ISNUMBER(M1899),M1899&gt;0),(N1899-M1899)/M1899,"")</f>
        <v/>
      </c>
      <c r="Q1899" s="3">
        <f>IF(P1899="","",IF(P1899&lt;-0.02,"🔴 Bán phá giá sàn",IF(P1899&gt;0.05,"🔵 Bán cao hơn","🟢 Đúng giá sàn TMĐT")))</f>
        <v/>
      </c>
      <c r="R1899" s="3" t="n"/>
      <c r="S1899" s="4" t="n"/>
      <c r="T1899" s="4" t="n"/>
    </row>
    <row r="1900">
      <c r="A1900" s="3" t="n">
        <v>1899</v>
      </c>
      <c r="B1900" s="3" t="inlineStr">
        <is>
          <t>DL017</t>
        </is>
      </c>
      <c r="C1900" s="4" t="inlineStr">
        <is>
          <t>Điện máy Việt Nhật</t>
        </is>
      </c>
      <c r="D1900" s="3" t="inlineStr">
        <is>
          <t>HN</t>
        </is>
      </c>
      <c r="E1900" s="3" t="inlineStr">
        <is>
          <t>ĐIỆP</t>
        </is>
      </c>
      <c r="F1900" s="3" t="inlineStr">
        <is>
          <t>Shopee, Tiktok, Lazada, Website bán hàng</t>
        </is>
      </c>
      <c r="G1900" s="4" t="inlineStr">
        <is>
          <t>SHOPEE: https://www.shopee.vn/vietnhat3838 TIKTOK: dienmayvietnhat LAZADA: https://www.lazada.vn/shop/viet-nhat- WEBSITE BÁN HÀNG: https://dienmayvietnhat.vn/</t>
        </is>
      </c>
      <c r="H1900" s="3" t="inlineStr">
        <is>
          <t>KC1-09</t>
        </is>
      </c>
      <c r="I1900" s="4" t="inlineStr">
        <is>
          <t>Kìm điện đa năng KC1-09</t>
        </is>
      </c>
      <c r="J1900" s="3" t="inlineStr">
        <is>
          <t>Cái</t>
        </is>
      </c>
      <c r="K1900" s="5" t="n">
        <v>127000</v>
      </c>
      <c r="L1900" s="5" t="n">
        <v>150000</v>
      </c>
      <c r="M1900" s="6" t="n">
        <v>184000</v>
      </c>
      <c r="N1900" s="5" t="n"/>
      <c r="O1900" s="5">
        <f>IF(AND(ISNUMBER(N1900),ISNUMBER(M1900)),N1900-M1900,"")</f>
        <v/>
      </c>
      <c r="P1900" s="7">
        <f>IF(AND(ISNUMBER(N1900),ISNUMBER(M1900),M1900&gt;0),(N1900-M1900)/M1900,"")</f>
        <v/>
      </c>
      <c r="Q1900" s="3">
        <f>IF(P1900="","",IF(P1900&lt;-0.02,"🔴 Bán phá giá sàn",IF(P1900&gt;0.05,"🔵 Bán cao hơn","🟢 Đúng giá sàn TMĐT")))</f>
        <v/>
      </c>
      <c r="R1900" s="3" t="n"/>
      <c r="S1900" s="4" t="n"/>
      <c r="T1900" s="4" t="n"/>
    </row>
    <row r="1901">
      <c r="A1901" s="3" t="n">
        <v>1900</v>
      </c>
      <c r="B1901" s="3" t="inlineStr">
        <is>
          <t>DL017</t>
        </is>
      </c>
      <c r="C1901" s="4" t="inlineStr">
        <is>
          <t>Điện máy Việt Nhật</t>
        </is>
      </c>
      <c r="D1901" s="3" t="inlineStr">
        <is>
          <t>HN</t>
        </is>
      </c>
      <c r="E1901" s="3" t="inlineStr">
        <is>
          <t>ĐIỆP</t>
        </is>
      </c>
      <c r="F1901" s="3" t="inlineStr">
        <is>
          <t>Shopee, Tiktok, Lazada, Website bán hàng</t>
        </is>
      </c>
      <c r="G1901" s="4" t="inlineStr">
        <is>
          <t>SHOPEE: https://www.shopee.vn/vietnhat3838 TIKTOK: dienmayvietnhat LAZADA: https://www.lazada.vn/shop/viet-nhat- WEBSITE BÁN HÀNG: https://dienmayvietnhat.vn/</t>
        </is>
      </c>
      <c r="H1901" s="3" t="inlineStr">
        <is>
          <t>KC1-06</t>
        </is>
      </c>
      <c r="I1901" s="4" t="inlineStr">
        <is>
          <t>Kìm điện KC1-06</t>
        </is>
      </c>
      <c r="J1901" s="3" t="inlineStr">
        <is>
          <t>Cái</t>
        </is>
      </c>
      <c r="K1901" s="5" t="n">
        <v>269000</v>
      </c>
      <c r="L1901" s="5" t="n">
        <v>317000</v>
      </c>
      <c r="M1901" s="6" t="n">
        <v>390000</v>
      </c>
      <c r="N1901" s="5" t="n"/>
      <c r="O1901" s="5">
        <f>IF(AND(ISNUMBER(N1901),ISNUMBER(M1901)),N1901-M1901,"")</f>
        <v/>
      </c>
      <c r="P1901" s="7">
        <f>IF(AND(ISNUMBER(N1901),ISNUMBER(M1901),M1901&gt;0),(N1901-M1901)/M1901,"")</f>
        <v/>
      </c>
      <c r="Q1901" s="3">
        <f>IF(P1901="","",IF(P1901&lt;-0.02,"🔴 Bán phá giá sàn",IF(P1901&gt;0.05,"🔵 Bán cao hơn","🟢 Đúng giá sàn TMĐT")))</f>
        <v/>
      </c>
      <c r="R1901" s="3" t="n"/>
      <c r="S1901" s="4" t="n"/>
      <c r="T1901" s="4" t="n"/>
    </row>
    <row r="1902">
      <c r="A1902" s="3" t="n">
        <v>1901</v>
      </c>
      <c r="B1902" s="3" t="inlineStr">
        <is>
          <t>DL017</t>
        </is>
      </c>
      <c r="C1902" s="4" t="inlineStr">
        <is>
          <t>Điện máy Việt Nhật</t>
        </is>
      </c>
      <c r="D1902" s="3" t="inlineStr">
        <is>
          <t>HN</t>
        </is>
      </c>
      <c r="E1902" s="3" t="inlineStr">
        <is>
          <t>ĐIỆP</t>
        </is>
      </c>
      <c r="F1902" s="3" t="inlineStr">
        <is>
          <t>Shopee, Tiktok, Lazada, Website bán hàng</t>
        </is>
      </c>
      <c r="G1902" s="4" t="inlineStr">
        <is>
          <t>SHOPEE: https://www.shopee.vn/vietnhat3838 TIKTOK: dienmayvietnhat LAZADA: https://www.lazada.vn/shop/viet-nhat- WEBSITE BÁN HÀNG: https://dienmayvietnhat.vn/</t>
        </is>
      </c>
      <c r="H1902" s="3" t="inlineStr">
        <is>
          <t>KC2-150</t>
        </is>
      </c>
      <c r="I1902" s="4" t="inlineStr">
        <is>
          <t>Kìm nhọn KC2-150</t>
        </is>
      </c>
      <c r="J1902" s="3" t="inlineStr">
        <is>
          <t>Cái</t>
        </is>
      </c>
      <c r="K1902" s="5" t="n">
        <v>91000</v>
      </c>
      <c r="L1902" s="5" t="n">
        <v>107000</v>
      </c>
      <c r="M1902" s="6" t="n">
        <v>132000</v>
      </c>
      <c r="N1902" s="5" t="n"/>
      <c r="O1902" s="5">
        <f>IF(AND(ISNUMBER(N1902),ISNUMBER(M1902)),N1902-M1902,"")</f>
        <v/>
      </c>
      <c r="P1902" s="7">
        <f>IF(AND(ISNUMBER(N1902),ISNUMBER(M1902),M1902&gt;0),(N1902-M1902)/M1902,"")</f>
        <v/>
      </c>
      <c r="Q1902" s="3">
        <f>IF(P1902="","",IF(P1902&lt;-0.02,"🔴 Bán phá giá sàn",IF(P1902&gt;0.05,"🔵 Bán cao hơn","🟢 Đúng giá sàn TMĐT")))</f>
        <v/>
      </c>
      <c r="R1902" s="3" t="n"/>
      <c r="S1902" s="4" t="n"/>
      <c r="T1902" s="4" t="n"/>
    </row>
    <row r="1903">
      <c r="A1903" s="3" t="n">
        <v>1902</v>
      </c>
      <c r="B1903" s="3" t="inlineStr">
        <is>
          <t>DL017</t>
        </is>
      </c>
      <c r="C1903" s="4" t="inlineStr">
        <is>
          <t>Điện máy Việt Nhật</t>
        </is>
      </c>
      <c r="D1903" s="3" t="inlineStr">
        <is>
          <t>HN</t>
        </is>
      </c>
      <c r="E1903" s="3" t="inlineStr">
        <is>
          <t>ĐIỆP</t>
        </is>
      </c>
      <c r="F1903" s="3" t="inlineStr">
        <is>
          <t>Shopee, Tiktok, Lazada, Website bán hàng</t>
        </is>
      </c>
      <c r="G1903" s="4" t="inlineStr">
        <is>
          <t>SHOPEE: https://www.shopee.vn/vietnhat3838 TIKTOK: dienmayvietnhat LAZADA: https://www.lazada.vn/shop/viet-nhat- WEBSITE BÁN HÀNG: https://dienmayvietnhat.vn/</t>
        </is>
      </c>
      <c r="H1903" s="3" t="inlineStr">
        <is>
          <t>KJ-105</t>
        </is>
      </c>
      <c r="I1903" s="4" t="inlineStr">
        <is>
          <t>Kìm rút đinh rút KJ-105</t>
        </is>
      </c>
      <c r="J1903" s="3" t="inlineStr">
        <is>
          <t>Cái</t>
        </is>
      </c>
      <c r="K1903" s="5" t="n">
        <v>154000</v>
      </c>
      <c r="L1903" s="5" t="n">
        <v>182000</v>
      </c>
      <c r="M1903" s="6" t="n">
        <v>223000</v>
      </c>
      <c r="N1903" s="5" t="n"/>
      <c r="O1903" s="5">
        <f>IF(AND(ISNUMBER(N1903),ISNUMBER(M1903)),N1903-M1903,"")</f>
        <v/>
      </c>
      <c r="P1903" s="7">
        <f>IF(AND(ISNUMBER(N1903),ISNUMBER(M1903),M1903&gt;0),(N1903-M1903)/M1903,"")</f>
        <v/>
      </c>
      <c r="Q1903" s="3">
        <f>IF(P1903="","",IF(P1903&lt;-0.02,"🔴 Bán phá giá sàn",IF(P1903&gt;0.05,"🔵 Bán cao hơn","🟢 Đúng giá sàn TMĐT")))</f>
        <v/>
      </c>
      <c r="R1903" s="3" t="n"/>
      <c r="S1903" s="4" t="n"/>
      <c r="T1903" s="4" t="n"/>
    </row>
    <row r="1904">
      <c r="A1904" s="3" t="n">
        <v>1903</v>
      </c>
      <c r="B1904" s="3" t="inlineStr">
        <is>
          <t>DL017</t>
        </is>
      </c>
      <c r="C1904" s="4" t="inlineStr">
        <is>
          <t>Điện máy Việt Nhật</t>
        </is>
      </c>
      <c r="D1904" s="3" t="inlineStr">
        <is>
          <t>HN</t>
        </is>
      </c>
      <c r="E1904" s="3" t="inlineStr">
        <is>
          <t>ĐIỆP</t>
        </is>
      </c>
      <c r="F1904" s="3" t="inlineStr">
        <is>
          <t>Shopee, Tiktok, Lazada, Website bán hàng</t>
        </is>
      </c>
      <c r="G1904" s="4" t="inlineStr">
        <is>
          <t>SHOPEE: https://www.shopee.vn/vietnhat3838 TIKTOK: dienmayvietnhat LAZADA: https://www.lazada.vn/shop/viet-nhat- WEBSITE BÁN HÀNG: https://dienmayvietnhat.vn/</t>
        </is>
      </c>
      <c r="H1904" s="3" t="inlineStr">
        <is>
          <t>KJ-104</t>
        </is>
      </c>
      <c r="I1904" s="4" t="inlineStr">
        <is>
          <t>Kìm rút đinh rút trợ lực KJ-104</t>
        </is>
      </c>
      <c r="J1904" s="3" t="inlineStr">
        <is>
          <t>Cái</t>
        </is>
      </c>
      <c r="K1904" s="5" t="n">
        <v>204000</v>
      </c>
      <c r="L1904" s="5" t="n">
        <v>241000</v>
      </c>
      <c r="M1904" s="6" t="n">
        <v>296000</v>
      </c>
      <c r="N1904" s="5" t="n"/>
      <c r="O1904" s="5">
        <f>IF(AND(ISNUMBER(N1904),ISNUMBER(M1904)),N1904-M1904,"")</f>
        <v/>
      </c>
      <c r="P1904" s="7">
        <f>IF(AND(ISNUMBER(N1904),ISNUMBER(M1904),M1904&gt;0),(N1904-M1904)/M1904,"")</f>
        <v/>
      </c>
      <c r="Q1904" s="3">
        <f>IF(P1904="","",IF(P1904&lt;-0.02,"🔴 Bán phá giá sàn",IF(P1904&gt;0.05,"🔵 Bán cao hơn","🟢 Đúng giá sàn TMĐT")))</f>
        <v/>
      </c>
      <c r="R1904" s="3" t="n"/>
      <c r="S1904" s="4" t="n"/>
      <c r="T1904" s="4" t="n"/>
    </row>
    <row r="1905">
      <c r="A1905" s="3" t="n">
        <v>1904</v>
      </c>
      <c r="B1905" s="3" t="inlineStr">
        <is>
          <t>DL017</t>
        </is>
      </c>
      <c r="C1905" s="4" t="inlineStr">
        <is>
          <t>Điện máy Việt Nhật</t>
        </is>
      </c>
      <c r="D1905" s="3" t="inlineStr">
        <is>
          <t>HN</t>
        </is>
      </c>
      <c r="E1905" s="3" t="inlineStr">
        <is>
          <t>ĐIỆP</t>
        </is>
      </c>
      <c r="F1905" s="3" t="inlineStr">
        <is>
          <t>Shopee, Tiktok, Lazada, Website bán hàng</t>
        </is>
      </c>
      <c r="G1905" s="4" t="inlineStr">
        <is>
          <t>SHOPEE: https://www.shopee.vn/vietnhat3838 TIKTOK: dienmayvietnhat LAZADA: https://www.lazada.vn/shop/viet-nhat- WEBSITE BÁN HÀNG: https://dienmayvietnhat.vn/</t>
        </is>
      </c>
      <c r="H1905" s="3" t="inlineStr"/>
      <c r="I1905" s="4" t="inlineStr">
        <is>
          <t>Kìm thẳng phe ngoài KCB 180</t>
        </is>
      </c>
      <c r="J1905" s="3" t="inlineStr">
        <is>
          <t>Cái</t>
        </is>
      </c>
      <c r="K1905" s="5" t="n">
        <v>269000</v>
      </c>
      <c r="L1905" s="5" t="n">
        <v>317000</v>
      </c>
      <c r="M1905" s="6" t="n">
        <v>390000</v>
      </c>
      <c r="N1905" s="5" t="n"/>
      <c r="O1905" s="5">
        <f>IF(AND(ISNUMBER(N1905),ISNUMBER(M1905)),N1905-M1905,"")</f>
        <v/>
      </c>
      <c r="P1905" s="7">
        <f>IF(AND(ISNUMBER(N1905),ISNUMBER(M1905),M1905&gt;0),(N1905-M1905)/M1905,"")</f>
        <v/>
      </c>
      <c r="Q1905" s="3">
        <f>IF(P1905="","",IF(P1905&lt;-0.02,"🔴 Bán phá giá sàn",IF(P1905&gt;0.05,"🔵 Bán cao hơn","🟢 Đúng giá sàn TMĐT")))</f>
        <v/>
      </c>
      <c r="R1905" s="3" t="n"/>
      <c r="S1905" s="4" t="n"/>
      <c r="T1905" s="4" t="n"/>
    </row>
    <row r="1906">
      <c r="A1906" s="3" t="n">
        <v>1905</v>
      </c>
      <c r="B1906" s="3" t="inlineStr">
        <is>
          <t>DL017</t>
        </is>
      </c>
      <c r="C1906" s="4" t="inlineStr">
        <is>
          <t>Điện máy Việt Nhật</t>
        </is>
      </c>
      <c r="D1906" s="3" t="inlineStr">
        <is>
          <t>HN</t>
        </is>
      </c>
      <c r="E1906" s="3" t="inlineStr">
        <is>
          <t>ĐIỆP</t>
        </is>
      </c>
      <c r="F1906" s="3" t="inlineStr">
        <is>
          <t>Shopee, Tiktok, Lazada, Website bán hàng</t>
        </is>
      </c>
      <c r="G1906" s="4" t="inlineStr">
        <is>
          <t>SHOPEE: https://www.shopee.vn/vietnhat3838 TIKTOK: dienmayvietnhat LAZADA: https://www.lazada.vn/shop/viet-nhat- WEBSITE BÁN HÀNG: https://dienmayvietnhat.vn/</t>
        </is>
      </c>
      <c r="H1906" s="3" t="inlineStr"/>
      <c r="I1906" s="4" t="inlineStr">
        <is>
          <t>Kìm thẳng phe trong KCA 180</t>
        </is>
      </c>
      <c r="J1906" s="3" t="inlineStr">
        <is>
          <t>Cái</t>
        </is>
      </c>
      <c r="K1906" s="5" t="n">
        <v>269000</v>
      </c>
      <c r="L1906" s="5" t="n">
        <v>317000</v>
      </c>
      <c r="M1906" s="6" t="n">
        <v>390000</v>
      </c>
      <c r="N1906" s="5" t="n"/>
      <c r="O1906" s="5">
        <f>IF(AND(ISNUMBER(N1906),ISNUMBER(M1906)),N1906-M1906,"")</f>
        <v/>
      </c>
      <c r="P1906" s="7">
        <f>IF(AND(ISNUMBER(N1906),ISNUMBER(M1906),M1906&gt;0),(N1906-M1906)/M1906,"")</f>
        <v/>
      </c>
      <c r="Q1906" s="3">
        <f>IF(P1906="","",IF(P1906&lt;-0.02,"🔴 Bán phá giá sàn",IF(P1906&gt;0.05,"🔵 Bán cao hơn","🟢 Đúng giá sàn TMĐT")))</f>
        <v/>
      </c>
      <c r="R1906" s="3" t="n"/>
      <c r="S1906" s="4" t="n"/>
      <c r="T1906" s="4" t="n"/>
    </row>
    <row r="1907">
      <c r="A1907" s="3" t="n">
        <v>1906</v>
      </c>
      <c r="B1907" s="3" t="inlineStr">
        <is>
          <t>DL017</t>
        </is>
      </c>
      <c r="C1907" s="4" t="inlineStr">
        <is>
          <t>Điện máy Việt Nhật</t>
        </is>
      </c>
      <c r="D1907" s="3" t="inlineStr">
        <is>
          <t>HN</t>
        </is>
      </c>
      <c r="E1907" s="3" t="inlineStr">
        <is>
          <t>ĐIỆP</t>
        </is>
      </c>
      <c r="F1907" s="3" t="inlineStr">
        <is>
          <t>Shopee, Tiktok, Lazada, Website bán hàng</t>
        </is>
      </c>
      <c r="G1907" s="4" t="inlineStr">
        <is>
          <t>SHOPEE: https://www.shopee.vn/vietnhat3838 TIKTOK: dienmayvietnhat LAZADA: https://www.lazada.vn/shop/viet-nhat- WEBSITE BÁN HÀNG: https://dienmayvietnhat.vn/</t>
        </is>
      </c>
      <c r="H1907" s="3" t="inlineStr">
        <is>
          <t>KND180</t>
        </is>
      </c>
      <c r="I1907" s="4" t="inlineStr">
        <is>
          <t>Kìm tuốt dây điện đa năng KND180</t>
        </is>
      </c>
      <c r="J1907" s="3" t="inlineStr">
        <is>
          <t>Cái</t>
        </is>
      </c>
      <c r="K1907" s="5" t="n">
        <v>127000</v>
      </c>
      <c r="L1907" s="5" t="n">
        <v>150000</v>
      </c>
      <c r="M1907" s="6" t="n">
        <v>184000</v>
      </c>
      <c r="N1907" s="5" t="n"/>
      <c r="O1907" s="5">
        <f>IF(AND(ISNUMBER(N1907),ISNUMBER(M1907)),N1907-M1907,"")</f>
        <v/>
      </c>
      <c r="P1907" s="7">
        <f>IF(AND(ISNUMBER(N1907),ISNUMBER(M1907),M1907&gt;0),(N1907-M1907)/M1907,"")</f>
        <v/>
      </c>
      <c r="Q1907" s="3">
        <f>IF(P1907="","",IF(P1907&lt;-0.02,"🔴 Bán phá giá sàn",IF(P1907&gt;0.05,"🔵 Bán cao hơn","🟢 Đúng giá sàn TMĐT")))</f>
        <v/>
      </c>
      <c r="R1907" s="3" t="n"/>
      <c r="S1907" s="4" t="n"/>
      <c r="T1907" s="4" t="n"/>
    </row>
    <row r="1908">
      <c r="A1908" s="3" t="n">
        <v>1907</v>
      </c>
      <c r="B1908" s="3" t="inlineStr">
        <is>
          <t>DL017</t>
        </is>
      </c>
      <c r="C1908" s="4" t="inlineStr">
        <is>
          <t>Điện máy Việt Nhật</t>
        </is>
      </c>
      <c r="D1908" s="3" t="inlineStr">
        <is>
          <t>HN</t>
        </is>
      </c>
      <c r="E1908" s="3" t="inlineStr">
        <is>
          <t>ĐIỆP</t>
        </is>
      </c>
      <c r="F1908" s="3" t="inlineStr">
        <is>
          <t>Shopee, Tiktok, Lazada, Website bán hàng</t>
        </is>
      </c>
      <c r="G1908" s="4" t="inlineStr">
        <is>
          <t>SHOPEE: https://www.shopee.vn/vietnhat3838 TIKTOK: dienmayvietnhat LAZADA: https://www.lazada.vn/shop/viet-nhat- WEBSITE BÁN HÀNG: https://dienmayvietnhat.vn/</t>
        </is>
      </c>
      <c r="H1908" s="3" t="inlineStr">
        <is>
          <t>KND205</t>
        </is>
      </c>
      <c r="I1908" s="4" t="inlineStr">
        <is>
          <t>Kìm tuốt dây điện đa năng KND205</t>
        </is>
      </c>
      <c r="J1908" s="3" t="inlineStr">
        <is>
          <t>Cái</t>
        </is>
      </c>
      <c r="K1908" s="5" t="n">
        <v>160000</v>
      </c>
      <c r="L1908" s="5" t="n">
        <v>189000</v>
      </c>
      <c r="M1908" s="6" t="n">
        <v>232000</v>
      </c>
      <c r="N1908" s="5" t="n"/>
      <c r="O1908" s="5">
        <f>IF(AND(ISNUMBER(N1908),ISNUMBER(M1908)),N1908-M1908,"")</f>
        <v/>
      </c>
      <c r="P1908" s="7">
        <f>IF(AND(ISNUMBER(N1908),ISNUMBER(M1908),M1908&gt;0),(N1908-M1908)/M1908,"")</f>
        <v/>
      </c>
      <c r="Q1908" s="3">
        <f>IF(P1908="","",IF(P1908&lt;-0.02,"🔴 Bán phá giá sàn",IF(P1908&gt;0.05,"🔵 Bán cao hơn","🟢 Đúng giá sàn TMĐT")))</f>
        <v/>
      </c>
      <c r="R1908" s="3" t="n"/>
      <c r="S1908" s="4" t="n"/>
      <c r="T1908" s="4" t="n"/>
    </row>
    <row r="1909">
      <c r="A1909" s="3" t="n">
        <v>1908</v>
      </c>
      <c r="B1909" s="3" t="inlineStr">
        <is>
          <t>DL017</t>
        </is>
      </c>
      <c r="C1909" s="4" t="inlineStr">
        <is>
          <t>Điện máy Việt Nhật</t>
        </is>
      </c>
      <c r="D1909" s="3" t="inlineStr">
        <is>
          <t>HN</t>
        </is>
      </c>
      <c r="E1909" s="3" t="inlineStr">
        <is>
          <t>ĐIỆP</t>
        </is>
      </c>
      <c r="F1909" s="3" t="inlineStr">
        <is>
          <t>Shopee, Tiktok, Lazada, Website bán hàng</t>
        </is>
      </c>
      <c r="G1909" s="4" t="inlineStr">
        <is>
          <t>SHOPEE: https://www.shopee.vn/vietnhat3838 TIKTOK: dienmayvietnhat LAZADA: https://www.lazada.vn/shop/viet-nhat- WEBSITE BÁN HÀNG: https://dienmayvietnhat.vn/</t>
        </is>
      </c>
      <c r="H1909" s="3" t="inlineStr">
        <is>
          <t>F1-180DN</t>
        </is>
      </c>
      <c r="I1909" s="4" t="inlineStr">
        <is>
          <t>Lưỡi cắt BlueBird F1-180DN (vàng)</t>
        </is>
      </c>
      <c r="J1909" s="3" t="inlineStr">
        <is>
          <t>Cái</t>
        </is>
      </c>
      <c r="K1909" s="5" t="n">
        <v>169000</v>
      </c>
      <c r="L1909" s="5" t="n">
        <v>199000</v>
      </c>
      <c r="M1909" s="6" t="n">
        <v>245000</v>
      </c>
      <c r="N1909" s="5" t="n"/>
      <c r="O1909" s="5">
        <f>IF(AND(ISNUMBER(N1909),ISNUMBER(M1909)),N1909-M1909,"")</f>
        <v/>
      </c>
      <c r="P1909" s="7">
        <f>IF(AND(ISNUMBER(N1909),ISNUMBER(M1909),M1909&gt;0),(N1909-M1909)/M1909,"")</f>
        <v/>
      </c>
      <c r="Q1909" s="3">
        <f>IF(P1909="","",IF(P1909&lt;-0.02,"🔴 Bán phá giá sàn",IF(P1909&gt;0.05,"🔵 Bán cao hơn","🟢 Đúng giá sàn TMĐT")))</f>
        <v/>
      </c>
      <c r="R1909" s="3" t="n"/>
      <c r="S1909" s="4" t="n"/>
      <c r="T1909" s="4" t="n"/>
    </row>
    <row r="1910">
      <c r="A1910" s="3" t="n">
        <v>1909</v>
      </c>
      <c r="B1910" s="3" t="inlineStr">
        <is>
          <t>DL017</t>
        </is>
      </c>
      <c r="C1910" s="4" t="inlineStr">
        <is>
          <t>Điện máy Việt Nhật</t>
        </is>
      </c>
      <c r="D1910" s="3" t="inlineStr">
        <is>
          <t>HN</t>
        </is>
      </c>
      <c r="E1910" s="3" t="inlineStr">
        <is>
          <t>ĐIỆP</t>
        </is>
      </c>
      <c r="F1910" s="3" t="inlineStr">
        <is>
          <t>Shopee, Tiktok, Lazada, Website bán hàng</t>
        </is>
      </c>
      <c r="G1910" s="4" t="inlineStr">
        <is>
          <t>SHOPEE: https://www.shopee.vn/vietnhat3838 TIKTOK: dienmayvietnhat LAZADA: https://www.lazada.vn/shop/viet-nhat- WEBSITE BÁN HÀNG: https://dienmayvietnhat.vn/</t>
        </is>
      </c>
      <c r="H1910" s="3" t="inlineStr">
        <is>
          <t>VJ01</t>
        </is>
      </c>
      <c r="I1910" s="4" t="inlineStr">
        <is>
          <t>Lưỡi cắt gạch bàn VJ01</t>
        </is>
      </c>
      <c r="J1910" s="3" t="inlineStr">
        <is>
          <t>Cái</t>
        </is>
      </c>
      <c r="K1910" s="5" t="n">
        <v>80000</v>
      </c>
      <c r="L1910" s="5" t="n">
        <v>94000</v>
      </c>
      <c r="M1910" s="6" t="n">
        <v>116000</v>
      </c>
      <c r="N1910" s="5" t="n"/>
      <c r="O1910" s="5">
        <f>IF(AND(ISNUMBER(N1910),ISNUMBER(M1910)),N1910-M1910,"")</f>
        <v/>
      </c>
      <c r="P1910" s="7">
        <f>IF(AND(ISNUMBER(N1910),ISNUMBER(M1910),M1910&gt;0),(N1910-M1910)/M1910,"")</f>
        <v/>
      </c>
      <c r="Q1910" s="3">
        <f>IF(P1910="","",IF(P1910&lt;-0.02,"🔴 Bán phá giá sàn",IF(P1910&gt;0.05,"🔵 Bán cao hơn","🟢 Đúng giá sàn TMĐT")))</f>
        <v/>
      </c>
      <c r="R1910" s="3" t="n"/>
      <c r="S1910" s="4" t="n"/>
      <c r="T1910" s="4" t="n"/>
    </row>
    <row r="1911">
      <c r="A1911" s="3" t="n">
        <v>1910</v>
      </c>
      <c r="B1911" s="3" t="inlineStr">
        <is>
          <t>DL017</t>
        </is>
      </c>
      <c r="C1911" s="4" t="inlineStr">
        <is>
          <t>Điện máy Việt Nhật</t>
        </is>
      </c>
      <c r="D1911" s="3" t="inlineStr">
        <is>
          <t>HN</t>
        </is>
      </c>
      <c r="E1911" s="3" t="inlineStr">
        <is>
          <t>ĐIỆP</t>
        </is>
      </c>
      <c r="F1911" s="3" t="inlineStr">
        <is>
          <t>Shopee, Tiktok, Lazada, Website bán hàng</t>
        </is>
      </c>
      <c r="G1911" s="4" t="inlineStr">
        <is>
          <t>SHOPEE: https://www.shopee.vn/vietnhat3838 TIKTOK: dienmayvietnhat LAZADA: https://www.lazada.vn/shop/viet-nhat- WEBSITE BÁN HÀNG: https://dienmayvietnhat.vn/</t>
        </is>
      </c>
      <c r="H1911" s="3" t="inlineStr">
        <is>
          <t>VJ02</t>
        </is>
      </c>
      <c r="I1911" s="4" t="inlineStr">
        <is>
          <t>Lưỡi cắt gạch bàn VJ02</t>
        </is>
      </c>
      <c r="J1911" s="3" t="inlineStr">
        <is>
          <t>Cái</t>
        </is>
      </c>
      <c r="K1911" s="5" t="n">
        <v>101000</v>
      </c>
      <c r="L1911" s="5" t="n">
        <v>119000</v>
      </c>
      <c r="M1911" s="6" t="n">
        <v>147000</v>
      </c>
      <c r="N1911" s="5" t="n"/>
      <c r="O1911" s="5">
        <f>IF(AND(ISNUMBER(N1911),ISNUMBER(M1911)),N1911-M1911,"")</f>
        <v/>
      </c>
      <c r="P1911" s="7">
        <f>IF(AND(ISNUMBER(N1911),ISNUMBER(M1911),M1911&gt;0),(N1911-M1911)/M1911,"")</f>
        <v/>
      </c>
      <c r="Q1911" s="3">
        <f>IF(P1911="","",IF(P1911&lt;-0.02,"🔴 Bán phá giá sàn",IF(P1911&gt;0.05,"🔵 Bán cao hơn","🟢 Đúng giá sàn TMĐT")))</f>
        <v/>
      </c>
      <c r="R1911" s="3" t="n"/>
      <c r="S1911" s="4" t="n"/>
      <c r="T1911" s="4" t="n"/>
    </row>
    <row r="1912">
      <c r="A1912" s="3" t="n">
        <v>1911</v>
      </c>
      <c r="B1912" s="3" t="inlineStr">
        <is>
          <t>DL017</t>
        </is>
      </c>
      <c r="C1912" s="4" t="inlineStr">
        <is>
          <t>Điện máy Việt Nhật</t>
        </is>
      </c>
      <c r="D1912" s="3" t="inlineStr">
        <is>
          <t>HN</t>
        </is>
      </c>
      <c r="E1912" s="3" t="inlineStr">
        <is>
          <t>ĐIỆP</t>
        </is>
      </c>
      <c r="F1912" s="3" t="inlineStr">
        <is>
          <t>Shopee, Tiktok, Lazada, Website bán hàng</t>
        </is>
      </c>
      <c r="G1912" s="4" t="inlineStr">
        <is>
          <t>SHOPEE: https://www.shopee.vn/vietnhat3838 TIKTOK: dienmayvietnhat LAZADA: https://www.lazada.vn/shop/viet-nhat- WEBSITE BÁN HÀNG: https://dienmayvietnhat.vn/</t>
        </is>
      </c>
      <c r="H1912" s="3" t="inlineStr">
        <is>
          <t>E3-105DN</t>
        </is>
      </c>
      <c r="I1912" s="4" t="inlineStr">
        <is>
          <t>Lưỡi cắt KingBlue E3-105DN</t>
        </is>
      </c>
      <c r="J1912" s="3" t="inlineStr">
        <is>
          <t>Cái</t>
        </is>
      </c>
      <c r="K1912" s="5" t="n">
        <v>70000</v>
      </c>
      <c r="L1912" s="5" t="n">
        <v>83000</v>
      </c>
      <c r="M1912" s="6" t="n">
        <v>102000</v>
      </c>
      <c r="N1912" s="5" t="n"/>
      <c r="O1912" s="5">
        <f>IF(AND(ISNUMBER(N1912),ISNUMBER(M1912)),N1912-M1912,"")</f>
        <v/>
      </c>
      <c r="P1912" s="7">
        <f>IF(AND(ISNUMBER(N1912),ISNUMBER(M1912),M1912&gt;0),(N1912-M1912)/M1912,"")</f>
        <v/>
      </c>
      <c r="Q1912" s="3">
        <f>IF(P1912="","",IF(P1912&lt;-0.02,"🔴 Bán phá giá sàn",IF(P1912&gt;0.05,"🔵 Bán cao hơn","🟢 Đúng giá sàn TMĐT")))</f>
        <v/>
      </c>
      <c r="R1912" s="3" t="n"/>
      <c r="S1912" s="4" t="n"/>
      <c r="T1912" s="4" t="n"/>
    </row>
    <row r="1913">
      <c r="A1913" s="3" t="n">
        <v>1912</v>
      </c>
      <c r="B1913" s="3" t="inlineStr">
        <is>
          <t>DL017</t>
        </is>
      </c>
      <c r="C1913" s="4" t="inlineStr">
        <is>
          <t>Điện máy Việt Nhật</t>
        </is>
      </c>
      <c r="D1913" s="3" t="inlineStr">
        <is>
          <t>HN</t>
        </is>
      </c>
      <c r="E1913" s="3" t="inlineStr">
        <is>
          <t>ĐIỆP</t>
        </is>
      </c>
      <c r="F1913" s="3" t="inlineStr">
        <is>
          <t>Shopee, Tiktok, Lazada, Website bán hàng</t>
        </is>
      </c>
      <c r="G1913" s="4" t="inlineStr">
        <is>
          <t>SHOPEE: https://www.shopee.vn/vietnhat3838 TIKTOK: dienmayvietnhat LAZADA: https://www.lazada.vn/shop/viet-nhat- WEBSITE BÁN HÀNG: https://dienmayvietnhat.vn/</t>
        </is>
      </c>
      <c r="H1913" s="3" t="inlineStr">
        <is>
          <t>F1-125DN</t>
        </is>
      </c>
      <c r="I1913" s="4" t="inlineStr">
        <is>
          <t>Lưỡi cắt KingBlue F1-125DN (Vàng)</t>
        </is>
      </c>
      <c r="J1913" s="3" t="inlineStr">
        <is>
          <t>Cái</t>
        </is>
      </c>
      <c r="K1913" s="5" t="n">
        <v>107000</v>
      </c>
      <c r="L1913" s="5" t="n">
        <v>126000</v>
      </c>
      <c r="M1913" s="6" t="n">
        <v>155000</v>
      </c>
      <c r="N1913" s="5" t="n"/>
      <c r="O1913" s="5">
        <f>IF(AND(ISNUMBER(N1913),ISNUMBER(M1913)),N1913-M1913,"")</f>
        <v/>
      </c>
      <c r="P1913" s="7">
        <f>IF(AND(ISNUMBER(N1913),ISNUMBER(M1913),M1913&gt;0),(N1913-M1913)/M1913,"")</f>
        <v/>
      </c>
      <c r="Q1913" s="3">
        <f>IF(P1913="","",IF(P1913&lt;-0.02,"🔴 Bán phá giá sàn",IF(P1913&gt;0.05,"🔵 Bán cao hơn","🟢 Đúng giá sàn TMĐT")))</f>
        <v/>
      </c>
      <c r="R1913" s="3" t="n"/>
      <c r="S1913" s="4" t="n"/>
      <c r="T1913" s="4" t="n"/>
    </row>
    <row r="1914">
      <c r="A1914" s="3" t="n">
        <v>1913</v>
      </c>
      <c r="B1914" s="3" t="inlineStr">
        <is>
          <t>DL017</t>
        </is>
      </c>
      <c r="C1914" s="4" t="inlineStr">
        <is>
          <t>Điện máy Việt Nhật</t>
        </is>
      </c>
      <c r="D1914" s="3" t="inlineStr">
        <is>
          <t>HN</t>
        </is>
      </c>
      <c r="E1914" s="3" t="inlineStr">
        <is>
          <t>ĐIỆP</t>
        </is>
      </c>
      <c r="F1914" s="3" t="inlineStr">
        <is>
          <t>Shopee, Tiktok, Lazada, Website bán hàng</t>
        </is>
      </c>
      <c r="G1914" s="4" t="inlineStr">
        <is>
          <t>SHOPEE: https://www.shopee.vn/vietnhat3838 TIKTOK: dienmayvietnhat LAZADA: https://www.lazada.vn/shop/viet-nhat- WEBSITE BÁN HÀNG: https://dienmayvietnhat.vn/</t>
        </is>
      </c>
      <c r="H1914" s="3" t="inlineStr">
        <is>
          <t>G3-300R</t>
        </is>
      </c>
      <c r="I1914" s="4" t="inlineStr">
        <is>
          <t>Lưỡi cắt KingBlue G3-300R</t>
        </is>
      </c>
      <c r="J1914" s="3" t="inlineStr">
        <is>
          <t>Cái</t>
        </is>
      </c>
      <c r="K1914" s="5" t="n">
        <v>943000</v>
      </c>
      <c r="L1914" s="5" t="n">
        <v>1113000</v>
      </c>
      <c r="M1914" s="6" t="n">
        <v>1367000</v>
      </c>
      <c r="N1914" s="5" t="n"/>
      <c r="O1914" s="5">
        <f>IF(AND(ISNUMBER(N1914),ISNUMBER(M1914)),N1914-M1914,"")</f>
        <v/>
      </c>
      <c r="P1914" s="7">
        <f>IF(AND(ISNUMBER(N1914),ISNUMBER(M1914),M1914&gt;0),(N1914-M1914)/M1914,"")</f>
        <v/>
      </c>
      <c r="Q1914" s="3">
        <f>IF(P1914="","",IF(P1914&lt;-0.02,"🔴 Bán phá giá sàn",IF(P1914&gt;0.05,"🔵 Bán cao hơn","🟢 Đúng giá sàn TMĐT")))</f>
        <v/>
      </c>
      <c r="R1914" s="3" t="n"/>
      <c r="S1914" s="4" t="n"/>
      <c r="T1914" s="4" t="n"/>
    </row>
    <row r="1915">
      <c r="A1915" s="3" t="n">
        <v>1914</v>
      </c>
      <c r="B1915" s="3" t="inlineStr">
        <is>
          <t>DL017</t>
        </is>
      </c>
      <c r="C1915" s="4" t="inlineStr">
        <is>
          <t>Điện máy Việt Nhật</t>
        </is>
      </c>
      <c r="D1915" s="3" t="inlineStr">
        <is>
          <t>HN</t>
        </is>
      </c>
      <c r="E1915" s="3" t="inlineStr">
        <is>
          <t>ĐIỆP</t>
        </is>
      </c>
      <c r="F1915" s="3" t="inlineStr">
        <is>
          <t>Shopee, Tiktok, Lazada, Website bán hàng</t>
        </is>
      </c>
      <c r="G1915" s="4" t="inlineStr">
        <is>
          <t>SHOPEE: https://www.shopee.vn/vietnhat3838 TIKTOK: dienmayvietnhat LAZADA: https://www.lazada.vn/shop/viet-nhat- WEBSITE BÁN HÀNG: https://dienmayvietnhat.vn/</t>
        </is>
      </c>
      <c r="H1915" s="3" t="inlineStr">
        <is>
          <t>S1-105DN</t>
        </is>
      </c>
      <c r="I1915" s="4" t="inlineStr">
        <is>
          <t>Lưỡi cắt KingBlue S1-105DN</t>
        </is>
      </c>
      <c r="J1915" s="3" t="inlineStr">
        <is>
          <t>Cái</t>
        </is>
      </c>
      <c r="K1915" s="5" t="n">
        <v>60000</v>
      </c>
      <c r="L1915" s="5" t="n">
        <v>71000</v>
      </c>
      <c r="M1915" s="6" t="n">
        <v>87000</v>
      </c>
      <c r="N1915" s="5" t="n"/>
      <c r="O1915" s="5">
        <f>IF(AND(ISNUMBER(N1915),ISNUMBER(M1915)),N1915-M1915,"")</f>
        <v/>
      </c>
      <c r="P1915" s="7">
        <f>IF(AND(ISNUMBER(N1915),ISNUMBER(M1915),M1915&gt;0),(N1915-M1915)/M1915,"")</f>
        <v/>
      </c>
      <c r="Q1915" s="3">
        <f>IF(P1915="","",IF(P1915&lt;-0.02,"🔴 Bán phá giá sàn",IF(P1915&gt;0.05,"🔵 Bán cao hơn","🟢 Đúng giá sàn TMĐT")))</f>
        <v/>
      </c>
      <c r="R1915" s="3" t="n"/>
      <c r="S1915" s="4" t="n"/>
      <c r="T1915" s="4" t="n"/>
    </row>
    <row r="1916">
      <c r="A1916" s="3" t="n">
        <v>1915</v>
      </c>
      <c r="B1916" s="3" t="inlineStr">
        <is>
          <t>DL017</t>
        </is>
      </c>
      <c r="C1916" s="4" t="inlineStr">
        <is>
          <t>Điện máy Việt Nhật</t>
        </is>
      </c>
      <c r="D1916" s="3" t="inlineStr">
        <is>
          <t>HN</t>
        </is>
      </c>
      <c r="E1916" s="3" t="inlineStr">
        <is>
          <t>ĐIỆP</t>
        </is>
      </c>
      <c r="F1916" s="3" t="inlineStr">
        <is>
          <t>Shopee, Tiktok, Lazada, Website bán hàng</t>
        </is>
      </c>
      <c r="G1916" s="4" t="inlineStr">
        <is>
          <t>SHOPEE: https://www.shopee.vn/vietnhat3838 TIKTOK: dienmayvietnhat LAZADA: https://www.lazada.vn/shop/viet-nhat- WEBSITE BÁN HÀNG: https://dienmayvietnhat.vn/</t>
        </is>
      </c>
      <c r="H1916" s="3" t="inlineStr">
        <is>
          <t>S3</t>
        </is>
      </c>
      <c r="I1916" s="4" t="inlineStr">
        <is>
          <t>Lưỡi cắt KingBlue S3 105DN (xanh dương) (NEW)</t>
        </is>
      </c>
      <c r="J1916" s="3" t="inlineStr">
        <is>
          <t>Cái</t>
        </is>
      </c>
      <c r="K1916" s="5" t="n">
        <v>263000</v>
      </c>
      <c r="L1916" s="5" t="n">
        <v>310000</v>
      </c>
      <c r="M1916" s="6" t="n">
        <v>381000</v>
      </c>
      <c r="N1916" s="5" t="n"/>
      <c r="O1916" s="5">
        <f>IF(AND(ISNUMBER(N1916),ISNUMBER(M1916)),N1916-M1916,"")</f>
        <v/>
      </c>
      <c r="P1916" s="7">
        <f>IF(AND(ISNUMBER(N1916),ISNUMBER(M1916),M1916&gt;0),(N1916-M1916)/M1916,"")</f>
        <v/>
      </c>
      <c r="Q1916" s="3">
        <f>IF(P1916="","",IF(P1916&lt;-0.02,"🔴 Bán phá giá sàn",IF(P1916&gt;0.05,"🔵 Bán cao hơn","🟢 Đúng giá sàn TMĐT")))</f>
        <v/>
      </c>
      <c r="R1916" s="3" t="n"/>
      <c r="S1916" s="4" t="n"/>
      <c r="T1916" s="4" t="n"/>
    </row>
    <row r="1917">
      <c r="A1917" s="3" t="n">
        <v>1916</v>
      </c>
      <c r="B1917" s="3" t="inlineStr">
        <is>
          <t>DL017</t>
        </is>
      </c>
      <c r="C1917" s="4" t="inlineStr">
        <is>
          <t>Điện máy Việt Nhật</t>
        </is>
      </c>
      <c r="D1917" s="3" t="inlineStr">
        <is>
          <t>HN</t>
        </is>
      </c>
      <c r="E1917" s="3" t="inlineStr">
        <is>
          <t>ĐIỆP</t>
        </is>
      </c>
      <c r="F1917" s="3" t="inlineStr">
        <is>
          <t>Shopee, Tiktok, Lazada, Website bán hàng</t>
        </is>
      </c>
      <c r="G1917" s="4" t="inlineStr">
        <is>
          <t>SHOPEE: https://www.shopee.vn/vietnhat3838 TIKTOK: dienmayvietnhat LAZADA: https://www.lazada.vn/shop/viet-nhat- WEBSITE BÁN HÀNG: https://dienmayvietnhat.vn/</t>
        </is>
      </c>
      <c r="H1917" s="3" t="inlineStr">
        <is>
          <t>S4-105DN</t>
        </is>
      </c>
      <c r="I1917" s="4" t="inlineStr">
        <is>
          <t>Lưỡi cắt KingBlue S4-105DN</t>
        </is>
      </c>
      <c r="J1917" s="3" t="inlineStr">
        <is>
          <t>Cái</t>
        </is>
      </c>
      <c r="K1917" s="5" t="n">
        <v>125000</v>
      </c>
      <c r="L1917" s="5" t="n">
        <v>147000</v>
      </c>
      <c r="M1917" s="6" t="n">
        <v>181000</v>
      </c>
      <c r="N1917" s="5" t="n"/>
      <c r="O1917" s="5">
        <f>IF(AND(ISNUMBER(N1917),ISNUMBER(M1917)),N1917-M1917,"")</f>
        <v/>
      </c>
      <c r="P1917" s="7">
        <f>IF(AND(ISNUMBER(N1917),ISNUMBER(M1917),M1917&gt;0),(N1917-M1917)/M1917,"")</f>
        <v/>
      </c>
      <c r="Q1917" s="3">
        <f>IF(P1917="","",IF(P1917&lt;-0.02,"🔴 Bán phá giá sàn",IF(P1917&gt;0.05,"🔵 Bán cao hơn","🟢 Đúng giá sàn TMĐT")))</f>
        <v/>
      </c>
      <c r="R1917" s="3" t="n"/>
      <c r="S1917" s="4" t="n"/>
      <c r="T1917" s="4" t="n"/>
    </row>
    <row r="1918">
      <c r="A1918" s="3" t="n">
        <v>1917</v>
      </c>
      <c r="B1918" s="3" t="inlineStr">
        <is>
          <t>DL017</t>
        </is>
      </c>
      <c r="C1918" s="4" t="inlineStr">
        <is>
          <t>Điện máy Việt Nhật</t>
        </is>
      </c>
      <c r="D1918" s="3" t="inlineStr">
        <is>
          <t>HN</t>
        </is>
      </c>
      <c r="E1918" s="3" t="inlineStr">
        <is>
          <t>ĐIỆP</t>
        </is>
      </c>
      <c r="F1918" s="3" t="inlineStr">
        <is>
          <t>Shopee, Tiktok, Lazada, Website bán hàng</t>
        </is>
      </c>
      <c r="G1918" s="4" t="inlineStr">
        <is>
          <t>SHOPEE: https://www.shopee.vn/vietnhat3838 TIKTOK: dienmayvietnhat LAZADA: https://www.lazada.vn/shop/viet-nhat- WEBSITE BÁN HÀNG: https://dienmayvietnhat.vn/</t>
        </is>
      </c>
      <c r="H1918" s="3" t="inlineStr">
        <is>
          <t>T1-125R</t>
        </is>
      </c>
      <c r="I1918" s="4" t="inlineStr">
        <is>
          <t>Lưỡi cắt Kingblue T1-125R</t>
        </is>
      </c>
      <c r="J1918" s="3" t="inlineStr">
        <is>
          <t>Cái</t>
        </is>
      </c>
      <c r="K1918" s="5" t="n">
        <v>83000</v>
      </c>
      <c r="L1918" s="5" t="n">
        <v>98000</v>
      </c>
      <c r="M1918" s="6" t="n">
        <v>120000</v>
      </c>
      <c r="N1918" s="5" t="n"/>
      <c r="O1918" s="5">
        <f>IF(AND(ISNUMBER(N1918),ISNUMBER(M1918)),N1918-M1918,"")</f>
        <v/>
      </c>
      <c r="P1918" s="7">
        <f>IF(AND(ISNUMBER(N1918),ISNUMBER(M1918),M1918&gt;0),(N1918-M1918)/M1918,"")</f>
        <v/>
      </c>
      <c r="Q1918" s="3">
        <f>IF(P1918="","",IF(P1918&lt;-0.02,"🔴 Bán phá giá sàn",IF(P1918&gt;0.05,"🔵 Bán cao hơn","🟢 Đúng giá sàn TMĐT")))</f>
        <v/>
      </c>
      <c r="R1918" s="3" t="n"/>
      <c r="S1918" s="4" t="n"/>
      <c r="T1918" s="4" t="n"/>
    </row>
    <row r="1919">
      <c r="A1919" s="3" t="n">
        <v>1918</v>
      </c>
      <c r="B1919" s="3" t="inlineStr">
        <is>
          <t>DL017</t>
        </is>
      </c>
      <c r="C1919" s="4" t="inlineStr">
        <is>
          <t>Điện máy Việt Nhật</t>
        </is>
      </c>
      <c r="D1919" s="3" t="inlineStr">
        <is>
          <t>HN</t>
        </is>
      </c>
      <c r="E1919" s="3" t="inlineStr">
        <is>
          <t>ĐIỆP</t>
        </is>
      </c>
      <c r="F1919" s="3" t="inlineStr">
        <is>
          <t>Shopee, Tiktok, Lazada, Website bán hàng</t>
        </is>
      </c>
      <c r="G1919" s="4" t="inlineStr">
        <is>
          <t>SHOPEE: https://www.shopee.vn/vietnhat3838 TIKTOK: dienmayvietnhat LAZADA: https://www.lazada.vn/shop/viet-nhat- WEBSITE BÁN HÀNG: https://dienmayvietnhat.vn/</t>
        </is>
      </c>
      <c r="H1919" s="3" t="inlineStr">
        <is>
          <t>T1-150R</t>
        </is>
      </c>
      <c r="I1919" s="4" t="inlineStr">
        <is>
          <t>Lưỡi cắt Kingblue T1-150R</t>
        </is>
      </c>
      <c r="J1919" s="3" t="inlineStr">
        <is>
          <t>Cái</t>
        </is>
      </c>
      <c r="K1919" s="5" t="n">
        <v>117000</v>
      </c>
      <c r="L1919" s="5" t="n">
        <v>138000</v>
      </c>
      <c r="M1919" s="6" t="n">
        <v>170000</v>
      </c>
      <c r="N1919" s="5" t="n"/>
      <c r="O1919" s="5">
        <f>IF(AND(ISNUMBER(N1919),ISNUMBER(M1919)),N1919-M1919,"")</f>
        <v/>
      </c>
      <c r="P1919" s="7">
        <f>IF(AND(ISNUMBER(N1919),ISNUMBER(M1919),M1919&gt;0),(N1919-M1919)/M1919,"")</f>
        <v/>
      </c>
      <c r="Q1919" s="3">
        <f>IF(P1919="","",IF(P1919&lt;-0.02,"🔴 Bán phá giá sàn",IF(P1919&gt;0.05,"🔵 Bán cao hơn","🟢 Đúng giá sàn TMĐT")))</f>
        <v/>
      </c>
      <c r="R1919" s="3" t="n"/>
      <c r="S1919" s="4" t="n"/>
      <c r="T1919" s="4" t="n"/>
    </row>
    <row r="1920">
      <c r="A1920" s="3" t="n">
        <v>1919</v>
      </c>
      <c r="B1920" s="3" t="inlineStr">
        <is>
          <t>DL017</t>
        </is>
      </c>
      <c r="C1920" s="4" t="inlineStr">
        <is>
          <t>Điện máy Việt Nhật</t>
        </is>
      </c>
      <c r="D1920" s="3" t="inlineStr">
        <is>
          <t>HN</t>
        </is>
      </c>
      <c r="E1920" s="3" t="inlineStr">
        <is>
          <t>ĐIỆP</t>
        </is>
      </c>
      <c r="F1920" s="3" t="inlineStr">
        <is>
          <t>Shopee, Tiktok, Lazada, Website bán hàng</t>
        </is>
      </c>
      <c r="G1920" s="4" t="inlineStr">
        <is>
          <t>SHOPEE: https://www.shopee.vn/vietnhat3838 TIKTOK: dienmayvietnhat LAZADA: https://www.lazada.vn/shop/viet-nhat- WEBSITE BÁN HÀNG: https://dienmayvietnhat.vn/</t>
        </is>
      </c>
      <c r="H1920" s="3" t="inlineStr">
        <is>
          <t>T1-180R</t>
        </is>
      </c>
      <c r="I1920" s="4" t="inlineStr">
        <is>
          <t>Lưỡi cắt KingBlue T1-180R</t>
        </is>
      </c>
      <c r="J1920" s="3" t="inlineStr">
        <is>
          <t>Cái</t>
        </is>
      </c>
      <c r="K1920" s="5" t="n">
        <v>141000</v>
      </c>
      <c r="L1920" s="5" t="n">
        <v>167000</v>
      </c>
      <c r="M1920" s="6" t="n">
        <v>205000</v>
      </c>
      <c r="N1920" s="5" t="n"/>
      <c r="O1920" s="5">
        <f>IF(AND(ISNUMBER(N1920),ISNUMBER(M1920)),N1920-M1920,"")</f>
        <v/>
      </c>
      <c r="P1920" s="7">
        <f>IF(AND(ISNUMBER(N1920),ISNUMBER(M1920),M1920&gt;0),(N1920-M1920)/M1920,"")</f>
        <v/>
      </c>
      <c r="Q1920" s="3">
        <f>IF(P1920="","",IF(P1920&lt;-0.02,"🔴 Bán phá giá sàn",IF(P1920&gt;0.05,"🔵 Bán cao hơn","🟢 Đúng giá sàn TMĐT")))</f>
        <v/>
      </c>
      <c r="R1920" s="3" t="n"/>
      <c r="S1920" s="4" t="n"/>
      <c r="T1920" s="4" t="n"/>
    </row>
    <row r="1921">
      <c r="A1921" s="3" t="n">
        <v>1920</v>
      </c>
      <c r="B1921" s="3" t="inlineStr">
        <is>
          <t>DL017</t>
        </is>
      </c>
      <c r="C1921" s="4" t="inlineStr">
        <is>
          <t>Điện máy Việt Nhật</t>
        </is>
      </c>
      <c r="D1921" s="3" t="inlineStr">
        <is>
          <t>HN</t>
        </is>
      </c>
      <c r="E1921" s="3" t="inlineStr">
        <is>
          <t>ĐIỆP</t>
        </is>
      </c>
      <c r="F1921" s="3" t="inlineStr">
        <is>
          <t>Shopee, Tiktok, Lazada, Website bán hàng</t>
        </is>
      </c>
      <c r="G1921" s="4" t="inlineStr">
        <is>
          <t>SHOPEE: https://www.shopee.vn/vietnhat3838 TIKTOK: dienmayvietnhat LAZADA: https://www.lazada.vn/shop/viet-nhat- WEBSITE BÁN HÀNG: https://dienmayvietnhat.vn/</t>
        </is>
      </c>
      <c r="H1921" s="3" t="inlineStr">
        <is>
          <t>K1-185x32T</t>
        </is>
      </c>
      <c r="I1921" s="4" t="inlineStr">
        <is>
          <t>Lưỡi cưa kim loại KingBlue K1-185x32T (Cưa sắt)</t>
        </is>
      </c>
      <c r="J1921" s="3" t="inlineStr">
        <is>
          <t>Cái</t>
        </is>
      </c>
      <c r="K1921" s="5" t="n">
        <v>273000</v>
      </c>
      <c r="L1921" s="5" t="n">
        <v>322000</v>
      </c>
      <c r="M1921" s="6" t="n">
        <v>396000</v>
      </c>
      <c r="N1921" s="5" t="n"/>
      <c r="O1921" s="5">
        <f>IF(AND(ISNUMBER(N1921),ISNUMBER(M1921)),N1921-M1921,"")</f>
        <v/>
      </c>
      <c r="P1921" s="7">
        <f>IF(AND(ISNUMBER(N1921),ISNUMBER(M1921),M1921&gt;0),(N1921-M1921)/M1921,"")</f>
        <v/>
      </c>
      <c r="Q1921" s="3">
        <f>IF(P1921="","",IF(P1921&lt;-0.02,"🔴 Bán phá giá sàn",IF(P1921&gt;0.05,"🔵 Bán cao hơn","🟢 Đúng giá sàn TMĐT")))</f>
        <v/>
      </c>
      <c r="R1921" s="3" t="n"/>
      <c r="S1921" s="4" t="n"/>
      <c r="T1921" s="4" t="n"/>
    </row>
    <row r="1922">
      <c r="A1922" s="3" t="n">
        <v>1921</v>
      </c>
      <c r="B1922" s="3" t="inlineStr">
        <is>
          <t>DL017</t>
        </is>
      </c>
      <c r="C1922" s="4" t="inlineStr">
        <is>
          <t>Điện máy Việt Nhật</t>
        </is>
      </c>
      <c r="D1922" s="3" t="inlineStr">
        <is>
          <t>HN</t>
        </is>
      </c>
      <c r="E1922" s="3" t="inlineStr">
        <is>
          <t>ĐIỆP</t>
        </is>
      </c>
      <c r="F1922" s="3" t="inlineStr">
        <is>
          <t>Shopee, Tiktok, Lazada, Website bán hàng</t>
        </is>
      </c>
      <c r="G1922" s="4" t="inlineStr">
        <is>
          <t>SHOPEE: https://www.shopee.vn/vietnhat3838 TIKTOK: dienmayvietnhat LAZADA: https://www.lazada.vn/shop/viet-nhat- WEBSITE BÁN HÀNG: https://dienmayvietnhat.vn/</t>
        </is>
      </c>
      <c r="H1922" s="3" t="inlineStr">
        <is>
          <t>CLE-300</t>
        </is>
      </c>
      <c r="I1922" s="4" t="inlineStr">
        <is>
          <t>Lưỡi cưa KingBlue CLE-300</t>
        </is>
      </c>
      <c r="J1922" s="3" t="inlineStr">
        <is>
          <t>Cái</t>
        </is>
      </c>
      <c r="K1922" s="5" t="n">
        <v>98000</v>
      </c>
      <c r="L1922" s="5" t="n">
        <v>116000</v>
      </c>
      <c r="M1922" s="6" t="n">
        <v>142000</v>
      </c>
      <c r="N1922" s="5" t="n"/>
      <c r="O1922" s="5">
        <f>IF(AND(ISNUMBER(N1922),ISNUMBER(M1922)),N1922-M1922,"")</f>
        <v/>
      </c>
      <c r="P1922" s="7">
        <f>IF(AND(ISNUMBER(N1922),ISNUMBER(M1922),M1922&gt;0),(N1922-M1922)/M1922,"")</f>
        <v/>
      </c>
      <c r="Q1922" s="3">
        <f>IF(P1922="","",IF(P1922&lt;-0.02,"🔴 Bán phá giá sàn",IF(P1922&gt;0.05,"🔵 Bán cao hơn","🟢 Đúng giá sàn TMĐT")))</f>
        <v/>
      </c>
      <c r="R1922" s="3" t="n"/>
      <c r="S1922" s="4" t="n"/>
      <c r="T1922" s="4" t="n"/>
    </row>
    <row r="1923">
      <c r="A1923" s="3" t="n">
        <v>1922</v>
      </c>
      <c r="B1923" s="3" t="inlineStr">
        <is>
          <t>DL017</t>
        </is>
      </c>
      <c r="C1923" s="4" t="inlineStr">
        <is>
          <t>Điện máy Việt Nhật</t>
        </is>
      </c>
      <c r="D1923" s="3" t="inlineStr">
        <is>
          <t>HN</t>
        </is>
      </c>
      <c r="E1923" s="3" t="inlineStr">
        <is>
          <t>ĐIỆP</t>
        </is>
      </c>
      <c r="F1923" s="3" t="inlineStr">
        <is>
          <t>Shopee, Tiktok, Lazada, Website bán hàng</t>
        </is>
      </c>
      <c r="G1923" s="4" t="inlineStr">
        <is>
          <t>SHOPEE: https://www.shopee.vn/vietnhat3838 TIKTOK: dienmayvietnhat LAZADA: https://www.lazada.vn/shop/viet-nhat- WEBSITE BÁN HÀNG: https://dienmayvietnhat.vn/</t>
        </is>
      </c>
      <c r="H1923" s="3" t="inlineStr">
        <is>
          <t>KB-02XS</t>
        </is>
      </c>
      <c r="I1923" s="4" t="inlineStr">
        <is>
          <t>Máy cân bằng KB-02XS</t>
        </is>
      </c>
      <c r="J1923" s="3" t="inlineStr">
        <is>
          <t>Cái</t>
        </is>
      </c>
      <c r="K1923" s="5" t="n">
        <v>269000</v>
      </c>
      <c r="L1923" s="5" t="n">
        <v>317000</v>
      </c>
      <c r="M1923" s="6" t="n">
        <v>390000</v>
      </c>
      <c r="N1923" s="5" t="n"/>
      <c r="O1923" s="5">
        <f>IF(AND(ISNUMBER(N1923),ISNUMBER(M1923)),N1923-M1923,"")</f>
        <v/>
      </c>
      <c r="P1923" s="7">
        <f>IF(AND(ISNUMBER(N1923),ISNUMBER(M1923),M1923&gt;0),(N1923-M1923)/M1923,"")</f>
        <v/>
      </c>
      <c r="Q1923" s="3">
        <f>IF(P1923="","",IF(P1923&lt;-0.02,"🔴 Bán phá giá sàn",IF(P1923&gt;0.05,"🔵 Bán cao hơn","🟢 Đúng giá sàn TMĐT")))</f>
        <v/>
      </c>
      <c r="R1923" s="3" t="n"/>
      <c r="S1923" s="4" t="n"/>
      <c r="T1923" s="4" t="n"/>
    </row>
    <row r="1924">
      <c r="A1924" s="3" t="n">
        <v>1923</v>
      </c>
      <c r="B1924" s="3" t="inlineStr">
        <is>
          <t>DL017</t>
        </is>
      </c>
      <c r="C1924" s="4" t="inlineStr">
        <is>
          <t>Điện máy Việt Nhật</t>
        </is>
      </c>
      <c r="D1924" s="3" t="inlineStr">
        <is>
          <t>HN</t>
        </is>
      </c>
      <c r="E1924" s="3" t="inlineStr">
        <is>
          <t>ĐIỆP</t>
        </is>
      </c>
      <c r="F1924" s="3" t="inlineStr">
        <is>
          <t>Shopee, Tiktok, Lazada, Website bán hàng</t>
        </is>
      </c>
      <c r="G1924" s="4" t="inlineStr">
        <is>
          <t>SHOPEE: https://www.shopee.vn/vietnhat3838 TIKTOK: dienmayvietnhat LAZADA: https://www.lazada.vn/shop/viet-nhat- WEBSITE BÁN HÀNG: https://dienmayvietnhat.vn/</t>
        </is>
      </c>
      <c r="H1924" s="3" t="inlineStr">
        <is>
          <t>KB-05XS</t>
        </is>
      </c>
      <c r="I1924" s="4" t="inlineStr">
        <is>
          <t>Máy cân bằng KB-05XS</t>
        </is>
      </c>
      <c r="J1924" s="3" t="inlineStr">
        <is>
          <t>Cái</t>
        </is>
      </c>
      <c r="K1924" s="5" t="n">
        <v>2090000</v>
      </c>
      <c r="L1924" s="5" t="n">
        <v>2340000</v>
      </c>
      <c r="M1924" s="6" t="n">
        <v>2720000</v>
      </c>
      <c r="N1924" s="5" t="n"/>
      <c r="O1924" s="5">
        <f>IF(AND(ISNUMBER(N1924),ISNUMBER(M1924)),N1924-M1924,"")</f>
        <v/>
      </c>
      <c r="P1924" s="7">
        <f>IF(AND(ISNUMBER(N1924),ISNUMBER(M1924),M1924&gt;0),(N1924-M1924)/M1924,"")</f>
        <v/>
      </c>
      <c r="Q1924" s="3">
        <f>IF(P1924="","",IF(P1924&lt;-0.02,"🔴 Bán phá giá sàn",IF(P1924&gt;0.05,"🔵 Bán cao hơn","🟢 Đúng giá sàn TMĐT")))</f>
        <v/>
      </c>
      <c r="R1924" s="3" t="n"/>
      <c r="S1924" s="4" t="n"/>
      <c r="T1924" s="4" t="n"/>
    </row>
    <row r="1925">
      <c r="A1925" s="3" t="n">
        <v>1924</v>
      </c>
      <c r="B1925" s="3" t="inlineStr">
        <is>
          <t>DL017</t>
        </is>
      </c>
      <c r="C1925" s="4" t="inlineStr">
        <is>
          <t>Điện máy Việt Nhật</t>
        </is>
      </c>
      <c r="D1925" s="3" t="inlineStr">
        <is>
          <t>HN</t>
        </is>
      </c>
      <c r="E1925" s="3" t="inlineStr">
        <is>
          <t>ĐIỆP</t>
        </is>
      </c>
      <c r="F1925" s="3" t="inlineStr">
        <is>
          <t>Shopee, Tiktok, Lazada, Website bán hàng</t>
        </is>
      </c>
      <c r="G1925" s="4" t="inlineStr">
        <is>
          <t>SHOPEE: https://www.shopee.vn/vietnhat3838 TIKTOK: dienmayvietnhat LAZADA: https://www.lazada.vn/shop/viet-nhat- WEBSITE BÁN HÀNG: https://dienmayvietnhat.vn/</t>
        </is>
      </c>
      <c r="H1925" s="3" t="inlineStr">
        <is>
          <t>KM18QE</t>
        </is>
      </c>
      <c r="I1925" s="4" t="inlineStr">
        <is>
          <t>Máy Khoan 3 chức năng 18V KM18QE</t>
        </is>
      </c>
      <c r="J1925" s="3" t="inlineStr">
        <is>
          <t>Cái</t>
        </is>
      </c>
      <c r="K1925" s="5" t="n">
        <v>2110000</v>
      </c>
      <c r="L1925" s="5" t="n">
        <v>2320000</v>
      </c>
      <c r="M1925" s="6" t="n">
        <v>2640000</v>
      </c>
      <c r="N1925" s="5" t="n"/>
      <c r="O1925" s="5">
        <f>IF(AND(ISNUMBER(N1925),ISNUMBER(M1925)),N1925-M1925,"")</f>
        <v/>
      </c>
      <c r="P1925" s="7">
        <f>IF(AND(ISNUMBER(N1925),ISNUMBER(M1925),M1925&gt;0),(N1925-M1925)/M1925,"")</f>
        <v/>
      </c>
      <c r="Q1925" s="3">
        <f>IF(P1925="","",IF(P1925&lt;-0.02,"🔴 Bán phá giá sàn",IF(P1925&gt;0.05,"🔵 Bán cao hơn","🟢 Đúng giá sàn TMĐT")))</f>
        <v/>
      </c>
      <c r="R1925" s="3" t="n"/>
      <c r="S1925" s="4" t="n"/>
      <c r="T1925" s="4" t="n"/>
    </row>
    <row r="1926">
      <c r="A1926" s="3" t="n">
        <v>1925</v>
      </c>
      <c r="B1926" s="3" t="inlineStr">
        <is>
          <t>DL017</t>
        </is>
      </c>
      <c r="C1926" s="4" t="inlineStr">
        <is>
          <t>Điện máy Việt Nhật</t>
        </is>
      </c>
      <c r="D1926" s="3" t="inlineStr">
        <is>
          <t>HN</t>
        </is>
      </c>
      <c r="E1926" s="3" t="inlineStr">
        <is>
          <t>ĐIỆP</t>
        </is>
      </c>
      <c r="F1926" s="3" t="inlineStr">
        <is>
          <t>Shopee, Tiktok, Lazada, Website bán hàng</t>
        </is>
      </c>
      <c r="G1926" s="4" t="inlineStr">
        <is>
          <t>SHOPEE: https://www.shopee.vn/vietnhat3838 TIKTOK: dienmayvietnhat LAZADA: https://www.lazada.vn/shop/viet-nhat- WEBSITE BÁN HÀNG: https://dienmayvietnhat.vn/</t>
        </is>
      </c>
      <c r="H1926" s="3" t="inlineStr">
        <is>
          <t>KBA-I1500</t>
        </is>
      </c>
      <c r="I1926" s="4" t="inlineStr">
        <is>
          <t>Máy rửa xe KBA-I1500</t>
        </is>
      </c>
      <c r="J1926" s="3" t="inlineStr">
        <is>
          <t>Cái</t>
        </is>
      </c>
      <c r="K1926" s="5" t="n">
        <v>2050000</v>
      </c>
      <c r="L1926" s="5" t="n">
        <v>2300000</v>
      </c>
      <c r="M1926" s="6" t="n">
        <v>2670000</v>
      </c>
      <c r="N1926" s="5" t="n"/>
      <c r="O1926" s="5">
        <f>IF(AND(ISNUMBER(N1926),ISNUMBER(M1926)),N1926-M1926,"")</f>
        <v/>
      </c>
      <c r="P1926" s="7">
        <f>IF(AND(ISNUMBER(N1926),ISNUMBER(M1926),M1926&gt;0),(N1926-M1926)/M1926,"")</f>
        <v/>
      </c>
      <c r="Q1926" s="3">
        <f>IF(P1926="","",IF(P1926&lt;-0.02,"🔴 Bán phá giá sàn",IF(P1926&gt;0.05,"🔵 Bán cao hơn","🟢 Đúng giá sàn TMĐT")))</f>
        <v/>
      </c>
      <c r="R1926" s="3" t="n"/>
      <c r="S1926" s="4" t="n"/>
      <c r="T1926" s="4" t="n"/>
    </row>
    <row r="1927">
      <c r="A1927" s="3" t="n">
        <v>1926</v>
      </c>
      <c r="B1927" s="3" t="inlineStr">
        <is>
          <t>DL017</t>
        </is>
      </c>
      <c r="C1927" s="4" t="inlineStr">
        <is>
          <t>Điện máy Việt Nhật</t>
        </is>
      </c>
      <c r="D1927" s="3" t="inlineStr">
        <is>
          <t>HN</t>
        </is>
      </c>
      <c r="E1927" s="3" t="inlineStr">
        <is>
          <t>ĐIỆP</t>
        </is>
      </c>
      <c r="F1927" s="3" t="inlineStr">
        <is>
          <t>Shopee, Tiktok, Lazada, Website bán hàng</t>
        </is>
      </c>
      <c r="G1927" s="4" t="inlineStr">
        <is>
          <t>SHOPEE: https://www.shopee.vn/vietnhat3838 TIKTOK: dienmayvietnhat LAZADA: https://www.lazada.vn/shop/viet-nhat- WEBSITE BÁN HÀNG: https://dienmayvietnhat.vn/</t>
        </is>
      </c>
      <c r="H1927" s="3" t="inlineStr">
        <is>
          <t>KBC-I1800</t>
        </is>
      </c>
      <c r="I1927" s="4" t="inlineStr">
        <is>
          <t>Máy rửa xe KBC-I1800</t>
        </is>
      </c>
      <c r="J1927" s="3" t="inlineStr">
        <is>
          <t>Cái</t>
        </is>
      </c>
      <c r="K1927" s="5" t="n">
        <v>3120000</v>
      </c>
      <c r="L1927" s="5" t="n">
        <v>3490000</v>
      </c>
      <c r="M1927" s="6" t="n">
        <v>4060000</v>
      </c>
      <c r="N1927" s="5" t="n"/>
      <c r="O1927" s="5">
        <f>IF(AND(ISNUMBER(N1927),ISNUMBER(M1927)),N1927-M1927,"")</f>
        <v/>
      </c>
      <c r="P1927" s="7">
        <f>IF(AND(ISNUMBER(N1927),ISNUMBER(M1927),M1927&gt;0),(N1927-M1927)/M1927,"")</f>
        <v/>
      </c>
      <c r="Q1927" s="3">
        <f>IF(P1927="","",IF(P1927&lt;-0.02,"🔴 Bán phá giá sàn",IF(P1927&gt;0.05,"🔵 Bán cao hơn","🟢 Đúng giá sàn TMĐT")))</f>
        <v/>
      </c>
      <c r="R1927" s="3" t="n"/>
      <c r="S1927" s="4" t="n"/>
      <c r="T1927" s="4" t="n"/>
    </row>
    <row r="1928">
      <c r="A1928" s="3" t="n">
        <v>1927</v>
      </c>
      <c r="B1928" s="3" t="inlineStr">
        <is>
          <t>DL017</t>
        </is>
      </c>
      <c r="C1928" s="4" t="inlineStr">
        <is>
          <t>Điện máy Việt Nhật</t>
        </is>
      </c>
      <c r="D1928" s="3" t="inlineStr">
        <is>
          <t>HN</t>
        </is>
      </c>
      <c r="E1928" s="3" t="inlineStr">
        <is>
          <t>ĐIỆP</t>
        </is>
      </c>
      <c r="F1928" s="3" t="inlineStr">
        <is>
          <t>Shopee, Tiktok, Lazada, Website bán hàng</t>
        </is>
      </c>
      <c r="G1928" s="4" t="inlineStr">
        <is>
          <t>SHOPEE: https://www.shopee.vn/vietnhat3838 TIKTOK: dienmayvietnhat LAZADA: https://www.lazada.vn/shop/viet-nhat- WEBSITE BÁN HÀNG: https://dienmayvietnhat.vn/</t>
        </is>
      </c>
      <c r="H1928" s="3" t="inlineStr">
        <is>
          <t>KM18-HR1</t>
        </is>
      </c>
      <c r="I1928" s="4" t="inlineStr">
        <is>
          <t>Máy rung ốp lát gạch KM18-HR1</t>
        </is>
      </c>
      <c r="J1928" s="3" t="inlineStr">
        <is>
          <t>Cái</t>
        </is>
      </c>
      <c r="K1928" s="5" t="n">
        <v>269000</v>
      </c>
      <c r="L1928" s="5" t="n">
        <v>317000</v>
      </c>
      <c r="M1928" s="6" t="n">
        <v>390000</v>
      </c>
      <c r="N1928" s="5" t="n"/>
      <c r="O1928" s="5">
        <f>IF(AND(ISNUMBER(N1928),ISNUMBER(M1928)),N1928-M1928,"")</f>
        <v/>
      </c>
      <c r="P1928" s="7">
        <f>IF(AND(ISNUMBER(N1928),ISNUMBER(M1928),M1928&gt;0),(N1928-M1928)/M1928,"")</f>
        <v/>
      </c>
      <c r="Q1928" s="3">
        <f>IF(P1928="","",IF(P1928&lt;-0.02,"🔴 Bán phá giá sàn",IF(P1928&gt;0.05,"🔵 Bán cao hơn","🟢 Đúng giá sàn TMĐT")))</f>
        <v/>
      </c>
      <c r="R1928" s="3" t="n"/>
      <c r="S1928" s="4" t="n"/>
      <c r="T1928" s="4" t="n"/>
    </row>
    <row r="1929">
      <c r="A1929" s="3" t="n">
        <v>1928</v>
      </c>
      <c r="B1929" s="3" t="inlineStr">
        <is>
          <t>DL017</t>
        </is>
      </c>
      <c r="C1929" s="4" t="inlineStr">
        <is>
          <t>Điện máy Việt Nhật</t>
        </is>
      </c>
      <c r="D1929" s="3" t="inlineStr">
        <is>
          <t>HN</t>
        </is>
      </c>
      <c r="E1929" s="3" t="inlineStr">
        <is>
          <t>ĐIỆP</t>
        </is>
      </c>
      <c r="F1929" s="3" t="inlineStr">
        <is>
          <t>Shopee, Tiktok, Lazada, Website bán hàng</t>
        </is>
      </c>
      <c r="G1929" s="4" t="inlineStr">
        <is>
          <t>SHOPEE: https://www.shopee.vn/vietnhat3838 TIKTOK: dienmayvietnhat LAZADA: https://www.lazada.vn/shop/viet-nhat- WEBSITE BÁN HÀNG: https://dienmayvietnhat.vn/</t>
        </is>
      </c>
      <c r="H1929" s="3" t="inlineStr">
        <is>
          <t>KM18SF</t>
        </is>
      </c>
      <c r="I1929" s="4" t="inlineStr">
        <is>
          <t>Máy Siết Bulon 18V KM18SF</t>
        </is>
      </c>
      <c r="J1929" s="3" t="inlineStr">
        <is>
          <t>Cái</t>
        </is>
      </c>
      <c r="K1929" s="5" t="n">
        <v>2620000</v>
      </c>
      <c r="L1929" s="5" t="n">
        <v>2880000</v>
      </c>
      <c r="M1929" s="6" t="n">
        <v>3270000</v>
      </c>
      <c r="N1929" s="5" t="n"/>
      <c r="O1929" s="5">
        <f>IF(AND(ISNUMBER(N1929),ISNUMBER(M1929)),N1929-M1929,"")</f>
        <v/>
      </c>
      <c r="P1929" s="7">
        <f>IF(AND(ISNUMBER(N1929),ISNUMBER(M1929),M1929&gt;0),(N1929-M1929)/M1929,"")</f>
        <v/>
      </c>
      <c r="Q1929" s="3">
        <f>IF(P1929="","",IF(P1929&lt;-0.02,"🔴 Bán phá giá sàn",IF(P1929&gt;0.05,"🔵 Bán cao hơn","🟢 Đúng giá sàn TMĐT")))</f>
        <v/>
      </c>
      <c r="R1929" s="3" t="n"/>
      <c r="S1929" s="4" t="n"/>
      <c r="T1929" s="4" t="n"/>
    </row>
    <row r="1930">
      <c r="A1930" s="3" t="n">
        <v>1929</v>
      </c>
      <c r="B1930" s="3" t="inlineStr">
        <is>
          <t>DL017</t>
        </is>
      </c>
      <c r="C1930" s="4" t="inlineStr">
        <is>
          <t>Điện máy Việt Nhật</t>
        </is>
      </c>
      <c r="D1930" s="3" t="inlineStr">
        <is>
          <t>HN</t>
        </is>
      </c>
      <c r="E1930" s="3" t="inlineStr">
        <is>
          <t>ĐIỆP</t>
        </is>
      </c>
      <c r="F1930" s="3" t="inlineStr">
        <is>
          <t>Shopee, Tiktok, Lazada, Website bán hàng</t>
        </is>
      </c>
      <c r="G1930" s="4" t="inlineStr">
        <is>
          <t>SHOPEE: https://www.shopee.vn/vietnhat3838 TIKTOK: dienmayvietnhat LAZADA: https://www.lazada.vn/shop/viet-nhat- WEBSITE BÁN HÀNG: https://dienmayvietnhat.vn/</t>
        </is>
      </c>
      <c r="H1930" s="3" t="inlineStr">
        <is>
          <t>KD1-250</t>
        </is>
      </c>
      <c r="I1930" s="4" t="inlineStr">
        <is>
          <t>Mỏ lết KD1-250</t>
        </is>
      </c>
      <c r="J1930" s="3" t="inlineStr">
        <is>
          <t>Cái</t>
        </is>
      </c>
      <c r="K1930" s="5" t="n">
        <v>121000</v>
      </c>
      <c r="L1930" s="5" t="n">
        <v>143000</v>
      </c>
      <c r="M1930" s="6" t="n">
        <v>176000</v>
      </c>
      <c r="N1930" s="5" t="n"/>
      <c r="O1930" s="5">
        <f>IF(AND(ISNUMBER(N1930),ISNUMBER(M1930)),N1930-M1930,"")</f>
        <v/>
      </c>
      <c r="P1930" s="7">
        <f>IF(AND(ISNUMBER(N1930),ISNUMBER(M1930),M1930&gt;0),(N1930-M1930)/M1930,"")</f>
        <v/>
      </c>
      <c r="Q1930" s="3">
        <f>IF(P1930="","",IF(P1930&lt;-0.02,"🔴 Bán phá giá sàn",IF(P1930&gt;0.05,"🔵 Bán cao hơn","🟢 Đúng giá sàn TMĐT")))</f>
        <v/>
      </c>
      <c r="R1930" s="3" t="n"/>
      <c r="S1930" s="4" t="n"/>
      <c r="T1930" s="4" t="n"/>
    </row>
    <row r="1931">
      <c r="A1931" s="3" t="n">
        <v>1930</v>
      </c>
      <c r="B1931" s="3" t="inlineStr">
        <is>
          <t>DL017</t>
        </is>
      </c>
      <c r="C1931" s="4" t="inlineStr">
        <is>
          <t>Điện máy Việt Nhật</t>
        </is>
      </c>
      <c r="D1931" s="3" t="inlineStr">
        <is>
          <t>HN</t>
        </is>
      </c>
      <c r="E1931" s="3" t="inlineStr">
        <is>
          <t>ĐIỆP</t>
        </is>
      </c>
      <c r="F1931" s="3" t="inlineStr">
        <is>
          <t>Shopee, Tiktok, Lazada, Website bán hàng</t>
        </is>
      </c>
      <c r="G1931" s="4" t="inlineStr">
        <is>
          <t>SHOPEE: https://www.shopee.vn/vietnhat3838 TIKTOK: dienmayvietnhat LAZADA: https://www.lazada.vn/shop/viet-nhat- WEBSITE BÁN HÀNG: https://dienmayvietnhat.vn/</t>
        </is>
      </c>
      <c r="H1931" s="3" t="inlineStr">
        <is>
          <t>KD1-300</t>
        </is>
      </c>
      <c r="I1931" s="4" t="inlineStr">
        <is>
          <t>Mỏ lết KD1-300</t>
        </is>
      </c>
      <c r="J1931" s="3" t="inlineStr">
        <is>
          <t>Cái</t>
        </is>
      </c>
      <c r="K1931" s="5" t="n">
        <v>165000</v>
      </c>
      <c r="L1931" s="5" t="n">
        <v>195000</v>
      </c>
      <c r="M1931" s="6" t="n">
        <v>239000</v>
      </c>
      <c r="N1931" s="5" t="n"/>
      <c r="O1931" s="5">
        <f>IF(AND(ISNUMBER(N1931),ISNUMBER(M1931)),N1931-M1931,"")</f>
        <v/>
      </c>
      <c r="P1931" s="7">
        <f>IF(AND(ISNUMBER(N1931),ISNUMBER(M1931),M1931&gt;0),(N1931-M1931)/M1931,"")</f>
        <v/>
      </c>
      <c r="Q1931" s="3">
        <f>IF(P1931="","",IF(P1931&lt;-0.02,"🔴 Bán phá giá sàn",IF(P1931&gt;0.05,"🔵 Bán cao hơn","🟢 Đúng giá sàn TMĐT")))</f>
        <v/>
      </c>
      <c r="R1931" s="3" t="n"/>
      <c r="S1931" s="4" t="n"/>
      <c r="T1931" s="4" t="n"/>
    </row>
    <row r="1932">
      <c r="A1932" s="3" t="n">
        <v>1931</v>
      </c>
      <c r="B1932" s="3" t="inlineStr">
        <is>
          <t>DL017</t>
        </is>
      </c>
      <c r="C1932" s="4" t="inlineStr">
        <is>
          <t>Điện máy Việt Nhật</t>
        </is>
      </c>
      <c r="D1932" s="3" t="inlineStr">
        <is>
          <t>HN</t>
        </is>
      </c>
      <c r="E1932" s="3" t="inlineStr">
        <is>
          <t>ĐIỆP</t>
        </is>
      </c>
      <c r="F1932" s="3" t="inlineStr">
        <is>
          <t>Shopee, Tiktok, Lazada, Website bán hàng</t>
        </is>
      </c>
      <c r="G1932" s="4" t="inlineStr">
        <is>
          <t>SHOPEE: https://www.shopee.vn/vietnhat3838 TIKTOK: dienmayvietnhat LAZADA: https://www.lazada.vn/shop/viet-nhat- WEBSITE BÁN HÀNG: https://dienmayvietnhat.vn/</t>
        </is>
      </c>
      <c r="H1932" s="3" t="inlineStr">
        <is>
          <t>KW-600</t>
        </is>
      </c>
      <c r="I1932" s="4" t="inlineStr">
        <is>
          <t>Mỏ lết răng KW-600</t>
        </is>
      </c>
      <c r="J1932" s="3" t="inlineStr">
        <is>
          <t>Cái</t>
        </is>
      </c>
      <c r="K1932" s="5" t="n">
        <v>352000</v>
      </c>
      <c r="L1932" s="5" t="n">
        <v>415000</v>
      </c>
      <c r="M1932" s="6" t="n">
        <v>510000</v>
      </c>
      <c r="N1932" s="5" t="n"/>
      <c r="O1932" s="5">
        <f>IF(AND(ISNUMBER(N1932),ISNUMBER(M1932)),N1932-M1932,"")</f>
        <v/>
      </c>
      <c r="P1932" s="7">
        <f>IF(AND(ISNUMBER(N1932),ISNUMBER(M1932),M1932&gt;0),(N1932-M1932)/M1932,"")</f>
        <v/>
      </c>
      <c r="Q1932" s="3">
        <f>IF(P1932="","",IF(P1932&lt;-0.02,"🔴 Bán phá giá sàn",IF(P1932&gt;0.05,"🔵 Bán cao hơn","🟢 Đúng giá sàn TMĐT")))</f>
        <v/>
      </c>
      <c r="R1932" s="3" t="n"/>
      <c r="S1932" s="4" t="n"/>
      <c r="T1932" s="4" t="n"/>
    </row>
    <row r="1933">
      <c r="A1933" s="3" t="n">
        <v>1932</v>
      </c>
      <c r="B1933" s="3" t="inlineStr">
        <is>
          <t>DL017</t>
        </is>
      </c>
      <c r="C1933" s="4" t="inlineStr">
        <is>
          <t>Điện máy Việt Nhật</t>
        </is>
      </c>
      <c r="D1933" s="3" t="inlineStr">
        <is>
          <t>HN</t>
        </is>
      </c>
      <c r="E1933" s="3" t="inlineStr">
        <is>
          <t>ĐIỆP</t>
        </is>
      </c>
      <c r="F1933" s="3" t="inlineStr">
        <is>
          <t>Shopee, Tiktok, Lazada, Website bán hàng</t>
        </is>
      </c>
      <c r="G1933" s="4" t="inlineStr">
        <is>
          <t>SHOPEE: https://www.shopee.vn/vietnhat3838 TIKTOK: dienmayvietnhat LAZADA: https://www.lazada.vn/shop/viet-nhat- WEBSITE BÁN HÀNG: https://dienmayvietnhat.vn/</t>
        </is>
      </c>
      <c r="H1933" s="3" t="inlineStr">
        <is>
          <t>V100R</t>
        </is>
      </c>
      <c r="I1933" s="4" t="inlineStr">
        <is>
          <t>Mũi bắn vít chống trượt KingBlue V100R</t>
        </is>
      </c>
      <c r="J1933" s="3" t="inlineStr">
        <is>
          <t>Vỉ</t>
        </is>
      </c>
      <c r="K1933" s="5" t="n">
        <v>29000</v>
      </c>
      <c r="L1933" s="5" t="n">
        <v>37000</v>
      </c>
      <c r="M1933" s="6" t="n">
        <v>48000</v>
      </c>
      <c r="N1933" s="5" t="n"/>
      <c r="O1933" s="5">
        <f>IF(AND(ISNUMBER(N1933),ISNUMBER(M1933)),N1933-M1933,"")</f>
        <v/>
      </c>
      <c r="P1933" s="7">
        <f>IF(AND(ISNUMBER(N1933),ISNUMBER(M1933),M1933&gt;0),(N1933-M1933)/M1933,"")</f>
        <v/>
      </c>
      <c r="Q1933" s="3">
        <f>IF(P1933="","",IF(P1933&lt;-0.02,"🔴 Bán phá giá sàn",IF(P1933&gt;0.05,"🔵 Bán cao hơn","🟢 Đúng giá sàn TMĐT")))</f>
        <v/>
      </c>
      <c r="R1933" s="3" t="n"/>
      <c r="S1933" s="4" t="n"/>
      <c r="T1933" s="4" t="n"/>
    </row>
    <row r="1934">
      <c r="A1934" s="3" t="n">
        <v>1933</v>
      </c>
      <c r="B1934" s="3" t="inlineStr">
        <is>
          <t>DL017</t>
        </is>
      </c>
      <c r="C1934" s="4" t="inlineStr">
        <is>
          <t>Điện máy Việt Nhật</t>
        </is>
      </c>
      <c r="D1934" s="3" t="inlineStr">
        <is>
          <t>HN</t>
        </is>
      </c>
      <c r="E1934" s="3" t="inlineStr">
        <is>
          <t>ĐIỆP</t>
        </is>
      </c>
      <c r="F1934" s="3" t="inlineStr">
        <is>
          <t>Shopee, Tiktok, Lazada, Website bán hàng</t>
        </is>
      </c>
      <c r="G1934" s="4" t="inlineStr">
        <is>
          <t>SHOPEE: https://www.shopee.vn/vietnhat3838 TIKTOK: dienmayvietnhat LAZADA: https://www.lazada.vn/shop/viet-nhat- WEBSITE BÁN HÀNG: https://dienmayvietnhat.vn/</t>
        </is>
      </c>
      <c r="H1934" s="3" t="inlineStr">
        <is>
          <t>V150R</t>
        </is>
      </c>
      <c r="I1934" s="4" t="inlineStr">
        <is>
          <t>Mũi bắn vít chống trượt KingBlue V150R</t>
        </is>
      </c>
      <c r="J1934" s="3" t="inlineStr">
        <is>
          <t>Vỉ</t>
        </is>
      </c>
      <c r="K1934" s="5" t="n">
        <v>40000</v>
      </c>
      <c r="L1934" s="5" t="n">
        <v>50000</v>
      </c>
      <c r="M1934" s="6" t="n">
        <v>66000</v>
      </c>
      <c r="N1934" s="5" t="n"/>
      <c r="O1934" s="5">
        <f>IF(AND(ISNUMBER(N1934),ISNUMBER(M1934)),N1934-M1934,"")</f>
        <v/>
      </c>
      <c r="P1934" s="7">
        <f>IF(AND(ISNUMBER(N1934),ISNUMBER(M1934),M1934&gt;0),(N1934-M1934)/M1934,"")</f>
        <v/>
      </c>
      <c r="Q1934" s="3">
        <f>IF(P1934="","",IF(P1934&lt;-0.02,"🔴 Bán phá giá sàn",IF(P1934&gt;0.05,"🔵 Bán cao hơn","🟢 Đúng giá sàn TMĐT")))</f>
        <v/>
      </c>
      <c r="R1934" s="3" t="n"/>
      <c r="S1934" s="4" t="n"/>
      <c r="T1934" s="4" t="n"/>
    </row>
    <row r="1935">
      <c r="A1935" s="3" t="n">
        <v>1934</v>
      </c>
      <c r="B1935" s="3" t="inlineStr">
        <is>
          <t>DL017</t>
        </is>
      </c>
      <c r="C1935" s="4" t="inlineStr">
        <is>
          <t>Điện máy Việt Nhật</t>
        </is>
      </c>
      <c r="D1935" s="3" t="inlineStr">
        <is>
          <t>HN</t>
        </is>
      </c>
      <c r="E1935" s="3" t="inlineStr">
        <is>
          <t>ĐIỆP</t>
        </is>
      </c>
      <c r="F1935" s="3" t="inlineStr">
        <is>
          <t>Shopee, Tiktok, Lazada, Website bán hàng</t>
        </is>
      </c>
      <c r="G1935" s="4" t="inlineStr">
        <is>
          <t>SHOPEE: https://www.shopee.vn/vietnhat3838 TIKTOK: dienmayvietnhat LAZADA: https://www.lazada.vn/shop/viet-nhat- WEBSITE BÁN HÀNG: https://dienmayvietnhat.vn/</t>
        </is>
      </c>
      <c r="H1935" s="3" t="inlineStr">
        <is>
          <t>V65R</t>
        </is>
      </c>
      <c r="I1935" s="4" t="inlineStr">
        <is>
          <t>Mũi bắn vít chống trượt KingBlue V65R</t>
        </is>
      </c>
      <c r="J1935" s="3" t="inlineStr">
        <is>
          <t>Vỉ</t>
        </is>
      </c>
      <c r="K1935" s="5" t="n">
        <v>20000</v>
      </c>
      <c r="L1935" s="5" t="n">
        <v>25000</v>
      </c>
      <c r="M1935" s="6" t="n">
        <v>33000</v>
      </c>
      <c r="N1935" s="5" t="n"/>
      <c r="O1935" s="5">
        <f>IF(AND(ISNUMBER(N1935),ISNUMBER(M1935)),N1935-M1935,"")</f>
        <v/>
      </c>
      <c r="P1935" s="7">
        <f>IF(AND(ISNUMBER(N1935),ISNUMBER(M1935),M1935&gt;0),(N1935-M1935)/M1935,"")</f>
        <v/>
      </c>
      <c r="Q1935" s="3">
        <f>IF(P1935="","",IF(P1935&lt;-0.02,"🔴 Bán phá giá sàn",IF(P1935&gt;0.05,"🔵 Bán cao hơn","🟢 Đúng giá sàn TMĐT")))</f>
        <v/>
      </c>
      <c r="R1935" s="3" t="n"/>
      <c r="S1935" s="4" t="n"/>
      <c r="T1935" s="4" t="n"/>
    </row>
    <row r="1936">
      <c r="A1936" s="3" t="n">
        <v>1935</v>
      </c>
      <c r="B1936" s="3" t="inlineStr">
        <is>
          <t>DL017</t>
        </is>
      </c>
      <c r="C1936" s="4" t="inlineStr">
        <is>
          <t>Điện máy Việt Nhật</t>
        </is>
      </c>
      <c r="D1936" s="3" t="inlineStr">
        <is>
          <t>HN</t>
        </is>
      </c>
      <c r="E1936" s="3" t="inlineStr">
        <is>
          <t>ĐIỆP</t>
        </is>
      </c>
      <c r="F1936" s="3" t="inlineStr">
        <is>
          <t>Shopee, Tiktok, Lazada, Website bán hàng</t>
        </is>
      </c>
      <c r="G1936" s="4" t="inlineStr">
        <is>
          <t>SHOPEE: https://www.shopee.vn/vietnhat3838 TIKTOK: dienmayvietnhat LAZADA: https://www.lazada.vn/shop/viet-nhat- WEBSITE BÁN HÀNG: https://dienmayvietnhat.vn/</t>
        </is>
      </c>
      <c r="H1936" s="3" t="inlineStr">
        <is>
          <t>V50S</t>
        </is>
      </c>
      <c r="I1936" s="4" t="inlineStr">
        <is>
          <t>Mũi bắn vít PH2 V50S</t>
        </is>
      </c>
      <c r="J1936" s="3" t="inlineStr">
        <is>
          <t>Vỉ</t>
        </is>
      </c>
      <c r="K1936" s="5" t="n">
        <v>28000</v>
      </c>
      <c r="L1936" s="5" t="n">
        <v>36000</v>
      </c>
      <c r="M1936" s="6" t="n">
        <v>48000</v>
      </c>
      <c r="N1936" s="5" t="n"/>
      <c r="O1936" s="5">
        <f>IF(AND(ISNUMBER(N1936),ISNUMBER(M1936)),N1936-M1936,"")</f>
        <v/>
      </c>
      <c r="P1936" s="7">
        <f>IF(AND(ISNUMBER(N1936),ISNUMBER(M1936),M1936&gt;0),(N1936-M1936)/M1936,"")</f>
        <v/>
      </c>
      <c r="Q1936" s="3">
        <f>IF(P1936="","",IF(P1936&lt;-0.02,"🔴 Bán phá giá sàn",IF(P1936&gt;0.05,"🔵 Bán cao hơn","🟢 Đúng giá sàn TMĐT")))</f>
        <v/>
      </c>
      <c r="R1936" s="3" t="n"/>
      <c r="S1936" s="4" t="n"/>
      <c r="T1936" s="4" t="n"/>
    </row>
    <row r="1937">
      <c r="A1937" s="3" t="n">
        <v>1936</v>
      </c>
      <c r="B1937" s="3" t="inlineStr">
        <is>
          <t>DL017</t>
        </is>
      </c>
      <c r="C1937" s="4" t="inlineStr">
        <is>
          <t>Điện máy Việt Nhật</t>
        </is>
      </c>
      <c r="D1937" s="3" t="inlineStr">
        <is>
          <t>HN</t>
        </is>
      </c>
      <c r="E1937" s="3" t="inlineStr">
        <is>
          <t>ĐIỆP</t>
        </is>
      </c>
      <c r="F1937" s="3" t="inlineStr">
        <is>
          <t>Shopee, Tiktok, Lazada, Website bán hàng</t>
        </is>
      </c>
      <c r="G1937" s="4" t="inlineStr">
        <is>
          <t>SHOPEE: https://www.shopee.vn/vietnhat3838 TIKTOK: dienmayvietnhat LAZADA: https://www.lazada.vn/shop/viet-nhat- WEBSITE BÁN HÀNG: https://dienmayvietnhat.vn/</t>
        </is>
      </c>
      <c r="H1937" s="3" t="inlineStr"/>
      <c r="I1937" s="4" t="inlineStr">
        <is>
          <t>Mũi định tâm chuôi ngắn kẹp</t>
        </is>
      </c>
      <c r="J1937" s="3" t="inlineStr">
        <is>
          <t>Cái</t>
        </is>
      </c>
      <c r="K1937" s="5" t="n">
        <v>269000</v>
      </c>
      <c r="L1937" s="5" t="n">
        <v>317000</v>
      </c>
      <c r="M1937" s="6" t="n">
        <v>390000</v>
      </c>
      <c r="N1937" s="5" t="n"/>
      <c r="O1937" s="5">
        <f>IF(AND(ISNUMBER(N1937),ISNUMBER(M1937)),N1937-M1937,"")</f>
        <v/>
      </c>
      <c r="P1937" s="7">
        <f>IF(AND(ISNUMBER(N1937),ISNUMBER(M1937),M1937&gt;0),(N1937-M1937)/M1937,"")</f>
        <v/>
      </c>
      <c r="Q1937" s="3">
        <f>IF(P1937="","",IF(P1937&lt;-0.02,"🔴 Bán phá giá sàn",IF(P1937&gt;0.05,"🔵 Bán cao hơn","🟢 Đúng giá sàn TMĐT")))</f>
        <v/>
      </c>
      <c r="R1937" s="3" t="n"/>
      <c r="S1937" s="4" t="n"/>
      <c r="T1937" s="4" t="n"/>
    </row>
    <row r="1938">
      <c r="A1938" s="3" t="n">
        <v>1937</v>
      </c>
      <c r="B1938" s="3" t="inlineStr">
        <is>
          <t>DL017</t>
        </is>
      </c>
      <c r="C1938" s="4" t="inlineStr">
        <is>
          <t>Điện máy Việt Nhật</t>
        </is>
      </c>
      <c r="D1938" s="3" t="inlineStr">
        <is>
          <t>HN</t>
        </is>
      </c>
      <c r="E1938" s="3" t="inlineStr">
        <is>
          <t>ĐIỆP</t>
        </is>
      </c>
      <c r="F1938" s="3" t="inlineStr">
        <is>
          <t>Shopee, Tiktok, Lazada, Website bán hàng</t>
        </is>
      </c>
      <c r="G1938" s="4" t="inlineStr">
        <is>
          <t>SHOPEE: https://www.shopee.vn/vietnhat3838 TIKTOK: dienmayvietnhat LAZADA: https://www.lazada.vn/shop/viet-nhat- WEBSITE BÁN HÀNG: https://dienmayvietnhat.vn/</t>
        </is>
      </c>
      <c r="H1938" s="3" t="inlineStr"/>
      <c r="I1938" s="4" t="inlineStr">
        <is>
          <t>Mũi đục bê tông KBVd-14*250*22</t>
        </is>
      </c>
      <c r="J1938" s="3" t="inlineStr">
        <is>
          <t>Cái</t>
        </is>
      </c>
      <c r="K1938" s="5" t="n">
        <v>269000</v>
      </c>
      <c r="L1938" s="5" t="n">
        <v>317000</v>
      </c>
      <c r="M1938" s="6" t="n">
        <v>390000</v>
      </c>
      <c r="N1938" s="5" t="n"/>
      <c r="O1938" s="5">
        <f>IF(AND(ISNUMBER(N1938),ISNUMBER(M1938)),N1938-M1938,"")</f>
        <v/>
      </c>
      <c r="P1938" s="7">
        <f>IF(AND(ISNUMBER(N1938),ISNUMBER(M1938),M1938&gt;0),(N1938-M1938)/M1938,"")</f>
        <v/>
      </c>
      <c r="Q1938" s="3">
        <f>IF(P1938="","",IF(P1938&lt;-0.02,"🔴 Bán phá giá sàn",IF(P1938&gt;0.05,"🔵 Bán cao hơn","🟢 Đúng giá sàn TMĐT")))</f>
        <v/>
      </c>
      <c r="R1938" s="3" t="n"/>
      <c r="S1938" s="4" t="n"/>
      <c r="T1938" s="4" t="n"/>
    </row>
    <row r="1939">
      <c r="A1939" s="3" t="n">
        <v>1938</v>
      </c>
      <c r="B1939" s="3" t="inlineStr">
        <is>
          <t>DL017</t>
        </is>
      </c>
      <c r="C1939" s="4" t="inlineStr">
        <is>
          <t>Điện máy Việt Nhật</t>
        </is>
      </c>
      <c r="D1939" s="3" t="inlineStr">
        <is>
          <t>HN</t>
        </is>
      </c>
      <c r="E1939" s="3" t="inlineStr">
        <is>
          <t>ĐIỆP</t>
        </is>
      </c>
      <c r="F1939" s="3" t="inlineStr">
        <is>
          <t>Shopee, Tiktok, Lazada, Website bán hàng</t>
        </is>
      </c>
      <c r="G1939" s="4" t="inlineStr">
        <is>
          <t>SHOPEE: https://www.shopee.vn/vietnhat3838 TIKTOK: dienmayvietnhat LAZADA: https://www.lazada.vn/shop/viet-nhat- WEBSITE BÁN HÀNG: https://dienmayvietnhat.vn/</t>
        </is>
      </c>
      <c r="H1939" s="3" t="inlineStr"/>
      <c r="I1939" s="4" t="inlineStr">
        <is>
          <t>Mũi đục bê tông KBVd-17*280*25</t>
        </is>
      </c>
      <c r="J1939" s="3" t="inlineStr">
        <is>
          <t>Cái</t>
        </is>
      </c>
      <c r="K1939" s="5" t="n">
        <v>269000</v>
      </c>
      <c r="L1939" s="5" t="n">
        <v>317000</v>
      </c>
      <c r="M1939" s="6" t="n">
        <v>390000</v>
      </c>
      <c r="N1939" s="5" t="n"/>
      <c r="O1939" s="5">
        <f>IF(AND(ISNUMBER(N1939),ISNUMBER(M1939)),N1939-M1939,"")</f>
        <v/>
      </c>
      <c r="P1939" s="7">
        <f>IF(AND(ISNUMBER(N1939),ISNUMBER(M1939),M1939&gt;0),(N1939-M1939)/M1939,"")</f>
        <v/>
      </c>
      <c r="Q1939" s="3">
        <f>IF(P1939="","",IF(P1939&lt;-0.02,"🔴 Bán phá giá sàn",IF(P1939&gt;0.05,"🔵 Bán cao hơn","🟢 Đúng giá sàn TMĐT")))</f>
        <v/>
      </c>
      <c r="R1939" s="3" t="n"/>
      <c r="S1939" s="4" t="n"/>
      <c r="T1939" s="4" t="n"/>
    </row>
    <row r="1940">
      <c r="A1940" s="3" t="n">
        <v>1939</v>
      </c>
      <c r="B1940" s="3" t="inlineStr">
        <is>
          <t>DL017</t>
        </is>
      </c>
      <c r="C1940" s="4" t="inlineStr">
        <is>
          <t>Điện máy Việt Nhật</t>
        </is>
      </c>
      <c r="D1940" s="3" t="inlineStr">
        <is>
          <t>HN</t>
        </is>
      </c>
      <c r="E1940" s="3" t="inlineStr">
        <is>
          <t>ĐIỆP</t>
        </is>
      </c>
      <c r="F1940" s="3" t="inlineStr">
        <is>
          <t>Shopee, Tiktok, Lazada, Website bán hàng</t>
        </is>
      </c>
      <c r="G1940" s="4" t="inlineStr">
        <is>
          <t>SHOPEE: https://www.shopee.vn/vietnhat3838 TIKTOK: dienmayvietnhat LAZADA: https://www.lazada.vn/shop/viet-nhat- WEBSITE BÁN HÀNG: https://dienmayvietnhat.vn/</t>
        </is>
      </c>
      <c r="H1940" s="3" t="inlineStr"/>
      <c r="I1940" s="4" t="inlineStr">
        <is>
          <t>Mũi đục bê tông KBVn-14*250</t>
        </is>
      </c>
      <c r="J1940" s="3" t="inlineStr">
        <is>
          <t>Cái</t>
        </is>
      </c>
      <c r="K1940" s="5" t="n">
        <v>269000</v>
      </c>
      <c r="L1940" s="5" t="n">
        <v>317000</v>
      </c>
      <c r="M1940" s="6" t="n">
        <v>390000</v>
      </c>
      <c r="N1940" s="5" t="n"/>
      <c r="O1940" s="5">
        <f>IF(AND(ISNUMBER(N1940),ISNUMBER(M1940)),N1940-M1940,"")</f>
        <v/>
      </c>
      <c r="P1940" s="7">
        <f>IF(AND(ISNUMBER(N1940),ISNUMBER(M1940),M1940&gt;0),(N1940-M1940)/M1940,"")</f>
        <v/>
      </c>
      <c r="Q1940" s="3">
        <f>IF(P1940="","",IF(P1940&lt;-0.02,"🔴 Bán phá giá sàn",IF(P1940&gt;0.05,"🔵 Bán cao hơn","🟢 Đúng giá sàn TMĐT")))</f>
        <v/>
      </c>
      <c r="R1940" s="3" t="n"/>
      <c r="S1940" s="4" t="n"/>
      <c r="T1940" s="4" t="n"/>
    </row>
    <row r="1941">
      <c r="A1941" s="3" t="n">
        <v>1940</v>
      </c>
      <c r="B1941" s="3" t="inlineStr">
        <is>
          <t>DL017</t>
        </is>
      </c>
      <c r="C1941" s="4" t="inlineStr">
        <is>
          <t>Điện máy Việt Nhật</t>
        </is>
      </c>
      <c r="D1941" s="3" t="inlineStr">
        <is>
          <t>HN</t>
        </is>
      </c>
      <c r="E1941" s="3" t="inlineStr">
        <is>
          <t>ĐIỆP</t>
        </is>
      </c>
      <c r="F1941" s="3" t="inlineStr">
        <is>
          <t>Shopee, Tiktok, Lazada, Website bán hàng</t>
        </is>
      </c>
      <c r="G1941" s="4" t="inlineStr">
        <is>
          <t>SHOPEE: https://www.shopee.vn/vietnhat3838 TIKTOK: dienmayvietnhat LAZADA: https://www.lazada.vn/shop/viet-nhat- WEBSITE BÁN HÀNG: https://dienmayvietnhat.vn/</t>
        </is>
      </c>
      <c r="H1941" s="3" t="inlineStr"/>
      <c r="I1941" s="4" t="inlineStr">
        <is>
          <t>Mũi đục bê tông KBVn-17*280</t>
        </is>
      </c>
      <c r="J1941" s="3" t="inlineStr">
        <is>
          <t>Cái</t>
        </is>
      </c>
      <c r="K1941" s="5" t="n">
        <v>269000</v>
      </c>
      <c r="L1941" s="5" t="n">
        <v>317000</v>
      </c>
      <c r="M1941" s="6" t="n">
        <v>390000</v>
      </c>
      <c r="N1941" s="5" t="n"/>
      <c r="O1941" s="5">
        <f>IF(AND(ISNUMBER(N1941),ISNUMBER(M1941)),N1941-M1941,"")</f>
        <v/>
      </c>
      <c r="P1941" s="7">
        <f>IF(AND(ISNUMBER(N1941),ISNUMBER(M1941),M1941&gt;0),(N1941-M1941)/M1941,"")</f>
        <v/>
      </c>
      <c r="Q1941" s="3">
        <f>IF(P1941="","",IF(P1941&lt;-0.02,"🔴 Bán phá giá sàn",IF(P1941&gt;0.05,"🔵 Bán cao hơn","🟢 Đúng giá sàn TMĐT")))</f>
        <v/>
      </c>
      <c r="R1941" s="3" t="n"/>
      <c r="S1941" s="4" t="n"/>
      <c r="T1941" s="4" t="n"/>
    </row>
    <row r="1942">
      <c r="A1942" s="3" t="n">
        <v>1941</v>
      </c>
      <c r="B1942" s="3" t="inlineStr">
        <is>
          <t>DL017</t>
        </is>
      </c>
      <c r="C1942" s="4" t="inlineStr">
        <is>
          <t>Điện máy Việt Nhật</t>
        </is>
      </c>
      <c r="D1942" s="3" t="inlineStr">
        <is>
          <t>HN</t>
        </is>
      </c>
      <c r="E1942" s="3" t="inlineStr">
        <is>
          <t>ĐIỆP</t>
        </is>
      </c>
      <c r="F1942" s="3" t="inlineStr">
        <is>
          <t>Shopee, Tiktok, Lazada, Website bán hàng</t>
        </is>
      </c>
      <c r="G1942" s="4" t="inlineStr">
        <is>
          <t>SHOPEE: https://www.shopee.vn/vietnhat3838 TIKTOK: dienmayvietnhat LAZADA: https://www.lazada.vn/shop/viet-nhat- WEBSITE BÁN HÀNG: https://dienmayvietnhat.vn/</t>
        </is>
      </c>
      <c r="H1942" s="3" t="inlineStr">
        <is>
          <t>KBL4-06160</t>
        </is>
      </c>
      <c r="I1942" s="4" t="inlineStr">
        <is>
          <t>Mũi khoan bê tông 4 cạnh KBL4-06*160</t>
        </is>
      </c>
      <c r="J1942" s="3" t="inlineStr">
        <is>
          <t>Cái</t>
        </is>
      </c>
      <c r="K1942" s="5" t="n">
        <v>24000</v>
      </c>
      <c r="L1942" s="5" t="n">
        <v>29000</v>
      </c>
      <c r="M1942" s="6" t="n">
        <v>37000</v>
      </c>
      <c r="N1942" s="5" t="n"/>
      <c r="O1942" s="5">
        <f>IF(AND(ISNUMBER(N1942),ISNUMBER(M1942)),N1942-M1942,"")</f>
        <v/>
      </c>
      <c r="P1942" s="7">
        <f>IF(AND(ISNUMBER(N1942),ISNUMBER(M1942),M1942&gt;0),(N1942-M1942)/M1942,"")</f>
        <v/>
      </c>
      <c r="Q1942" s="3">
        <f>IF(P1942="","",IF(P1942&lt;-0.02,"🔴 Bán phá giá sàn",IF(P1942&gt;0.05,"🔵 Bán cao hơn","🟢 Đúng giá sàn TMĐT")))</f>
        <v/>
      </c>
      <c r="R1942" s="3" t="n"/>
      <c r="S1942" s="4" t="n"/>
      <c r="T1942" s="4" t="n"/>
    </row>
    <row r="1943">
      <c r="A1943" s="3" t="n">
        <v>1942</v>
      </c>
      <c r="B1943" s="3" t="inlineStr">
        <is>
          <t>DL017</t>
        </is>
      </c>
      <c r="C1943" s="4" t="inlineStr">
        <is>
          <t>Điện máy Việt Nhật</t>
        </is>
      </c>
      <c r="D1943" s="3" t="inlineStr">
        <is>
          <t>HN</t>
        </is>
      </c>
      <c r="E1943" s="3" t="inlineStr">
        <is>
          <t>ĐIỆP</t>
        </is>
      </c>
      <c r="F1943" s="3" t="inlineStr">
        <is>
          <t>Shopee, Tiktok, Lazada, Website bán hàng</t>
        </is>
      </c>
      <c r="G1943" s="4" t="inlineStr">
        <is>
          <t>SHOPEE: https://www.shopee.vn/vietnhat3838 TIKTOK: dienmayvietnhat LAZADA: https://www.lazada.vn/shop/viet-nhat- WEBSITE BÁN HÀNG: https://dienmayvietnhat.vn/</t>
        </is>
      </c>
      <c r="H1943" s="3" t="inlineStr">
        <is>
          <t>KBL4-08160</t>
        </is>
      </c>
      <c r="I1943" s="4" t="inlineStr">
        <is>
          <t>Mũi khoan bê tông 4 cạnh KBL4-08*160</t>
        </is>
      </c>
      <c r="J1943" s="3" t="inlineStr">
        <is>
          <t>Cái</t>
        </is>
      </c>
      <c r="K1943" s="5" t="n">
        <v>27000</v>
      </c>
      <c r="L1943" s="5" t="n">
        <v>33000</v>
      </c>
      <c r="M1943" s="6" t="n">
        <v>42000</v>
      </c>
      <c r="N1943" s="5" t="n"/>
      <c r="O1943" s="5">
        <f>IF(AND(ISNUMBER(N1943),ISNUMBER(M1943)),N1943-M1943,"")</f>
        <v/>
      </c>
      <c r="P1943" s="7">
        <f>IF(AND(ISNUMBER(N1943),ISNUMBER(M1943),M1943&gt;0),(N1943-M1943)/M1943,"")</f>
        <v/>
      </c>
      <c r="Q1943" s="3">
        <f>IF(P1943="","",IF(P1943&lt;-0.02,"🔴 Bán phá giá sàn",IF(P1943&gt;0.05,"🔵 Bán cao hơn","🟢 Đúng giá sàn TMĐT")))</f>
        <v/>
      </c>
      <c r="R1943" s="3" t="n"/>
      <c r="S1943" s="4" t="n"/>
      <c r="T1943" s="4" t="n"/>
    </row>
    <row r="1944">
      <c r="A1944" s="3" t="n">
        <v>1943</v>
      </c>
      <c r="B1944" s="3" t="inlineStr">
        <is>
          <t>DL017</t>
        </is>
      </c>
      <c r="C1944" s="4" t="inlineStr">
        <is>
          <t>Điện máy Việt Nhật</t>
        </is>
      </c>
      <c r="D1944" s="3" t="inlineStr">
        <is>
          <t>HN</t>
        </is>
      </c>
      <c r="E1944" s="3" t="inlineStr">
        <is>
          <t>ĐIỆP</t>
        </is>
      </c>
      <c r="F1944" s="3" t="inlineStr">
        <is>
          <t>Shopee, Tiktok, Lazada, Website bán hàng</t>
        </is>
      </c>
      <c r="G1944" s="4" t="inlineStr">
        <is>
          <t>SHOPEE: https://www.shopee.vn/vietnhat3838 TIKTOK: dienmayvietnhat LAZADA: https://www.lazada.vn/shop/viet-nhat- WEBSITE BÁN HÀNG: https://dienmayvietnhat.vn/</t>
        </is>
      </c>
      <c r="H1944" s="3" t="inlineStr">
        <is>
          <t>KBL4-10160</t>
        </is>
      </c>
      <c r="I1944" s="4" t="inlineStr">
        <is>
          <t>Mũi khoan bê tông 4 cạnh KBL4-10*160</t>
        </is>
      </c>
      <c r="J1944" s="3" t="inlineStr">
        <is>
          <t>Cái</t>
        </is>
      </c>
      <c r="K1944" s="5" t="n">
        <v>30000</v>
      </c>
      <c r="L1944" s="5" t="n">
        <v>37000</v>
      </c>
      <c r="M1944" s="6" t="n">
        <v>47000</v>
      </c>
      <c r="N1944" s="5" t="n"/>
      <c r="O1944" s="5">
        <f>IF(AND(ISNUMBER(N1944),ISNUMBER(M1944)),N1944-M1944,"")</f>
        <v/>
      </c>
      <c r="P1944" s="7">
        <f>IF(AND(ISNUMBER(N1944),ISNUMBER(M1944),M1944&gt;0),(N1944-M1944)/M1944,"")</f>
        <v/>
      </c>
      <c r="Q1944" s="3">
        <f>IF(P1944="","",IF(P1944&lt;-0.02,"🔴 Bán phá giá sàn",IF(P1944&gt;0.05,"🔵 Bán cao hơn","🟢 Đúng giá sàn TMĐT")))</f>
        <v/>
      </c>
      <c r="R1944" s="3" t="n"/>
      <c r="S1944" s="4" t="n"/>
      <c r="T1944" s="4" t="n"/>
    </row>
    <row r="1945">
      <c r="A1945" s="3" t="n">
        <v>1944</v>
      </c>
      <c r="B1945" s="3" t="inlineStr">
        <is>
          <t>DL017</t>
        </is>
      </c>
      <c r="C1945" s="4" t="inlineStr">
        <is>
          <t>Điện máy Việt Nhật</t>
        </is>
      </c>
      <c r="D1945" s="3" t="inlineStr">
        <is>
          <t>HN</t>
        </is>
      </c>
      <c r="E1945" s="3" t="inlineStr">
        <is>
          <t>ĐIỆP</t>
        </is>
      </c>
      <c r="F1945" s="3" t="inlineStr">
        <is>
          <t>Shopee, Tiktok, Lazada, Website bán hàng</t>
        </is>
      </c>
      <c r="G1945" s="4" t="inlineStr">
        <is>
          <t>SHOPEE: https://www.shopee.vn/vietnhat3838 TIKTOK: dienmayvietnhat LAZADA: https://www.lazada.vn/shop/viet-nhat- WEBSITE BÁN HÀNG: https://dienmayvietnhat.vn/</t>
        </is>
      </c>
      <c r="H1945" s="3" t="inlineStr">
        <is>
          <t>KBL4-12160</t>
        </is>
      </c>
      <c r="I1945" s="4" t="inlineStr">
        <is>
          <t>Mũi khoan bê tông 4 cạnh KBL4-12*160</t>
        </is>
      </c>
      <c r="J1945" s="3" t="inlineStr">
        <is>
          <t>Cái</t>
        </is>
      </c>
      <c r="K1945" s="5" t="n">
        <v>33000</v>
      </c>
      <c r="L1945" s="5" t="n">
        <v>40000</v>
      </c>
      <c r="M1945" s="6" t="n">
        <v>51000</v>
      </c>
      <c r="N1945" s="5" t="n"/>
      <c r="O1945" s="5">
        <f>IF(AND(ISNUMBER(N1945),ISNUMBER(M1945)),N1945-M1945,"")</f>
        <v/>
      </c>
      <c r="P1945" s="7">
        <f>IF(AND(ISNUMBER(N1945),ISNUMBER(M1945),M1945&gt;0),(N1945-M1945)/M1945,"")</f>
        <v/>
      </c>
      <c r="Q1945" s="3">
        <f>IF(P1945="","",IF(P1945&lt;-0.02,"🔴 Bán phá giá sàn",IF(P1945&gt;0.05,"🔵 Bán cao hơn","🟢 Đúng giá sàn TMĐT")))</f>
        <v/>
      </c>
      <c r="R1945" s="3" t="n"/>
      <c r="S1945" s="4" t="n"/>
      <c r="T1945" s="4" t="n"/>
    </row>
    <row r="1946">
      <c r="A1946" s="3" t="n">
        <v>1945</v>
      </c>
      <c r="B1946" s="3" t="inlineStr">
        <is>
          <t>DL017</t>
        </is>
      </c>
      <c r="C1946" s="4" t="inlineStr">
        <is>
          <t>Điện máy Việt Nhật</t>
        </is>
      </c>
      <c r="D1946" s="3" t="inlineStr">
        <is>
          <t>HN</t>
        </is>
      </c>
      <c r="E1946" s="3" t="inlineStr">
        <is>
          <t>ĐIỆP</t>
        </is>
      </c>
      <c r="F1946" s="3" t="inlineStr">
        <is>
          <t>Shopee, Tiktok, Lazada, Website bán hàng</t>
        </is>
      </c>
      <c r="G1946" s="4" t="inlineStr">
        <is>
          <t>SHOPEE: https://www.shopee.vn/vietnhat3838 TIKTOK: dienmayvietnhat LAZADA: https://www.lazada.vn/shop/viet-nhat- WEBSITE BÁN HÀNG: https://dienmayvietnhat.vn/</t>
        </is>
      </c>
      <c r="H1946" s="3" t="inlineStr">
        <is>
          <t>KBL2-10160</t>
        </is>
      </c>
      <c r="I1946" s="4" t="inlineStr">
        <is>
          <t>Mũi khoan bê tông gài 2 cạnh KBL2-10*160</t>
        </is>
      </c>
      <c r="J1946" s="3" t="inlineStr">
        <is>
          <t>Cái</t>
        </is>
      </c>
      <c r="K1946" s="5" t="n">
        <v>25000</v>
      </c>
      <c r="L1946" s="5" t="n">
        <v>31000</v>
      </c>
      <c r="M1946" s="6" t="n">
        <v>39000</v>
      </c>
      <c r="N1946" s="5" t="n"/>
      <c r="O1946" s="5">
        <f>IF(AND(ISNUMBER(N1946),ISNUMBER(M1946)),N1946-M1946,"")</f>
        <v/>
      </c>
      <c r="P1946" s="7">
        <f>IF(AND(ISNUMBER(N1946),ISNUMBER(M1946),M1946&gt;0),(N1946-M1946)/M1946,"")</f>
        <v/>
      </c>
      <c r="Q1946" s="3">
        <f>IF(P1946="","",IF(P1946&lt;-0.02,"🔴 Bán phá giá sàn",IF(P1946&gt;0.05,"🔵 Bán cao hơn","🟢 Đúng giá sàn TMĐT")))</f>
        <v/>
      </c>
      <c r="R1946" s="3" t="n"/>
      <c r="S1946" s="4" t="n"/>
      <c r="T1946" s="4" t="n"/>
    </row>
    <row r="1947">
      <c r="A1947" s="3" t="n">
        <v>1946</v>
      </c>
      <c r="B1947" s="3" t="inlineStr">
        <is>
          <t>DL017</t>
        </is>
      </c>
      <c r="C1947" s="4" t="inlineStr">
        <is>
          <t>Điện máy Việt Nhật</t>
        </is>
      </c>
      <c r="D1947" s="3" t="inlineStr">
        <is>
          <t>HN</t>
        </is>
      </c>
      <c r="E1947" s="3" t="inlineStr">
        <is>
          <t>ĐIỆP</t>
        </is>
      </c>
      <c r="F1947" s="3" t="inlineStr">
        <is>
          <t>Shopee, Tiktok, Lazada, Website bán hàng</t>
        </is>
      </c>
      <c r="G1947" s="4" t="inlineStr">
        <is>
          <t>SHOPEE: https://www.shopee.vn/vietnhat3838 TIKTOK: dienmayvietnhat LAZADA: https://www.lazada.vn/shop/viet-nhat- WEBSITE BÁN HÀNG: https://dienmayvietnhat.vn/</t>
        </is>
      </c>
      <c r="H1947" s="3" t="inlineStr">
        <is>
          <t>KBL2-12160</t>
        </is>
      </c>
      <c r="I1947" s="4" t="inlineStr">
        <is>
          <t>Mũi khoan bê tông gài 2 cạnh KBL2-12*160</t>
        </is>
      </c>
      <c r="J1947" s="3" t="inlineStr">
        <is>
          <t>Cái</t>
        </is>
      </c>
      <c r="K1947" s="5" t="n">
        <v>28000</v>
      </c>
      <c r="L1947" s="5" t="n">
        <v>34000</v>
      </c>
      <c r="M1947" s="6" t="n">
        <v>43000</v>
      </c>
      <c r="N1947" s="5" t="n"/>
      <c r="O1947" s="5">
        <f>IF(AND(ISNUMBER(N1947),ISNUMBER(M1947)),N1947-M1947,"")</f>
        <v/>
      </c>
      <c r="P1947" s="7">
        <f>IF(AND(ISNUMBER(N1947),ISNUMBER(M1947),M1947&gt;0),(N1947-M1947)/M1947,"")</f>
        <v/>
      </c>
      <c r="Q1947" s="3">
        <f>IF(P1947="","",IF(P1947&lt;-0.02,"🔴 Bán phá giá sàn",IF(P1947&gt;0.05,"🔵 Bán cao hơn","🟢 Đúng giá sàn TMĐT")))</f>
        <v/>
      </c>
      <c r="R1947" s="3" t="n"/>
      <c r="S1947" s="4" t="n"/>
      <c r="T1947" s="4" t="n"/>
    </row>
    <row r="1948">
      <c r="A1948" s="3" t="n">
        <v>1947</v>
      </c>
      <c r="B1948" s="3" t="inlineStr">
        <is>
          <t>DL017</t>
        </is>
      </c>
      <c r="C1948" s="4" t="inlineStr">
        <is>
          <t>Điện máy Việt Nhật</t>
        </is>
      </c>
      <c r="D1948" s="3" t="inlineStr">
        <is>
          <t>HN</t>
        </is>
      </c>
      <c r="E1948" s="3" t="inlineStr">
        <is>
          <t>ĐIỆP</t>
        </is>
      </c>
      <c r="F1948" s="3" t="inlineStr">
        <is>
          <t>Shopee, Tiktok, Lazada, Website bán hàng</t>
        </is>
      </c>
      <c r="G1948" s="4" t="inlineStr">
        <is>
          <t>SHOPEE: https://www.shopee.vn/vietnhat3838 TIKTOK: dienmayvietnhat LAZADA: https://www.lazada.vn/shop/viet-nhat- WEBSITE BÁN HÀNG: https://dienmayvietnhat.vn/</t>
        </is>
      </c>
      <c r="H1948" s="3" t="inlineStr">
        <is>
          <t>KBL2-18160</t>
        </is>
      </c>
      <c r="I1948" s="4" t="inlineStr">
        <is>
          <t>Mũi khoan bê tông gài 2 cạnh KBL2-18*160</t>
        </is>
      </c>
      <c r="J1948" s="3" t="inlineStr">
        <is>
          <t>Cái</t>
        </is>
      </c>
      <c r="K1948" s="5" t="n">
        <v>58000</v>
      </c>
      <c r="L1948" s="5" t="n">
        <v>71000</v>
      </c>
      <c r="M1948" s="6" t="n">
        <v>90000</v>
      </c>
      <c r="N1948" s="5" t="n"/>
      <c r="O1948" s="5">
        <f>IF(AND(ISNUMBER(N1948),ISNUMBER(M1948)),N1948-M1948,"")</f>
        <v/>
      </c>
      <c r="P1948" s="7">
        <f>IF(AND(ISNUMBER(N1948),ISNUMBER(M1948),M1948&gt;0),(N1948-M1948)/M1948,"")</f>
        <v/>
      </c>
      <c r="Q1948" s="3">
        <f>IF(P1948="","",IF(P1948&lt;-0.02,"🔴 Bán phá giá sàn",IF(P1948&gt;0.05,"🔵 Bán cao hơn","🟢 Đúng giá sàn TMĐT")))</f>
        <v/>
      </c>
      <c r="R1948" s="3" t="n"/>
      <c r="S1948" s="4" t="n"/>
      <c r="T1948" s="4" t="n"/>
    </row>
    <row r="1949">
      <c r="A1949" s="3" t="n">
        <v>1948</v>
      </c>
      <c r="B1949" s="3" t="inlineStr">
        <is>
          <t>DL017</t>
        </is>
      </c>
      <c r="C1949" s="4" t="inlineStr">
        <is>
          <t>Điện máy Việt Nhật</t>
        </is>
      </c>
      <c r="D1949" s="3" t="inlineStr">
        <is>
          <t>HN</t>
        </is>
      </c>
      <c r="E1949" s="3" t="inlineStr">
        <is>
          <t>ĐIỆP</t>
        </is>
      </c>
      <c r="F1949" s="3" t="inlineStr">
        <is>
          <t>Shopee, Tiktok, Lazada, Website bán hàng</t>
        </is>
      </c>
      <c r="G1949" s="4" t="inlineStr">
        <is>
          <t>SHOPEE: https://www.shopee.vn/vietnhat3838 TIKTOK: dienmayvietnhat LAZADA: https://www.lazada.vn/shop/viet-nhat- WEBSITE BÁN HÀNG: https://dienmayvietnhat.vn/</t>
        </is>
      </c>
      <c r="H1949" s="3" t="inlineStr">
        <is>
          <t>KBL2-18260</t>
        </is>
      </c>
      <c r="I1949" s="4" t="inlineStr">
        <is>
          <t>Mũi khoan bê tông gài 2 cạnh KBL2-18*260</t>
        </is>
      </c>
      <c r="J1949" s="3" t="inlineStr">
        <is>
          <t>Cái</t>
        </is>
      </c>
      <c r="K1949" s="5" t="n">
        <v>73000</v>
      </c>
      <c r="L1949" s="5" t="n">
        <v>89000</v>
      </c>
      <c r="M1949" s="6" t="n">
        <v>113000</v>
      </c>
      <c r="N1949" s="5" t="n"/>
      <c r="O1949" s="5">
        <f>IF(AND(ISNUMBER(N1949),ISNUMBER(M1949)),N1949-M1949,"")</f>
        <v/>
      </c>
      <c r="P1949" s="7">
        <f>IF(AND(ISNUMBER(N1949),ISNUMBER(M1949),M1949&gt;0),(N1949-M1949)/M1949,"")</f>
        <v/>
      </c>
      <c r="Q1949" s="3">
        <f>IF(P1949="","",IF(P1949&lt;-0.02,"🔴 Bán phá giá sàn",IF(P1949&gt;0.05,"🔵 Bán cao hơn","🟢 Đúng giá sàn TMĐT")))</f>
        <v/>
      </c>
      <c r="R1949" s="3" t="n"/>
      <c r="S1949" s="4" t="n"/>
      <c r="T1949" s="4" t="n"/>
    </row>
    <row r="1950">
      <c r="A1950" s="3" t="n">
        <v>1949</v>
      </c>
      <c r="B1950" s="3" t="inlineStr">
        <is>
          <t>DL017</t>
        </is>
      </c>
      <c r="C1950" s="4" t="inlineStr">
        <is>
          <t>Điện máy Việt Nhật</t>
        </is>
      </c>
      <c r="D1950" s="3" t="inlineStr">
        <is>
          <t>HN</t>
        </is>
      </c>
      <c r="E1950" s="3" t="inlineStr">
        <is>
          <t>ĐIỆP</t>
        </is>
      </c>
      <c r="F1950" s="3" t="inlineStr">
        <is>
          <t>Shopee, Tiktok, Lazada, Website bán hàng</t>
        </is>
      </c>
      <c r="G1950" s="4" t="inlineStr">
        <is>
          <t>SHOPEE: https://www.shopee.vn/vietnhat3838 TIKTOK: dienmayvietnhat LAZADA: https://www.lazada.vn/shop/viet-nhat- WEBSITE BÁN HÀNG: https://dienmayvietnhat.vn/</t>
        </is>
      </c>
      <c r="H1950" s="3" t="inlineStr">
        <is>
          <t>KBL2-08310</t>
        </is>
      </c>
      <c r="I1950" s="4" t="inlineStr">
        <is>
          <t>Mũi khoan bê tông gài xuyên tường 2 cạnh KBL2-08*310</t>
        </is>
      </c>
      <c r="J1950" s="3" t="inlineStr">
        <is>
          <t>Cái</t>
        </is>
      </c>
      <c r="K1950" s="5" t="n">
        <v>40000</v>
      </c>
      <c r="L1950" s="5" t="n">
        <v>49000</v>
      </c>
      <c r="M1950" s="6" t="n">
        <v>62000</v>
      </c>
      <c r="N1950" s="5" t="n"/>
      <c r="O1950" s="5">
        <f>IF(AND(ISNUMBER(N1950),ISNUMBER(M1950)),N1950-M1950,"")</f>
        <v/>
      </c>
      <c r="P1950" s="7">
        <f>IF(AND(ISNUMBER(N1950),ISNUMBER(M1950),M1950&gt;0),(N1950-M1950)/M1950,"")</f>
        <v/>
      </c>
      <c r="Q1950" s="3">
        <f>IF(P1950="","",IF(P1950&lt;-0.02,"🔴 Bán phá giá sàn",IF(P1950&gt;0.05,"🔵 Bán cao hơn","🟢 Đúng giá sàn TMĐT")))</f>
        <v/>
      </c>
      <c r="R1950" s="3" t="n"/>
      <c r="S1950" s="4" t="n"/>
      <c r="T1950" s="4" t="n"/>
    </row>
    <row r="1951">
      <c r="A1951" s="3" t="n">
        <v>1950</v>
      </c>
      <c r="B1951" s="3" t="inlineStr">
        <is>
          <t>DL017</t>
        </is>
      </c>
      <c r="C1951" s="4" t="inlineStr">
        <is>
          <t>Điện máy Việt Nhật</t>
        </is>
      </c>
      <c r="D1951" s="3" t="inlineStr">
        <is>
          <t>HN</t>
        </is>
      </c>
      <c r="E1951" s="3" t="inlineStr">
        <is>
          <t>ĐIỆP</t>
        </is>
      </c>
      <c r="F1951" s="3" t="inlineStr">
        <is>
          <t>Shopee, Tiktok, Lazada, Website bán hàng</t>
        </is>
      </c>
      <c r="G1951" s="4" t="inlineStr">
        <is>
          <t>SHOPEE: https://www.shopee.vn/vietnhat3838 TIKTOK: dienmayvietnhat LAZADA: https://www.lazada.vn/shop/viet-nhat- WEBSITE BÁN HÀNG: https://dienmayvietnhat.vn/</t>
        </is>
      </c>
      <c r="H1951" s="3" t="inlineStr">
        <is>
          <t>KBL4S-06160</t>
        </is>
      </c>
      <c r="I1951" s="4" t="inlineStr">
        <is>
          <t>Mũi khoan đa năng chuôi gài 4 cạnh KBL4S-06*160</t>
        </is>
      </c>
      <c r="J1951" s="3" t="inlineStr">
        <is>
          <t>Cái</t>
        </is>
      </c>
      <c r="K1951" s="5" t="n">
        <v>28000</v>
      </c>
      <c r="L1951" s="5" t="n">
        <v>35000</v>
      </c>
      <c r="M1951" s="6" t="n">
        <v>45000</v>
      </c>
      <c r="N1951" s="5" t="n"/>
      <c r="O1951" s="5">
        <f>IF(AND(ISNUMBER(N1951),ISNUMBER(M1951)),N1951-M1951,"")</f>
        <v/>
      </c>
      <c r="P1951" s="7">
        <f>IF(AND(ISNUMBER(N1951),ISNUMBER(M1951),M1951&gt;0),(N1951-M1951)/M1951,"")</f>
        <v/>
      </c>
      <c r="Q1951" s="3">
        <f>IF(P1951="","",IF(P1951&lt;-0.02,"🔴 Bán phá giá sàn",IF(P1951&gt;0.05,"🔵 Bán cao hơn","🟢 Đúng giá sàn TMĐT")))</f>
        <v/>
      </c>
      <c r="R1951" s="3" t="n"/>
      <c r="S1951" s="4" t="n"/>
      <c r="T1951" s="4" t="n"/>
    </row>
    <row r="1952">
      <c r="A1952" s="3" t="n">
        <v>1951</v>
      </c>
      <c r="B1952" s="3" t="inlineStr">
        <is>
          <t>DL017</t>
        </is>
      </c>
      <c r="C1952" s="4" t="inlineStr">
        <is>
          <t>Điện máy Việt Nhật</t>
        </is>
      </c>
      <c r="D1952" s="3" t="inlineStr">
        <is>
          <t>HN</t>
        </is>
      </c>
      <c r="E1952" s="3" t="inlineStr">
        <is>
          <t>ĐIỆP</t>
        </is>
      </c>
      <c r="F1952" s="3" t="inlineStr">
        <is>
          <t>Shopee, Tiktok, Lazada, Website bán hàng</t>
        </is>
      </c>
      <c r="G1952" s="4" t="inlineStr">
        <is>
          <t>SHOPEE: https://www.shopee.vn/vietnhat3838 TIKTOK: dienmayvietnhat LAZADA: https://www.lazada.vn/shop/viet-nhat- WEBSITE BÁN HÀNG: https://dienmayvietnhat.vn/</t>
        </is>
      </c>
      <c r="H1952" s="3" t="inlineStr">
        <is>
          <t>KBL4S-08160</t>
        </is>
      </c>
      <c r="I1952" s="4" t="inlineStr">
        <is>
          <t>Mũi khoan đa năng chuôi gài 4 cạnh KBL4S-08*160</t>
        </is>
      </c>
      <c r="J1952" s="3" t="inlineStr">
        <is>
          <t>Cái</t>
        </is>
      </c>
      <c r="K1952" s="5" t="n">
        <v>32000</v>
      </c>
      <c r="L1952" s="5" t="n">
        <v>40000</v>
      </c>
      <c r="M1952" s="6" t="n">
        <v>51000</v>
      </c>
      <c r="N1952" s="5" t="n"/>
      <c r="O1952" s="5">
        <f>IF(AND(ISNUMBER(N1952),ISNUMBER(M1952)),N1952-M1952,"")</f>
        <v/>
      </c>
      <c r="P1952" s="7">
        <f>IF(AND(ISNUMBER(N1952),ISNUMBER(M1952),M1952&gt;0),(N1952-M1952)/M1952,"")</f>
        <v/>
      </c>
      <c r="Q1952" s="3">
        <f>IF(P1952="","",IF(P1952&lt;-0.02,"🔴 Bán phá giá sàn",IF(P1952&gt;0.05,"🔵 Bán cao hơn","🟢 Đúng giá sàn TMĐT")))</f>
        <v/>
      </c>
      <c r="R1952" s="3" t="n"/>
      <c r="S1952" s="4" t="n"/>
      <c r="T1952" s="4" t="n"/>
    </row>
    <row r="1953">
      <c r="A1953" s="3" t="n">
        <v>1952</v>
      </c>
      <c r="B1953" s="3" t="inlineStr">
        <is>
          <t>DL017</t>
        </is>
      </c>
      <c r="C1953" s="4" t="inlineStr">
        <is>
          <t>Điện máy Việt Nhật</t>
        </is>
      </c>
      <c r="D1953" s="3" t="inlineStr">
        <is>
          <t>HN</t>
        </is>
      </c>
      <c r="E1953" s="3" t="inlineStr">
        <is>
          <t>ĐIỆP</t>
        </is>
      </c>
      <c r="F1953" s="3" t="inlineStr">
        <is>
          <t>Shopee, Tiktok, Lazada, Website bán hàng</t>
        </is>
      </c>
      <c r="G1953" s="4" t="inlineStr">
        <is>
          <t>SHOPEE: https://www.shopee.vn/vietnhat3838 TIKTOK: dienmayvietnhat LAZADA: https://www.lazada.vn/shop/viet-nhat- WEBSITE BÁN HÀNG: https://dienmayvietnhat.vn/</t>
        </is>
      </c>
      <c r="H1953" s="3" t="inlineStr">
        <is>
          <t>KBL4S-10160</t>
        </is>
      </c>
      <c r="I1953" s="4" t="inlineStr">
        <is>
          <t>Mũi khoan đa năng chuôi gài 4 cạnh KBL4S-10*160</t>
        </is>
      </c>
      <c r="J1953" s="3" t="inlineStr">
        <is>
          <t>Cái</t>
        </is>
      </c>
      <c r="K1953" s="5" t="n">
        <v>40000</v>
      </c>
      <c r="L1953" s="5" t="n">
        <v>50000</v>
      </c>
      <c r="M1953" s="6" t="n">
        <v>64000</v>
      </c>
      <c r="N1953" s="5" t="n"/>
      <c r="O1953" s="5">
        <f>IF(AND(ISNUMBER(N1953),ISNUMBER(M1953)),N1953-M1953,"")</f>
        <v/>
      </c>
      <c r="P1953" s="7">
        <f>IF(AND(ISNUMBER(N1953),ISNUMBER(M1953),M1953&gt;0),(N1953-M1953)/M1953,"")</f>
        <v/>
      </c>
      <c r="Q1953" s="3">
        <f>IF(P1953="","",IF(P1953&lt;-0.02,"🔴 Bán phá giá sàn",IF(P1953&gt;0.05,"🔵 Bán cao hơn","🟢 Đúng giá sàn TMĐT")))</f>
        <v/>
      </c>
      <c r="R1953" s="3" t="n"/>
      <c r="S1953" s="4" t="n"/>
      <c r="T1953" s="4" t="n"/>
    </row>
    <row r="1954">
      <c r="A1954" s="3" t="n">
        <v>1953</v>
      </c>
      <c r="B1954" s="3" t="inlineStr">
        <is>
          <t>DL017</t>
        </is>
      </c>
      <c r="C1954" s="4" t="inlineStr">
        <is>
          <t>Điện máy Việt Nhật</t>
        </is>
      </c>
      <c r="D1954" s="3" t="inlineStr">
        <is>
          <t>HN</t>
        </is>
      </c>
      <c r="E1954" s="3" t="inlineStr">
        <is>
          <t>ĐIỆP</t>
        </is>
      </c>
      <c r="F1954" s="3" t="inlineStr">
        <is>
          <t>Shopee, Tiktok, Lazada, Website bán hàng</t>
        </is>
      </c>
      <c r="G1954" s="4" t="inlineStr">
        <is>
          <t>SHOPEE: https://www.shopee.vn/vietnhat3838 TIKTOK: dienmayvietnhat LAZADA: https://www.lazada.vn/shop/viet-nhat- WEBSITE BÁN HÀNG: https://dienmayvietnhat.vn/</t>
        </is>
      </c>
      <c r="H1954" s="3" t="inlineStr">
        <is>
          <t>KBL4S-12160</t>
        </is>
      </c>
      <c r="I1954" s="4" t="inlineStr">
        <is>
          <t>Mũi khoan đa năng chuôi gài 4 cạnh KBL4S-12*160</t>
        </is>
      </c>
      <c r="J1954" s="3" t="inlineStr">
        <is>
          <t>Cái</t>
        </is>
      </c>
      <c r="K1954" s="5" t="n">
        <v>46000</v>
      </c>
      <c r="L1954" s="5" t="n">
        <v>57000</v>
      </c>
      <c r="M1954" s="6" t="n">
        <v>74000</v>
      </c>
      <c r="N1954" s="5" t="n"/>
      <c r="O1954" s="5">
        <f>IF(AND(ISNUMBER(N1954),ISNUMBER(M1954)),N1954-M1954,"")</f>
        <v/>
      </c>
      <c r="P1954" s="7">
        <f>IF(AND(ISNUMBER(N1954),ISNUMBER(M1954),M1954&gt;0),(N1954-M1954)/M1954,"")</f>
        <v/>
      </c>
      <c r="Q1954" s="3">
        <f>IF(P1954="","",IF(P1954&lt;-0.02,"🔴 Bán phá giá sàn",IF(P1954&gt;0.05,"🔵 Bán cao hơn","🟢 Đúng giá sàn TMĐT")))</f>
        <v/>
      </c>
      <c r="R1954" s="3" t="n"/>
      <c r="S1954" s="4" t="n"/>
      <c r="T1954" s="4" t="n"/>
    </row>
    <row r="1955">
      <c r="A1955" s="3" t="n">
        <v>1954</v>
      </c>
      <c r="B1955" s="3" t="inlineStr">
        <is>
          <t>DL017</t>
        </is>
      </c>
      <c r="C1955" s="4" t="inlineStr">
        <is>
          <t>Điện máy Việt Nhật</t>
        </is>
      </c>
      <c r="D1955" s="3" t="inlineStr">
        <is>
          <t>HN</t>
        </is>
      </c>
      <c r="E1955" s="3" t="inlineStr">
        <is>
          <t>ĐIỆP</t>
        </is>
      </c>
      <c r="F1955" s="3" t="inlineStr">
        <is>
          <t>Shopee, Tiktok, Lazada, Website bán hàng</t>
        </is>
      </c>
      <c r="G1955" s="4" t="inlineStr">
        <is>
          <t>SHOPEE: https://www.shopee.vn/vietnhat3838 TIKTOK: dienmayvietnhat LAZADA: https://www.lazada.vn/shop/viet-nhat- WEBSITE BÁN HÀNG: https://dienmayvietnhat.vn/</t>
        </is>
      </c>
      <c r="H1955" s="3" t="inlineStr">
        <is>
          <t>KBH2F-0495</t>
        </is>
      </c>
      <c r="I1955" s="4" t="inlineStr">
        <is>
          <t>Mũi khoan ĐN lục giác 2 cạnh KBH2F-04*95</t>
        </is>
      </c>
      <c r="J1955" s="3" t="inlineStr">
        <is>
          <t>Cái</t>
        </is>
      </c>
      <c r="K1955" s="5" t="n">
        <v>26000</v>
      </c>
      <c r="L1955" s="5" t="n">
        <v>32000</v>
      </c>
      <c r="M1955" s="6" t="n">
        <v>42000</v>
      </c>
      <c r="N1955" s="5" t="n"/>
      <c r="O1955" s="5">
        <f>IF(AND(ISNUMBER(N1955),ISNUMBER(M1955)),N1955-M1955,"")</f>
        <v/>
      </c>
      <c r="P1955" s="7">
        <f>IF(AND(ISNUMBER(N1955),ISNUMBER(M1955),M1955&gt;0),(N1955-M1955)/M1955,"")</f>
        <v/>
      </c>
      <c r="Q1955" s="3">
        <f>IF(P1955="","",IF(P1955&lt;-0.02,"🔴 Bán phá giá sàn",IF(P1955&gt;0.05,"🔵 Bán cao hơn","🟢 Đúng giá sàn TMĐT")))</f>
        <v/>
      </c>
      <c r="R1955" s="3" t="n"/>
      <c r="S1955" s="4" t="n"/>
      <c r="T1955" s="4" t="n"/>
    </row>
    <row r="1956">
      <c r="A1956" s="3" t="n">
        <v>1955</v>
      </c>
      <c r="B1956" s="3" t="inlineStr">
        <is>
          <t>DL017</t>
        </is>
      </c>
      <c r="C1956" s="4" t="inlineStr">
        <is>
          <t>Điện máy Việt Nhật</t>
        </is>
      </c>
      <c r="D1956" s="3" t="inlineStr">
        <is>
          <t>HN</t>
        </is>
      </c>
      <c r="E1956" s="3" t="inlineStr">
        <is>
          <t>ĐIỆP</t>
        </is>
      </c>
      <c r="F1956" s="3" t="inlineStr">
        <is>
          <t>Shopee, Tiktok, Lazada, Website bán hàng</t>
        </is>
      </c>
      <c r="G1956" s="4" t="inlineStr">
        <is>
          <t>SHOPEE: https://www.shopee.vn/vietnhat3838 TIKTOK: dienmayvietnhat LAZADA: https://www.lazada.vn/shop/viet-nhat- WEBSITE BÁN HÀNG: https://dienmayvietnhat.vn/</t>
        </is>
      </c>
      <c r="H1956" s="3" t="inlineStr">
        <is>
          <t>KBH2F-0895</t>
        </is>
      </c>
      <c r="I1956" s="4" t="inlineStr">
        <is>
          <t>Mũi khoan ĐN lục giác 2 cạnh KBH2F-08*95</t>
        </is>
      </c>
      <c r="J1956" s="3" t="inlineStr">
        <is>
          <t>Cái</t>
        </is>
      </c>
      <c r="K1956" s="5" t="n">
        <v>33000</v>
      </c>
      <c r="L1956" s="5" t="n">
        <v>41000</v>
      </c>
      <c r="M1956" s="6" t="n">
        <v>53000</v>
      </c>
      <c r="N1956" s="5" t="n"/>
      <c r="O1956" s="5">
        <f>IF(AND(ISNUMBER(N1956),ISNUMBER(M1956)),N1956-M1956,"")</f>
        <v/>
      </c>
      <c r="P1956" s="7">
        <f>IF(AND(ISNUMBER(N1956),ISNUMBER(M1956),M1956&gt;0),(N1956-M1956)/M1956,"")</f>
        <v/>
      </c>
      <c r="Q1956" s="3">
        <f>IF(P1956="","",IF(P1956&lt;-0.02,"🔴 Bán phá giá sàn",IF(P1956&gt;0.05,"🔵 Bán cao hơn","🟢 Đúng giá sàn TMĐT")))</f>
        <v/>
      </c>
      <c r="R1956" s="3" t="n"/>
      <c r="S1956" s="4" t="n"/>
      <c r="T1956" s="4" t="n"/>
    </row>
    <row r="1957">
      <c r="A1957" s="3" t="n">
        <v>1956</v>
      </c>
      <c r="B1957" s="3" t="inlineStr">
        <is>
          <t>DL017</t>
        </is>
      </c>
      <c r="C1957" s="4" t="inlineStr">
        <is>
          <t>Điện máy Việt Nhật</t>
        </is>
      </c>
      <c r="D1957" s="3" t="inlineStr">
        <is>
          <t>HN</t>
        </is>
      </c>
      <c r="E1957" s="3" t="inlineStr">
        <is>
          <t>ĐIỆP</t>
        </is>
      </c>
      <c r="F1957" s="3" t="inlineStr">
        <is>
          <t>Shopee, Tiktok, Lazada, Website bán hàng</t>
        </is>
      </c>
      <c r="G1957" s="4" t="inlineStr">
        <is>
          <t>SHOPEE: https://www.shopee.vn/vietnhat3838 TIKTOK: dienmayvietnhat LAZADA: https://www.lazada.vn/shop/viet-nhat- WEBSITE BÁN HÀNG: https://dienmayvietnhat.vn/</t>
        </is>
      </c>
      <c r="H1957" s="3" t="inlineStr">
        <is>
          <t>KBH2F-1095</t>
        </is>
      </c>
      <c r="I1957" s="4" t="inlineStr">
        <is>
          <t>Mũi khoan ĐN lục giác 2 cạnh KBH2F-10*95</t>
        </is>
      </c>
      <c r="J1957" s="3" t="inlineStr">
        <is>
          <t>Cái</t>
        </is>
      </c>
      <c r="K1957" s="5" t="n">
        <v>42000</v>
      </c>
      <c r="L1957" s="5" t="n">
        <v>52000</v>
      </c>
      <c r="M1957" s="6" t="n">
        <v>67000</v>
      </c>
      <c r="N1957" s="5" t="n"/>
      <c r="O1957" s="5">
        <f>IF(AND(ISNUMBER(N1957),ISNUMBER(M1957)),N1957-M1957,"")</f>
        <v/>
      </c>
      <c r="P1957" s="7">
        <f>IF(AND(ISNUMBER(N1957),ISNUMBER(M1957),M1957&gt;0),(N1957-M1957)/M1957,"")</f>
        <v/>
      </c>
      <c r="Q1957" s="3">
        <f>IF(P1957="","",IF(P1957&lt;-0.02,"🔴 Bán phá giá sàn",IF(P1957&gt;0.05,"🔵 Bán cao hơn","🟢 Đúng giá sàn TMĐT")))</f>
        <v/>
      </c>
      <c r="R1957" s="3" t="n"/>
      <c r="S1957" s="4" t="n"/>
      <c r="T1957" s="4" t="n"/>
    </row>
    <row r="1958">
      <c r="A1958" s="3" t="n">
        <v>1957</v>
      </c>
      <c r="B1958" s="3" t="inlineStr">
        <is>
          <t>DL017</t>
        </is>
      </c>
      <c r="C1958" s="4" t="inlineStr">
        <is>
          <t>Điện máy Việt Nhật</t>
        </is>
      </c>
      <c r="D1958" s="3" t="inlineStr">
        <is>
          <t>HN</t>
        </is>
      </c>
      <c r="E1958" s="3" t="inlineStr">
        <is>
          <t>ĐIỆP</t>
        </is>
      </c>
      <c r="F1958" s="3" t="inlineStr">
        <is>
          <t>Shopee, Tiktok, Lazada, Website bán hàng</t>
        </is>
      </c>
      <c r="G1958" s="4" t="inlineStr">
        <is>
          <t>SHOPEE: https://www.shopee.vn/vietnhat3838 TIKTOK: dienmayvietnhat LAZADA: https://www.lazada.vn/shop/viet-nhat- WEBSITE BÁN HÀNG: https://dienmayvietnhat.vn/</t>
        </is>
      </c>
      <c r="H1958" s="3" t="inlineStr">
        <is>
          <t>KBH2F-1295</t>
        </is>
      </c>
      <c r="I1958" s="4" t="inlineStr">
        <is>
          <t>Mũi khoan ĐN lục giác 2 cạnh KBH2F-12*95</t>
        </is>
      </c>
      <c r="J1958" s="3" t="inlineStr">
        <is>
          <t>Cái</t>
        </is>
      </c>
      <c r="K1958" s="5" t="n">
        <v>53000</v>
      </c>
      <c r="L1958" s="5" t="n">
        <v>66000</v>
      </c>
      <c r="M1958" s="6" t="n">
        <v>85000</v>
      </c>
      <c r="N1958" s="5" t="n"/>
      <c r="O1958" s="5">
        <f>IF(AND(ISNUMBER(N1958),ISNUMBER(M1958)),N1958-M1958,"")</f>
        <v/>
      </c>
      <c r="P1958" s="7">
        <f>IF(AND(ISNUMBER(N1958),ISNUMBER(M1958),M1958&gt;0),(N1958-M1958)/M1958,"")</f>
        <v/>
      </c>
      <c r="Q1958" s="3">
        <f>IF(P1958="","",IF(P1958&lt;-0.02,"🔴 Bán phá giá sàn",IF(P1958&gt;0.05,"🔵 Bán cao hơn","🟢 Đúng giá sàn TMĐT")))</f>
        <v/>
      </c>
      <c r="R1958" s="3" t="n"/>
      <c r="S1958" s="4" t="n"/>
      <c r="T1958" s="4" t="n"/>
    </row>
    <row r="1959">
      <c r="A1959" s="3" t="n">
        <v>1958</v>
      </c>
      <c r="B1959" s="3" t="inlineStr">
        <is>
          <t>DL017</t>
        </is>
      </c>
      <c r="C1959" s="4" t="inlineStr">
        <is>
          <t>Điện máy Việt Nhật</t>
        </is>
      </c>
      <c r="D1959" s="3" t="inlineStr">
        <is>
          <t>HN</t>
        </is>
      </c>
      <c r="E1959" s="3" t="inlineStr">
        <is>
          <t>ĐIỆP</t>
        </is>
      </c>
      <c r="F1959" s="3" t="inlineStr">
        <is>
          <t>Shopee, Tiktok, Lazada, Website bán hàng</t>
        </is>
      </c>
      <c r="G1959" s="4" t="inlineStr">
        <is>
          <t>SHOPEE: https://www.shopee.vn/vietnhat3838 TIKTOK: dienmayvietnhat LAZADA: https://www.lazada.vn/shop/viet-nhat- WEBSITE BÁN HÀNG: https://dienmayvietnhat.vn/</t>
        </is>
      </c>
      <c r="H1959" s="3" t="inlineStr">
        <is>
          <t>KBH4-05</t>
        </is>
      </c>
      <c r="I1959" s="4" t="inlineStr">
        <is>
          <t>Mũi khoan ĐN lục giác 4 cạnh KBH4-05</t>
        </is>
      </c>
      <c r="J1959" s="3" t="inlineStr">
        <is>
          <t>Bộ</t>
        </is>
      </c>
      <c r="K1959" s="5" t="n">
        <v>153000</v>
      </c>
      <c r="L1959" s="5" t="n">
        <v>190000</v>
      </c>
      <c r="M1959" s="6" t="n">
        <v>245000</v>
      </c>
      <c r="N1959" s="5" t="n"/>
      <c r="O1959" s="5">
        <f>IF(AND(ISNUMBER(N1959),ISNUMBER(M1959)),N1959-M1959,"")</f>
        <v/>
      </c>
      <c r="P1959" s="7">
        <f>IF(AND(ISNUMBER(N1959),ISNUMBER(M1959),M1959&gt;0),(N1959-M1959)/M1959,"")</f>
        <v/>
      </c>
      <c r="Q1959" s="3">
        <f>IF(P1959="","",IF(P1959&lt;-0.02,"🔴 Bán phá giá sàn",IF(P1959&gt;0.05,"🔵 Bán cao hơn","🟢 Đúng giá sàn TMĐT")))</f>
        <v/>
      </c>
      <c r="R1959" s="3" t="n"/>
      <c r="S1959" s="4" t="n"/>
      <c r="T1959" s="4" t="n"/>
    </row>
    <row r="1960">
      <c r="A1960" s="3" t="n">
        <v>1959</v>
      </c>
      <c r="B1960" s="3" t="inlineStr">
        <is>
          <t>DL017</t>
        </is>
      </c>
      <c r="C1960" s="4" t="inlineStr">
        <is>
          <t>Điện máy Việt Nhật</t>
        </is>
      </c>
      <c r="D1960" s="3" t="inlineStr">
        <is>
          <t>HN</t>
        </is>
      </c>
      <c r="E1960" s="3" t="inlineStr">
        <is>
          <t>ĐIỆP</t>
        </is>
      </c>
      <c r="F1960" s="3" t="inlineStr">
        <is>
          <t>Shopee, Tiktok, Lazada, Website bán hàng</t>
        </is>
      </c>
      <c r="G1960" s="4" t="inlineStr">
        <is>
          <t>SHOPEE: https://www.shopee.vn/vietnhat3838 TIKTOK: dienmayvietnhat LAZADA: https://www.lazada.vn/shop/viet-nhat- WEBSITE BÁN HÀNG: https://dienmayvietnhat.vn/</t>
        </is>
      </c>
      <c r="H1960" s="3" t="inlineStr">
        <is>
          <t>KBH4S-06100</t>
        </is>
      </c>
      <c r="I1960" s="4" t="inlineStr">
        <is>
          <t>Mũi khoan ĐN lục giác 4 cạnh KBH4S-06*100</t>
        </is>
      </c>
      <c r="J1960" s="3" t="inlineStr">
        <is>
          <t>Cái</t>
        </is>
      </c>
      <c r="K1960" s="5" t="n">
        <v>41000</v>
      </c>
      <c r="L1960" s="5" t="n">
        <v>51000</v>
      </c>
      <c r="M1960" s="6" t="n">
        <v>65000</v>
      </c>
      <c r="N1960" s="5" t="n"/>
      <c r="O1960" s="5">
        <f>IF(AND(ISNUMBER(N1960),ISNUMBER(M1960)),N1960-M1960,"")</f>
        <v/>
      </c>
      <c r="P1960" s="7">
        <f>IF(AND(ISNUMBER(N1960),ISNUMBER(M1960),M1960&gt;0),(N1960-M1960)/M1960,"")</f>
        <v/>
      </c>
      <c r="Q1960" s="3">
        <f>IF(P1960="","",IF(P1960&lt;-0.02,"🔴 Bán phá giá sàn",IF(P1960&gt;0.05,"🔵 Bán cao hơn","🟢 Đúng giá sàn TMĐT")))</f>
        <v/>
      </c>
      <c r="R1960" s="3" t="n"/>
      <c r="S1960" s="4" t="n"/>
      <c r="T1960" s="4" t="n"/>
    </row>
    <row r="1961">
      <c r="A1961" s="3" t="n">
        <v>1960</v>
      </c>
      <c r="B1961" s="3" t="inlineStr">
        <is>
          <t>DL017</t>
        </is>
      </c>
      <c r="C1961" s="4" t="inlineStr">
        <is>
          <t>Điện máy Việt Nhật</t>
        </is>
      </c>
      <c r="D1961" s="3" t="inlineStr">
        <is>
          <t>HN</t>
        </is>
      </c>
      <c r="E1961" s="3" t="inlineStr">
        <is>
          <t>ĐIỆP</t>
        </is>
      </c>
      <c r="F1961" s="3" t="inlineStr">
        <is>
          <t>Shopee, Tiktok, Lazada, Website bán hàng</t>
        </is>
      </c>
      <c r="G1961" s="4" t="inlineStr">
        <is>
          <t>SHOPEE: https://www.shopee.vn/vietnhat3838 TIKTOK: dienmayvietnhat LAZADA: https://www.lazada.vn/shop/viet-nhat- WEBSITE BÁN HÀNG: https://dienmayvietnhat.vn/</t>
        </is>
      </c>
      <c r="H1961" s="3" t="inlineStr">
        <is>
          <t>KBH4S-10123</t>
        </is>
      </c>
      <c r="I1961" s="4" t="inlineStr">
        <is>
          <t>Mũi khoan ĐN lục giác 4 cạnh KBH4S-10*123</t>
        </is>
      </c>
      <c r="J1961" s="3" t="inlineStr">
        <is>
          <t>Cái</t>
        </is>
      </c>
      <c r="K1961" s="5" t="n">
        <v>40000</v>
      </c>
      <c r="L1961" s="5" t="n">
        <v>50000</v>
      </c>
      <c r="M1961" s="6" t="n">
        <v>64000</v>
      </c>
      <c r="N1961" s="5" t="n"/>
      <c r="O1961" s="5">
        <f>IF(AND(ISNUMBER(N1961),ISNUMBER(M1961)),N1961-M1961,"")</f>
        <v/>
      </c>
      <c r="P1961" s="7">
        <f>IF(AND(ISNUMBER(N1961),ISNUMBER(M1961),M1961&gt;0),(N1961-M1961)/M1961,"")</f>
        <v/>
      </c>
      <c r="Q1961" s="3">
        <f>IF(P1961="","",IF(P1961&lt;-0.02,"🔴 Bán phá giá sàn",IF(P1961&gt;0.05,"🔵 Bán cao hơn","🟢 Đúng giá sàn TMĐT")))</f>
        <v/>
      </c>
      <c r="R1961" s="3" t="n"/>
      <c r="S1961" s="4" t="n"/>
      <c r="T1961" s="4" t="n"/>
    </row>
    <row r="1962">
      <c r="A1962" s="3" t="n">
        <v>1961</v>
      </c>
      <c r="B1962" s="3" t="inlineStr">
        <is>
          <t>DL017</t>
        </is>
      </c>
      <c r="C1962" s="4" t="inlineStr">
        <is>
          <t>Điện máy Việt Nhật</t>
        </is>
      </c>
      <c r="D1962" s="3" t="inlineStr">
        <is>
          <t>HN</t>
        </is>
      </c>
      <c r="E1962" s="3" t="inlineStr">
        <is>
          <t>ĐIỆP</t>
        </is>
      </c>
      <c r="F1962" s="3" t="inlineStr">
        <is>
          <t>Shopee, Tiktok, Lazada, Website bán hàng</t>
        </is>
      </c>
      <c r="G1962" s="4" t="inlineStr">
        <is>
          <t>SHOPEE: https://www.shopee.vn/vietnhat3838 TIKTOK: dienmayvietnhat LAZADA: https://www.lazada.vn/shop/viet-nhat- WEBSITE BÁN HÀNG: https://dienmayvietnhat.vn/</t>
        </is>
      </c>
      <c r="H1962" s="3" t="inlineStr">
        <is>
          <t>KRS-55155</t>
        </is>
      </c>
      <c r="I1962" s="4" t="inlineStr">
        <is>
          <t>Mũi khoan rút lõi khô KRS-55*155 (new)</t>
        </is>
      </c>
      <c r="J1962" s="3" t="inlineStr">
        <is>
          <t>Cái</t>
        </is>
      </c>
      <c r="K1962" s="5" t="n">
        <v>1190000</v>
      </c>
      <c r="L1962" s="5" t="n">
        <v>1380000</v>
      </c>
      <c r="M1962" s="6" t="n">
        <v>1666000</v>
      </c>
      <c r="N1962" s="5" t="n"/>
      <c r="O1962" s="5">
        <f>IF(AND(ISNUMBER(N1962),ISNUMBER(M1962)),N1962-M1962,"")</f>
        <v/>
      </c>
      <c r="P1962" s="7">
        <f>IF(AND(ISNUMBER(N1962),ISNUMBER(M1962),M1962&gt;0),(N1962-M1962)/M1962,"")</f>
        <v/>
      </c>
      <c r="Q1962" s="3">
        <f>IF(P1962="","",IF(P1962&lt;-0.02,"🔴 Bán phá giá sàn",IF(P1962&gt;0.05,"🔵 Bán cao hơn","🟢 Đúng giá sàn TMĐT")))</f>
        <v/>
      </c>
      <c r="R1962" s="3" t="n"/>
      <c r="S1962" s="4" t="n"/>
      <c r="T1962" s="4" t="n"/>
    </row>
    <row r="1963">
      <c r="A1963" s="3" t="n">
        <v>1962</v>
      </c>
      <c r="B1963" s="3" t="inlineStr">
        <is>
          <t>DL017</t>
        </is>
      </c>
      <c r="C1963" s="4" t="inlineStr">
        <is>
          <t>Điện máy Việt Nhật</t>
        </is>
      </c>
      <c r="D1963" s="3" t="inlineStr">
        <is>
          <t>HN</t>
        </is>
      </c>
      <c r="E1963" s="3" t="inlineStr">
        <is>
          <t>ĐIỆP</t>
        </is>
      </c>
      <c r="F1963" s="3" t="inlineStr">
        <is>
          <t>Shopee, Tiktok, Lazada, Website bán hàng</t>
        </is>
      </c>
      <c r="G1963" s="4" t="inlineStr">
        <is>
          <t>SHOPEE: https://www.shopee.vn/vietnhat3838 TIKTOK: dienmayvietnhat LAZADA: https://www.lazada.vn/shop/viet-nhat- WEBSITE BÁN HÀNG: https://dienmayvietnhat.vn/</t>
        </is>
      </c>
      <c r="H1963" s="3" t="inlineStr">
        <is>
          <t>KRS-60155</t>
        </is>
      </c>
      <c r="I1963" s="4" t="inlineStr">
        <is>
          <t>Mũi khoan rút lõi khô KRS-60*155 (New)</t>
        </is>
      </c>
      <c r="J1963" s="3" t="inlineStr">
        <is>
          <t>Cái</t>
        </is>
      </c>
      <c r="K1963" s="5" t="n">
        <v>1290000</v>
      </c>
      <c r="L1963" s="5" t="n">
        <v>1496000</v>
      </c>
      <c r="M1963" s="6" t="n">
        <v>1806000</v>
      </c>
      <c r="N1963" s="5" t="n"/>
      <c r="O1963" s="5">
        <f>IF(AND(ISNUMBER(N1963),ISNUMBER(M1963)),N1963-M1963,"")</f>
        <v/>
      </c>
      <c r="P1963" s="7">
        <f>IF(AND(ISNUMBER(N1963),ISNUMBER(M1963),M1963&gt;0),(N1963-M1963)/M1963,"")</f>
        <v/>
      </c>
      <c r="Q1963" s="3">
        <f>IF(P1963="","",IF(P1963&lt;-0.02,"🔴 Bán phá giá sàn",IF(P1963&gt;0.05,"🔵 Bán cao hơn","🟢 Đúng giá sàn TMĐT")))</f>
        <v/>
      </c>
      <c r="R1963" s="3" t="n"/>
      <c r="S1963" s="4" t="n"/>
      <c r="T1963" s="4" t="n"/>
    </row>
    <row r="1964">
      <c r="A1964" s="3" t="n">
        <v>1963</v>
      </c>
      <c r="B1964" s="3" t="inlineStr">
        <is>
          <t>DL017</t>
        </is>
      </c>
      <c r="C1964" s="4" t="inlineStr">
        <is>
          <t>Điện máy Việt Nhật</t>
        </is>
      </c>
      <c r="D1964" s="3" t="inlineStr">
        <is>
          <t>HN</t>
        </is>
      </c>
      <c r="E1964" s="3" t="inlineStr">
        <is>
          <t>ĐIỆP</t>
        </is>
      </c>
      <c r="F1964" s="3" t="inlineStr">
        <is>
          <t>Shopee, Tiktok, Lazada, Website bán hàng</t>
        </is>
      </c>
      <c r="G1964" s="4" t="inlineStr">
        <is>
          <t>SHOPEE: https://www.shopee.vn/vietnhat3838 TIKTOK: dienmayvietnhat LAZADA: https://www.lazada.vn/shop/viet-nhat- WEBSITE BÁN HÀNG: https://dienmayvietnhat.vn/</t>
        </is>
      </c>
      <c r="H1964" s="3" t="inlineStr">
        <is>
          <t>KRS-63155</t>
        </is>
      </c>
      <c r="I1964" s="4" t="inlineStr">
        <is>
          <t>Mũi khoan rút lõi khô KRS-63*155</t>
        </is>
      </c>
      <c r="J1964" s="3" t="inlineStr">
        <is>
          <t>Cái</t>
        </is>
      </c>
      <c r="K1964" s="5" t="n">
        <v>1350000</v>
      </c>
      <c r="L1964" s="5" t="n">
        <v>1566000</v>
      </c>
      <c r="M1964" s="6" t="n">
        <v>1890000</v>
      </c>
      <c r="N1964" s="5" t="n"/>
      <c r="O1964" s="5">
        <f>IF(AND(ISNUMBER(N1964),ISNUMBER(M1964)),N1964-M1964,"")</f>
        <v/>
      </c>
      <c r="P1964" s="7">
        <f>IF(AND(ISNUMBER(N1964),ISNUMBER(M1964),M1964&gt;0),(N1964-M1964)/M1964,"")</f>
        <v/>
      </c>
      <c r="Q1964" s="3">
        <f>IF(P1964="","",IF(P1964&lt;-0.02,"🔴 Bán phá giá sàn",IF(P1964&gt;0.05,"🔵 Bán cao hơn","🟢 Đúng giá sàn TMĐT")))</f>
        <v/>
      </c>
      <c r="R1964" s="3" t="n"/>
      <c r="S1964" s="4" t="n"/>
      <c r="T1964" s="4" t="n"/>
    </row>
    <row r="1965">
      <c r="A1965" s="3" t="n">
        <v>1964</v>
      </c>
      <c r="B1965" s="3" t="inlineStr">
        <is>
          <t>DL017</t>
        </is>
      </c>
      <c r="C1965" s="4" t="inlineStr">
        <is>
          <t>Điện máy Việt Nhật</t>
        </is>
      </c>
      <c r="D1965" s="3" t="inlineStr">
        <is>
          <t>HN</t>
        </is>
      </c>
      <c r="E1965" s="3" t="inlineStr">
        <is>
          <t>ĐIỆP</t>
        </is>
      </c>
      <c r="F1965" s="3" t="inlineStr">
        <is>
          <t>Shopee, Tiktok, Lazada, Website bán hàng</t>
        </is>
      </c>
      <c r="G1965" s="4" t="inlineStr">
        <is>
          <t>SHOPEE: https://www.shopee.vn/vietnhat3838 TIKTOK: dienmayvietnhat LAZADA: https://www.lazada.vn/shop/viet-nhat- WEBSITE BÁN HÀNG: https://dienmayvietnhat.vn/</t>
        </is>
      </c>
      <c r="H1965" s="3" t="inlineStr">
        <is>
          <t>KBT-0412</t>
        </is>
      </c>
      <c r="I1965" s="4" t="inlineStr">
        <is>
          <t>Mũi khoan tháp M2 KBT-04*12</t>
        </is>
      </c>
      <c r="J1965" s="3" t="inlineStr">
        <is>
          <t>Cái</t>
        </is>
      </c>
      <c r="K1965" s="5" t="n">
        <v>88000</v>
      </c>
      <c r="L1965" s="5" t="n">
        <v>109000</v>
      </c>
      <c r="M1965" s="6" t="n">
        <v>141000</v>
      </c>
      <c r="N1965" s="5" t="n"/>
      <c r="O1965" s="5">
        <f>IF(AND(ISNUMBER(N1965),ISNUMBER(M1965)),N1965-M1965,"")</f>
        <v/>
      </c>
      <c r="P1965" s="7">
        <f>IF(AND(ISNUMBER(N1965),ISNUMBER(M1965),M1965&gt;0),(N1965-M1965)/M1965,"")</f>
        <v/>
      </c>
      <c r="Q1965" s="3">
        <f>IF(P1965="","",IF(P1965&lt;-0.02,"🔴 Bán phá giá sàn",IF(P1965&gt;0.05,"🔵 Bán cao hơn","🟢 Đúng giá sàn TMĐT")))</f>
        <v/>
      </c>
      <c r="R1965" s="3" t="n"/>
      <c r="S1965" s="4" t="n"/>
      <c r="T1965" s="4" t="n"/>
    </row>
    <row r="1966">
      <c r="A1966" s="3" t="n">
        <v>1965</v>
      </c>
      <c r="B1966" s="3" t="inlineStr">
        <is>
          <t>DL017</t>
        </is>
      </c>
      <c r="C1966" s="4" t="inlineStr">
        <is>
          <t>Điện máy Việt Nhật</t>
        </is>
      </c>
      <c r="D1966" s="3" t="inlineStr">
        <is>
          <t>HN</t>
        </is>
      </c>
      <c r="E1966" s="3" t="inlineStr">
        <is>
          <t>ĐIỆP</t>
        </is>
      </c>
      <c r="F1966" s="3" t="inlineStr">
        <is>
          <t>Shopee, Tiktok, Lazada, Website bán hàng</t>
        </is>
      </c>
      <c r="G1966" s="4" t="inlineStr">
        <is>
          <t>SHOPEE: https://www.shopee.vn/vietnhat3838 TIKTOK: dienmayvietnhat LAZADA: https://www.lazada.vn/shop/viet-nhat- WEBSITE BÁN HÀNG: https://dienmayvietnhat.vn/</t>
        </is>
      </c>
      <c r="H1966" s="3" t="inlineStr">
        <is>
          <t>KBT-0432</t>
        </is>
      </c>
      <c r="I1966" s="4" t="inlineStr">
        <is>
          <t>Mũi khoan tháp M2 KBT-04*32</t>
        </is>
      </c>
      <c r="J1966" s="3" t="inlineStr">
        <is>
          <t>Cái</t>
        </is>
      </c>
      <c r="K1966" s="5" t="n">
        <v>319000</v>
      </c>
      <c r="L1966" s="5" t="n">
        <v>395000</v>
      </c>
      <c r="M1966" s="6" t="n">
        <v>510000</v>
      </c>
      <c r="N1966" s="5" t="n"/>
      <c r="O1966" s="5">
        <f>IF(AND(ISNUMBER(N1966),ISNUMBER(M1966)),N1966-M1966,"")</f>
        <v/>
      </c>
      <c r="P1966" s="7">
        <f>IF(AND(ISNUMBER(N1966),ISNUMBER(M1966),M1966&gt;0),(N1966-M1966)/M1966,"")</f>
        <v/>
      </c>
      <c r="Q1966" s="3">
        <f>IF(P1966="","",IF(P1966&lt;-0.02,"🔴 Bán phá giá sàn",IF(P1966&gt;0.05,"🔵 Bán cao hơn","🟢 Đúng giá sàn TMĐT")))</f>
        <v/>
      </c>
      <c r="R1966" s="3" t="n"/>
      <c r="S1966" s="4" t="n"/>
      <c r="T1966" s="4" t="n"/>
    </row>
    <row r="1967">
      <c r="A1967" s="3" t="n">
        <v>1966</v>
      </c>
      <c r="B1967" s="3" t="inlineStr">
        <is>
          <t>DL017</t>
        </is>
      </c>
      <c r="C1967" s="4" t="inlineStr">
        <is>
          <t>Điện máy Việt Nhật</t>
        </is>
      </c>
      <c r="D1967" s="3" t="inlineStr">
        <is>
          <t>HN</t>
        </is>
      </c>
      <c r="E1967" s="3" t="inlineStr">
        <is>
          <t>ĐIỆP</t>
        </is>
      </c>
      <c r="F1967" s="3" t="inlineStr">
        <is>
          <t>Shopee, Tiktok, Lazada, Website bán hàng</t>
        </is>
      </c>
      <c r="G1967" s="4" t="inlineStr">
        <is>
          <t>SHOPEE: https://www.shopee.vn/vietnhat3838 TIKTOK: dienmayvietnhat LAZADA: https://www.lazada.vn/shop/viet-nhat- WEBSITE BÁN HÀNG: https://dienmayvietnhat.vn/</t>
        </is>
      </c>
      <c r="H1967" s="3" t="inlineStr">
        <is>
          <t>M3-24/35</t>
        </is>
      </c>
      <c r="I1967" s="4" t="inlineStr">
        <is>
          <t>Mũi khoan từ KingBlue M3-24/35</t>
        </is>
      </c>
      <c r="J1967" s="3" t="inlineStr">
        <is>
          <t>Cái</t>
        </is>
      </c>
      <c r="K1967" s="5" t="n">
        <v>269000</v>
      </c>
      <c r="L1967" s="5" t="n">
        <v>317000</v>
      </c>
      <c r="M1967" s="6" t="n">
        <v>390000</v>
      </c>
      <c r="N1967" s="5" t="n"/>
      <c r="O1967" s="5">
        <f>IF(AND(ISNUMBER(N1967),ISNUMBER(M1967)),N1967-M1967,"")</f>
        <v/>
      </c>
      <c r="P1967" s="7">
        <f>IF(AND(ISNUMBER(N1967),ISNUMBER(M1967),M1967&gt;0),(N1967-M1967)/M1967,"")</f>
        <v/>
      </c>
      <c r="Q1967" s="3">
        <f>IF(P1967="","",IF(P1967&lt;-0.02,"🔴 Bán phá giá sàn",IF(P1967&gt;0.05,"🔵 Bán cao hơn","🟢 Đúng giá sàn TMĐT")))</f>
        <v/>
      </c>
      <c r="R1967" s="3" t="n"/>
      <c r="S1967" s="4" t="n"/>
      <c r="T1967" s="4" t="n"/>
    </row>
    <row r="1968">
      <c r="A1968" s="3" t="n">
        <v>1967</v>
      </c>
      <c r="B1968" s="3" t="inlineStr">
        <is>
          <t>DL017</t>
        </is>
      </c>
      <c r="C1968" s="4" t="inlineStr">
        <is>
          <t>Điện máy Việt Nhật</t>
        </is>
      </c>
      <c r="D1968" s="3" t="inlineStr">
        <is>
          <t>HN</t>
        </is>
      </c>
      <c r="E1968" s="3" t="inlineStr">
        <is>
          <t>ĐIỆP</t>
        </is>
      </c>
      <c r="F1968" s="3" t="inlineStr">
        <is>
          <t>Shopee, Tiktok, Lazada, Website bán hàng</t>
        </is>
      </c>
      <c r="G1968" s="4" t="inlineStr">
        <is>
          <t>SHOPEE: https://www.shopee.vn/vietnhat3838 TIKTOK: dienmayvietnhat LAZADA: https://www.lazada.vn/shop/viet-nhat- WEBSITE BÁN HÀNG: https://dienmayvietnhat.vn/</t>
        </is>
      </c>
      <c r="H1968" s="3" t="inlineStr"/>
      <c r="I1968" s="4" t="inlineStr">
        <is>
          <t>Mũi khoan tường không tắc kê KBLJ - 03*100</t>
        </is>
      </c>
      <c r="J1968" s="3" t="inlineStr">
        <is>
          <t>Cái</t>
        </is>
      </c>
      <c r="K1968" s="5" t="n">
        <v>269000</v>
      </c>
      <c r="L1968" s="5" t="n">
        <v>317000</v>
      </c>
      <c r="M1968" s="6" t="n">
        <v>390000</v>
      </c>
      <c r="N1968" s="5" t="n"/>
      <c r="O1968" s="5">
        <f>IF(AND(ISNUMBER(N1968),ISNUMBER(M1968)),N1968-M1968,"")</f>
        <v/>
      </c>
      <c r="P1968" s="7">
        <f>IF(AND(ISNUMBER(N1968),ISNUMBER(M1968),M1968&gt;0),(N1968-M1968)/M1968,"")</f>
        <v/>
      </c>
      <c r="Q1968" s="3">
        <f>IF(P1968="","",IF(P1968&lt;-0.02,"🔴 Bán phá giá sàn",IF(P1968&gt;0.05,"🔵 Bán cao hơn","🟢 Đúng giá sàn TMĐT")))</f>
        <v/>
      </c>
      <c r="R1968" s="3" t="n"/>
      <c r="S1968" s="4" t="n"/>
      <c r="T1968" s="4" t="n"/>
    </row>
    <row r="1969">
      <c r="A1969" s="3" t="n">
        <v>1968</v>
      </c>
      <c r="B1969" s="3" t="inlineStr">
        <is>
          <t>DL017</t>
        </is>
      </c>
      <c r="C1969" s="4" t="inlineStr">
        <is>
          <t>Điện máy Việt Nhật</t>
        </is>
      </c>
      <c r="D1969" s="3" t="inlineStr">
        <is>
          <t>HN</t>
        </is>
      </c>
      <c r="E1969" s="3" t="inlineStr">
        <is>
          <t>ĐIỆP</t>
        </is>
      </c>
      <c r="F1969" s="3" t="inlineStr">
        <is>
          <t>Shopee, Tiktok, Lazada, Website bán hàng</t>
        </is>
      </c>
      <c r="G1969" s="4" t="inlineStr">
        <is>
          <t>SHOPEE: https://www.shopee.vn/vietnhat3838 TIKTOK: dienmayvietnhat LAZADA: https://www.lazada.vn/shop/viet-nhat- WEBSITE BÁN HÀNG: https://dienmayvietnhat.vn/</t>
        </is>
      </c>
      <c r="H1969" s="3" t="inlineStr"/>
      <c r="I1969" s="4" t="inlineStr">
        <is>
          <t>Mũi khoan tường không tắc kê KBLJ - 03.2*100</t>
        </is>
      </c>
      <c r="J1969" s="3" t="inlineStr">
        <is>
          <t>Cái</t>
        </is>
      </c>
      <c r="K1969" s="5" t="n">
        <v>269000</v>
      </c>
      <c r="L1969" s="5" t="n">
        <v>317000</v>
      </c>
      <c r="M1969" s="6" t="n">
        <v>390000</v>
      </c>
      <c r="N1969" s="5" t="n"/>
      <c r="O1969" s="5">
        <f>IF(AND(ISNUMBER(N1969),ISNUMBER(M1969)),N1969-M1969,"")</f>
        <v/>
      </c>
      <c r="P1969" s="7">
        <f>IF(AND(ISNUMBER(N1969),ISNUMBER(M1969),M1969&gt;0),(N1969-M1969)/M1969,"")</f>
        <v/>
      </c>
      <c r="Q1969" s="3">
        <f>IF(P1969="","",IF(P1969&lt;-0.02,"🔴 Bán phá giá sàn",IF(P1969&gt;0.05,"🔵 Bán cao hơn","🟢 Đúng giá sàn TMĐT")))</f>
        <v/>
      </c>
      <c r="R1969" s="3" t="n"/>
      <c r="S1969" s="4" t="n"/>
      <c r="T1969" s="4" t="n"/>
    </row>
    <row r="1970">
      <c r="A1970" s="3" t="n">
        <v>1969</v>
      </c>
      <c r="B1970" s="3" t="inlineStr">
        <is>
          <t>DL017</t>
        </is>
      </c>
      <c r="C1970" s="4" t="inlineStr">
        <is>
          <t>Điện máy Việt Nhật</t>
        </is>
      </c>
      <c r="D1970" s="3" t="inlineStr">
        <is>
          <t>HN</t>
        </is>
      </c>
      <c r="E1970" s="3" t="inlineStr">
        <is>
          <t>ĐIỆP</t>
        </is>
      </c>
      <c r="F1970" s="3" t="inlineStr">
        <is>
          <t>Shopee, Tiktok, Lazada, Website bán hàng</t>
        </is>
      </c>
      <c r="G1970" s="4" t="inlineStr">
        <is>
          <t>SHOPEE: https://www.shopee.vn/vietnhat3838 TIKTOK: dienmayvietnhat LAZADA: https://www.lazada.vn/shop/viet-nhat- WEBSITE BÁN HÀNG: https://dienmayvietnhat.vn/</t>
        </is>
      </c>
      <c r="H1970" s="3" t="inlineStr"/>
      <c r="I1970" s="4" t="inlineStr">
        <is>
          <t>Mũi khoan tường không tắc kê KBLJ - 04*100</t>
        </is>
      </c>
      <c r="J1970" s="3" t="inlineStr">
        <is>
          <t>Cái</t>
        </is>
      </c>
      <c r="K1970" s="5" t="n">
        <v>269000</v>
      </c>
      <c r="L1970" s="5" t="n">
        <v>317000</v>
      </c>
      <c r="M1970" s="6" t="n">
        <v>390000</v>
      </c>
      <c r="N1970" s="5" t="n"/>
      <c r="O1970" s="5">
        <f>IF(AND(ISNUMBER(N1970),ISNUMBER(M1970)),N1970-M1970,"")</f>
        <v/>
      </c>
      <c r="P1970" s="7">
        <f>IF(AND(ISNUMBER(N1970),ISNUMBER(M1970),M1970&gt;0),(N1970-M1970)/M1970,"")</f>
        <v/>
      </c>
      <c r="Q1970" s="3">
        <f>IF(P1970="","",IF(P1970&lt;-0.02,"🔴 Bán phá giá sàn",IF(P1970&gt;0.05,"🔵 Bán cao hơn","🟢 Đúng giá sàn TMĐT")))</f>
        <v/>
      </c>
      <c r="R1970" s="3" t="n"/>
      <c r="S1970" s="4" t="n"/>
      <c r="T1970" s="4" t="n"/>
    </row>
    <row r="1971">
      <c r="A1971" s="3" t="n">
        <v>1970</v>
      </c>
      <c r="B1971" s="3" t="inlineStr">
        <is>
          <t>DL017</t>
        </is>
      </c>
      <c r="C1971" s="4" t="inlineStr">
        <is>
          <t>Điện máy Việt Nhật</t>
        </is>
      </c>
      <c r="D1971" s="3" t="inlineStr">
        <is>
          <t>HN</t>
        </is>
      </c>
      <c r="E1971" s="3" t="inlineStr">
        <is>
          <t>ĐIỆP</t>
        </is>
      </c>
      <c r="F1971" s="3" t="inlineStr">
        <is>
          <t>Shopee, Tiktok, Lazada, Website bán hàng</t>
        </is>
      </c>
      <c r="G1971" s="4" t="inlineStr">
        <is>
          <t>SHOPEE: https://www.shopee.vn/vietnhat3838 TIKTOK: dienmayvietnhat LAZADA: https://www.lazada.vn/shop/viet-nhat- WEBSITE BÁN HÀNG: https://dienmayvietnhat.vn/</t>
        </is>
      </c>
      <c r="H1971" s="3" t="inlineStr">
        <is>
          <t>KBL4-10350</t>
        </is>
      </c>
      <c r="I1971" s="4" t="inlineStr">
        <is>
          <t>Mũi khoan xuyên tường 4 cạnh KBL4-10*350</t>
        </is>
      </c>
      <c r="J1971" s="3" t="inlineStr">
        <is>
          <t>Cái</t>
        </is>
      </c>
      <c r="K1971" s="5" t="n">
        <v>81000</v>
      </c>
      <c r="L1971" s="5" t="n">
        <v>99000</v>
      </c>
      <c r="M1971" s="6" t="n">
        <v>126000</v>
      </c>
      <c r="N1971" s="5" t="n"/>
      <c r="O1971" s="5">
        <f>IF(AND(ISNUMBER(N1971),ISNUMBER(M1971)),N1971-M1971,"")</f>
        <v/>
      </c>
      <c r="P1971" s="7">
        <f>IF(AND(ISNUMBER(N1971),ISNUMBER(M1971),M1971&gt;0),(N1971-M1971)/M1971,"")</f>
        <v/>
      </c>
      <c r="Q1971" s="3">
        <f>IF(P1971="","",IF(P1971&lt;-0.02,"🔴 Bán phá giá sàn",IF(P1971&gt;0.05,"🔵 Bán cao hơn","🟢 Đúng giá sàn TMĐT")))</f>
        <v/>
      </c>
      <c r="R1971" s="3" t="n"/>
      <c r="S1971" s="4" t="n"/>
      <c r="T1971" s="4" t="n"/>
    </row>
    <row r="1972">
      <c r="A1972" s="3" t="n">
        <v>1971</v>
      </c>
      <c r="B1972" s="3" t="inlineStr">
        <is>
          <t>DL017</t>
        </is>
      </c>
      <c r="C1972" s="4" t="inlineStr">
        <is>
          <t>Điện máy Việt Nhật</t>
        </is>
      </c>
      <c r="D1972" s="3" t="inlineStr">
        <is>
          <t>HN</t>
        </is>
      </c>
      <c r="E1972" s="3" t="inlineStr">
        <is>
          <t>ĐIỆP</t>
        </is>
      </c>
      <c r="F1972" s="3" t="inlineStr">
        <is>
          <t>Shopee, Tiktok, Lazada, Website bán hàng</t>
        </is>
      </c>
      <c r="G1972" s="4" t="inlineStr">
        <is>
          <t>SHOPEE: https://www.shopee.vn/vietnhat3838 TIKTOK: dienmayvietnhat LAZADA: https://www.lazada.vn/shop/viet-nhat- WEBSITE BÁN HÀNG: https://dienmayvietnhat.vn/</t>
        </is>
      </c>
      <c r="H1972" s="3" t="inlineStr">
        <is>
          <t>KBL4-12350</t>
        </is>
      </c>
      <c r="I1972" s="4" t="inlineStr">
        <is>
          <t>Mũi khoan xuyên tường 4 cạnh KBL4-12*350</t>
        </is>
      </c>
      <c r="J1972" s="3" t="inlineStr">
        <is>
          <t>Cái</t>
        </is>
      </c>
      <c r="K1972" s="5" t="n">
        <v>89000</v>
      </c>
      <c r="L1972" s="5" t="n">
        <v>109000</v>
      </c>
      <c r="M1972" s="6" t="n">
        <v>138000</v>
      </c>
      <c r="N1972" s="5" t="n"/>
      <c r="O1972" s="5">
        <f>IF(AND(ISNUMBER(N1972),ISNUMBER(M1972)),N1972-M1972,"")</f>
        <v/>
      </c>
      <c r="P1972" s="7">
        <f>IF(AND(ISNUMBER(N1972),ISNUMBER(M1972),M1972&gt;0),(N1972-M1972)/M1972,"")</f>
        <v/>
      </c>
      <c r="Q1972" s="3">
        <f>IF(P1972="","",IF(P1972&lt;-0.02,"🔴 Bán phá giá sàn",IF(P1972&gt;0.05,"🔵 Bán cao hơn","🟢 Đúng giá sàn TMĐT")))</f>
        <v/>
      </c>
      <c r="R1972" s="3" t="n"/>
      <c r="S1972" s="4" t="n"/>
      <c r="T1972" s="4" t="n"/>
    </row>
    <row r="1973">
      <c r="A1973" s="3" t="n">
        <v>1972</v>
      </c>
      <c r="B1973" s="3" t="inlineStr">
        <is>
          <t>DL017</t>
        </is>
      </c>
      <c r="C1973" s="4" t="inlineStr">
        <is>
          <t>Điện máy Việt Nhật</t>
        </is>
      </c>
      <c r="D1973" s="3" t="inlineStr">
        <is>
          <t>HN</t>
        </is>
      </c>
      <c r="E1973" s="3" t="inlineStr">
        <is>
          <t>ĐIỆP</t>
        </is>
      </c>
      <c r="F1973" s="3" t="inlineStr">
        <is>
          <t>Shopee, Tiktok, Lazada, Website bán hàng</t>
        </is>
      </c>
      <c r="G1973" s="4" t="inlineStr">
        <is>
          <t>SHOPEE: https://www.shopee.vn/vietnhat3838 TIKTOK: dienmayvietnhat LAZADA: https://www.lazada.vn/shop/viet-nhat- WEBSITE BÁN HÀNG: https://dienmayvietnhat.vn/</t>
        </is>
      </c>
      <c r="H1973" s="3" t="inlineStr">
        <is>
          <t>KBL4-16350</t>
        </is>
      </c>
      <c r="I1973" s="4" t="inlineStr">
        <is>
          <t>Mũi khoan xuyên tường 4 cạnh KBL4-16*350</t>
        </is>
      </c>
      <c r="J1973" s="3" t="inlineStr">
        <is>
          <t>Cái</t>
        </is>
      </c>
      <c r="K1973" s="5" t="n">
        <v>126000</v>
      </c>
      <c r="L1973" s="5" t="n">
        <v>154000</v>
      </c>
      <c r="M1973" s="6" t="n">
        <v>195000</v>
      </c>
      <c r="N1973" s="5" t="n"/>
      <c r="O1973" s="5">
        <f>IF(AND(ISNUMBER(N1973),ISNUMBER(M1973)),N1973-M1973,"")</f>
        <v/>
      </c>
      <c r="P1973" s="7">
        <f>IF(AND(ISNUMBER(N1973),ISNUMBER(M1973),M1973&gt;0),(N1973-M1973)/M1973,"")</f>
        <v/>
      </c>
      <c r="Q1973" s="3">
        <f>IF(P1973="","",IF(P1973&lt;-0.02,"🔴 Bán phá giá sàn",IF(P1973&gt;0.05,"🔵 Bán cao hơn","🟢 Đúng giá sàn TMĐT")))</f>
        <v/>
      </c>
      <c r="R1973" s="3" t="n"/>
      <c r="S1973" s="4" t="n"/>
      <c r="T1973" s="4" t="n"/>
    </row>
    <row r="1974">
      <c r="A1974" s="3" t="n">
        <v>1973</v>
      </c>
      <c r="B1974" s="3" t="inlineStr">
        <is>
          <t>DL017</t>
        </is>
      </c>
      <c r="C1974" s="4" t="inlineStr">
        <is>
          <t>Điện máy Việt Nhật</t>
        </is>
      </c>
      <c r="D1974" s="3" t="inlineStr">
        <is>
          <t>HN</t>
        </is>
      </c>
      <c r="E1974" s="3" t="inlineStr">
        <is>
          <t>ĐIỆP</t>
        </is>
      </c>
      <c r="F1974" s="3" t="inlineStr">
        <is>
          <t>Shopee, Tiktok, Lazada, Website bán hàng</t>
        </is>
      </c>
      <c r="G1974" s="4" t="inlineStr">
        <is>
          <t>SHOPEE: https://www.shopee.vn/vietnhat3838 TIKTOK: dienmayvietnhat LAZADA: https://www.lazada.vn/shop/viet-nhat- WEBSITE BÁN HÀNG: https://dienmayvietnhat.vn/</t>
        </is>
      </c>
      <c r="H1974" s="3" t="inlineStr">
        <is>
          <t>KBL4-22350</t>
        </is>
      </c>
      <c r="I1974" s="4" t="inlineStr">
        <is>
          <t>Mũi khoan xuyên tường 4 cạnh KBL4-22*350</t>
        </is>
      </c>
      <c r="J1974" s="3" t="inlineStr">
        <is>
          <t>Cái</t>
        </is>
      </c>
      <c r="K1974" s="5" t="n">
        <v>228000</v>
      </c>
      <c r="L1974" s="5" t="n">
        <v>278000</v>
      </c>
      <c r="M1974" s="6" t="n">
        <v>353000</v>
      </c>
      <c r="N1974" s="5" t="n"/>
      <c r="O1974" s="5">
        <f>IF(AND(ISNUMBER(N1974),ISNUMBER(M1974)),N1974-M1974,"")</f>
        <v/>
      </c>
      <c r="P1974" s="7">
        <f>IF(AND(ISNUMBER(N1974),ISNUMBER(M1974),M1974&gt;0),(N1974-M1974)/M1974,"")</f>
        <v/>
      </c>
      <c r="Q1974" s="3">
        <f>IF(P1974="","",IF(P1974&lt;-0.02,"🔴 Bán phá giá sàn",IF(P1974&gt;0.05,"🔵 Bán cao hơn","🟢 Đúng giá sàn TMĐT")))</f>
        <v/>
      </c>
      <c r="R1974" s="3" t="n"/>
      <c r="S1974" s="4" t="n"/>
      <c r="T1974" s="4" t="n"/>
    </row>
    <row r="1975">
      <c r="A1975" s="3" t="n">
        <v>1974</v>
      </c>
      <c r="B1975" s="3" t="inlineStr">
        <is>
          <t>DL017</t>
        </is>
      </c>
      <c r="C1975" s="4" t="inlineStr">
        <is>
          <t>Điện máy Việt Nhật</t>
        </is>
      </c>
      <c r="D1975" s="3" t="inlineStr">
        <is>
          <t>HN</t>
        </is>
      </c>
      <c r="E1975" s="3" t="inlineStr">
        <is>
          <t>ĐIỆP</t>
        </is>
      </c>
      <c r="F1975" s="3" t="inlineStr">
        <is>
          <t>Shopee, Tiktok, Lazada, Website bán hàng</t>
        </is>
      </c>
      <c r="G1975" s="4" t="inlineStr">
        <is>
          <t>SHOPEE: https://www.shopee.vn/vietnhat3838 TIKTOK: dienmayvietnhat LAZADA: https://www.lazada.vn/shop/viet-nhat- WEBSITE BÁN HÀNG: https://dienmayvietnhat.vn/</t>
        </is>
      </c>
      <c r="H1975" s="3" t="inlineStr">
        <is>
          <t>KBX2-18</t>
        </is>
      </c>
      <c r="I1975" s="4" t="inlineStr">
        <is>
          <t>Mũi khoét gỗ KBX2-18</t>
        </is>
      </c>
      <c r="J1975" s="3" t="inlineStr">
        <is>
          <t>Cái</t>
        </is>
      </c>
      <c r="K1975" s="5" t="n">
        <v>59000</v>
      </c>
      <c r="L1975" s="5" t="n">
        <v>70000</v>
      </c>
      <c r="M1975" s="6" t="n">
        <v>86000</v>
      </c>
      <c r="N1975" s="5" t="n"/>
      <c r="O1975" s="5">
        <f>IF(AND(ISNUMBER(N1975),ISNUMBER(M1975)),N1975-M1975,"")</f>
        <v/>
      </c>
      <c r="P1975" s="7">
        <f>IF(AND(ISNUMBER(N1975),ISNUMBER(M1975),M1975&gt;0),(N1975-M1975)/M1975,"")</f>
        <v/>
      </c>
      <c r="Q1975" s="3">
        <f>IF(P1975="","",IF(P1975&lt;-0.02,"🔴 Bán phá giá sàn",IF(P1975&gt;0.05,"🔵 Bán cao hơn","🟢 Đúng giá sàn TMĐT")))</f>
        <v/>
      </c>
      <c r="R1975" s="3" t="n"/>
      <c r="S1975" s="4" t="n"/>
      <c r="T1975" s="4" t="n"/>
    </row>
    <row r="1976">
      <c r="A1976" s="3" t="n">
        <v>1975</v>
      </c>
      <c r="B1976" s="3" t="inlineStr">
        <is>
          <t>DL017</t>
        </is>
      </c>
      <c r="C1976" s="4" t="inlineStr">
        <is>
          <t>Điện máy Việt Nhật</t>
        </is>
      </c>
      <c r="D1976" s="3" t="inlineStr">
        <is>
          <t>HN</t>
        </is>
      </c>
      <c r="E1976" s="3" t="inlineStr">
        <is>
          <t>ĐIỆP</t>
        </is>
      </c>
      <c r="F1976" s="3" t="inlineStr">
        <is>
          <t>Shopee, Tiktok, Lazada, Website bán hàng</t>
        </is>
      </c>
      <c r="G1976" s="4" t="inlineStr">
        <is>
          <t>SHOPEE: https://www.shopee.vn/vietnhat3838 TIKTOK: dienmayvietnhat LAZADA: https://www.lazada.vn/shop/viet-nhat- WEBSITE BÁN HÀNG: https://dienmayvietnhat.vn/</t>
        </is>
      </c>
      <c r="H1976" s="3" t="inlineStr">
        <is>
          <t>KBX2-40</t>
        </is>
      </c>
      <c r="I1976" s="4" t="inlineStr">
        <is>
          <t>Mũi khoét gỗ KBX2-40</t>
        </is>
      </c>
      <c r="J1976" s="3" t="inlineStr">
        <is>
          <t>Cái</t>
        </is>
      </c>
      <c r="K1976" s="5" t="n">
        <v>133000</v>
      </c>
      <c r="L1976" s="5" t="n">
        <v>157000</v>
      </c>
      <c r="M1976" s="6" t="n">
        <v>193000</v>
      </c>
      <c r="N1976" s="5" t="n"/>
      <c r="O1976" s="5">
        <f>IF(AND(ISNUMBER(N1976),ISNUMBER(M1976)),N1976-M1976,"")</f>
        <v/>
      </c>
      <c r="P1976" s="7">
        <f>IF(AND(ISNUMBER(N1976),ISNUMBER(M1976),M1976&gt;0),(N1976-M1976)/M1976,"")</f>
        <v/>
      </c>
      <c r="Q1976" s="3">
        <f>IF(P1976="","",IF(P1976&lt;-0.02,"🔴 Bán phá giá sàn",IF(P1976&gt;0.05,"🔵 Bán cao hơn","🟢 Đúng giá sàn TMĐT")))</f>
        <v/>
      </c>
      <c r="R1976" s="3" t="n"/>
      <c r="S1976" s="4" t="n"/>
      <c r="T1976" s="4" t="n"/>
    </row>
    <row r="1977">
      <c r="A1977" s="3" t="n">
        <v>1976</v>
      </c>
      <c r="B1977" s="3" t="inlineStr">
        <is>
          <t>DL017</t>
        </is>
      </c>
      <c r="C1977" s="4" t="inlineStr">
        <is>
          <t>Điện máy Việt Nhật</t>
        </is>
      </c>
      <c r="D1977" s="3" t="inlineStr">
        <is>
          <t>HN</t>
        </is>
      </c>
      <c r="E1977" s="3" t="inlineStr">
        <is>
          <t>ĐIỆP</t>
        </is>
      </c>
      <c r="F1977" s="3" t="inlineStr">
        <is>
          <t>Shopee, Tiktok, Lazada, Website bán hàng</t>
        </is>
      </c>
      <c r="G1977" s="4" t="inlineStr">
        <is>
          <t>SHOPEE: https://www.shopee.vn/vietnhat3838 TIKTOK: dienmayvietnhat LAZADA: https://www.lazada.vn/shop/viet-nhat- WEBSITE BÁN HÀNG: https://dienmayvietnhat.vn/</t>
        </is>
      </c>
      <c r="H1977" s="3" t="inlineStr">
        <is>
          <t>KBX2-60</t>
        </is>
      </c>
      <c r="I1977" s="4" t="inlineStr">
        <is>
          <t>Mũi khoét gỗ KBX2-60</t>
        </is>
      </c>
      <c r="J1977" s="3" t="inlineStr">
        <is>
          <t>Cái</t>
        </is>
      </c>
      <c r="K1977" s="5" t="n">
        <v>191000</v>
      </c>
      <c r="L1977" s="5" t="n">
        <v>225000</v>
      </c>
      <c r="M1977" s="6" t="n">
        <v>277000</v>
      </c>
      <c r="N1977" s="5" t="n"/>
      <c r="O1977" s="5">
        <f>IF(AND(ISNUMBER(N1977),ISNUMBER(M1977)),N1977-M1977,"")</f>
        <v/>
      </c>
      <c r="P1977" s="7">
        <f>IF(AND(ISNUMBER(N1977),ISNUMBER(M1977),M1977&gt;0),(N1977-M1977)/M1977,"")</f>
        <v/>
      </c>
      <c r="Q1977" s="3">
        <f>IF(P1977="","",IF(P1977&lt;-0.02,"🔴 Bán phá giá sàn",IF(P1977&gt;0.05,"🔵 Bán cao hơn","🟢 Đúng giá sàn TMĐT")))</f>
        <v/>
      </c>
      <c r="R1977" s="3" t="n"/>
      <c r="S1977" s="4" t="n"/>
      <c r="T1977" s="4" t="n"/>
    </row>
    <row r="1978">
      <c r="A1978" s="3" t="n">
        <v>1977</v>
      </c>
      <c r="B1978" s="3" t="inlineStr">
        <is>
          <t>DL017</t>
        </is>
      </c>
      <c r="C1978" s="4" t="inlineStr">
        <is>
          <t>Điện máy Việt Nhật</t>
        </is>
      </c>
      <c r="D1978" s="3" t="inlineStr">
        <is>
          <t>HN</t>
        </is>
      </c>
      <c r="E1978" s="3" t="inlineStr">
        <is>
          <t>ĐIỆP</t>
        </is>
      </c>
      <c r="F1978" s="3" t="inlineStr">
        <is>
          <t>Shopee, Tiktok, Lazada, Website bán hàng</t>
        </is>
      </c>
      <c r="G1978" s="4" t="inlineStr">
        <is>
          <t>SHOPEE: https://www.shopee.vn/vietnhat3838 TIKTOK: dienmayvietnhat LAZADA: https://www.lazada.vn/shop/viet-nhat- WEBSITE BÁN HÀNG: https://dienmayvietnhat.vn/</t>
        </is>
      </c>
      <c r="H1978" s="3" t="inlineStr">
        <is>
          <t>KBO-ST64</t>
        </is>
      </c>
      <c r="I1978" s="4" t="inlineStr">
        <is>
          <t>Súng bắn đinh bê tông KBO-ST64</t>
        </is>
      </c>
      <c r="J1978" s="3" t="inlineStr">
        <is>
          <t>Cái</t>
        </is>
      </c>
      <c r="K1978" s="5" t="n">
        <v>946000</v>
      </c>
      <c r="L1978" s="5" t="n">
        <v>1097000</v>
      </c>
      <c r="M1978" s="6" t="n">
        <v>1324000</v>
      </c>
      <c r="N1978" s="5" t="n"/>
      <c r="O1978" s="5">
        <f>IF(AND(ISNUMBER(N1978),ISNUMBER(M1978)),N1978-M1978,"")</f>
        <v/>
      </c>
      <c r="P1978" s="7">
        <f>IF(AND(ISNUMBER(N1978),ISNUMBER(M1978),M1978&gt;0),(N1978-M1978)/M1978,"")</f>
        <v/>
      </c>
      <c r="Q1978" s="3">
        <f>IF(P1978="","",IF(P1978&lt;-0.02,"🔴 Bán phá giá sàn",IF(P1978&gt;0.05,"🔵 Bán cao hơn","🟢 Đúng giá sàn TMĐT")))</f>
        <v/>
      </c>
      <c r="R1978" s="3" t="n"/>
      <c r="S1978" s="4" t="n"/>
      <c r="T1978" s="4" t="n"/>
    </row>
    <row r="1979">
      <c r="A1979" s="3" t="n">
        <v>1978</v>
      </c>
      <c r="B1979" s="3" t="inlineStr">
        <is>
          <t>DL017</t>
        </is>
      </c>
      <c r="C1979" s="4" t="inlineStr">
        <is>
          <t>Điện máy Việt Nhật</t>
        </is>
      </c>
      <c r="D1979" s="3" t="inlineStr">
        <is>
          <t>HN</t>
        </is>
      </c>
      <c r="E1979" s="3" t="inlineStr">
        <is>
          <t>ĐIỆP</t>
        </is>
      </c>
      <c r="F1979" s="3" t="inlineStr">
        <is>
          <t>Shopee, Tiktok, Lazada, Website bán hàng</t>
        </is>
      </c>
      <c r="G1979" s="4" t="inlineStr">
        <is>
          <t>SHOPEE: https://www.shopee.vn/vietnhat3838 TIKTOK: dienmayvietnhat LAZADA: https://www.lazada.vn/shop/viet-nhat- WEBSITE BÁN HÀNG: https://dienmayvietnhat.vn/</t>
        </is>
      </c>
      <c r="H1979" s="3" t="inlineStr">
        <is>
          <t>KFF-73</t>
        </is>
      </c>
      <c r="I1979" s="4" t="inlineStr">
        <is>
          <t>Súng bắn đinh bê tông KFF-73</t>
        </is>
      </c>
      <c r="J1979" s="3" t="inlineStr">
        <is>
          <t>Cái</t>
        </is>
      </c>
      <c r="K1979" s="5" t="n">
        <v>660000</v>
      </c>
      <c r="L1979" s="5" t="n">
        <v>739000</v>
      </c>
      <c r="M1979" s="6" t="n">
        <v>858000</v>
      </c>
      <c r="N1979" s="5" t="n"/>
      <c r="O1979" s="5">
        <f>IF(AND(ISNUMBER(N1979),ISNUMBER(M1979)),N1979-M1979,"")</f>
        <v/>
      </c>
      <c r="P1979" s="7">
        <f>IF(AND(ISNUMBER(N1979),ISNUMBER(M1979),M1979&gt;0),(N1979-M1979)/M1979,"")</f>
        <v/>
      </c>
      <c r="Q1979" s="3">
        <f>IF(P1979="","",IF(P1979&lt;-0.02,"🔴 Bán phá giá sàn",IF(P1979&gt;0.05,"🔵 Bán cao hơn","🟢 Đúng giá sàn TMĐT")))</f>
        <v/>
      </c>
      <c r="R1979" s="3" t="n"/>
      <c r="S1979" s="4" t="n"/>
      <c r="T1979" s="4" t="n"/>
    </row>
    <row r="1980">
      <c r="A1980" s="3" t="n">
        <v>1979</v>
      </c>
      <c r="B1980" s="3" t="inlineStr">
        <is>
          <t>DL017</t>
        </is>
      </c>
      <c r="C1980" s="4" t="inlineStr">
        <is>
          <t>Điện máy Việt Nhật</t>
        </is>
      </c>
      <c r="D1980" s="3" t="inlineStr">
        <is>
          <t>HN</t>
        </is>
      </c>
      <c r="E1980" s="3" t="inlineStr">
        <is>
          <t>ĐIỆP</t>
        </is>
      </c>
      <c r="F1980" s="3" t="inlineStr">
        <is>
          <t>Shopee, Tiktok, Lazada, Website bán hàng</t>
        </is>
      </c>
      <c r="G1980" s="4" t="inlineStr">
        <is>
          <t>SHOPEE: https://www.shopee.vn/vietnhat3838 TIKTOK: dienmayvietnhat LAZADA: https://www.lazada.vn/shop/viet-nhat- WEBSITE BÁN HÀNG: https://dienmayvietnhat.vn/</t>
        </is>
      </c>
      <c r="H1980" s="3" t="inlineStr">
        <is>
          <t>KF-201</t>
        </is>
      </c>
      <c r="I1980" s="4" t="inlineStr">
        <is>
          <t>Súng bắn ghim KF-201</t>
        </is>
      </c>
      <c r="J1980" s="3" t="inlineStr">
        <is>
          <t>Cái</t>
        </is>
      </c>
      <c r="K1980" s="5" t="n">
        <v>121000</v>
      </c>
      <c r="L1980" s="5" t="n">
        <v>143000</v>
      </c>
      <c r="M1980" s="6" t="n">
        <v>176000</v>
      </c>
      <c r="N1980" s="5" t="n"/>
      <c r="O1980" s="5">
        <f>IF(AND(ISNUMBER(N1980),ISNUMBER(M1980)),N1980-M1980,"")</f>
        <v/>
      </c>
      <c r="P1980" s="7">
        <f>IF(AND(ISNUMBER(N1980),ISNUMBER(M1980),M1980&gt;0),(N1980-M1980)/M1980,"")</f>
        <v/>
      </c>
      <c r="Q1980" s="3">
        <f>IF(P1980="","",IF(P1980&lt;-0.02,"🔴 Bán phá giá sàn",IF(P1980&gt;0.05,"🔵 Bán cao hơn","🟢 Đúng giá sàn TMĐT")))</f>
        <v/>
      </c>
      <c r="R1980" s="3" t="n"/>
      <c r="S1980" s="4" t="n"/>
      <c r="T1980" s="4" t="n"/>
    </row>
    <row r="1981">
      <c r="A1981" s="3" t="n">
        <v>1980</v>
      </c>
      <c r="B1981" s="3" t="inlineStr">
        <is>
          <t>DL017</t>
        </is>
      </c>
      <c r="C1981" s="4" t="inlineStr">
        <is>
          <t>Điện máy Việt Nhật</t>
        </is>
      </c>
      <c r="D1981" s="3" t="inlineStr">
        <is>
          <t>HN</t>
        </is>
      </c>
      <c r="E1981" s="3" t="inlineStr">
        <is>
          <t>ĐIỆP</t>
        </is>
      </c>
      <c r="F1981" s="3" t="inlineStr">
        <is>
          <t>Shopee, Tiktok, Lazada, Website bán hàng</t>
        </is>
      </c>
      <c r="G1981" s="4" t="inlineStr">
        <is>
          <t>SHOPEE: https://www.shopee.vn/vietnhat3838 TIKTOK: dienmayvietnhat LAZADA: https://www.lazada.vn/shop/viet-nhat- WEBSITE BÁN HÀNG: https://dienmayvietnhat.vn/</t>
        </is>
      </c>
      <c r="H1981" s="3" t="inlineStr">
        <is>
          <t>KHD4212</t>
        </is>
      </c>
      <c r="I1981" s="4" t="inlineStr">
        <is>
          <t>Thùng đựng đồ nghề kèm phụ kiện KHD4212 NEW</t>
        </is>
      </c>
      <c r="J1981" s="3" t="inlineStr">
        <is>
          <t>Cái</t>
        </is>
      </c>
      <c r="K1981" s="5" t="n">
        <v>1996</v>
      </c>
      <c r="L1981" s="5" t="n">
        <v>539000</v>
      </c>
      <c r="M1981" s="6" t="n">
        <v>615000</v>
      </c>
      <c r="N1981" s="5" t="n"/>
      <c r="O1981" s="5">
        <f>IF(AND(ISNUMBER(N1981),ISNUMBER(M1981)),N1981-M1981,"")</f>
        <v/>
      </c>
      <c r="P1981" s="7">
        <f>IF(AND(ISNUMBER(N1981),ISNUMBER(M1981),M1981&gt;0),(N1981-M1981)/M1981,"")</f>
        <v/>
      </c>
      <c r="Q1981" s="3">
        <f>IF(P1981="","",IF(P1981&lt;-0.02,"🔴 Bán phá giá sàn",IF(P1981&gt;0.05,"🔵 Bán cao hơn","🟢 Đúng giá sàn TMĐT")))</f>
        <v/>
      </c>
      <c r="R1981" s="3" t="n"/>
      <c r="S1981" s="4" t="n"/>
      <c r="T1981" s="4" t="n"/>
    </row>
    <row r="1982">
      <c r="A1982" s="3" t="n">
        <v>1981</v>
      </c>
      <c r="B1982" s="3" t="inlineStr">
        <is>
          <t>DL017</t>
        </is>
      </c>
      <c r="C1982" s="4" t="inlineStr">
        <is>
          <t>Điện máy Việt Nhật</t>
        </is>
      </c>
      <c r="D1982" s="3" t="inlineStr">
        <is>
          <t>HN</t>
        </is>
      </c>
      <c r="E1982" s="3" t="inlineStr">
        <is>
          <t>ĐIỆP</t>
        </is>
      </c>
      <c r="F1982" s="3" t="inlineStr">
        <is>
          <t>Shopee, Tiktok, Lazada, Website bán hàng</t>
        </is>
      </c>
      <c r="G1982" s="4" t="inlineStr">
        <is>
          <t>SHOPEE: https://www.shopee.vn/vietnhat3838 TIKTOK: dienmayvietnhat LAZADA: https://www.lazada.vn/shop/viet-nhat- WEBSITE BÁN HÀNG: https://dienmayvietnhat.vn/</t>
        </is>
      </c>
      <c r="H1982" s="3" t="inlineStr">
        <is>
          <t>KHD20</t>
        </is>
      </c>
      <c r="I1982" s="4" t="inlineStr">
        <is>
          <t>Thùng đựng đồ nghề KHD20</t>
        </is>
      </c>
      <c r="J1982" s="3" t="inlineStr">
        <is>
          <t>Cái</t>
        </is>
      </c>
      <c r="K1982" s="5" t="n">
        <v>396000</v>
      </c>
      <c r="L1982" s="5" t="n">
        <v>452000</v>
      </c>
      <c r="M1982" s="6" t="n">
        <v>535000</v>
      </c>
      <c r="N1982" s="5" t="n"/>
      <c r="O1982" s="5">
        <f>IF(AND(ISNUMBER(N1982),ISNUMBER(M1982)),N1982-M1982,"")</f>
        <v/>
      </c>
      <c r="P1982" s="7">
        <f>IF(AND(ISNUMBER(N1982),ISNUMBER(M1982),M1982&gt;0),(N1982-M1982)/M1982,"")</f>
        <v/>
      </c>
      <c r="Q1982" s="3">
        <f>IF(P1982="","",IF(P1982&lt;-0.02,"🔴 Bán phá giá sàn",IF(P1982&gt;0.05,"🔵 Bán cao hơn","🟢 Đúng giá sàn TMĐT")))</f>
        <v/>
      </c>
      <c r="R1982" s="3" t="n"/>
      <c r="S1982" s="4" t="n"/>
      <c r="T1982" s="4" t="n"/>
    </row>
    <row r="1983">
      <c r="A1983" s="3" t="n">
        <v>1982</v>
      </c>
      <c r="B1983" s="3" t="inlineStr">
        <is>
          <t>DL017</t>
        </is>
      </c>
      <c r="C1983" s="4" t="inlineStr">
        <is>
          <t>Điện máy Việt Nhật</t>
        </is>
      </c>
      <c r="D1983" s="3" t="inlineStr">
        <is>
          <t>HN</t>
        </is>
      </c>
      <c r="E1983" s="3" t="inlineStr">
        <is>
          <t>ĐIỆP</t>
        </is>
      </c>
      <c r="F1983" s="3" t="inlineStr">
        <is>
          <t>Shopee, Tiktok, Lazada, Website bán hàng</t>
        </is>
      </c>
      <c r="G1983" s="4" t="inlineStr">
        <is>
          <t>SHOPEE: https://www.shopee.vn/vietnhat3838 TIKTOK: dienmayvietnhat LAZADA: https://www.lazada.vn/shop/viet-nhat- WEBSITE BÁN HÀNG: https://dienmayvietnhat.vn/</t>
        </is>
      </c>
      <c r="H1983" s="3" t="inlineStr">
        <is>
          <t>KHD4212</t>
        </is>
      </c>
      <c r="I1983" s="4" t="inlineStr">
        <is>
          <t>Thùng đựng đồ nghề KHD4212</t>
        </is>
      </c>
      <c r="J1983" s="3" t="inlineStr">
        <is>
          <t>Cái</t>
        </is>
      </c>
      <c r="K1983" s="5" t="n">
        <v>1996</v>
      </c>
      <c r="L1983" s="5" t="n">
        <v>539000</v>
      </c>
      <c r="M1983" s="6" t="n">
        <v>615000</v>
      </c>
      <c r="N1983" s="5" t="n"/>
      <c r="O1983" s="5">
        <f>IF(AND(ISNUMBER(N1983),ISNUMBER(M1983)),N1983-M1983,"")</f>
        <v/>
      </c>
      <c r="P1983" s="7">
        <f>IF(AND(ISNUMBER(N1983),ISNUMBER(M1983),M1983&gt;0),(N1983-M1983)/M1983,"")</f>
        <v/>
      </c>
      <c r="Q1983" s="3">
        <f>IF(P1983="","",IF(P1983&lt;-0.02,"🔴 Bán phá giá sàn",IF(P1983&gt;0.05,"🔵 Bán cao hơn","🟢 Đúng giá sàn TMĐT")))</f>
        <v/>
      </c>
      <c r="R1983" s="3" t="n"/>
      <c r="S1983" s="4" t="n"/>
      <c r="T1983" s="4" t="n"/>
    </row>
    <row r="1984">
      <c r="A1984" s="3" t="n">
        <v>1983</v>
      </c>
      <c r="B1984" s="3" t="inlineStr">
        <is>
          <t>DL017</t>
        </is>
      </c>
      <c r="C1984" s="4" t="inlineStr">
        <is>
          <t>Điện máy Việt Nhật</t>
        </is>
      </c>
      <c r="D1984" s="3" t="inlineStr">
        <is>
          <t>HN</t>
        </is>
      </c>
      <c r="E1984" s="3" t="inlineStr">
        <is>
          <t>ĐIỆP</t>
        </is>
      </c>
      <c r="F1984" s="3" t="inlineStr">
        <is>
          <t>Shopee, Tiktok, Lazada, Website bán hàng</t>
        </is>
      </c>
      <c r="G1984" s="4" t="inlineStr">
        <is>
          <t>SHOPEE: https://www.shopee.vn/vietnhat3838 TIKTOK: dienmayvietnhat LAZADA: https://www.lazada.vn/shop/viet-nhat- WEBSITE BÁN HÀNG: https://dienmayvietnhat.vn/</t>
        </is>
      </c>
      <c r="H1984" s="3" t="inlineStr">
        <is>
          <t>KHD4216</t>
        </is>
      </c>
      <c r="I1984" s="4" t="inlineStr">
        <is>
          <t>Thùng đựng đồ nghề KHD4216</t>
        </is>
      </c>
      <c r="J1984" s="3" t="inlineStr">
        <is>
          <t>Cái</t>
        </is>
      </c>
      <c r="K1984" s="5" t="n">
        <v>2065</v>
      </c>
      <c r="L1984" s="5" t="n">
        <v>484000</v>
      </c>
      <c r="M1984" s="6" t="n">
        <v>552000</v>
      </c>
      <c r="N1984" s="5" t="n"/>
      <c r="O1984" s="5">
        <f>IF(AND(ISNUMBER(N1984),ISNUMBER(M1984)),N1984-M1984,"")</f>
        <v/>
      </c>
      <c r="P1984" s="7">
        <f>IF(AND(ISNUMBER(N1984),ISNUMBER(M1984),M1984&gt;0),(N1984-M1984)/M1984,"")</f>
        <v/>
      </c>
      <c r="Q1984" s="3">
        <f>IF(P1984="","",IF(P1984&lt;-0.02,"🔴 Bán phá giá sàn",IF(P1984&gt;0.05,"🔵 Bán cao hơn","🟢 Đúng giá sàn TMĐT")))</f>
        <v/>
      </c>
      <c r="R1984" s="3" t="n"/>
      <c r="S1984" s="4" t="n"/>
      <c r="T1984" s="4" t="n"/>
    </row>
    <row r="1985">
      <c r="A1985" s="3" t="n">
        <v>1984</v>
      </c>
      <c r="B1985" s="3" t="inlineStr">
        <is>
          <t>DL017</t>
        </is>
      </c>
      <c r="C1985" s="4" t="inlineStr">
        <is>
          <t>Điện máy Việt Nhật</t>
        </is>
      </c>
      <c r="D1985" s="3" t="inlineStr">
        <is>
          <t>HN</t>
        </is>
      </c>
      <c r="E1985" s="3" t="inlineStr">
        <is>
          <t>ĐIỆP</t>
        </is>
      </c>
      <c r="F1985" s="3" t="inlineStr">
        <is>
          <t>Shopee, Tiktok, Lazada, Website bán hàng</t>
        </is>
      </c>
      <c r="G1985" s="4" t="inlineStr">
        <is>
          <t>SHOPEE: https://www.shopee.vn/vietnhat3838 TIKTOK: dienmayvietnhat LAZADA: https://www.lazada.vn/shop/viet-nhat- WEBSITE BÁN HÀNG: https://dienmayvietnhat.vn/</t>
        </is>
      </c>
      <c r="H1985" s="3" t="inlineStr">
        <is>
          <t>KHD4233</t>
        </is>
      </c>
      <c r="I1985" s="4" t="inlineStr">
        <is>
          <t>Thùng đựng đồ nghề KHD4233</t>
        </is>
      </c>
      <c r="J1985" s="3" t="inlineStr">
        <is>
          <t>Cái</t>
        </is>
      </c>
      <c r="K1985" s="5" t="n">
        <v>269000</v>
      </c>
      <c r="L1985" s="5" t="n">
        <v>317000</v>
      </c>
      <c r="M1985" s="6" t="n">
        <v>390000</v>
      </c>
      <c r="N1985" s="5" t="n"/>
      <c r="O1985" s="5">
        <f>IF(AND(ISNUMBER(N1985),ISNUMBER(M1985)),N1985-M1985,"")</f>
        <v/>
      </c>
      <c r="P1985" s="7">
        <f>IF(AND(ISNUMBER(N1985),ISNUMBER(M1985),M1985&gt;0),(N1985-M1985)/M1985,"")</f>
        <v/>
      </c>
      <c r="Q1985" s="3">
        <f>IF(P1985="","",IF(P1985&lt;-0.02,"🔴 Bán phá giá sàn",IF(P1985&gt;0.05,"🔵 Bán cao hơn","🟢 Đúng giá sàn TMĐT")))</f>
        <v/>
      </c>
      <c r="R1985" s="3" t="n"/>
      <c r="S1985" s="4" t="n"/>
      <c r="T1985" s="4" t="n"/>
    </row>
    <row r="1986">
      <c r="A1986" s="3" t="n">
        <v>1985</v>
      </c>
      <c r="B1986" s="3" t="inlineStr">
        <is>
          <t>DL017</t>
        </is>
      </c>
      <c r="C1986" s="4" t="inlineStr">
        <is>
          <t>Điện máy Việt Nhật</t>
        </is>
      </c>
      <c r="D1986" s="3" t="inlineStr">
        <is>
          <t>HN</t>
        </is>
      </c>
      <c r="E1986" s="3" t="inlineStr">
        <is>
          <t>ĐIỆP</t>
        </is>
      </c>
      <c r="F1986" s="3" t="inlineStr">
        <is>
          <t>Shopee, Tiktok, Lazada, Website bán hàng</t>
        </is>
      </c>
      <c r="G1986" s="4" t="inlineStr">
        <is>
          <t>SHOPEE: https://www.shopee.vn/vietnhat3838 TIKTOK: dienmayvietnhat LAZADA: https://www.lazada.vn/shop/viet-nhat- WEBSITE BÁN HÀNG: https://dienmayvietnhat.vn/</t>
        </is>
      </c>
      <c r="H1986" s="3" t="inlineStr">
        <is>
          <t>MD-80.25</t>
        </is>
      </c>
      <c r="I1986" s="4" t="inlineStr">
        <is>
          <t>Thước Cuộn tự hãm MD-80.25</t>
        </is>
      </c>
      <c r="J1986" s="3" t="inlineStr">
        <is>
          <t>Cái</t>
        </is>
      </c>
      <c r="K1986" s="5" t="n">
        <v>81000</v>
      </c>
      <c r="L1986" s="5" t="n">
        <v>96000</v>
      </c>
      <c r="M1986" s="6" t="n">
        <v>118000</v>
      </c>
      <c r="N1986" s="5" t="n"/>
      <c r="O1986" s="5">
        <f>IF(AND(ISNUMBER(N1986),ISNUMBER(M1986)),N1986-M1986,"")</f>
        <v/>
      </c>
      <c r="P1986" s="7">
        <f>IF(AND(ISNUMBER(N1986),ISNUMBER(M1986),M1986&gt;0),(N1986-M1986)/M1986,"")</f>
        <v/>
      </c>
      <c r="Q1986" s="3">
        <f>IF(P1986="","",IF(P1986&lt;-0.02,"🔴 Bán phá giá sàn",IF(P1986&gt;0.05,"🔵 Bán cao hơn","🟢 Đúng giá sàn TMĐT")))</f>
        <v/>
      </c>
      <c r="R1986" s="3" t="n"/>
      <c r="S1986" s="4" t="n"/>
      <c r="T1986" s="4" t="n"/>
    </row>
    <row r="1987">
      <c r="A1987" s="3" t="n">
        <v>1986</v>
      </c>
      <c r="B1987" s="3" t="inlineStr">
        <is>
          <t>DL017</t>
        </is>
      </c>
      <c r="C1987" s="4" t="inlineStr">
        <is>
          <t>Điện máy Việt Nhật</t>
        </is>
      </c>
      <c r="D1987" s="3" t="inlineStr">
        <is>
          <t>HN</t>
        </is>
      </c>
      <c r="E1987" s="3" t="inlineStr">
        <is>
          <t>ĐIỆP</t>
        </is>
      </c>
      <c r="F1987" s="3" t="inlineStr">
        <is>
          <t>Shopee, Tiktok, Lazada, Website bán hàng</t>
        </is>
      </c>
      <c r="G1987" s="4" t="inlineStr">
        <is>
          <t>SHOPEE: https://www.shopee.vn/vietnhat3838 TIKTOK: dienmayvietnhat LAZADA: https://www.lazada.vn/shop/viet-nhat- WEBSITE BÁN HÀNG: https://dienmayvietnhat.vn/</t>
        </is>
      </c>
      <c r="H1987" s="3" t="inlineStr">
        <is>
          <t>KNZ-80R</t>
        </is>
      </c>
      <c r="I1987" s="4" t="inlineStr">
        <is>
          <t>Thước đo khoảng cách laser KNZ-80R</t>
        </is>
      </c>
      <c r="J1987" s="3" t="inlineStr">
        <is>
          <t>Cái</t>
        </is>
      </c>
      <c r="K1987" s="5" t="n">
        <v>269000</v>
      </c>
      <c r="L1987" s="5" t="n">
        <v>317000</v>
      </c>
      <c r="M1987" s="6" t="n">
        <v>390000</v>
      </c>
      <c r="N1987" s="5" t="n"/>
      <c r="O1987" s="5">
        <f>IF(AND(ISNUMBER(N1987),ISNUMBER(M1987)),N1987-M1987,"")</f>
        <v/>
      </c>
      <c r="P1987" s="7">
        <f>IF(AND(ISNUMBER(N1987),ISNUMBER(M1987),M1987&gt;0),(N1987-M1987)/M1987,"")</f>
        <v/>
      </c>
      <c r="Q1987" s="3">
        <f>IF(P1987="","",IF(P1987&lt;-0.02,"🔴 Bán phá giá sàn",IF(P1987&gt;0.05,"🔵 Bán cao hơn","🟢 Đúng giá sàn TMĐT")))</f>
        <v/>
      </c>
      <c r="R1987" s="3" t="n"/>
      <c r="S1987" s="4" t="n"/>
      <c r="T1987" s="4" t="n"/>
    </row>
    <row r="1988">
      <c r="A1988" s="3" t="n">
        <v>1987</v>
      </c>
      <c r="B1988" s="3" t="inlineStr">
        <is>
          <t>DL017</t>
        </is>
      </c>
      <c r="C1988" s="4" t="inlineStr">
        <is>
          <t>Điện máy Việt Nhật</t>
        </is>
      </c>
      <c r="D1988" s="3" t="inlineStr">
        <is>
          <t>HN</t>
        </is>
      </c>
      <c r="E1988" s="3" t="inlineStr">
        <is>
          <t>ĐIỆP</t>
        </is>
      </c>
      <c r="F1988" s="3" t="inlineStr">
        <is>
          <t>Shopee, Tiktok, Lazada, Website bán hàng</t>
        </is>
      </c>
      <c r="G1988" s="4" t="inlineStr">
        <is>
          <t>SHOPEE: https://www.shopee.vn/vietnhat3838 TIKTOK: dienmayvietnhat LAZADA: https://www.lazada.vn/shop/viet-nhat- WEBSITE BÁN HÀNG: https://dienmayvietnhat.vn/</t>
        </is>
      </c>
      <c r="H1988" s="3" t="inlineStr"/>
      <c r="I1988" s="4" t="inlineStr">
        <is>
          <t>Thước thủy công nghiệp KTT- 50B</t>
        </is>
      </c>
      <c r="J1988" s="3" t="inlineStr">
        <is>
          <t>Cái</t>
        </is>
      </c>
      <c r="K1988" s="5" t="n">
        <v>269000</v>
      </c>
      <c r="L1988" s="5" t="n">
        <v>317000</v>
      </c>
      <c r="M1988" s="6" t="n">
        <v>390000</v>
      </c>
      <c r="N1988" s="5" t="n"/>
      <c r="O1988" s="5">
        <f>IF(AND(ISNUMBER(N1988),ISNUMBER(M1988)),N1988-M1988,"")</f>
        <v/>
      </c>
      <c r="P1988" s="7">
        <f>IF(AND(ISNUMBER(N1988),ISNUMBER(M1988),M1988&gt;0),(N1988-M1988)/M1988,"")</f>
        <v/>
      </c>
      <c r="Q1988" s="3">
        <f>IF(P1988="","",IF(P1988&lt;-0.02,"🔴 Bán phá giá sàn",IF(P1988&gt;0.05,"🔵 Bán cao hơn","🟢 Đúng giá sàn TMĐT")))</f>
        <v/>
      </c>
      <c r="R1988" s="3" t="n"/>
      <c r="S1988" s="4" t="n"/>
      <c r="T1988" s="4" t="n"/>
    </row>
    <row r="1989">
      <c r="A1989" s="3" t="n">
        <v>1988</v>
      </c>
      <c r="B1989" s="3" t="inlineStr">
        <is>
          <t>DL017</t>
        </is>
      </c>
      <c r="C1989" s="4" t="inlineStr">
        <is>
          <t>Điện máy Việt Nhật</t>
        </is>
      </c>
      <c r="D1989" s="3" t="inlineStr">
        <is>
          <t>HN</t>
        </is>
      </c>
      <c r="E1989" s="3" t="inlineStr">
        <is>
          <t>ĐIỆP</t>
        </is>
      </c>
      <c r="F1989" s="3" t="inlineStr">
        <is>
          <t>Shopee, Tiktok, Lazada, Website bán hàng</t>
        </is>
      </c>
      <c r="G1989" s="4" t="inlineStr">
        <is>
          <t>SHOPEE: https://www.shopee.vn/vietnhat3838 TIKTOK: dienmayvietnhat LAZADA: https://www.lazada.vn/shop/viet-nhat- WEBSITE BÁN HÀNG: https://dienmayvietnhat.vn/</t>
        </is>
      </c>
      <c r="H1989" s="3" t="inlineStr">
        <is>
          <t>KTT-40B</t>
        </is>
      </c>
      <c r="I1989" s="4" t="inlineStr">
        <is>
          <t>Thước thủy công nghiệp KTT-40B</t>
        </is>
      </c>
      <c r="J1989" s="3" t="inlineStr">
        <is>
          <t>Cái</t>
        </is>
      </c>
      <c r="K1989" s="5" t="n">
        <v>132000</v>
      </c>
      <c r="L1989" s="5" t="n">
        <v>156000</v>
      </c>
      <c r="M1989" s="6" t="n">
        <v>191000</v>
      </c>
      <c r="N1989" s="5" t="n"/>
      <c r="O1989" s="5">
        <f>IF(AND(ISNUMBER(N1989),ISNUMBER(M1989)),N1989-M1989,"")</f>
        <v/>
      </c>
      <c r="P1989" s="7">
        <f>IF(AND(ISNUMBER(N1989),ISNUMBER(M1989),M1989&gt;0),(N1989-M1989)/M1989,"")</f>
        <v/>
      </c>
      <c r="Q1989" s="3">
        <f>IF(P1989="","",IF(P1989&lt;-0.02,"🔴 Bán phá giá sàn",IF(P1989&gt;0.05,"🔵 Bán cao hơn","🟢 Đúng giá sàn TMĐT")))</f>
        <v/>
      </c>
      <c r="R1989" s="3" t="n"/>
      <c r="S1989" s="4" t="n"/>
      <c r="T1989" s="4" t="n"/>
    </row>
    <row r="1990">
      <c r="A1990" s="3" t="n">
        <v>1989</v>
      </c>
      <c r="B1990" s="3" t="inlineStr">
        <is>
          <t>DL017</t>
        </is>
      </c>
      <c r="C1990" s="4" t="inlineStr">
        <is>
          <t>Điện máy Việt Nhật</t>
        </is>
      </c>
      <c r="D1990" s="3" t="inlineStr">
        <is>
          <t>HN</t>
        </is>
      </c>
      <c r="E1990" s="3" t="inlineStr">
        <is>
          <t>ĐIỆP</t>
        </is>
      </c>
      <c r="F1990" s="3" t="inlineStr">
        <is>
          <t>Shopee, Tiktok, Lazada, Website bán hàng</t>
        </is>
      </c>
      <c r="G1990" s="4" t="inlineStr">
        <is>
          <t>SHOPEE: https://www.shopee.vn/vietnhat3838 TIKTOK: dienmayvietnhat LAZADA: https://www.lazada.vn/shop/viet-nhat- WEBSITE BÁN HÀNG: https://dienmayvietnhat.vn/</t>
        </is>
      </c>
      <c r="H1990" s="3" t="inlineStr">
        <is>
          <t>KTT-60B</t>
        </is>
      </c>
      <c r="I1990" s="4" t="inlineStr">
        <is>
          <t>Thước thủy công nghiệp KTT-60B</t>
        </is>
      </c>
      <c r="J1990" s="3" t="inlineStr">
        <is>
          <t>Cái</t>
        </is>
      </c>
      <c r="K1990" s="5" t="n">
        <v>182000</v>
      </c>
      <c r="L1990" s="5" t="n">
        <v>215000</v>
      </c>
      <c r="M1990" s="6" t="n">
        <v>264000</v>
      </c>
      <c r="N1990" s="5" t="n"/>
      <c r="O1990" s="5">
        <f>IF(AND(ISNUMBER(N1990),ISNUMBER(M1990)),N1990-M1990,"")</f>
        <v/>
      </c>
      <c r="P1990" s="7">
        <f>IF(AND(ISNUMBER(N1990),ISNUMBER(M1990),M1990&gt;0),(N1990-M1990)/M1990,"")</f>
        <v/>
      </c>
      <c r="Q1990" s="3">
        <f>IF(P1990="","",IF(P1990&lt;-0.02,"🔴 Bán phá giá sàn",IF(P1990&gt;0.05,"🔵 Bán cao hơn","🟢 Đúng giá sàn TMĐT")))</f>
        <v/>
      </c>
      <c r="R1990" s="3" t="n"/>
      <c r="S1990" s="4" t="n"/>
      <c r="T1990" s="4" t="n"/>
    </row>
    <row r="1991">
      <c r="A1991" s="3" t="n">
        <v>1990</v>
      </c>
      <c r="B1991" s="3" t="inlineStr">
        <is>
          <t>DL017</t>
        </is>
      </c>
      <c r="C1991" s="4" t="inlineStr">
        <is>
          <t>Điện máy Việt Nhật</t>
        </is>
      </c>
      <c r="D1991" s="3" t="inlineStr">
        <is>
          <t>HN</t>
        </is>
      </c>
      <c r="E1991" s="3" t="inlineStr">
        <is>
          <t>ĐIỆP</t>
        </is>
      </c>
      <c r="F1991" s="3" t="inlineStr">
        <is>
          <t>Shopee, Tiktok, Lazada, Website bán hàng</t>
        </is>
      </c>
      <c r="G1991" s="4" t="inlineStr">
        <is>
          <t>SHOPEE: https://www.shopee.vn/vietnhat3838 TIKTOK: dienmayvietnhat LAZADA: https://www.lazada.vn/shop/viet-nhat- WEBSITE BÁN HÀNG: https://dienmayvietnhat.vn/</t>
        </is>
      </c>
      <c r="H1991" s="3" t="inlineStr">
        <is>
          <t>KTT-45A</t>
        </is>
      </c>
      <c r="I1991" s="4" t="inlineStr">
        <is>
          <t>Thước thủy KTT-45A</t>
        </is>
      </c>
      <c r="J1991" s="3" t="inlineStr">
        <is>
          <t>Cái</t>
        </is>
      </c>
      <c r="K1991" s="5" t="n">
        <v>101000</v>
      </c>
      <c r="L1991" s="5" t="n">
        <v>119000</v>
      </c>
      <c r="M1991" s="6" t="n">
        <v>147000</v>
      </c>
      <c r="N1991" s="5" t="n"/>
      <c r="O1991" s="5">
        <f>IF(AND(ISNUMBER(N1991),ISNUMBER(M1991)),N1991-M1991,"")</f>
        <v/>
      </c>
      <c r="P1991" s="7">
        <f>IF(AND(ISNUMBER(N1991),ISNUMBER(M1991),M1991&gt;0),(N1991-M1991)/M1991,"")</f>
        <v/>
      </c>
      <c r="Q1991" s="3">
        <f>IF(P1991="","",IF(P1991&lt;-0.02,"🔴 Bán phá giá sàn",IF(P1991&gt;0.05,"🔵 Bán cao hơn","🟢 Đúng giá sàn TMĐT")))</f>
        <v/>
      </c>
      <c r="R1991" s="3" t="n"/>
      <c r="S1991" s="4" t="n"/>
      <c r="T1991" s="4" t="n"/>
    </row>
    <row r="1992">
      <c r="A1992" s="3" t="n">
        <v>1991</v>
      </c>
      <c r="B1992" s="3" t="inlineStr">
        <is>
          <t>DL017</t>
        </is>
      </c>
      <c r="C1992" s="4" t="inlineStr">
        <is>
          <t>Điện máy Việt Nhật</t>
        </is>
      </c>
      <c r="D1992" s="3" t="inlineStr">
        <is>
          <t>HN</t>
        </is>
      </c>
      <c r="E1992" s="3" t="inlineStr">
        <is>
          <t>ĐIỆP</t>
        </is>
      </c>
      <c r="F1992" s="3" t="inlineStr">
        <is>
          <t>Shopee, Tiktok, Lazada, Website bán hàng</t>
        </is>
      </c>
      <c r="G1992" s="4" t="inlineStr">
        <is>
          <t>SHOPEE: https://www.shopee.vn/vietnhat3838 TIKTOK: dienmayvietnhat LAZADA: https://www.lazada.vn/shop/viet-nhat- WEBSITE BÁN HÀNG: https://dienmayvietnhat.vn/</t>
        </is>
      </c>
      <c r="H1992" s="3" t="inlineStr">
        <is>
          <t>KV4-638</t>
        </is>
      </c>
      <c r="I1992" s="4" t="inlineStr">
        <is>
          <t>Tuốc nơ vít tự động 3 chức năng S2 KV4-6*38</t>
        </is>
      </c>
      <c r="J1992" s="3" t="inlineStr">
        <is>
          <t>Cái</t>
        </is>
      </c>
      <c r="K1992" s="5" t="n">
        <v>68000</v>
      </c>
      <c r="L1992" s="5" t="n">
        <v>80000</v>
      </c>
      <c r="M1992" s="6" t="n">
        <v>99000</v>
      </c>
      <c r="N1992" s="5" t="n"/>
      <c r="O1992" s="5">
        <f>IF(AND(ISNUMBER(N1992),ISNUMBER(M1992)),N1992-M1992,"")</f>
        <v/>
      </c>
      <c r="P1992" s="7">
        <f>IF(AND(ISNUMBER(N1992),ISNUMBER(M1992),M1992&gt;0),(N1992-M1992)/M1992,"")</f>
        <v/>
      </c>
      <c r="Q1992" s="3">
        <f>IF(P1992="","",IF(P1992&lt;-0.02,"🔴 Bán phá giá sàn",IF(P1992&gt;0.05,"🔵 Bán cao hơn","🟢 Đúng giá sàn TMĐT")))</f>
        <v/>
      </c>
      <c r="R1992" s="3" t="n"/>
      <c r="S1992" s="4" t="n"/>
      <c r="T1992" s="4" t="n"/>
    </row>
    <row r="1993">
      <c r="A1993" s="3" t="n">
        <v>1992</v>
      </c>
      <c r="B1993" s="3" t="inlineStr">
        <is>
          <t>DL018</t>
        </is>
      </c>
      <c r="C1993" s="4" t="inlineStr">
        <is>
          <t>Điện máy Tâm Hường</t>
        </is>
      </c>
      <c r="D1993" s="3" t="inlineStr">
        <is>
          <t>HN</t>
        </is>
      </c>
      <c r="E1993" s="3" t="inlineStr">
        <is>
          <t>Lan</t>
        </is>
      </c>
      <c r="F1993" s="3" t="inlineStr">
        <is>
          <t>Shopee</t>
        </is>
      </c>
      <c r="G1993" s="4" t="inlineStr">
        <is>
          <t>SHOPEE: https://s.shopee.vn/20wElaG2Vc , https://s.shopee.vn/5fpX8CWOkJ TIKTOK: LAZADA: WEBSITE BÁN HÀNG:</t>
        </is>
      </c>
      <c r="H1993" s="3" t="inlineStr">
        <is>
          <t>K12000</t>
        </is>
      </c>
      <c r="I1993" s="4" t="inlineStr">
        <is>
          <t>Bộ bơm lốp, kích bình đa năng K12000</t>
        </is>
      </c>
      <c r="J1993" s="3" t="inlineStr">
        <is>
          <t>Cái</t>
        </is>
      </c>
      <c r="K1993" s="5" t="n">
        <v>269000</v>
      </c>
      <c r="L1993" s="5" t="n">
        <v>317000</v>
      </c>
      <c r="M1993" s="6" t="n">
        <v>390000</v>
      </c>
      <c r="N1993" s="5" t="n"/>
      <c r="O1993" s="5">
        <f>IF(AND(ISNUMBER(N1993),ISNUMBER(M1993)),N1993-M1993,"")</f>
        <v/>
      </c>
      <c r="P1993" s="7">
        <f>IF(AND(ISNUMBER(N1993),ISNUMBER(M1993),M1993&gt;0),(N1993-M1993)/M1993,"")</f>
        <v/>
      </c>
      <c r="Q1993" s="3">
        <f>IF(P1993="","",IF(P1993&lt;-0.02,"🔴 Bán phá giá sàn",IF(P1993&gt;0.05,"🔵 Bán cao hơn","🟢 Đúng giá sàn TMĐT")))</f>
        <v/>
      </c>
      <c r="R1993" s="3" t="n"/>
      <c r="S1993" s="4" t="n"/>
      <c r="T1993" s="4" t="n"/>
    </row>
    <row r="1994">
      <c r="A1994" s="3" t="n">
        <v>1993</v>
      </c>
      <c r="B1994" s="3" t="inlineStr">
        <is>
          <t>DL018</t>
        </is>
      </c>
      <c r="C1994" s="4" t="inlineStr">
        <is>
          <t>Điện máy Tâm Hường</t>
        </is>
      </c>
      <c r="D1994" s="3" t="inlineStr">
        <is>
          <t>HN</t>
        </is>
      </c>
      <c r="E1994" s="3" t="inlineStr">
        <is>
          <t>Lan</t>
        </is>
      </c>
      <c r="F1994" s="3" t="inlineStr">
        <is>
          <t>Shopee</t>
        </is>
      </c>
      <c r="G1994" s="4" t="inlineStr">
        <is>
          <t>SHOPEE: https://s.shopee.vn/20wElaG2Vc , https://s.shopee.vn/5fpX8CWOkJ TIKTOK: LAZADA: WEBSITE BÁN HÀNG:</t>
        </is>
      </c>
      <c r="H1994" s="3" t="inlineStr">
        <is>
          <t>KL7-09</t>
        </is>
      </c>
      <c r="I1994" s="4" t="inlineStr">
        <is>
          <t>Bộ lục giác KL7-09 ( đầu bi)</t>
        </is>
      </c>
      <c r="J1994" s="3" t="inlineStr">
        <is>
          <t>Cái</t>
        </is>
      </c>
      <c r="K1994" s="5" t="n">
        <v>269000</v>
      </c>
      <c r="L1994" s="5" t="n">
        <v>317000</v>
      </c>
      <c r="M1994" s="6" t="n">
        <v>390000</v>
      </c>
      <c r="N1994" s="5" t="n"/>
      <c r="O1994" s="5">
        <f>IF(AND(ISNUMBER(N1994),ISNUMBER(M1994)),N1994-M1994,"")</f>
        <v/>
      </c>
      <c r="P1994" s="7">
        <f>IF(AND(ISNUMBER(N1994),ISNUMBER(M1994),M1994&gt;0),(N1994-M1994)/M1994,"")</f>
        <v/>
      </c>
      <c r="Q1994" s="3">
        <f>IF(P1994="","",IF(P1994&lt;-0.02,"🔴 Bán phá giá sàn",IF(P1994&gt;0.05,"🔵 Bán cao hơn","🟢 Đúng giá sàn TMĐT")))</f>
        <v/>
      </c>
      <c r="R1994" s="3" t="n"/>
      <c r="S1994" s="4" t="n"/>
      <c r="T1994" s="4" t="n"/>
    </row>
    <row r="1995">
      <c r="A1995" s="3" t="n">
        <v>1994</v>
      </c>
      <c r="B1995" s="3" t="inlineStr">
        <is>
          <t>DL018</t>
        </is>
      </c>
      <c r="C1995" s="4" t="inlineStr">
        <is>
          <t>Điện máy Tâm Hường</t>
        </is>
      </c>
      <c r="D1995" s="3" t="inlineStr">
        <is>
          <t>HN</t>
        </is>
      </c>
      <c r="E1995" s="3" t="inlineStr">
        <is>
          <t>Lan</t>
        </is>
      </c>
      <c r="F1995" s="3" t="inlineStr">
        <is>
          <t>Shopee</t>
        </is>
      </c>
      <c r="G1995" s="4" t="inlineStr">
        <is>
          <t>SHOPEE: https://s.shopee.vn/20wElaG2Vc , https://s.shopee.vn/5fpX8CWOkJ TIKTOK: LAZADA: WEBSITE BÁN HÀNG:</t>
        </is>
      </c>
      <c r="H1995" s="3" t="inlineStr">
        <is>
          <t>KLJ015</t>
        </is>
      </c>
      <c r="I1995" s="4" t="inlineStr">
        <is>
          <t>Bộ mũi khoan King Blue KLJ015</t>
        </is>
      </c>
      <c r="J1995" s="3" t="inlineStr">
        <is>
          <t>Cái</t>
        </is>
      </c>
      <c r="K1995" s="5" t="n">
        <v>269000</v>
      </c>
      <c r="L1995" s="5" t="n">
        <v>317000</v>
      </c>
      <c r="M1995" s="6" t="n">
        <v>390000</v>
      </c>
      <c r="N1995" s="5" t="n"/>
      <c r="O1995" s="5">
        <f>IF(AND(ISNUMBER(N1995),ISNUMBER(M1995)),N1995-M1995,"")</f>
        <v/>
      </c>
      <c r="P1995" s="7">
        <f>IF(AND(ISNUMBER(N1995),ISNUMBER(M1995),M1995&gt;0),(N1995-M1995)/M1995,"")</f>
        <v/>
      </c>
      <c r="Q1995" s="3">
        <f>IF(P1995="","",IF(P1995&lt;-0.02,"🔴 Bán phá giá sàn",IF(P1995&gt;0.05,"🔵 Bán cao hơn","🟢 Đúng giá sàn TMĐT")))</f>
        <v/>
      </c>
      <c r="R1995" s="3" t="n"/>
      <c r="S1995" s="4" t="n"/>
      <c r="T1995" s="4" t="n"/>
    </row>
    <row r="1996">
      <c r="A1996" s="3" t="n">
        <v>1995</v>
      </c>
      <c r="B1996" s="3" t="inlineStr">
        <is>
          <t>DL018</t>
        </is>
      </c>
      <c r="C1996" s="4" t="inlineStr">
        <is>
          <t>Điện máy Tâm Hường</t>
        </is>
      </c>
      <c r="D1996" s="3" t="inlineStr">
        <is>
          <t>HN</t>
        </is>
      </c>
      <c r="E1996" s="3" t="inlineStr">
        <is>
          <t>Lan</t>
        </is>
      </c>
      <c r="F1996" s="3" t="inlineStr">
        <is>
          <t>Shopee</t>
        </is>
      </c>
      <c r="G1996" s="4" t="inlineStr">
        <is>
          <t>SHOPEE: https://s.shopee.vn/20wElaG2Vc , https://s.shopee.vn/5fpX8CWOkJ TIKTOK: LAZADA: WEBSITE BÁN HÀNG:</t>
        </is>
      </c>
      <c r="H1996" s="3" t="inlineStr">
        <is>
          <t>KB-05X</t>
        </is>
      </c>
      <c r="I1996" s="4" t="inlineStr">
        <is>
          <t>Chân máy laser KB-05X</t>
        </is>
      </c>
      <c r="J1996" s="3" t="inlineStr">
        <is>
          <t>Cái</t>
        </is>
      </c>
      <c r="K1996" s="5" t="n">
        <v>1350000</v>
      </c>
      <c r="L1996" s="5" t="n">
        <v>1510000</v>
      </c>
      <c r="M1996" s="6" t="n">
        <v>1760000</v>
      </c>
      <c r="N1996" s="5" t="n"/>
      <c r="O1996" s="5">
        <f>IF(AND(ISNUMBER(N1996),ISNUMBER(M1996)),N1996-M1996,"")</f>
        <v/>
      </c>
      <c r="P1996" s="7">
        <f>IF(AND(ISNUMBER(N1996),ISNUMBER(M1996),M1996&gt;0),(N1996-M1996)/M1996,"")</f>
        <v/>
      </c>
      <c r="Q1996" s="3">
        <f>IF(P1996="","",IF(P1996&lt;-0.02,"🔴 Bán phá giá sàn",IF(P1996&gt;0.05,"🔵 Bán cao hơn","🟢 Đúng giá sàn TMĐT")))</f>
        <v/>
      </c>
      <c r="R1996" s="3" t="n"/>
      <c r="S1996" s="4" t="n"/>
      <c r="T1996" s="4" t="n"/>
    </row>
    <row r="1997">
      <c r="A1997" s="3" t="n">
        <v>1996</v>
      </c>
      <c r="B1997" s="3" t="inlineStr">
        <is>
          <t>DL018</t>
        </is>
      </c>
      <c r="C1997" s="4" t="inlineStr">
        <is>
          <t>Điện máy Tâm Hường</t>
        </is>
      </c>
      <c r="D1997" s="3" t="inlineStr">
        <is>
          <t>HN</t>
        </is>
      </c>
      <c r="E1997" s="3" t="inlineStr">
        <is>
          <t>Lan</t>
        </is>
      </c>
      <c r="F1997" s="3" t="inlineStr">
        <is>
          <t>Shopee</t>
        </is>
      </c>
      <c r="G1997" s="4" t="inlineStr">
        <is>
          <t>SHOPEE: https://s.shopee.vn/20wElaG2Vc , https://s.shopee.vn/5fpX8CWOkJ TIKTOK: LAZADA: WEBSITE BÁN HÀNG:</t>
        </is>
      </c>
      <c r="H1997" s="3" t="inlineStr"/>
      <c r="I1997" s="4" t="inlineStr">
        <is>
          <t>Cò omron Nhật</t>
        </is>
      </c>
      <c r="J1997" s="3" t="inlineStr">
        <is>
          <t>Cái</t>
        </is>
      </c>
      <c r="K1997" s="5" t="n">
        <v>269000</v>
      </c>
      <c r="L1997" s="5" t="n">
        <v>317000</v>
      </c>
      <c r="M1997" s="6" t="n">
        <v>390000</v>
      </c>
      <c r="N1997" s="5" t="n"/>
      <c r="O1997" s="5">
        <f>IF(AND(ISNUMBER(N1997),ISNUMBER(M1997)),N1997-M1997,"")</f>
        <v/>
      </c>
      <c r="P1997" s="7">
        <f>IF(AND(ISNUMBER(N1997),ISNUMBER(M1997),M1997&gt;0),(N1997-M1997)/M1997,"")</f>
        <v/>
      </c>
      <c r="Q1997" s="3">
        <f>IF(P1997="","",IF(P1997&lt;-0.02,"🔴 Bán phá giá sàn",IF(P1997&gt;0.05,"🔵 Bán cao hơn","🟢 Đúng giá sàn TMĐT")))</f>
        <v/>
      </c>
      <c r="R1997" s="3" t="n"/>
      <c r="S1997" s="4" t="n"/>
      <c r="T1997" s="4" t="n"/>
    </row>
    <row r="1998">
      <c r="A1998" s="3" t="n">
        <v>1997</v>
      </c>
      <c r="B1998" s="3" t="inlineStr">
        <is>
          <t>DL018</t>
        </is>
      </c>
      <c r="C1998" s="4" t="inlineStr">
        <is>
          <t>Điện máy Tâm Hường</t>
        </is>
      </c>
      <c r="D1998" s="3" t="inlineStr">
        <is>
          <t>HN</t>
        </is>
      </c>
      <c r="E1998" s="3" t="inlineStr">
        <is>
          <t>Lan</t>
        </is>
      </c>
      <c r="F1998" s="3" t="inlineStr">
        <is>
          <t>Shopee</t>
        </is>
      </c>
      <c r="G1998" s="4" t="inlineStr">
        <is>
          <t>SHOPEE: https://s.shopee.vn/20wElaG2Vc , https://s.shopee.vn/5fpX8CWOkJ TIKTOK: LAZADA: WEBSITE BÁN HÀNG:</t>
        </is>
      </c>
      <c r="H1998" s="3" t="inlineStr">
        <is>
          <t>MK40-50Nm</t>
        </is>
      </c>
      <c r="I1998" s="4" t="inlineStr">
        <is>
          <t>Cò QA MK40-50Nm</t>
        </is>
      </c>
      <c r="J1998" s="3" t="inlineStr">
        <is>
          <t>Cái</t>
        </is>
      </c>
      <c r="K1998" s="5" t="n">
        <v>269000</v>
      </c>
      <c r="L1998" s="5" t="n">
        <v>317000</v>
      </c>
      <c r="M1998" s="6" t="n">
        <v>390000</v>
      </c>
      <c r="N1998" s="5" t="n"/>
      <c r="O1998" s="5">
        <f>IF(AND(ISNUMBER(N1998),ISNUMBER(M1998)),N1998-M1998,"")</f>
        <v/>
      </c>
      <c r="P1998" s="7">
        <f>IF(AND(ISNUMBER(N1998),ISNUMBER(M1998),M1998&gt;0),(N1998-M1998)/M1998,"")</f>
        <v/>
      </c>
      <c r="Q1998" s="3">
        <f>IF(P1998="","",IF(P1998&lt;-0.02,"🔴 Bán phá giá sàn",IF(P1998&gt;0.05,"🔵 Bán cao hơn","🟢 Đúng giá sàn TMĐT")))</f>
        <v/>
      </c>
      <c r="R1998" s="3" t="n"/>
      <c r="S1998" s="4" t="n"/>
      <c r="T1998" s="4" t="n"/>
    </row>
    <row r="1999">
      <c r="A1999" s="3" t="n">
        <v>1998</v>
      </c>
      <c r="B1999" s="3" t="inlineStr">
        <is>
          <t>DL018</t>
        </is>
      </c>
      <c r="C1999" s="4" t="inlineStr">
        <is>
          <t>Điện máy Tâm Hường</t>
        </is>
      </c>
      <c r="D1999" s="3" t="inlineStr">
        <is>
          <t>HN</t>
        </is>
      </c>
      <c r="E1999" s="3" t="inlineStr">
        <is>
          <t>Lan</t>
        </is>
      </c>
      <c r="F1999" s="3" t="inlineStr">
        <is>
          <t>Shopee</t>
        </is>
      </c>
      <c r="G1999" s="4" t="inlineStr">
        <is>
          <t>SHOPEE: https://s.shopee.vn/20wElaG2Vc , https://s.shopee.vn/5fpX8CWOkJ TIKTOK: LAZADA: WEBSITE BÁN HÀNG:</t>
        </is>
      </c>
      <c r="H1999" s="3" t="inlineStr">
        <is>
          <t>KRS-55N</t>
        </is>
      </c>
      <c r="I1999" s="4" t="inlineStr">
        <is>
          <t>Combo máy khoan 3 Chức Năng 18V K18QES (thân máy + KRS-55N)</t>
        </is>
      </c>
      <c r="J1999" s="3" t="inlineStr">
        <is>
          <t>Cái</t>
        </is>
      </c>
      <c r="K1999" s="5" t="n">
        <v>269000</v>
      </c>
      <c r="L1999" s="5" t="n">
        <v>317000</v>
      </c>
      <c r="M1999" s="6" t="n">
        <v>390000</v>
      </c>
      <c r="N1999" s="5" t="n"/>
      <c r="O1999" s="5">
        <f>IF(AND(ISNUMBER(N1999),ISNUMBER(M1999)),N1999-M1999,"")</f>
        <v/>
      </c>
      <c r="P1999" s="7">
        <f>IF(AND(ISNUMBER(N1999),ISNUMBER(M1999),M1999&gt;0),(N1999-M1999)/M1999,"")</f>
        <v/>
      </c>
      <c r="Q1999" s="3">
        <f>IF(P1999="","",IF(P1999&lt;-0.02,"🔴 Bán phá giá sàn",IF(P1999&gt;0.05,"🔵 Bán cao hơn","🟢 Đúng giá sàn TMĐT")))</f>
        <v/>
      </c>
      <c r="R1999" s="3" t="n"/>
      <c r="S1999" s="4" t="n"/>
      <c r="T1999" s="4" t="n"/>
    </row>
    <row r="2000">
      <c r="A2000" s="3" t="n">
        <v>1999</v>
      </c>
      <c r="B2000" s="3" t="inlineStr">
        <is>
          <t>DL018</t>
        </is>
      </c>
      <c r="C2000" s="4" t="inlineStr">
        <is>
          <t>Điện máy Tâm Hường</t>
        </is>
      </c>
      <c r="D2000" s="3" t="inlineStr">
        <is>
          <t>HN</t>
        </is>
      </c>
      <c r="E2000" s="3" t="inlineStr">
        <is>
          <t>Lan</t>
        </is>
      </c>
      <c r="F2000" s="3" t="inlineStr">
        <is>
          <t>Shopee</t>
        </is>
      </c>
      <c r="G2000" s="4" t="inlineStr">
        <is>
          <t>SHOPEE: https://s.shopee.vn/20wElaG2Vc , https://s.shopee.vn/5fpX8CWOkJ TIKTOK: LAZADA: WEBSITE BÁN HÀNG:</t>
        </is>
      </c>
      <c r="H2000" s="3" t="inlineStr">
        <is>
          <t>KRS-60N</t>
        </is>
      </c>
      <c r="I2000" s="4" t="inlineStr">
        <is>
          <t>Combo máy khoan 3 Chức Năng 18V K18QES (thân máy + KRS-60N)</t>
        </is>
      </c>
      <c r="J2000" s="3" t="inlineStr">
        <is>
          <t>Cái</t>
        </is>
      </c>
      <c r="K2000" s="5" t="n">
        <v>269000</v>
      </c>
      <c r="L2000" s="5" t="n">
        <v>317000</v>
      </c>
      <c r="M2000" s="6" t="n">
        <v>390000</v>
      </c>
      <c r="N2000" s="5" t="n"/>
      <c r="O2000" s="5">
        <f>IF(AND(ISNUMBER(N2000),ISNUMBER(M2000)),N2000-M2000,"")</f>
        <v/>
      </c>
      <c r="P2000" s="7">
        <f>IF(AND(ISNUMBER(N2000),ISNUMBER(M2000),M2000&gt;0),(N2000-M2000)/M2000,"")</f>
        <v/>
      </c>
      <c r="Q2000" s="3">
        <f>IF(P2000="","",IF(P2000&lt;-0.02,"🔴 Bán phá giá sàn",IF(P2000&gt;0.05,"🔵 Bán cao hơn","🟢 Đúng giá sàn TMĐT")))</f>
        <v/>
      </c>
      <c r="R2000" s="3" t="n"/>
      <c r="S2000" s="4" t="n"/>
      <c r="T2000" s="4" t="n"/>
    </row>
    <row r="2001">
      <c r="A2001" s="3" t="n">
        <v>2000</v>
      </c>
      <c r="B2001" s="3" t="inlineStr">
        <is>
          <t>DL018</t>
        </is>
      </c>
      <c r="C2001" s="4" t="inlineStr">
        <is>
          <t>Điện máy Tâm Hường</t>
        </is>
      </c>
      <c r="D2001" s="3" t="inlineStr">
        <is>
          <t>HN</t>
        </is>
      </c>
      <c r="E2001" s="3" t="inlineStr">
        <is>
          <t>Lan</t>
        </is>
      </c>
      <c r="F2001" s="3" t="inlineStr">
        <is>
          <t>Shopee</t>
        </is>
      </c>
      <c r="G2001" s="4" t="inlineStr">
        <is>
          <t>SHOPEE: https://s.shopee.vn/20wElaG2Vc , https://s.shopee.vn/5fpX8CWOkJ TIKTOK: LAZADA: WEBSITE BÁN HÀNG:</t>
        </is>
      </c>
      <c r="H2001" s="3" t="inlineStr">
        <is>
          <t>KPG-032</t>
        </is>
      </c>
      <c r="I2001" s="4" t="inlineStr">
        <is>
          <t>Dao cắt ống kim loại KPG-032</t>
        </is>
      </c>
      <c r="J2001" s="3" t="inlineStr">
        <is>
          <t>Cái</t>
        </is>
      </c>
      <c r="K2001" s="5" t="n">
        <v>259000</v>
      </c>
      <c r="L2001" s="5" t="n">
        <v>306000</v>
      </c>
      <c r="M2001" s="6" t="n">
        <v>376000</v>
      </c>
      <c r="N2001" s="5" t="n"/>
      <c r="O2001" s="5">
        <f>IF(AND(ISNUMBER(N2001),ISNUMBER(M2001)),N2001-M2001,"")</f>
        <v/>
      </c>
      <c r="P2001" s="7">
        <f>IF(AND(ISNUMBER(N2001),ISNUMBER(M2001),M2001&gt;0),(N2001-M2001)/M2001,"")</f>
        <v/>
      </c>
      <c r="Q2001" s="3">
        <f>IF(P2001="","",IF(P2001&lt;-0.02,"🔴 Bán phá giá sàn",IF(P2001&gt;0.05,"🔵 Bán cao hơn","🟢 Đúng giá sàn TMĐT")))</f>
        <v/>
      </c>
      <c r="R2001" s="3" t="n"/>
      <c r="S2001" s="4" t="n"/>
      <c r="T2001" s="4" t="n"/>
    </row>
    <row r="2002">
      <c r="A2002" s="3" t="n">
        <v>2001</v>
      </c>
      <c r="B2002" s="3" t="inlineStr">
        <is>
          <t>DL018</t>
        </is>
      </c>
      <c r="C2002" s="4" t="inlineStr">
        <is>
          <t>Điện máy Tâm Hường</t>
        </is>
      </c>
      <c r="D2002" s="3" t="inlineStr">
        <is>
          <t>HN</t>
        </is>
      </c>
      <c r="E2002" s="3" t="inlineStr">
        <is>
          <t>Lan</t>
        </is>
      </c>
      <c r="F2002" s="3" t="inlineStr">
        <is>
          <t>Shopee</t>
        </is>
      </c>
      <c r="G2002" s="4" t="inlineStr">
        <is>
          <t>SHOPEE: https://s.shopee.vn/20wElaG2Vc , https://s.shopee.vn/5fpX8CWOkJ TIKTOK: LAZADA: WEBSITE BÁN HÀNG:</t>
        </is>
      </c>
      <c r="H2002" s="3" t="inlineStr">
        <is>
          <t>KJH-06</t>
        </is>
      </c>
      <c r="I2002" s="4" t="inlineStr">
        <is>
          <t>Dao rọc cáp đa năng KJH-06</t>
        </is>
      </c>
      <c r="J2002" s="3" t="inlineStr">
        <is>
          <t>Cái</t>
        </is>
      </c>
      <c r="K2002" s="5" t="n">
        <v>171000</v>
      </c>
      <c r="L2002" s="5" t="n">
        <v>202000</v>
      </c>
      <c r="M2002" s="6" t="n">
        <v>248000</v>
      </c>
      <c r="N2002" s="5" t="n"/>
      <c r="O2002" s="5">
        <f>IF(AND(ISNUMBER(N2002),ISNUMBER(M2002)),N2002-M2002,"")</f>
        <v/>
      </c>
      <c r="P2002" s="7">
        <f>IF(AND(ISNUMBER(N2002),ISNUMBER(M2002),M2002&gt;0),(N2002-M2002)/M2002,"")</f>
        <v/>
      </c>
      <c r="Q2002" s="3">
        <f>IF(P2002="","",IF(P2002&lt;-0.02,"🔴 Bán phá giá sàn",IF(P2002&gt;0.05,"🔵 Bán cao hơn","🟢 Đúng giá sàn TMĐT")))</f>
        <v/>
      </c>
      <c r="R2002" s="3" t="n"/>
      <c r="S2002" s="4" t="n"/>
      <c r="T2002" s="4" t="n"/>
    </row>
    <row r="2003">
      <c r="A2003" s="3" t="n">
        <v>2002</v>
      </c>
      <c r="B2003" s="3" t="inlineStr">
        <is>
          <t>DL018</t>
        </is>
      </c>
      <c r="C2003" s="4" t="inlineStr">
        <is>
          <t>Điện máy Tâm Hường</t>
        </is>
      </c>
      <c r="D2003" s="3" t="inlineStr">
        <is>
          <t>HN</t>
        </is>
      </c>
      <c r="E2003" s="3" t="inlineStr">
        <is>
          <t>Lan</t>
        </is>
      </c>
      <c r="F2003" s="3" t="inlineStr">
        <is>
          <t>Shopee</t>
        </is>
      </c>
      <c r="G2003" s="4" t="inlineStr">
        <is>
          <t>SHOPEE: https://s.shopee.vn/20wElaG2Vc , https://s.shopee.vn/5fpX8CWOkJ TIKTOK: LAZADA: WEBSITE BÁN HÀNG:</t>
        </is>
      </c>
      <c r="H2003" s="3" t="inlineStr">
        <is>
          <t>LED750</t>
        </is>
      </c>
      <c r="I2003" s="4" t="inlineStr">
        <is>
          <t>Đèn Led cài áo LED750</t>
        </is>
      </c>
      <c r="J2003" s="3" t="inlineStr">
        <is>
          <t>Cái</t>
        </is>
      </c>
      <c r="K2003" s="5" t="n">
        <v>269000</v>
      </c>
      <c r="L2003" s="5" t="n">
        <v>317000</v>
      </c>
      <c r="M2003" s="6" t="n">
        <v>390000</v>
      </c>
      <c r="N2003" s="5" t="n"/>
      <c r="O2003" s="5">
        <f>IF(AND(ISNUMBER(N2003),ISNUMBER(M2003)),N2003-M2003,"")</f>
        <v/>
      </c>
      <c r="P2003" s="7">
        <f>IF(AND(ISNUMBER(N2003),ISNUMBER(M2003),M2003&gt;0),(N2003-M2003)/M2003,"")</f>
        <v/>
      </c>
      <c r="Q2003" s="3">
        <f>IF(P2003="","",IF(P2003&lt;-0.02,"🔴 Bán phá giá sàn",IF(P2003&gt;0.05,"🔵 Bán cao hơn","🟢 Đúng giá sàn TMĐT")))</f>
        <v/>
      </c>
      <c r="R2003" s="3" t="n"/>
      <c r="S2003" s="4" t="n"/>
      <c r="T2003" s="4" t="n"/>
    </row>
    <row r="2004">
      <c r="A2004" s="3" t="n">
        <v>2003</v>
      </c>
      <c r="B2004" s="3" t="inlineStr">
        <is>
          <t>DL018</t>
        </is>
      </c>
      <c r="C2004" s="4" t="inlineStr">
        <is>
          <t>Điện máy Tâm Hường</t>
        </is>
      </c>
      <c r="D2004" s="3" t="inlineStr">
        <is>
          <t>HN</t>
        </is>
      </c>
      <c r="E2004" s="3" t="inlineStr">
        <is>
          <t>Lan</t>
        </is>
      </c>
      <c r="F2004" s="3" t="inlineStr">
        <is>
          <t>Shopee</t>
        </is>
      </c>
      <c r="G2004" s="4" t="inlineStr">
        <is>
          <t>SHOPEE: https://s.shopee.vn/20wElaG2Vc , https://s.shopee.vn/5fpX8CWOkJ TIKTOK: LAZADA: WEBSITE BÁN HÀNG:</t>
        </is>
      </c>
      <c r="H2004" s="3" t="inlineStr">
        <is>
          <t>LED6500</t>
        </is>
      </c>
      <c r="I2004" s="4" t="inlineStr">
        <is>
          <t>Đèn Led công trình dùng pin  LED6500</t>
        </is>
      </c>
      <c r="J2004" s="3" t="inlineStr">
        <is>
          <t>Cái</t>
        </is>
      </c>
      <c r="K2004" s="5" t="n">
        <v>1800000</v>
      </c>
      <c r="L2004" s="5" t="n">
        <v>2052000</v>
      </c>
      <c r="M2004" s="6" t="n">
        <v>2430000</v>
      </c>
      <c r="N2004" s="5" t="n"/>
      <c r="O2004" s="5">
        <f>IF(AND(ISNUMBER(N2004),ISNUMBER(M2004)),N2004-M2004,"")</f>
        <v/>
      </c>
      <c r="P2004" s="7">
        <f>IF(AND(ISNUMBER(N2004),ISNUMBER(M2004),M2004&gt;0),(N2004-M2004)/M2004,"")</f>
        <v/>
      </c>
      <c r="Q2004" s="3">
        <f>IF(P2004="","",IF(P2004&lt;-0.02,"🔴 Bán phá giá sàn",IF(P2004&gt;0.05,"🔵 Bán cao hơn","🟢 Đúng giá sàn TMĐT")))</f>
        <v/>
      </c>
      <c r="R2004" s="3" t="n"/>
      <c r="S2004" s="4" t="n"/>
      <c r="T2004" s="4" t="n"/>
    </row>
    <row r="2005">
      <c r="A2005" s="3" t="n">
        <v>2004</v>
      </c>
      <c r="B2005" s="3" t="inlineStr">
        <is>
          <t>DL018</t>
        </is>
      </c>
      <c r="C2005" s="4" t="inlineStr">
        <is>
          <t>Điện máy Tâm Hường</t>
        </is>
      </c>
      <c r="D2005" s="3" t="inlineStr">
        <is>
          <t>HN</t>
        </is>
      </c>
      <c r="E2005" s="3" t="inlineStr">
        <is>
          <t>Lan</t>
        </is>
      </c>
      <c r="F2005" s="3" t="inlineStr">
        <is>
          <t>Shopee</t>
        </is>
      </c>
      <c r="G2005" s="4" t="inlineStr">
        <is>
          <t>SHOPEE: https://s.shopee.vn/20wElaG2Vc , https://s.shopee.vn/5fpX8CWOkJ TIKTOK: LAZADA: WEBSITE BÁN HÀNG:</t>
        </is>
      </c>
      <c r="H2005" s="3" t="inlineStr">
        <is>
          <t>LED500</t>
        </is>
      </c>
      <c r="I2005" s="4" t="inlineStr">
        <is>
          <t>Đèn Led đội đầu LED500</t>
        </is>
      </c>
      <c r="J2005" s="3" t="inlineStr">
        <is>
          <t>Cái</t>
        </is>
      </c>
      <c r="K2005" s="5" t="n">
        <v>440000</v>
      </c>
      <c r="L2005" s="5" t="n">
        <v>502000</v>
      </c>
      <c r="M2005" s="6" t="n">
        <v>594000</v>
      </c>
      <c r="N2005" s="5" t="n"/>
      <c r="O2005" s="5">
        <f>IF(AND(ISNUMBER(N2005),ISNUMBER(M2005)),N2005-M2005,"")</f>
        <v/>
      </c>
      <c r="P2005" s="7">
        <f>IF(AND(ISNUMBER(N2005),ISNUMBER(M2005),M2005&gt;0),(N2005-M2005)/M2005,"")</f>
        <v/>
      </c>
      <c r="Q2005" s="3">
        <f>IF(P2005="","",IF(P2005&lt;-0.02,"🔴 Bán phá giá sàn",IF(P2005&gt;0.05,"🔵 Bán cao hơn","🟢 Đúng giá sàn TMĐT")))</f>
        <v/>
      </c>
      <c r="R2005" s="3" t="n"/>
      <c r="S2005" s="4" t="n"/>
      <c r="T2005" s="4" t="n"/>
    </row>
    <row r="2006">
      <c r="A2006" s="3" t="n">
        <v>2005</v>
      </c>
      <c r="B2006" s="3" t="inlineStr">
        <is>
          <t>DL018</t>
        </is>
      </c>
      <c r="C2006" s="4" t="inlineStr">
        <is>
          <t>Điện máy Tâm Hường</t>
        </is>
      </c>
      <c r="D2006" s="3" t="inlineStr">
        <is>
          <t>HN</t>
        </is>
      </c>
      <c r="E2006" s="3" t="inlineStr">
        <is>
          <t>Lan</t>
        </is>
      </c>
      <c r="F2006" s="3" t="inlineStr">
        <is>
          <t>Shopee</t>
        </is>
      </c>
      <c r="G2006" s="4" t="inlineStr">
        <is>
          <t>SHOPEE: https://s.shopee.vn/20wElaG2Vc , https://s.shopee.vn/5fpX8CWOkJ TIKTOK: LAZADA: WEBSITE BÁN HÀNG:</t>
        </is>
      </c>
      <c r="H2006" s="3" t="inlineStr">
        <is>
          <t>LED600</t>
        </is>
      </c>
      <c r="I2006" s="4" t="inlineStr">
        <is>
          <t>Đèn Led soi sửa chữa máy móc LED600</t>
        </is>
      </c>
      <c r="J2006" s="3" t="inlineStr">
        <is>
          <t>Cái</t>
        </is>
      </c>
      <c r="K2006" s="5" t="n">
        <v>650000</v>
      </c>
      <c r="L2006" s="5" t="n">
        <v>741000</v>
      </c>
      <c r="M2006" s="6" t="n">
        <v>878000</v>
      </c>
      <c r="N2006" s="5" t="n"/>
      <c r="O2006" s="5">
        <f>IF(AND(ISNUMBER(N2006),ISNUMBER(M2006)),N2006-M2006,"")</f>
        <v/>
      </c>
      <c r="P2006" s="7">
        <f>IF(AND(ISNUMBER(N2006),ISNUMBER(M2006),M2006&gt;0),(N2006-M2006)/M2006,"")</f>
        <v/>
      </c>
      <c r="Q2006" s="3">
        <f>IF(P2006="","",IF(P2006&lt;-0.02,"🔴 Bán phá giá sàn",IF(P2006&gt;0.05,"🔵 Bán cao hơn","🟢 Đúng giá sàn TMĐT")))</f>
        <v/>
      </c>
      <c r="R2006" s="3" t="n"/>
      <c r="S2006" s="4" t="n"/>
      <c r="T2006" s="4" t="n"/>
    </row>
    <row r="2007">
      <c r="A2007" s="3" t="n">
        <v>2006</v>
      </c>
      <c r="B2007" s="3" t="inlineStr">
        <is>
          <t>DL018</t>
        </is>
      </c>
      <c r="C2007" s="4" t="inlineStr">
        <is>
          <t>Điện máy Tâm Hường</t>
        </is>
      </c>
      <c r="D2007" s="3" t="inlineStr">
        <is>
          <t>HN</t>
        </is>
      </c>
      <c r="E2007" s="3" t="inlineStr">
        <is>
          <t>Lan</t>
        </is>
      </c>
      <c r="F2007" s="3" t="inlineStr">
        <is>
          <t>Shopee</t>
        </is>
      </c>
      <c r="G2007" s="4" t="inlineStr">
        <is>
          <t>SHOPEE: https://s.shopee.vn/20wElaG2Vc , https://s.shopee.vn/5fpX8CWOkJ TIKTOK: LAZADA: WEBSITE BÁN HÀNG:</t>
        </is>
      </c>
      <c r="H2007" s="3" t="inlineStr">
        <is>
          <t>500-650Nm</t>
        </is>
      </c>
      <c r="I2007" s="4" t="inlineStr">
        <is>
          <t>Mạch bulong 500-650Nm</t>
        </is>
      </c>
      <c r="J2007" s="3" t="inlineStr">
        <is>
          <t>Cái</t>
        </is>
      </c>
      <c r="K2007" s="5" t="n">
        <v>269000</v>
      </c>
      <c r="L2007" s="5" t="n">
        <v>317000</v>
      </c>
      <c r="M2007" s="6" t="n">
        <v>390000</v>
      </c>
      <c r="N2007" s="5" t="n"/>
      <c r="O2007" s="5">
        <f>IF(AND(ISNUMBER(N2007),ISNUMBER(M2007)),N2007-M2007,"")</f>
        <v/>
      </c>
      <c r="P2007" s="7">
        <f>IF(AND(ISNUMBER(N2007),ISNUMBER(M2007),M2007&gt;0),(N2007-M2007)/M2007,"")</f>
        <v/>
      </c>
      <c r="Q2007" s="3">
        <f>IF(P2007="","",IF(P2007&lt;-0.02,"🔴 Bán phá giá sàn",IF(P2007&gt;0.05,"🔵 Bán cao hơn","🟢 Đúng giá sàn TMĐT")))</f>
        <v/>
      </c>
      <c r="R2007" s="3" t="n"/>
      <c r="S2007" s="4" t="n"/>
      <c r="T2007" s="4" t="n"/>
    </row>
    <row r="2008">
      <c r="A2008" s="3" t="n">
        <v>2007</v>
      </c>
      <c r="B2008" s="3" t="inlineStr">
        <is>
          <t>DL018</t>
        </is>
      </c>
      <c r="C2008" s="4" t="inlineStr">
        <is>
          <t>Điện máy Tâm Hường</t>
        </is>
      </c>
      <c r="D2008" s="3" t="inlineStr">
        <is>
          <t>HN</t>
        </is>
      </c>
      <c r="E2008" s="3" t="inlineStr">
        <is>
          <t>Lan</t>
        </is>
      </c>
      <c r="F2008" s="3" t="inlineStr">
        <is>
          <t>Shopee</t>
        </is>
      </c>
      <c r="G2008" s="4" t="inlineStr">
        <is>
          <t>SHOPEE: https://s.shopee.vn/20wElaG2Vc , https://s.shopee.vn/5fpX8CWOkJ TIKTOK: LAZADA: WEBSITE BÁN HÀNG:</t>
        </is>
      </c>
      <c r="H2008" s="3" t="inlineStr">
        <is>
          <t>KM18QF</t>
        </is>
      </c>
      <c r="I2008" s="4" t="inlineStr">
        <is>
          <t>Mạch máy khoan bê tông KM18QF</t>
        </is>
      </c>
      <c r="J2008" s="3" t="inlineStr">
        <is>
          <t>Cái</t>
        </is>
      </c>
      <c r="K2008" s="5" t="n">
        <v>2110000</v>
      </c>
      <c r="L2008" s="5" t="n">
        <v>2320000</v>
      </c>
      <c r="M2008" s="6" t="n">
        <v>2640000</v>
      </c>
      <c r="N2008" s="5" t="n"/>
      <c r="O2008" s="5">
        <f>IF(AND(ISNUMBER(N2008),ISNUMBER(M2008)),N2008-M2008,"")</f>
        <v/>
      </c>
      <c r="P2008" s="7">
        <f>IF(AND(ISNUMBER(N2008),ISNUMBER(M2008),M2008&gt;0),(N2008-M2008)/M2008,"")</f>
        <v/>
      </c>
      <c r="Q2008" s="3">
        <f>IF(P2008="","",IF(P2008&lt;-0.02,"🔴 Bán phá giá sàn",IF(P2008&gt;0.05,"🔵 Bán cao hơn","🟢 Đúng giá sàn TMĐT")))</f>
        <v/>
      </c>
      <c r="R2008" s="3" t="n"/>
      <c r="S2008" s="4" t="n"/>
      <c r="T2008" s="4" t="n"/>
    </row>
    <row r="2009">
      <c r="A2009" s="3" t="n">
        <v>2008</v>
      </c>
      <c r="B2009" s="3" t="inlineStr">
        <is>
          <t>DL018</t>
        </is>
      </c>
      <c r="C2009" s="4" t="inlineStr">
        <is>
          <t>Điện máy Tâm Hường</t>
        </is>
      </c>
      <c r="D2009" s="3" t="inlineStr">
        <is>
          <t>HN</t>
        </is>
      </c>
      <c r="E2009" s="3" t="inlineStr">
        <is>
          <t>Lan</t>
        </is>
      </c>
      <c r="F2009" s="3" t="inlineStr">
        <is>
          <t>Shopee</t>
        </is>
      </c>
      <c r="G2009" s="4" t="inlineStr">
        <is>
          <t>SHOPEE: https://s.shopee.vn/20wElaG2Vc , https://s.shopee.vn/5fpX8CWOkJ TIKTOK: LAZADA: WEBSITE BÁN HÀNG:</t>
        </is>
      </c>
      <c r="H2009" s="3" t="inlineStr">
        <is>
          <t>K18VFS</t>
        </is>
      </c>
      <c r="I2009" s="4" t="inlineStr">
        <is>
          <t>Máy Bắn Vít 18V K18VFS</t>
        </is>
      </c>
      <c r="J2009" s="3" t="inlineStr">
        <is>
          <t>Cái</t>
        </is>
      </c>
      <c r="K2009" s="5" t="n">
        <v>1540000</v>
      </c>
      <c r="L2009" s="5" t="n">
        <v>1690000</v>
      </c>
      <c r="M2009" s="6" t="n">
        <v>1930000</v>
      </c>
      <c r="N2009" s="5" t="n"/>
      <c r="O2009" s="5">
        <f>IF(AND(ISNUMBER(N2009),ISNUMBER(M2009)),N2009-M2009,"")</f>
        <v/>
      </c>
      <c r="P2009" s="7">
        <f>IF(AND(ISNUMBER(N2009),ISNUMBER(M2009),M2009&gt;0),(N2009-M2009)/M2009,"")</f>
        <v/>
      </c>
      <c r="Q2009" s="3">
        <f>IF(P2009="","",IF(P2009&lt;-0.02,"🔴 Bán phá giá sàn",IF(P2009&gt;0.05,"🔵 Bán cao hơn","🟢 Đúng giá sàn TMĐT")))</f>
        <v/>
      </c>
      <c r="R2009" s="3" t="n"/>
      <c r="S2009" s="4" t="n"/>
      <c r="T2009" s="4" t="n"/>
    </row>
    <row r="2010">
      <c r="A2010" s="3" t="n">
        <v>2009</v>
      </c>
      <c r="B2010" s="3" t="inlineStr">
        <is>
          <t>DL018</t>
        </is>
      </c>
      <c r="C2010" s="4" t="inlineStr">
        <is>
          <t>Điện máy Tâm Hường</t>
        </is>
      </c>
      <c r="D2010" s="3" t="inlineStr">
        <is>
          <t>HN</t>
        </is>
      </c>
      <c r="E2010" s="3" t="inlineStr">
        <is>
          <t>Lan</t>
        </is>
      </c>
      <c r="F2010" s="3" t="inlineStr">
        <is>
          <t>Shopee</t>
        </is>
      </c>
      <c r="G2010" s="4" t="inlineStr">
        <is>
          <t>SHOPEE: https://s.shopee.vn/20wElaG2Vc , https://s.shopee.vn/5fpX8CWOkJ TIKTOK: LAZADA: WEBSITE BÁN HÀNG:</t>
        </is>
      </c>
      <c r="H2010" s="3" t="inlineStr">
        <is>
          <t>KB-02XS</t>
        </is>
      </c>
      <c r="I2010" s="4" t="inlineStr">
        <is>
          <t>Máy cân bằng KB-02XS</t>
        </is>
      </c>
      <c r="J2010" s="3" t="inlineStr">
        <is>
          <t>Cái</t>
        </is>
      </c>
      <c r="K2010" s="5" t="n">
        <v>269000</v>
      </c>
      <c r="L2010" s="5" t="n">
        <v>317000</v>
      </c>
      <c r="M2010" s="6" t="n">
        <v>390000</v>
      </c>
      <c r="N2010" s="5" t="n"/>
      <c r="O2010" s="5">
        <f>IF(AND(ISNUMBER(N2010),ISNUMBER(M2010)),N2010-M2010,"")</f>
        <v/>
      </c>
      <c r="P2010" s="7">
        <f>IF(AND(ISNUMBER(N2010),ISNUMBER(M2010),M2010&gt;0),(N2010-M2010)/M2010,"")</f>
        <v/>
      </c>
      <c r="Q2010" s="3">
        <f>IF(P2010="","",IF(P2010&lt;-0.02,"🔴 Bán phá giá sàn",IF(P2010&gt;0.05,"🔵 Bán cao hơn","🟢 Đúng giá sàn TMĐT")))</f>
        <v/>
      </c>
      <c r="R2010" s="3" t="n"/>
      <c r="S2010" s="4" t="n"/>
      <c r="T2010" s="4" t="n"/>
    </row>
    <row r="2011">
      <c r="A2011" s="3" t="n">
        <v>2010</v>
      </c>
      <c r="B2011" s="3" t="inlineStr">
        <is>
          <t>DL018</t>
        </is>
      </c>
      <c r="C2011" s="4" t="inlineStr">
        <is>
          <t>Điện máy Tâm Hường</t>
        </is>
      </c>
      <c r="D2011" s="3" t="inlineStr">
        <is>
          <t>HN</t>
        </is>
      </c>
      <c r="E2011" s="3" t="inlineStr">
        <is>
          <t>Lan</t>
        </is>
      </c>
      <c r="F2011" s="3" t="inlineStr">
        <is>
          <t>Shopee</t>
        </is>
      </c>
      <c r="G2011" s="4" t="inlineStr">
        <is>
          <t>SHOPEE: https://s.shopee.vn/20wElaG2Vc , https://s.shopee.vn/5fpX8CWOkJ TIKTOK: LAZADA: WEBSITE BÁN HÀNG:</t>
        </is>
      </c>
      <c r="H2011" s="3" t="inlineStr">
        <is>
          <t>KB-05XS</t>
        </is>
      </c>
      <c r="I2011" s="4" t="inlineStr">
        <is>
          <t>Máy cân bằng KB-05XS</t>
        </is>
      </c>
      <c r="J2011" s="3" t="inlineStr">
        <is>
          <t>Cái</t>
        </is>
      </c>
      <c r="K2011" s="5" t="n">
        <v>2090000</v>
      </c>
      <c r="L2011" s="5" t="n">
        <v>2340000</v>
      </c>
      <c r="M2011" s="6" t="n">
        <v>2720000</v>
      </c>
      <c r="N2011" s="5" t="n"/>
      <c r="O2011" s="5">
        <f>IF(AND(ISNUMBER(N2011),ISNUMBER(M2011)),N2011-M2011,"")</f>
        <v/>
      </c>
      <c r="P2011" s="7">
        <f>IF(AND(ISNUMBER(N2011),ISNUMBER(M2011),M2011&gt;0),(N2011-M2011)/M2011,"")</f>
        <v/>
      </c>
      <c r="Q2011" s="3">
        <f>IF(P2011="","",IF(P2011&lt;-0.02,"🔴 Bán phá giá sàn",IF(P2011&gt;0.05,"🔵 Bán cao hơn","🟢 Đúng giá sàn TMĐT")))</f>
        <v/>
      </c>
      <c r="R2011" s="3" t="n"/>
      <c r="S2011" s="4" t="n"/>
      <c r="T2011" s="4" t="n"/>
    </row>
    <row r="2012">
      <c r="A2012" s="3" t="n">
        <v>2011</v>
      </c>
      <c r="B2012" s="3" t="inlineStr">
        <is>
          <t>DL018</t>
        </is>
      </c>
      <c r="C2012" s="4" t="inlineStr">
        <is>
          <t>Điện máy Tâm Hường</t>
        </is>
      </c>
      <c r="D2012" s="3" t="inlineStr">
        <is>
          <t>HN</t>
        </is>
      </c>
      <c r="E2012" s="3" t="inlineStr">
        <is>
          <t>Lan</t>
        </is>
      </c>
      <c r="F2012" s="3" t="inlineStr">
        <is>
          <t>Shopee</t>
        </is>
      </c>
      <c r="G2012" s="4" t="inlineStr">
        <is>
          <t>SHOPEE: https://s.shopee.vn/20wElaG2Vc , https://s.shopee.vn/5fpX8CWOkJ TIKTOK: LAZADA: WEBSITE BÁN HÀNG:</t>
        </is>
      </c>
      <c r="H2012" s="3" t="inlineStr">
        <is>
          <t>KB-2.5CFM</t>
        </is>
      </c>
      <c r="I2012" s="4" t="inlineStr">
        <is>
          <t>Máy hút chân không dùng pin KingBlue KB-2.5CFM</t>
        </is>
      </c>
      <c r="J2012" s="3" t="inlineStr">
        <is>
          <t>Cái</t>
        </is>
      </c>
      <c r="K2012" s="5" t="n">
        <v>269000</v>
      </c>
      <c r="L2012" s="5" t="n">
        <v>317000</v>
      </c>
      <c r="M2012" s="6" t="n">
        <v>390000</v>
      </c>
      <c r="N2012" s="5" t="n"/>
      <c r="O2012" s="5">
        <f>IF(AND(ISNUMBER(N2012),ISNUMBER(M2012)),N2012-M2012,"")</f>
        <v/>
      </c>
      <c r="P2012" s="7">
        <f>IF(AND(ISNUMBER(N2012),ISNUMBER(M2012),M2012&gt;0),(N2012-M2012)/M2012,"")</f>
        <v/>
      </c>
      <c r="Q2012" s="3">
        <f>IF(P2012="","",IF(P2012&lt;-0.02,"🔴 Bán phá giá sàn",IF(P2012&gt;0.05,"🔵 Bán cao hơn","🟢 Đúng giá sàn TMĐT")))</f>
        <v/>
      </c>
      <c r="R2012" s="3" t="n"/>
      <c r="S2012" s="4" t="n"/>
      <c r="T2012" s="4" t="n"/>
    </row>
    <row r="2013">
      <c r="A2013" s="3" t="n">
        <v>2012</v>
      </c>
      <c r="B2013" s="3" t="inlineStr">
        <is>
          <t>DL018</t>
        </is>
      </c>
      <c r="C2013" s="4" t="inlineStr">
        <is>
          <t>Điện máy Tâm Hường</t>
        </is>
      </c>
      <c r="D2013" s="3" t="inlineStr">
        <is>
          <t>HN</t>
        </is>
      </c>
      <c r="E2013" s="3" t="inlineStr">
        <is>
          <t>Lan</t>
        </is>
      </c>
      <c r="F2013" s="3" t="inlineStr">
        <is>
          <t>Shopee</t>
        </is>
      </c>
      <c r="G2013" s="4" t="inlineStr">
        <is>
          <t>SHOPEE: https://s.shopee.vn/20wElaG2Vc , https://s.shopee.vn/5fpX8CWOkJ TIKTOK: LAZADA: WEBSITE BÁN HÀNG:</t>
        </is>
      </c>
      <c r="H2013" s="3" t="inlineStr">
        <is>
          <t>K18QES</t>
        </is>
      </c>
      <c r="I2013" s="4" t="inlineStr">
        <is>
          <t>Máy Khoan 3 Chức Năng 18V K18QES</t>
        </is>
      </c>
      <c r="J2013" s="3" t="inlineStr">
        <is>
          <t>Cái</t>
        </is>
      </c>
      <c r="K2013" s="5" t="n">
        <v>2380000</v>
      </c>
      <c r="L2013" s="5" t="n">
        <v>2610000</v>
      </c>
      <c r="M2013" s="6" t="n">
        <v>2970000</v>
      </c>
      <c r="N2013" s="5" t="n"/>
      <c r="O2013" s="5">
        <f>IF(AND(ISNUMBER(N2013),ISNUMBER(M2013)),N2013-M2013,"")</f>
        <v/>
      </c>
      <c r="P2013" s="7">
        <f>IF(AND(ISNUMBER(N2013),ISNUMBER(M2013),M2013&gt;0),(N2013-M2013)/M2013,"")</f>
        <v/>
      </c>
      <c r="Q2013" s="3">
        <f>IF(P2013="","",IF(P2013&lt;-0.02,"🔴 Bán phá giá sàn",IF(P2013&gt;0.05,"🔵 Bán cao hơn","🟢 Đúng giá sàn TMĐT")))</f>
        <v/>
      </c>
      <c r="R2013" s="3" t="n"/>
      <c r="S2013" s="4" t="n"/>
      <c r="T2013" s="4" t="n"/>
    </row>
    <row r="2014">
      <c r="A2014" s="3" t="n">
        <v>2013</v>
      </c>
      <c r="B2014" s="3" t="inlineStr">
        <is>
          <t>DL018</t>
        </is>
      </c>
      <c r="C2014" s="4" t="inlineStr">
        <is>
          <t>Điện máy Tâm Hường</t>
        </is>
      </c>
      <c r="D2014" s="3" t="inlineStr">
        <is>
          <t>HN</t>
        </is>
      </c>
      <c r="E2014" s="3" t="inlineStr">
        <is>
          <t>Lan</t>
        </is>
      </c>
      <c r="F2014" s="3" t="inlineStr">
        <is>
          <t>Shopee</t>
        </is>
      </c>
      <c r="G2014" s="4" t="inlineStr">
        <is>
          <t>SHOPEE: https://s.shopee.vn/20wElaG2Vc , https://s.shopee.vn/5fpX8CWOkJ TIKTOK: LAZADA: WEBSITE BÁN HÀNG:</t>
        </is>
      </c>
      <c r="H2014" s="3" t="inlineStr">
        <is>
          <t>K18QFS</t>
        </is>
      </c>
      <c r="I2014" s="4" t="inlineStr">
        <is>
          <t>Máy khoan bê tông 18V K18QFS</t>
        </is>
      </c>
      <c r="J2014" s="3" t="inlineStr">
        <is>
          <t>Cái</t>
        </is>
      </c>
      <c r="K2014" s="5" t="n">
        <v>2110000</v>
      </c>
      <c r="L2014" s="5" t="n">
        <v>2320000</v>
      </c>
      <c r="M2014" s="6" t="n">
        <v>2640000</v>
      </c>
      <c r="N2014" s="5" t="n"/>
      <c r="O2014" s="5">
        <f>IF(AND(ISNUMBER(N2014),ISNUMBER(M2014)),N2014-M2014,"")</f>
        <v/>
      </c>
      <c r="P2014" s="7">
        <f>IF(AND(ISNUMBER(N2014),ISNUMBER(M2014),M2014&gt;0),(N2014-M2014)/M2014,"")</f>
        <v/>
      </c>
      <c r="Q2014" s="3">
        <f>IF(P2014="","",IF(P2014&lt;-0.02,"🔴 Bán phá giá sàn",IF(P2014&gt;0.05,"🔵 Bán cao hơn","🟢 Đúng giá sàn TMĐT")))</f>
        <v/>
      </c>
      <c r="R2014" s="3" t="n"/>
      <c r="S2014" s="4" t="n"/>
      <c r="T2014" s="4" t="n"/>
    </row>
    <row r="2015">
      <c r="A2015" s="3" t="n">
        <v>2014</v>
      </c>
      <c r="B2015" s="3" t="inlineStr">
        <is>
          <t>DL018</t>
        </is>
      </c>
      <c r="C2015" s="4" t="inlineStr">
        <is>
          <t>Điện máy Tâm Hường</t>
        </is>
      </c>
      <c r="D2015" s="3" t="inlineStr">
        <is>
          <t>HN</t>
        </is>
      </c>
      <c r="E2015" s="3" t="inlineStr">
        <is>
          <t>Lan</t>
        </is>
      </c>
      <c r="F2015" s="3" t="inlineStr">
        <is>
          <t>Shopee</t>
        </is>
      </c>
      <c r="G2015" s="4" t="inlineStr">
        <is>
          <t>SHOPEE: https://s.shopee.vn/20wElaG2Vc , https://s.shopee.vn/5fpX8CWOkJ TIKTOK: LAZADA: WEBSITE BÁN HÀNG:</t>
        </is>
      </c>
      <c r="H2015" s="3" t="inlineStr">
        <is>
          <t>KM18QB</t>
        </is>
      </c>
      <c r="I2015" s="4" t="inlineStr">
        <is>
          <t>Máy Khoan Pin 18V KM18QB</t>
        </is>
      </c>
      <c r="J2015" s="3" t="inlineStr">
        <is>
          <t>Cái</t>
        </is>
      </c>
      <c r="K2015" s="5" t="n">
        <v>920000</v>
      </c>
      <c r="L2015" s="5" t="n">
        <v>1020000</v>
      </c>
      <c r="M2015" s="6" t="n">
        <v>1160000</v>
      </c>
      <c r="N2015" s="5" t="n"/>
      <c r="O2015" s="5">
        <f>IF(AND(ISNUMBER(N2015),ISNUMBER(M2015)),N2015-M2015,"")</f>
        <v/>
      </c>
      <c r="P2015" s="7">
        <f>IF(AND(ISNUMBER(N2015),ISNUMBER(M2015),M2015&gt;0),(N2015-M2015)/M2015,"")</f>
        <v/>
      </c>
      <c r="Q2015" s="3">
        <f>IF(P2015="","",IF(P2015&lt;-0.02,"🔴 Bán phá giá sàn",IF(P2015&gt;0.05,"🔵 Bán cao hơn","🟢 Đúng giá sàn TMĐT")))</f>
        <v/>
      </c>
      <c r="R2015" s="3" t="n"/>
      <c r="S2015" s="4" t="n"/>
      <c r="T2015" s="4" t="n"/>
    </row>
    <row r="2016">
      <c r="A2016" s="3" t="n">
        <v>2015</v>
      </c>
      <c r="B2016" s="3" t="inlineStr">
        <is>
          <t>DL018</t>
        </is>
      </c>
      <c r="C2016" s="4" t="inlineStr">
        <is>
          <t>Điện máy Tâm Hường</t>
        </is>
      </c>
      <c r="D2016" s="3" t="inlineStr">
        <is>
          <t>HN</t>
        </is>
      </c>
      <c r="E2016" s="3" t="inlineStr">
        <is>
          <t>Lan</t>
        </is>
      </c>
      <c r="F2016" s="3" t="inlineStr">
        <is>
          <t>Shopee</t>
        </is>
      </c>
      <c r="G2016" s="4" t="inlineStr">
        <is>
          <t>SHOPEE: https://s.shopee.vn/20wElaG2Vc , https://s.shopee.vn/5fpX8CWOkJ TIKTOK: LAZADA: WEBSITE BÁN HÀNG:</t>
        </is>
      </c>
      <c r="H2016" s="3" t="inlineStr">
        <is>
          <t>K18MGS</t>
        </is>
      </c>
      <c r="I2016" s="4" t="inlineStr">
        <is>
          <t>Máy Mài Góc 18V K18MGS</t>
        </is>
      </c>
      <c r="J2016" s="3" t="inlineStr">
        <is>
          <t>Cái</t>
        </is>
      </c>
      <c r="K2016" s="5" t="n">
        <v>1340000</v>
      </c>
      <c r="L2016" s="5" t="n">
        <v>1480000</v>
      </c>
      <c r="M2016" s="6" t="n">
        <v>1680000</v>
      </c>
      <c r="N2016" s="5" t="n"/>
      <c r="O2016" s="5">
        <f>IF(AND(ISNUMBER(N2016),ISNUMBER(M2016)),N2016-M2016,"")</f>
        <v/>
      </c>
      <c r="P2016" s="7">
        <f>IF(AND(ISNUMBER(N2016),ISNUMBER(M2016),M2016&gt;0),(N2016-M2016)/M2016,"")</f>
        <v/>
      </c>
      <c r="Q2016" s="3">
        <f>IF(P2016="","",IF(P2016&lt;-0.02,"🔴 Bán phá giá sàn",IF(P2016&gt;0.05,"🔵 Bán cao hơn","🟢 Đúng giá sàn TMĐT")))</f>
        <v/>
      </c>
      <c r="R2016" s="3" t="n"/>
      <c r="S2016" s="4" t="n"/>
      <c r="T2016" s="4" t="n"/>
    </row>
    <row r="2017">
      <c r="A2017" s="3" t="n">
        <v>2016</v>
      </c>
      <c r="B2017" s="3" t="inlineStr">
        <is>
          <t>DL018</t>
        </is>
      </c>
      <c r="C2017" s="4" t="inlineStr">
        <is>
          <t>Điện máy Tâm Hường</t>
        </is>
      </c>
      <c r="D2017" s="3" t="inlineStr">
        <is>
          <t>HN</t>
        </is>
      </c>
      <c r="E2017" s="3" t="inlineStr">
        <is>
          <t>Lan</t>
        </is>
      </c>
      <c r="F2017" s="3" t="inlineStr">
        <is>
          <t>Shopee</t>
        </is>
      </c>
      <c r="G2017" s="4" t="inlineStr">
        <is>
          <t>SHOPEE: https://s.shopee.vn/20wElaG2Vc , https://s.shopee.vn/5fpX8CWOkJ TIKTOK: LAZADA: WEBSITE BÁN HÀNG:</t>
        </is>
      </c>
      <c r="H2017" s="3" t="inlineStr">
        <is>
          <t>KBA-UL1200</t>
        </is>
      </c>
      <c r="I2017" s="4" t="inlineStr">
        <is>
          <t>Máy rửa xe áp lực cao KBA-UL1200</t>
        </is>
      </c>
      <c r="J2017" s="3" t="inlineStr">
        <is>
          <t>Cái</t>
        </is>
      </c>
      <c r="K2017" s="5" t="n">
        <v>1290000</v>
      </c>
      <c r="L2017" s="5" t="n">
        <v>1450000</v>
      </c>
      <c r="M2017" s="6" t="n">
        <v>1680000</v>
      </c>
      <c r="N2017" s="5" t="n"/>
      <c r="O2017" s="5">
        <f>IF(AND(ISNUMBER(N2017),ISNUMBER(M2017)),N2017-M2017,"")</f>
        <v/>
      </c>
      <c r="P2017" s="7">
        <f>IF(AND(ISNUMBER(N2017),ISNUMBER(M2017),M2017&gt;0),(N2017-M2017)/M2017,"")</f>
        <v/>
      </c>
      <c r="Q2017" s="3">
        <f>IF(P2017="","",IF(P2017&lt;-0.02,"🔴 Bán phá giá sàn",IF(P2017&gt;0.05,"🔵 Bán cao hơn","🟢 Đúng giá sàn TMĐT")))</f>
        <v/>
      </c>
      <c r="R2017" s="3" t="n"/>
      <c r="S2017" s="4" t="n"/>
      <c r="T2017" s="4" t="n"/>
    </row>
    <row r="2018">
      <c r="A2018" s="3" t="n">
        <v>2017</v>
      </c>
      <c r="B2018" s="3" t="inlineStr">
        <is>
          <t>DL018</t>
        </is>
      </c>
      <c r="C2018" s="4" t="inlineStr">
        <is>
          <t>Điện máy Tâm Hường</t>
        </is>
      </c>
      <c r="D2018" s="3" t="inlineStr">
        <is>
          <t>HN</t>
        </is>
      </c>
      <c r="E2018" s="3" t="inlineStr">
        <is>
          <t>Lan</t>
        </is>
      </c>
      <c r="F2018" s="3" t="inlineStr">
        <is>
          <t>Shopee</t>
        </is>
      </c>
      <c r="G2018" s="4" t="inlineStr">
        <is>
          <t>SHOPEE: https://s.shopee.vn/20wElaG2Vc , https://s.shopee.vn/5fpX8CWOkJ TIKTOK: LAZADA: WEBSITE BÁN HÀNG:</t>
        </is>
      </c>
      <c r="H2018" s="3" t="inlineStr">
        <is>
          <t>KBA-I1500</t>
        </is>
      </c>
      <c r="I2018" s="4" t="inlineStr">
        <is>
          <t>Máy rửa xe KBA-I1500</t>
        </is>
      </c>
      <c r="J2018" s="3" t="inlineStr">
        <is>
          <t>Cái</t>
        </is>
      </c>
      <c r="K2018" s="5" t="n">
        <v>2050000</v>
      </c>
      <c r="L2018" s="5" t="n">
        <v>2300000</v>
      </c>
      <c r="M2018" s="6" t="n">
        <v>2670000</v>
      </c>
      <c r="N2018" s="5" t="n"/>
      <c r="O2018" s="5">
        <f>IF(AND(ISNUMBER(N2018),ISNUMBER(M2018)),N2018-M2018,"")</f>
        <v/>
      </c>
      <c r="P2018" s="7">
        <f>IF(AND(ISNUMBER(N2018),ISNUMBER(M2018),M2018&gt;0),(N2018-M2018)/M2018,"")</f>
        <v/>
      </c>
      <c r="Q2018" s="3">
        <f>IF(P2018="","",IF(P2018&lt;-0.02,"🔴 Bán phá giá sàn",IF(P2018&gt;0.05,"🔵 Bán cao hơn","🟢 Đúng giá sàn TMĐT")))</f>
        <v/>
      </c>
      <c r="R2018" s="3" t="n"/>
      <c r="S2018" s="4" t="n"/>
      <c r="T2018" s="4" t="n"/>
    </row>
    <row r="2019">
      <c r="A2019" s="3" t="n">
        <v>2018</v>
      </c>
      <c r="B2019" s="3" t="inlineStr">
        <is>
          <t>DL018</t>
        </is>
      </c>
      <c r="C2019" s="4" t="inlineStr">
        <is>
          <t>Điện máy Tâm Hường</t>
        </is>
      </c>
      <c r="D2019" s="3" t="inlineStr">
        <is>
          <t>HN</t>
        </is>
      </c>
      <c r="E2019" s="3" t="inlineStr">
        <is>
          <t>Lan</t>
        </is>
      </c>
      <c r="F2019" s="3" t="inlineStr">
        <is>
          <t>Shopee</t>
        </is>
      </c>
      <c r="G2019" s="4" t="inlineStr">
        <is>
          <t>SHOPEE: https://s.shopee.vn/20wElaG2Vc , https://s.shopee.vn/5fpX8CWOkJ TIKTOK: LAZADA: WEBSITE BÁN HÀNG:</t>
        </is>
      </c>
      <c r="H2019" s="3" t="inlineStr">
        <is>
          <t>KBA-US1500</t>
        </is>
      </c>
      <c r="I2019" s="4" t="inlineStr">
        <is>
          <t>Máy rửa xe tiêu âm KBA-US1500</t>
        </is>
      </c>
      <c r="J2019" s="3" t="inlineStr">
        <is>
          <t>Cái</t>
        </is>
      </c>
      <c r="K2019" s="5" t="n">
        <v>1900000</v>
      </c>
      <c r="L2019" s="5" t="n">
        <v>2130000</v>
      </c>
      <c r="M2019" s="6" t="n">
        <v>2470000</v>
      </c>
      <c r="N2019" s="5" t="n"/>
      <c r="O2019" s="5">
        <f>IF(AND(ISNUMBER(N2019),ISNUMBER(M2019)),N2019-M2019,"")</f>
        <v/>
      </c>
      <c r="P2019" s="7">
        <f>IF(AND(ISNUMBER(N2019),ISNUMBER(M2019),M2019&gt;0),(N2019-M2019)/M2019,"")</f>
        <v/>
      </c>
      <c r="Q2019" s="3">
        <f>IF(P2019="","",IF(P2019&lt;-0.02,"🔴 Bán phá giá sàn",IF(P2019&gt;0.05,"🔵 Bán cao hơn","🟢 Đúng giá sàn TMĐT")))</f>
        <v/>
      </c>
      <c r="R2019" s="3" t="n"/>
      <c r="S2019" s="4" t="n"/>
      <c r="T2019" s="4" t="n"/>
    </row>
    <row r="2020">
      <c r="A2020" s="3" t="n">
        <v>2019</v>
      </c>
      <c r="B2020" s="3" t="inlineStr">
        <is>
          <t>DL018</t>
        </is>
      </c>
      <c r="C2020" s="4" t="inlineStr">
        <is>
          <t>Điện máy Tâm Hường</t>
        </is>
      </c>
      <c r="D2020" s="3" t="inlineStr">
        <is>
          <t>HN</t>
        </is>
      </c>
      <c r="E2020" s="3" t="inlineStr">
        <is>
          <t>Lan</t>
        </is>
      </c>
      <c r="F2020" s="3" t="inlineStr">
        <is>
          <t>Shopee</t>
        </is>
      </c>
      <c r="G2020" s="4" t="inlineStr">
        <is>
          <t>SHOPEE: https://s.shopee.vn/20wElaG2Vc , https://s.shopee.vn/5fpX8CWOkJ TIKTOK: LAZADA: WEBSITE BÁN HÀNG:</t>
        </is>
      </c>
      <c r="H2020" s="3" t="inlineStr">
        <is>
          <t>K18SVS</t>
        </is>
      </c>
      <c r="I2020" s="4" t="inlineStr">
        <is>
          <t>Máy siết Bulon 18V 2in1 K18SVS</t>
        </is>
      </c>
      <c r="J2020" s="3" t="inlineStr">
        <is>
          <t>Cái</t>
        </is>
      </c>
      <c r="K2020" s="5" t="n">
        <v>1630000</v>
      </c>
      <c r="L2020" s="5" t="n">
        <v>1790000</v>
      </c>
      <c r="M2020" s="6" t="n">
        <v>2040000</v>
      </c>
      <c r="N2020" s="5" t="n"/>
      <c r="O2020" s="5">
        <f>IF(AND(ISNUMBER(N2020),ISNUMBER(M2020)),N2020-M2020,"")</f>
        <v/>
      </c>
      <c r="P2020" s="7">
        <f>IF(AND(ISNUMBER(N2020),ISNUMBER(M2020),M2020&gt;0),(N2020-M2020)/M2020,"")</f>
        <v/>
      </c>
      <c r="Q2020" s="3">
        <f>IF(P2020="","",IF(P2020&lt;-0.02,"🔴 Bán phá giá sàn",IF(P2020&gt;0.05,"🔵 Bán cao hơn","🟢 Đúng giá sàn TMĐT")))</f>
        <v/>
      </c>
      <c r="R2020" s="3" t="n"/>
      <c r="S2020" s="4" t="n"/>
      <c r="T2020" s="4" t="n"/>
    </row>
    <row r="2021">
      <c r="A2021" s="3" t="n">
        <v>2020</v>
      </c>
      <c r="B2021" s="3" t="inlineStr">
        <is>
          <t>DL018</t>
        </is>
      </c>
      <c r="C2021" s="4" t="inlineStr">
        <is>
          <t>Điện máy Tâm Hường</t>
        </is>
      </c>
      <c r="D2021" s="3" t="inlineStr">
        <is>
          <t>HN</t>
        </is>
      </c>
      <c r="E2021" s="3" t="inlineStr">
        <is>
          <t>Lan</t>
        </is>
      </c>
      <c r="F2021" s="3" t="inlineStr">
        <is>
          <t>Shopee</t>
        </is>
      </c>
      <c r="G2021" s="4" t="inlineStr">
        <is>
          <t>SHOPEE: https://s.shopee.vn/20wElaG2Vc , https://s.shopee.vn/5fpX8CWOkJ TIKTOK: LAZADA: WEBSITE BÁN HÀNG:</t>
        </is>
      </c>
      <c r="H2021" s="3" t="inlineStr">
        <is>
          <t>KM18SD</t>
        </is>
      </c>
      <c r="I2021" s="4" t="inlineStr">
        <is>
          <t>Máy Siết Bulon 18V KM18SD</t>
        </is>
      </c>
      <c r="J2021" s="3" t="inlineStr">
        <is>
          <t>Cái</t>
        </is>
      </c>
      <c r="K2021" s="5" t="n">
        <v>1690000</v>
      </c>
      <c r="L2021" s="5" t="n">
        <v>1860000</v>
      </c>
      <c r="M2021" s="6" t="n">
        <v>2120000</v>
      </c>
      <c r="N2021" s="5" t="n"/>
      <c r="O2021" s="5">
        <f>IF(AND(ISNUMBER(N2021),ISNUMBER(M2021)),N2021-M2021,"")</f>
        <v/>
      </c>
      <c r="P2021" s="7">
        <f>IF(AND(ISNUMBER(N2021),ISNUMBER(M2021),M2021&gt;0),(N2021-M2021)/M2021,"")</f>
        <v/>
      </c>
      <c r="Q2021" s="3">
        <f>IF(P2021="","",IF(P2021&lt;-0.02,"🔴 Bán phá giá sàn",IF(P2021&gt;0.05,"🔵 Bán cao hơn","🟢 Đúng giá sàn TMĐT")))</f>
        <v/>
      </c>
      <c r="R2021" s="3" t="n"/>
      <c r="S2021" s="4" t="n"/>
      <c r="T2021" s="4" t="n"/>
    </row>
    <row r="2022">
      <c r="A2022" s="3" t="n">
        <v>2021</v>
      </c>
      <c r="B2022" s="3" t="inlineStr">
        <is>
          <t>DL018</t>
        </is>
      </c>
      <c r="C2022" s="4" t="inlineStr">
        <is>
          <t>Điện máy Tâm Hường</t>
        </is>
      </c>
      <c r="D2022" s="3" t="inlineStr">
        <is>
          <t>HN</t>
        </is>
      </c>
      <c r="E2022" s="3" t="inlineStr">
        <is>
          <t>Lan</t>
        </is>
      </c>
      <c r="F2022" s="3" t="inlineStr">
        <is>
          <t>Shopee</t>
        </is>
      </c>
      <c r="G2022" s="4" t="inlineStr">
        <is>
          <t>SHOPEE: https://s.shopee.vn/20wElaG2Vc , https://s.shopee.vn/5fpX8CWOkJ TIKTOK: LAZADA: WEBSITE BÁN HÀNG:</t>
        </is>
      </c>
      <c r="H2022" s="3" t="inlineStr">
        <is>
          <t>K18SFS</t>
        </is>
      </c>
      <c r="I2022" s="4" t="inlineStr">
        <is>
          <t>Máy siết bulong 18V K18SFS</t>
        </is>
      </c>
      <c r="J2022" s="3" t="inlineStr">
        <is>
          <t>Cái</t>
        </is>
      </c>
      <c r="K2022" s="5" t="n">
        <v>2620000</v>
      </c>
      <c r="L2022" s="5" t="n">
        <v>2880000</v>
      </c>
      <c r="M2022" s="6" t="n">
        <v>3270000</v>
      </c>
      <c r="N2022" s="5" t="n"/>
      <c r="O2022" s="5">
        <f>IF(AND(ISNUMBER(N2022),ISNUMBER(M2022)),N2022-M2022,"")</f>
        <v/>
      </c>
      <c r="P2022" s="7">
        <f>IF(AND(ISNUMBER(N2022),ISNUMBER(M2022),M2022&gt;0),(N2022-M2022)/M2022,"")</f>
        <v/>
      </c>
      <c r="Q2022" s="3">
        <f>IF(P2022="","",IF(P2022&lt;-0.02,"🔴 Bán phá giá sàn",IF(P2022&gt;0.05,"🔵 Bán cao hơn","🟢 Đúng giá sàn TMĐT")))</f>
        <v/>
      </c>
      <c r="R2022" s="3" t="n"/>
      <c r="S2022" s="4" t="n"/>
      <c r="T2022" s="4" t="n"/>
    </row>
    <row r="2023">
      <c r="A2023" s="3" t="n">
        <v>2022</v>
      </c>
      <c r="B2023" s="3" t="inlineStr">
        <is>
          <t>DL018</t>
        </is>
      </c>
      <c r="C2023" s="4" t="inlineStr">
        <is>
          <t>Điện máy Tâm Hường</t>
        </is>
      </c>
      <c r="D2023" s="3" t="inlineStr">
        <is>
          <t>HN</t>
        </is>
      </c>
      <c r="E2023" s="3" t="inlineStr">
        <is>
          <t>Lan</t>
        </is>
      </c>
      <c r="F2023" s="3" t="inlineStr">
        <is>
          <t>Shopee</t>
        </is>
      </c>
      <c r="G2023" s="4" t="inlineStr">
        <is>
          <t>SHOPEE: https://s.shopee.vn/20wElaG2Vc , https://s.shopee.vn/5fpX8CWOkJ TIKTOK: LAZADA: WEBSITE BÁN HÀNG:</t>
        </is>
      </c>
      <c r="H2023" s="3" t="inlineStr">
        <is>
          <t>K18PLS</t>
        </is>
      </c>
      <c r="I2023" s="4" t="inlineStr">
        <is>
          <t>Máy thổi phản lực 18V K18PLS</t>
        </is>
      </c>
      <c r="J2023" s="3" t="inlineStr">
        <is>
          <t>Cái</t>
        </is>
      </c>
      <c r="K2023" s="5" t="n">
        <v>990000</v>
      </c>
      <c r="L2023" s="5" t="n">
        <v>1090000</v>
      </c>
      <c r="M2023" s="6" t="n">
        <v>1240000</v>
      </c>
      <c r="N2023" s="5" t="n"/>
      <c r="O2023" s="5">
        <f>IF(AND(ISNUMBER(N2023),ISNUMBER(M2023)),N2023-M2023,"")</f>
        <v/>
      </c>
      <c r="P2023" s="7">
        <f>IF(AND(ISNUMBER(N2023),ISNUMBER(M2023),M2023&gt;0),(N2023-M2023)/M2023,"")</f>
        <v/>
      </c>
      <c r="Q2023" s="3">
        <f>IF(P2023="","",IF(P2023&lt;-0.02,"🔴 Bán phá giá sàn",IF(P2023&gt;0.05,"🔵 Bán cao hơn","🟢 Đúng giá sàn TMĐT")))</f>
        <v/>
      </c>
      <c r="R2023" s="3" t="n"/>
      <c r="S2023" s="4" t="n"/>
      <c r="T2023" s="4" t="n"/>
    </row>
    <row r="2024">
      <c r="A2024" s="3" t="n">
        <v>2023</v>
      </c>
      <c r="B2024" s="3" t="inlineStr">
        <is>
          <t>DL018</t>
        </is>
      </c>
      <c r="C2024" s="4" t="inlineStr">
        <is>
          <t>Điện máy Tâm Hường</t>
        </is>
      </c>
      <c r="D2024" s="3" t="inlineStr">
        <is>
          <t>HN</t>
        </is>
      </c>
      <c r="E2024" s="3" t="inlineStr">
        <is>
          <t>Lan</t>
        </is>
      </c>
      <c r="F2024" s="3" t="inlineStr">
        <is>
          <t>Shopee</t>
        </is>
      </c>
      <c r="G2024" s="4" t="inlineStr">
        <is>
          <t>SHOPEE: https://s.shopee.vn/20wElaG2Vc , https://s.shopee.vn/5fpX8CWOkJ TIKTOK: LAZADA: WEBSITE BÁN HÀNG:</t>
        </is>
      </c>
      <c r="H2024" s="3" t="inlineStr"/>
      <c r="I2024" s="4" t="inlineStr">
        <is>
          <t>Mũi định tâm chuôi dài NEW</t>
        </is>
      </c>
      <c r="J2024" s="3" t="inlineStr">
        <is>
          <t>Cái</t>
        </is>
      </c>
      <c r="K2024" s="5" t="n">
        <v>269000</v>
      </c>
      <c r="L2024" s="5" t="n">
        <v>317000</v>
      </c>
      <c r="M2024" s="6" t="n">
        <v>390000</v>
      </c>
      <c r="N2024" s="5" t="n"/>
      <c r="O2024" s="5">
        <f>IF(AND(ISNUMBER(N2024),ISNUMBER(M2024)),N2024-M2024,"")</f>
        <v/>
      </c>
      <c r="P2024" s="7">
        <f>IF(AND(ISNUMBER(N2024),ISNUMBER(M2024),M2024&gt;0),(N2024-M2024)/M2024,"")</f>
        <v/>
      </c>
      <c r="Q2024" s="3">
        <f>IF(P2024="","",IF(P2024&lt;-0.02,"🔴 Bán phá giá sàn",IF(P2024&gt;0.05,"🔵 Bán cao hơn","🟢 Đúng giá sàn TMĐT")))</f>
        <v/>
      </c>
      <c r="R2024" s="3" t="n"/>
      <c r="S2024" s="4" t="n"/>
      <c r="T2024" s="4" t="n"/>
    </row>
    <row r="2025">
      <c r="A2025" s="3" t="n">
        <v>2024</v>
      </c>
      <c r="B2025" s="3" t="inlineStr">
        <is>
          <t>DL018</t>
        </is>
      </c>
      <c r="C2025" s="4" t="inlineStr">
        <is>
          <t>Điện máy Tâm Hường</t>
        </is>
      </c>
      <c r="D2025" s="3" t="inlineStr">
        <is>
          <t>HN</t>
        </is>
      </c>
      <c r="E2025" s="3" t="inlineStr">
        <is>
          <t>Lan</t>
        </is>
      </c>
      <c r="F2025" s="3" t="inlineStr">
        <is>
          <t>Shopee</t>
        </is>
      </c>
      <c r="G2025" s="4" t="inlineStr">
        <is>
          <t>SHOPEE: https://s.shopee.vn/20wElaG2Vc , https://s.shopee.vn/5fpX8CWOkJ TIKTOK: LAZADA: WEBSITE BÁN HÀNG:</t>
        </is>
      </c>
      <c r="H2025" s="3" t="inlineStr"/>
      <c r="I2025" s="4" t="inlineStr">
        <is>
          <t>Mũi định tâm chuôi ngắn kẹp</t>
        </is>
      </c>
      <c r="J2025" s="3" t="inlineStr">
        <is>
          <t>Cái</t>
        </is>
      </c>
      <c r="K2025" s="5" t="n">
        <v>269000</v>
      </c>
      <c r="L2025" s="5" t="n">
        <v>317000</v>
      </c>
      <c r="M2025" s="6" t="n">
        <v>390000</v>
      </c>
      <c r="N2025" s="5" t="n"/>
      <c r="O2025" s="5">
        <f>IF(AND(ISNUMBER(N2025),ISNUMBER(M2025)),N2025-M2025,"")</f>
        <v/>
      </c>
      <c r="P2025" s="7">
        <f>IF(AND(ISNUMBER(N2025),ISNUMBER(M2025),M2025&gt;0),(N2025-M2025)/M2025,"")</f>
        <v/>
      </c>
      <c r="Q2025" s="3">
        <f>IF(P2025="","",IF(P2025&lt;-0.02,"🔴 Bán phá giá sàn",IF(P2025&gt;0.05,"🔵 Bán cao hơn","🟢 Đúng giá sàn TMĐT")))</f>
        <v/>
      </c>
      <c r="R2025" s="3" t="n"/>
      <c r="S2025" s="4" t="n"/>
      <c r="T2025" s="4" t="n"/>
    </row>
    <row r="2026">
      <c r="A2026" s="3" t="n">
        <v>2025</v>
      </c>
      <c r="B2026" s="3" t="inlineStr">
        <is>
          <t>DL018</t>
        </is>
      </c>
      <c r="C2026" s="4" t="inlineStr">
        <is>
          <t>Điện máy Tâm Hường</t>
        </is>
      </c>
      <c r="D2026" s="3" t="inlineStr">
        <is>
          <t>HN</t>
        </is>
      </c>
      <c r="E2026" s="3" t="inlineStr">
        <is>
          <t>Lan</t>
        </is>
      </c>
      <c r="F2026" s="3" t="inlineStr">
        <is>
          <t>Shopee</t>
        </is>
      </c>
      <c r="G2026" s="4" t="inlineStr">
        <is>
          <t>SHOPEE: https://s.shopee.vn/20wElaG2Vc , https://s.shopee.vn/5fpX8CWOkJ TIKTOK: LAZADA: WEBSITE BÁN HÀNG:</t>
        </is>
      </c>
      <c r="H2026" s="3" t="inlineStr">
        <is>
          <t>B2A16</t>
        </is>
      </c>
      <c r="I2026" s="4" t="inlineStr">
        <is>
          <t>Sạc pin B2A16</t>
        </is>
      </c>
      <c r="J2026" s="3" t="inlineStr">
        <is>
          <t>Cái</t>
        </is>
      </c>
      <c r="K2026" s="5" t="n">
        <v>220000</v>
      </c>
      <c r="L2026" s="5" t="n">
        <v>246000</v>
      </c>
      <c r="M2026" s="6" t="n">
        <v>286000</v>
      </c>
      <c r="N2026" s="5" t="n"/>
      <c r="O2026" s="5">
        <f>IF(AND(ISNUMBER(N2026),ISNUMBER(M2026)),N2026-M2026,"")</f>
        <v/>
      </c>
      <c r="P2026" s="7">
        <f>IF(AND(ISNUMBER(N2026),ISNUMBER(M2026),M2026&gt;0),(N2026-M2026)/M2026,"")</f>
        <v/>
      </c>
      <c r="Q2026" s="3">
        <f>IF(P2026="","",IF(P2026&lt;-0.02,"🔴 Bán phá giá sàn",IF(P2026&gt;0.05,"🔵 Bán cao hơn","🟢 Đúng giá sàn TMĐT")))</f>
        <v/>
      </c>
      <c r="R2026" s="3" t="n"/>
      <c r="S2026" s="4" t="n"/>
      <c r="T2026" s="4" t="n"/>
    </row>
    <row r="2027">
      <c r="A2027" s="3" t="n">
        <v>2026</v>
      </c>
      <c r="B2027" s="3" t="inlineStr">
        <is>
          <t>DL018</t>
        </is>
      </c>
      <c r="C2027" s="4" t="inlineStr">
        <is>
          <t>Điện máy Tâm Hường</t>
        </is>
      </c>
      <c r="D2027" s="3" t="inlineStr">
        <is>
          <t>HN</t>
        </is>
      </c>
      <c r="E2027" s="3" t="inlineStr">
        <is>
          <t>Lan</t>
        </is>
      </c>
      <c r="F2027" s="3" t="inlineStr">
        <is>
          <t>Shopee</t>
        </is>
      </c>
      <c r="G2027" s="4" t="inlineStr">
        <is>
          <t>SHOPEE: https://s.shopee.vn/20wElaG2Vc , https://s.shopee.vn/5fpX8CWOkJ TIKTOK: LAZADA: WEBSITE BÁN HÀNG:</t>
        </is>
      </c>
      <c r="H2027" s="3" t="inlineStr">
        <is>
          <t>MD-80.25</t>
        </is>
      </c>
      <c r="I2027" s="4" t="inlineStr">
        <is>
          <t>Thước Cuộn tự hãm MD-80.25</t>
        </is>
      </c>
      <c r="J2027" s="3" t="inlineStr">
        <is>
          <t>Cái</t>
        </is>
      </c>
      <c r="K2027" s="5" t="n">
        <v>81000</v>
      </c>
      <c r="L2027" s="5" t="n">
        <v>96000</v>
      </c>
      <c r="M2027" s="6" t="n">
        <v>118000</v>
      </c>
      <c r="N2027" s="5" t="n"/>
      <c r="O2027" s="5">
        <f>IF(AND(ISNUMBER(N2027),ISNUMBER(M2027)),N2027-M2027,"")</f>
        <v/>
      </c>
      <c r="P2027" s="7">
        <f>IF(AND(ISNUMBER(N2027),ISNUMBER(M2027),M2027&gt;0),(N2027-M2027)/M2027,"")</f>
        <v/>
      </c>
      <c r="Q2027" s="3">
        <f>IF(P2027="","",IF(P2027&lt;-0.02,"🔴 Bán phá giá sàn",IF(P2027&gt;0.05,"🔵 Bán cao hơn","🟢 Đúng giá sàn TMĐT")))</f>
        <v/>
      </c>
      <c r="R2027" s="3" t="n"/>
      <c r="S2027" s="4" t="n"/>
      <c r="T2027" s="4" t="n"/>
    </row>
    <row r="2028">
      <c r="A2028" s="3" t="n">
        <v>2027</v>
      </c>
      <c r="B2028" s="3" t="inlineStr">
        <is>
          <t>DL019</t>
        </is>
      </c>
      <c r="C2028" s="4" t="inlineStr">
        <is>
          <t>Quân- Khánh Hà</t>
        </is>
      </c>
      <c r="D2028" s="3" t="inlineStr">
        <is>
          <t>HN</t>
        </is>
      </c>
      <c r="E2028" s="3" t="inlineStr">
        <is>
          <t>ĐIỆP</t>
        </is>
      </c>
      <c r="F2028" s="3" t="inlineStr">
        <is>
          <t>Tiktok, Shopee</t>
        </is>
      </c>
      <c r="G2028" s="4" t="inlineStr">
        <is>
          <t>SHOPEE: https://s.shopee.vn/5q8xKd1rIl TIKTOK: https://www.tiktok.com/@quandao1212?_r=1&amp;_t=ZS-9AZ3SH7c2xZ LAZADA: WEBSITE BÁN HÀNG:</t>
        </is>
      </c>
      <c r="H2028" s="3" t="inlineStr"/>
      <c r="I2028" s="4" t="inlineStr">
        <is>
          <t>Bộ chuyển đổi chân pin KingBlue</t>
        </is>
      </c>
      <c r="J2028" s="3" t="inlineStr">
        <is>
          <t>Cái</t>
        </is>
      </c>
      <c r="K2028" s="5" t="n">
        <v>269000</v>
      </c>
      <c r="L2028" s="5" t="n">
        <v>317000</v>
      </c>
      <c r="M2028" s="6" t="n">
        <v>390000</v>
      </c>
      <c r="N2028" s="5" t="n"/>
      <c r="O2028" s="5">
        <f>IF(AND(ISNUMBER(N2028),ISNUMBER(M2028)),N2028-M2028,"")</f>
        <v/>
      </c>
      <c r="P2028" s="7">
        <f>IF(AND(ISNUMBER(N2028),ISNUMBER(M2028),M2028&gt;0),(N2028-M2028)/M2028,"")</f>
        <v/>
      </c>
      <c r="Q2028" s="3">
        <f>IF(P2028="","",IF(P2028&lt;-0.02,"🔴 Bán phá giá sàn",IF(P2028&gt;0.05,"🔵 Bán cao hơn","🟢 Đúng giá sàn TMĐT")))</f>
        <v/>
      </c>
      <c r="R2028" s="3" t="n"/>
      <c r="S2028" s="4" t="n"/>
      <c r="T2028" s="4" t="n"/>
    </row>
    <row r="2029">
      <c r="A2029" s="3" t="n">
        <v>2028</v>
      </c>
      <c r="B2029" s="3" t="inlineStr">
        <is>
          <t>DL019</t>
        </is>
      </c>
      <c r="C2029" s="4" t="inlineStr">
        <is>
          <t>Quân- Khánh Hà</t>
        </is>
      </c>
      <c r="D2029" s="3" t="inlineStr">
        <is>
          <t>HN</t>
        </is>
      </c>
      <c r="E2029" s="3" t="inlineStr">
        <is>
          <t>ĐIỆP</t>
        </is>
      </c>
      <c r="F2029" s="3" t="inlineStr">
        <is>
          <t>Tiktok, Shopee</t>
        </is>
      </c>
      <c r="G2029" s="4" t="inlineStr">
        <is>
          <t>SHOPEE: https://s.shopee.vn/5q8xKd1rIl TIKTOK: https://www.tiktok.com/@quandao1212?_r=1&amp;_t=ZS-9AZ3SH7c2xZ LAZADA: WEBSITE BÁN HÀNG:</t>
        </is>
      </c>
      <c r="H2029" s="3" t="inlineStr">
        <is>
          <t>H03LT1722</t>
        </is>
      </c>
      <c r="I2029" s="4" t="inlineStr">
        <is>
          <t>Bộ cờ lê H03LT1722 gồm đầu 17mm và 22mm</t>
        </is>
      </c>
      <c r="J2029" s="3" t="inlineStr">
        <is>
          <t>Cái</t>
        </is>
      </c>
      <c r="K2029" s="5" t="n">
        <v>269000</v>
      </c>
      <c r="L2029" s="5" t="n">
        <v>317000</v>
      </c>
      <c r="M2029" s="6" t="n">
        <v>390000</v>
      </c>
      <c r="N2029" s="5" t="n"/>
      <c r="O2029" s="5">
        <f>IF(AND(ISNUMBER(N2029),ISNUMBER(M2029)),N2029-M2029,"")</f>
        <v/>
      </c>
      <c r="P2029" s="7">
        <f>IF(AND(ISNUMBER(N2029),ISNUMBER(M2029),M2029&gt;0),(N2029-M2029)/M2029,"")</f>
        <v/>
      </c>
      <c r="Q2029" s="3">
        <f>IF(P2029="","",IF(P2029&lt;-0.02,"🔴 Bán phá giá sàn",IF(P2029&gt;0.05,"🔵 Bán cao hơn","🟢 Đúng giá sàn TMĐT")))</f>
        <v/>
      </c>
      <c r="R2029" s="3" t="n"/>
      <c r="S2029" s="4" t="n"/>
      <c r="T2029" s="4" t="n"/>
    </row>
    <row r="2030">
      <c r="A2030" s="3" t="n">
        <v>2029</v>
      </c>
      <c r="B2030" s="3" t="inlineStr">
        <is>
          <t>DL019</t>
        </is>
      </c>
      <c r="C2030" s="4" t="inlineStr">
        <is>
          <t>Quân- Khánh Hà</t>
        </is>
      </c>
      <c r="D2030" s="3" t="inlineStr">
        <is>
          <t>HN</t>
        </is>
      </c>
      <c r="E2030" s="3" t="inlineStr">
        <is>
          <t>ĐIỆP</t>
        </is>
      </c>
      <c r="F2030" s="3" t="inlineStr">
        <is>
          <t>Tiktok, Shopee</t>
        </is>
      </c>
      <c r="G2030" s="4" t="inlineStr">
        <is>
          <t>SHOPEE: https://s.shopee.vn/5q8xKd1rIl TIKTOK: https://www.tiktok.com/@quandao1212?_r=1&amp;_t=ZS-9AZ3SH7c2xZ LAZADA: WEBSITE BÁN HÀNG:</t>
        </is>
      </c>
      <c r="H2030" s="3" t="inlineStr">
        <is>
          <t>KBYT6</t>
        </is>
      </c>
      <c r="I2030" s="4" t="inlineStr">
        <is>
          <t>Bộ lấy ốc gãy KingBlue KBYT6</t>
        </is>
      </c>
      <c r="J2030" s="3" t="inlineStr">
        <is>
          <t>Bộ</t>
        </is>
      </c>
      <c r="K2030" s="5" t="n">
        <v>68000</v>
      </c>
      <c r="L2030" s="5" t="n">
        <v>80000</v>
      </c>
      <c r="M2030" s="6" t="n">
        <v>99000</v>
      </c>
      <c r="N2030" s="5" t="n"/>
      <c r="O2030" s="5">
        <f>IF(AND(ISNUMBER(N2030),ISNUMBER(M2030)),N2030-M2030,"")</f>
        <v/>
      </c>
      <c r="P2030" s="7">
        <f>IF(AND(ISNUMBER(N2030),ISNUMBER(M2030),M2030&gt;0),(N2030-M2030)/M2030,"")</f>
        <v/>
      </c>
      <c r="Q2030" s="3">
        <f>IF(P2030="","",IF(P2030&lt;-0.02,"🔴 Bán phá giá sàn",IF(P2030&gt;0.05,"🔵 Bán cao hơn","🟢 Đúng giá sàn TMĐT")))</f>
        <v/>
      </c>
      <c r="R2030" s="3" t="n"/>
      <c r="S2030" s="4" t="n"/>
      <c r="T2030" s="4" t="n"/>
    </row>
    <row r="2031">
      <c r="A2031" s="3" t="n">
        <v>2030</v>
      </c>
      <c r="B2031" s="3" t="inlineStr">
        <is>
          <t>DL019</t>
        </is>
      </c>
      <c r="C2031" s="4" t="inlineStr">
        <is>
          <t>Quân- Khánh Hà</t>
        </is>
      </c>
      <c r="D2031" s="3" t="inlineStr">
        <is>
          <t>HN</t>
        </is>
      </c>
      <c r="E2031" s="3" t="inlineStr">
        <is>
          <t>ĐIỆP</t>
        </is>
      </c>
      <c r="F2031" s="3" t="inlineStr">
        <is>
          <t>Tiktok, Shopee</t>
        </is>
      </c>
      <c r="G2031" s="4" t="inlineStr">
        <is>
          <t>SHOPEE: https://s.shopee.vn/5q8xKd1rIl TIKTOK: https://www.tiktok.com/@quandao1212?_r=1&amp;_t=ZS-9AZ3SH7c2xZ LAZADA: WEBSITE BÁN HÀNG:</t>
        </is>
      </c>
      <c r="H2031" s="3" t="inlineStr">
        <is>
          <t>KB-R1323</t>
        </is>
      </c>
      <c r="I2031" s="4" t="inlineStr">
        <is>
          <t>Bộ loe ống đồng 2 chức năng KingBlue KB-R1323</t>
        </is>
      </c>
      <c r="J2031" s="3" t="inlineStr">
        <is>
          <t>Cái</t>
        </is>
      </c>
      <c r="K2031" s="5" t="n">
        <v>1720000</v>
      </c>
      <c r="L2031" s="5" t="n">
        <v>1926000</v>
      </c>
      <c r="M2031" s="6" t="n">
        <v>2236000</v>
      </c>
      <c r="N2031" s="5" t="n"/>
      <c r="O2031" s="5">
        <f>IF(AND(ISNUMBER(N2031),ISNUMBER(M2031)),N2031-M2031,"")</f>
        <v/>
      </c>
      <c r="P2031" s="7">
        <f>IF(AND(ISNUMBER(N2031),ISNUMBER(M2031),M2031&gt;0),(N2031-M2031)/M2031,"")</f>
        <v/>
      </c>
      <c r="Q2031" s="3">
        <f>IF(P2031="","",IF(P2031&lt;-0.02,"🔴 Bán phá giá sàn",IF(P2031&gt;0.05,"🔵 Bán cao hơn","🟢 Đúng giá sàn TMĐT")))</f>
        <v/>
      </c>
      <c r="R2031" s="3" t="n"/>
      <c r="S2031" s="4" t="n"/>
      <c r="T2031" s="4" t="n"/>
    </row>
    <row r="2032">
      <c r="A2032" s="3" t="n">
        <v>2031</v>
      </c>
      <c r="B2032" s="3" t="inlineStr">
        <is>
          <t>DL019</t>
        </is>
      </c>
      <c r="C2032" s="4" t="inlineStr">
        <is>
          <t>Quân- Khánh Hà</t>
        </is>
      </c>
      <c r="D2032" s="3" t="inlineStr">
        <is>
          <t>HN</t>
        </is>
      </c>
      <c r="E2032" s="3" t="inlineStr">
        <is>
          <t>ĐIỆP</t>
        </is>
      </c>
      <c r="F2032" s="3" t="inlineStr">
        <is>
          <t>Tiktok, Shopee</t>
        </is>
      </c>
      <c r="G2032" s="4" t="inlineStr">
        <is>
          <t>SHOPEE: https://s.shopee.vn/5q8xKd1rIl TIKTOK: https://www.tiktok.com/@quandao1212?_r=1&amp;_t=ZS-9AZ3SH7c2xZ LAZADA: WEBSITE BÁN HÀNG:</t>
        </is>
      </c>
      <c r="H2032" s="3" t="inlineStr">
        <is>
          <t>KB-C1323</t>
        </is>
      </c>
      <c r="I2032" s="4" t="inlineStr">
        <is>
          <t>Bộ loe ống đồng KingBlue KB-C1323</t>
        </is>
      </c>
      <c r="J2032" s="3" t="inlineStr">
        <is>
          <t>Cái</t>
        </is>
      </c>
      <c r="K2032" s="5" t="n">
        <v>1140000</v>
      </c>
      <c r="L2032" s="5" t="n">
        <v>1277000</v>
      </c>
      <c r="M2032" s="6" t="n">
        <v>1482000</v>
      </c>
      <c r="N2032" s="5" t="n"/>
      <c r="O2032" s="5">
        <f>IF(AND(ISNUMBER(N2032),ISNUMBER(M2032)),N2032-M2032,"")</f>
        <v/>
      </c>
      <c r="P2032" s="7">
        <f>IF(AND(ISNUMBER(N2032),ISNUMBER(M2032),M2032&gt;0),(N2032-M2032)/M2032,"")</f>
        <v/>
      </c>
      <c r="Q2032" s="3">
        <f>IF(P2032="","",IF(P2032&lt;-0.02,"🔴 Bán phá giá sàn",IF(P2032&gt;0.05,"🔵 Bán cao hơn","🟢 Đúng giá sàn TMĐT")))</f>
        <v/>
      </c>
      <c r="R2032" s="3" t="n"/>
      <c r="S2032" s="4" t="n"/>
      <c r="T2032" s="4" t="n"/>
    </row>
    <row r="2033">
      <c r="A2033" s="3" t="n">
        <v>2032</v>
      </c>
      <c r="B2033" s="3" t="inlineStr">
        <is>
          <t>DL019</t>
        </is>
      </c>
      <c r="C2033" s="4" t="inlineStr">
        <is>
          <t>Quân- Khánh Hà</t>
        </is>
      </c>
      <c r="D2033" s="3" t="inlineStr">
        <is>
          <t>HN</t>
        </is>
      </c>
      <c r="E2033" s="3" t="inlineStr">
        <is>
          <t>ĐIỆP</t>
        </is>
      </c>
      <c r="F2033" s="3" t="inlineStr">
        <is>
          <t>Tiktok, Shopee</t>
        </is>
      </c>
      <c r="G2033" s="4" t="inlineStr">
        <is>
          <t>SHOPEE: https://s.shopee.vn/5q8xKd1rIl TIKTOK: https://www.tiktok.com/@quandao1212?_r=1&amp;_t=ZS-9AZ3SH7c2xZ LAZADA: WEBSITE BÁN HÀNG:</t>
        </is>
      </c>
      <c r="H2033" s="3" t="inlineStr">
        <is>
          <t>KL-008</t>
        </is>
      </c>
      <c r="I2033" s="4" t="inlineStr">
        <is>
          <t>Bộ lục giác gập KL-008</t>
        </is>
      </c>
      <c r="J2033" s="3" t="inlineStr">
        <is>
          <t>Cái</t>
        </is>
      </c>
      <c r="K2033" s="5" t="n">
        <v>269000</v>
      </c>
      <c r="L2033" s="5" t="n">
        <v>317000</v>
      </c>
      <c r="M2033" s="6" t="n">
        <v>390000</v>
      </c>
      <c r="N2033" s="5" t="n"/>
      <c r="O2033" s="5">
        <f>IF(AND(ISNUMBER(N2033),ISNUMBER(M2033)),N2033-M2033,"")</f>
        <v/>
      </c>
      <c r="P2033" s="7">
        <f>IF(AND(ISNUMBER(N2033),ISNUMBER(M2033),M2033&gt;0),(N2033-M2033)/M2033,"")</f>
        <v/>
      </c>
      <c r="Q2033" s="3">
        <f>IF(P2033="","",IF(P2033&lt;-0.02,"🔴 Bán phá giá sàn",IF(P2033&gt;0.05,"🔵 Bán cao hơn","🟢 Đúng giá sàn TMĐT")))</f>
        <v/>
      </c>
      <c r="R2033" s="3" t="n"/>
      <c r="S2033" s="4" t="n"/>
      <c r="T2033" s="4" t="n"/>
    </row>
    <row r="2034">
      <c r="A2034" s="3" t="n">
        <v>2033</v>
      </c>
      <c r="B2034" s="3" t="inlineStr">
        <is>
          <t>DL019</t>
        </is>
      </c>
      <c r="C2034" s="4" t="inlineStr">
        <is>
          <t>Quân- Khánh Hà</t>
        </is>
      </c>
      <c r="D2034" s="3" t="inlineStr">
        <is>
          <t>HN</t>
        </is>
      </c>
      <c r="E2034" s="3" t="inlineStr">
        <is>
          <t>ĐIỆP</t>
        </is>
      </c>
      <c r="F2034" s="3" t="inlineStr">
        <is>
          <t>Tiktok, Shopee</t>
        </is>
      </c>
      <c r="G2034" s="4" t="inlineStr">
        <is>
          <t>SHOPEE: https://s.shopee.vn/5q8xKd1rIl TIKTOK: https://www.tiktok.com/@quandao1212?_r=1&amp;_t=ZS-9AZ3SH7c2xZ LAZADA: WEBSITE BÁN HÀNG:</t>
        </is>
      </c>
      <c r="H2034" s="3" t="inlineStr">
        <is>
          <t>KL9-09</t>
        </is>
      </c>
      <c r="I2034" s="4" t="inlineStr">
        <is>
          <t>Bộ lục giác KL9-09 (đầu hoa thị)</t>
        </is>
      </c>
      <c r="J2034" s="3" t="inlineStr">
        <is>
          <t>Cái</t>
        </is>
      </c>
      <c r="K2034" s="5" t="n">
        <v>269000</v>
      </c>
      <c r="L2034" s="5" t="n">
        <v>317000</v>
      </c>
      <c r="M2034" s="6" t="n">
        <v>390000</v>
      </c>
      <c r="N2034" s="5" t="n"/>
      <c r="O2034" s="5">
        <f>IF(AND(ISNUMBER(N2034),ISNUMBER(M2034)),N2034-M2034,"")</f>
        <v/>
      </c>
      <c r="P2034" s="7">
        <f>IF(AND(ISNUMBER(N2034),ISNUMBER(M2034),M2034&gt;0),(N2034-M2034)/M2034,"")</f>
        <v/>
      </c>
      <c r="Q2034" s="3">
        <f>IF(P2034="","",IF(P2034&lt;-0.02,"🔴 Bán phá giá sàn",IF(P2034&gt;0.05,"🔵 Bán cao hơn","🟢 Đúng giá sàn TMĐT")))</f>
        <v/>
      </c>
      <c r="R2034" s="3" t="n"/>
      <c r="S2034" s="4" t="n"/>
      <c r="T2034" s="4" t="n"/>
    </row>
    <row r="2035">
      <c r="A2035" s="3" t="n">
        <v>2034</v>
      </c>
      <c r="B2035" s="3" t="inlineStr">
        <is>
          <t>DL019</t>
        </is>
      </c>
      <c r="C2035" s="4" t="inlineStr">
        <is>
          <t>Quân- Khánh Hà</t>
        </is>
      </c>
      <c r="D2035" s="3" t="inlineStr">
        <is>
          <t>HN</t>
        </is>
      </c>
      <c r="E2035" s="3" t="inlineStr">
        <is>
          <t>ĐIỆP</t>
        </is>
      </c>
      <c r="F2035" s="3" t="inlineStr">
        <is>
          <t>Tiktok, Shopee</t>
        </is>
      </c>
      <c r="G2035" s="4" t="inlineStr">
        <is>
          <t>SHOPEE: https://s.shopee.vn/5q8xKd1rIl TIKTOK: https://www.tiktok.com/@quandao1212?_r=1&amp;_t=ZS-9AZ3SH7c2xZ LAZADA: WEBSITE BÁN HÀNG:</t>
        </is>
      </c>
      <c r="H2035" s="3" t="inlineStr">
        <is>
          <t>KHF015</t>
        </is>
      </c>
      <c r="I2035" s="4" t="inlineStr">
        <is>
          <t>Bộ mũi khoan King Blue KHF015</t>
        </is>
      </c>
      <c r="J2035" s="3" t="inlineStr">
        <is>
          <t>Cái</t>
        </is>
      </c>
      <c r="K2035" s="5" t="n">
        <v>269000</v>
      </c>
      <c r="L2035" s="5" t="n">
        <v>317000</v>
      </c>
      <c r="M2035" s="6" t="n">
        <v>390000</v>
      </c>
      <c r="N2035" s="5" t="n"/>
      <c r="O2035" s="5">
        <f>IF(AND(ISNUMBER(N2035),ISNUMBER(M2035)),N2035-M2035,"")</f>
        <v/>
      </c>
      <c r="P2035" s="7">
        <f>IF(AND(ISNUMBER(N2035),ISNUMBER(M2035),M2035&gt;0),(N2035-M2035)/M2035,"")</f>
        <v/>
      </c>
      <c r="Q2035" s="3">
        <f>IF(P2035="","",IF(P2035&lt;-0.02,"🔴 Bán phá giá sàn",IF(P2035&gt;0.05,"🔵 Bán cao hơn","🟢 Đúng giá sàn TMĐT")))</f>
        <v/>
      </c>
      <c r="R2035" s="3" t="n"/>
      <c r="S2035" s="4" t="n"/>
      <c r="T2035" s="4" t="n"/>
    </row>
    <row r="2036">
      <c r="A2036" s="3" t="n">
        <v>2035</v>
      </c>
      <c r="B2036" s="3" t="inlineStr">
        <is>
          <t>DL019</t>
        </is>
      </c>
      <c r="C2036" s="4" t="inlineStr">
        <is>
          <t>Quân- Khánh Hà</t>
        </is>
      </c>
      <c r="D2036" s="3" t="inlineStr">
        <is>
          <t>HN</t>
        </is>
      </c>
      <c r="E2036" s="3" t="inlineStr">
        <is>
          <t>ĐIỆP</t>
        </is>
      </c>
      <c r="F2036" s="3" t="inlineStr">
        <is>
          <t>Tiktok, Shopee</t>
        </is>
      </c>
      <c r="G2036" s="4" t="inlineStr">
        <is>
          <t>SHOPEE: https://s.shopee.vn/5q8xKd1rIl TIKTOK: https://www.tiktok.com/@quandao1212?_r=1&amp;_t=ZS-9AZ3SH7c2xZ LAZADA: WEBSITE BÁN HÀNG:</t>
        </is>
      </c>
      <c r="H2036" s="3" t="inlineStr">
        <is>
          <t>KLJ015</t>
        </is>
      </c>
      <c r="I2036" s="4" t="inlineStr">
        <is>
          <t>Bộ mũi khoan King Blue KLJ015</t>
        </is>
      </c>
      <c r="J2036" s="3" t="inlineStr">
        <is>
          <t>Cái</t>
        </is>
      </c>
      <c r="K2036" s="5" t="n">
        <v>269000</v>
      </c>
      <c r="L2036" s="5" t="n">
        <v>317000</v>
      </c>
      <c r="M2036" s="6" t="n">
        <v>390000</v>
      </c>
      <c r="N2036" s="5" t="n"/>
      <c r="O2036" s="5">
        <f>IF(AND(ISNUMBER(N2036),ISNUMBER(M2036)),N2036-M2036,"")</f>
        <v/>
      </c>
      <c r="P2036" s="7">
        <f>IF(AND(ISNUMBER(N2036),ISNUMBER(M2036),M2036&gt;0),(N2036-M2036)/M2036,"")</f>
        <v/>
      </c>
      <c r="Q2036" s="3">
        <f>IF(P2036="","",IF(P2036&lt;-0.02,"🔴 Bán phá giá sàn",IF(P2036&gt;0.05,"🔵 Bán cao hơn","🟢 Đúng giá sàn TMĐT")))</f>
        <v/>
      </c>
      <c r="R2036" s="3" t="n"/>
      <c r="S2036" s="4" t="n"/>
      <c r="T2036" s="4" t="n"/>
    </row>
    <row r="2037">
      <c r="A2037" s="3" t="n">
        <v>2036</v>
      </c>
      <c r="B2037" s="3" t="inlineStr">
        <is>
          <t>DL019</t>
        </is>
      </c>
      <c r="C2037" s="4" t="inlineStr">
        <is>
          <t>Quân- Khánh Hà</t>
        </is>
      </c>
      <c r="D2037" s="3" t="inlineStr">
        <is>
          <t>HN</t>
        </is>
      </c>
      <c r="E2037" s="3" t="inlineStr">
        <is>
          <t>ĐIỆP</t>
        </is>
      </c>
      <c r="F2037" s="3" t="inlineStr">
        <is>
          <t>Tiktok, Shopee</t>
        </is>
      </c>
      <c r="G2037" s="4" t="inlineStr">
        <is>
          <t>SHOPEE: https://s.shopee.vn/5q8xKd1rIl TIKTOK: https://www.tiktok.com/@quandao1212?_r=1&amp;_t=ZS-9AZ3SH7c2xZ LAZADA: WEBSITE BÁN HÀNG:</t>
        </is>
      </c>
      <c r="H2037" s="3" t="inlineStr"/>
      <c r="I2037" s="4" t="inlineStr">
        <is>
          <t>Bộ nhông hộp số máy khoan 130Nm</t>
        </is>
      </c>
      <c r="J2037" s="3" t="inlineStr">
        <is>
          <t>Cái</t>
        </is>
      </c>
      <c r="K2037" s="5" t="n">
        <v>269000</v>
      </c>
      <c r="L2037" s="5" t="n">
        <v>317000</v>
      </c>
      <c r="M2037" s="6" t="n">
        <v>390000</v>
      </c>
      <c r="N2037" s="5" t="n"/>
      <c r="O2037" s="5">
        <f>IF(AND(ISNUMBER(N2037),ISNUMBER(M2037)),N2037-M2037,"")</f>
        <v/>
      </c>
      <c r="P2037" s="7">
        <f>IF(AND(ISNUMBER(N2037),ISNUMBER(M2037),M2037&gt;0),(N2037-M2037)/M2037,"")</f>
        <v/>
      </c>
      <c r="Q2037" s="3">
        <f>IF(P2037="","",IF(P2037&lt;-0.02,"🔴 Bán phá giá sàn",IF(P2037&gt;0.05,"🔵 Bán cao hơn","🟢 Đúng giá sàn TMĐT")))</f>
        <v/>
      </c>
      <c r="R2037" s="3" t="n"/>
      <c r="S2037" s="4" t="n"/>
      <c r="T2037" s="4" t="n"/>
    </row>
    <row r="2038">
      <c r="A2038" s="3" t="n">
        <v>2037</v>
      </c>
      <c r="B2038" s="3" t="inlineStr">
        <is>
          <t>DL019</t>
        </is>
      </c>
      <c r="C2038" s="4" t="inlineStr">
        <is>
          <t>Quân- Khánh Hà</t>
        </is>
      </c>
      <c r="D2038" s="3" t="inlineStr">
        <is>
          <t>HN</t>
        </is>
      </c>
      <c r="E2038" s="3" t="inlineStr">
        <is>
          <t>ĐIỆP</t>
        </is>
      </c>
      <c r="F2038" s="3" t="inlineStr">
        <is>
          <t>Tiktok, Shopee</t>
        </is>
      </c>
      <c r="G2038" s="4" t="inlineStr">
        <is>
          <t>SHOPEE: https://s.shopee.vn/5q8xKd1rIl TIKTOK: https://www.tiktok.com/@quandao1212?_r=1&amp;_t=ZS-9AZ3SH7c2xZ LAZADA: WEBSITE BÁN HÀNG:</t>
        </is>
      </c>
      <c r="H2038" s="3" t="inlineStr"/>
      <c r="I2038" s="4" t="inlineStr">
        <is>
          <t>Bộ nhông hộp số máy khoan 165Nm</t>
        </is>
      </c>
      <c r="J2038" s="3" t="inlineStr">
        <is>
          <t>Cái</t>
        </is>
      </c>
      <c r="K2038" s="5" t="n">
        <v>269000</v>
      </c>
      <c r="L2038" s="5" t="n">
        <v>317000</v>
      </c>
      <c r="M2038" s="6" t="n">
        <v>390000</v>
      </c>
      <c r="N2038" s="5" t="n"/>
      <c r="O2038" s="5">
        <f>IF(AND(ISNUMBER(N2038),ISNUMBER(M2038)),N2038-M2038,"")</f>
        <v/>
      </c>
      <c r="P2038" s="7">
        <f>IF(AND(ISNUMBER(N2038),ISNUMBER(M2038),M2038&gt;0),(N2038-M2038)/M2038,"")</f>
        <v/>
      </c>
      <c r="Q2038" s="3">
        <f>IF(P2038="","",IF(P2038&lt;-0.02,"🔴 Bán phá giá sàn",IF(P2038&gt;0.05,"🔵 Bán cao hơn","🟢 Đúng giá sàn TMĐT")))</f>
        <v/>
      </c>
      <c r="R2038" s="3" t="n"/>
      <c r="S2038" s="4" t="n"/>
      <c r="T2038" s="4" t="n"/>
    </row>
    <row r="2039">
      <c r="A2039" s="3" t="n">
        <v>2038</v>
      </c>
      <c r="B2039" s="3" t="inlineStr">
        <is>
          <t>DL019</t>
        </is>
      </c>
      <c r="C2039" s="4" t="inlineStr">
        <is>
          <t>Quân- Khánh Hà</t>
        </is>
      </c>
      <c r="D2039" s="3" t="inlineStr">
        <is>
          <t>HN</t>
        </is>
      </c>
      <c r="E2039" s="3" t="inlineStr">
        <is>
          <t>ĐIỆP</t>
        </is>
      </c>
      <c r="F2039" s="3" t="inlineStr">
        <is>
          <t>Tiktok, Shopee</t>
        </is>
      </c>
      <c r="G2039" s="4" t="inlineStr">
        <is>
          <t>SHOPEE: https://s.shopee.vn/5q8xKd1rIl TIKTOK: https://www.tiktok.com/@quandao1212?_r=1&amp;_t=ZS-9AZ3SH7c2xZ LAZADA: WEBSITE BÁN HÀNG:</t>
        </is>
      </c>
      <c r="H2039" s="3" t="inlineStr">
        <is>
          <t>KV10-13</t>
        </is>
      </c>
      <c r="I2039" s="4" t="inlineStr">
        <is>
          <t>Bộ tuvit đóng KV10-13</t>
        </is>
      </c>
      <c r="J2039" s="3" t="inlineStr">
        <is>
          <t>Cái</t>
        </is>
      </c>
      <c r="K2039" s="5" t="n">
        <v>269000</v>
      </c>
      <c r="L2039" s="5" t="n">
        <v>317000</v>
      </c>
      <c r="M2039" s="6" t="n">
        <v>390000</v>
      </c>
      <c r="N2039" s="5" t="n"/>
      <c r="O2039" s="5">
        <f>IF(AND(ISNUMBER(N2039),ISNUMBER(M2039)),N2039-M2039,"")</f>
        <v/>
      </c>
      <c r="P2039" s="7">
        <f>IF(AND(ISNUMBER(N2039),ISNUMBER(M2039),M2039&gt;0),(N2039-M2039)/M2039,"")</f>
        <v/>
      </c>
      <c r="Q2039" s="3">
        <f>IF(P2039="","",IF(P2039&lt;-0.02,"🔴 Bán phá giá sàn",IF(P2039&gt;0.05,"🔵 Bán cao hơn","🟢 Đúng giá sàn TMĐT")))</f>
        <v/>
      </c>
      <c r="R2039" s="3" t="n"/>
      <c r="S2039" s="4" t="n"/>
      <c r="T2039" s="4" t="n"/>
    </row>
    <row r="2040">
      <c r="A2040" s="3" t="n">
        <v>2039</v>
      </c>
      <c r="B2040" s="3" t="inlineStr">
        <is>
          <t>DL019</t>
        </is>
      </c>
      <c r="C2040" s="4" t="inlineStr">
        <is>
          <t>Quân- Khánh Hà</t>
        </is>
      </c>
      <c r="D2040" s="3" t="inlineStr">
        <is>
          <t>HN</t>
        </is>
      </c>
      <c r="E2040" s="3" t="inlineStr">
        <is>
          <t>ĐIỆP</t>
        </is>
      </c>
      <c r="F2040" s="3" t="inlineStr">
        <is>
          <t>Tiktok, Shopee</t>
        </is>
      </c>
      <c r="G2040" s="4" t="inlineStr">
        <is>
          <t>SHOPEE: https://s.shopee.vn/5q8xKd1rIl TIKTOK: https://www.tiktok.com/@quandao1212?_r=1&amp;_t=ZS-9AZ3SH7c2xZ LAZADA: WEBSITE BÁN HÀNG:</t>
        </is>
      </c>
      <c r="H2040" s="3" t="inlineStr">
        <is>
          <t>KIC140</t>
        </is>
      </c>
      <c r="I2040" s="4" t="inlineStr">
        <is>
          <t>Bút thử điện KIC140</t>
        </is>
      </c>
      <c r="J2040" s="3" t="inlineStr">
        <is>
          <t>Cái</t>
        </is>
      </c>
      <c r="K2040" s="5" t="n">
        <v>14000</v>
      </c>
      <c r="L2040" s="5" t="n">
        <v>16000</v>
      </c>
      <c r="M2040" s="6" t="n">
        <v>20000</v>
      </c>
      <c r="N2040" s="5" t="n"/>
      <c r="O2040" s="5">
        <f>IF(AND(ISNUMBER(N2040),ISNUMBER(M2040)),N2040-M2040,"")</f>
        <v/>
      </c>
      <c r="P2040" s="7">
        <f>IF(AND(ISNUMBER(N2040),ISNUMBER(M2040),M2040&gt;0),(N2040-M2040)/M2040,"")</f>
        <v/>
      </c>
      <c r="Q2040" s="3">
        <f>IF(P2040="","",IF(P2040&lt;-0.02,"🔴 Bán phá giá sàn",IF(P2040&gt;0.05,"🔵 Bán cao hơn","🟢 Đúng giá sàn TMĐT")))</f>
        <v/>
      </c>
      <c r="R2040" s="3" t="n"/>
      <c r="S2040" s="4" t="n"/>
      <c r="T2040" s="4" t="n"/>
    </row>
    <row r="2041">
      <c r="A2041" s="3" t="n">
        <v>2040</v>
      </c>
      <c r="B2041" s="3" t="inlineStr">
        <is>
          <t>DL019</t>
        </is>
      </c>
      <c r="C2041" s="4" t="inlineStr">
        <is>
          <t>Quân- Khánh Hà</t>
        </is>
      </c>
      <c r="D2041" s="3" t="inlineStr">
        <is>
          <t>HN</t>
        </is>
      </c>
      <c r="E2041" s="3" t="inlineStr">
        <is>
          <t>ĐIỆP</t>
        </is>
      </c>
      <c r="F2041" s="3" t="inlineStr">
        <is>
          <t>Tiktok, Shopee</t>
        </is>
      </c>
      <c r="G2041" s="4" t="inlineStr">
        <is>
          <t>SHOPEE: https://s.shopee.vn/5q8xKd1rIl TIKTOK: https://www.tiktok.com/@quandao1212?_r=1&amp;_t=ZS-9AZ3SH7c2xZ LAZADA: WEBSITE BÁN HÀNG:</t>
        </is>
      </c>
      <c r="H2041" s="3" t="inlineStr">
        <is>
          <t>KB-05X</t>
        </is>
      </c>
      <c r="I2041" s="4" t="inlineStr">
        <is>
          <t>Chân máy laser KB-05X</t>
        </is>
      </c>
      <c r="J2041" s="3" t="inlineStr">
        <is>
          <t>Cái</t>
        </is>
      </c>
      <c r="K2041" s="5" t="n">
        <v>1350000</v>
      </c>
      <c r="L2041" s="5" t="n">
        <v>1510000</v>
      </c>
      <c r="M2041" s="6" t="n">
        <v>1760000</v>
      </c>
      <c r="N2041" s="5" t="n"/>
      <c r="O2041" s="5">
        <f>IF(AND(ISNUMBER(N2041),ISNUMBER(M2041)),N2041-M2041,"")</f>
        <v/>
      </c>
      <c r="P2041" s="7">
        <f>IF(AND(ISNUMBER(N2041),ISNUMBER(M2041),M2041&gt;0),(N2041-M2041)/M2041,"")</f>
        <v/>
      </c>
      <c r="Q2041" s="3">
        <f>IF(P2041="","",IF(P2041&lt;-0.02,"🔴 Bán phá giá sàn",IF(P2041&gt;0.05,"🔵 Bán cao hơn","🟢 Đúng giá sàn TMĐT")))</f>
        <v/>
      </c>
      <c r="R2041" s="3" t="n"/>
      <c r="S2041" s="4" t="n"/>
      <c r="T2041" s="4" t="n"/>
    </row>
    <row r="2042">
      <c r="A2042" s="3" t="n">
        <v>2041</v>
      </c>
      <c r="B2042" s="3" t="inlineStr">
        <is>
          <t>DL019</t>
        </is>
      </c>
      <c r="C2042" s="4" t="inlineStr">
        <is>
          <t>Quân- Khánh Hà</t>
        </is>
      </c>
      <c r="D2042" s="3" t="inlineStr">
        <is>
          <t>HN</t>
        </is>
      </c>
      <c r="E2042" s="3" t="inlineStr">
        <is>
          <t>ĐIỆP</t>
        </is>
      </c>
      <c r="F2042" s="3" t="inlineStr">
        <is>
          <t>Tiktok, Shopee</t>
        </is>
      </c>
      <c r="G2042" s="4" t="inlineStr">
        <is>
          <t>SHOPEE: https://s.shopee.vn/5q8xKd1rIl TIKTOK: https://www.tiktok.com/@quandao1212?_r=1&amp;_t=ZS-9AZ3SH7c2xZ LAZADA: WEBSITE BÁN HÀNG:</t>
        </is>
      </c>
      <c r="H2042" s="3" t="inlineStr"/>
      <c r="I2042" s="4" t="inlineStr">
        <is>
          <t>Chuôi gài ngắn (không định tâm)</t>
        </is>
      </c>
      <c r="J2042" s="3" t="inlineStr">
        <is>
          <t>Cái</t>
        </is>
      </c>
      <c r="K2042" s="5" t="n">
        <v>269000</v>
      </c>
      <c r="L2042" s="5" t="n">
        <v>317000</v>
      </c>
      <c r="M2042" s="6" t="n">
        <v>390000</v>
      </c>
      <c r="N2042" s="5" t="n"/>
      <c r="O2042" s="5">
        <f>IF(AND(ISNUMBER(N2042),ISNUMBER(M2042)),N2042-M2042,"")</f>
        <v/>
      </c>
      <c r="P2042" s="7">
        <f>IF(AND(ISNUMBER(N2042),ISNUMBER(M2042),M2042&gt;0),(N2042-M2042)/M2042,"")</f>
        <v/>
      </c>
      <c r="Q2042" s="3">
        <f>IF(P2042="","",IF(P2042&lt;-0.02,"🔴 Bán phá giá sàn",IF(P2042&gt;0.05,"🔵 Bán cao hơn","🟢 Đúng giá sàn TMĐT")))</f>
        <v/>
      </c>
      <c r="R2042" s="3" t="n"/>
      <c r="S2042" s="4" t="n"/>
      <c r="T2042" s="4" t="n"/>
    </row>
    <row r="2043">
      <c r="A2043" s="3" t="n">
        <v>2042</v>
      </c>
      <c r="B2043" s="3" t="inlineStr">
        <is>
          <t>DL019</t>
        </is>
      </c>
      <c r="C2043" s="4" t="inlineStr">
        <is>
          <t>Quân- Khánh Hà</t>
        </is>
      </c>
      <c r="D2043" s="3" t="inlineStr">
        <is>
          <t>HN</t>
        </is>
      </c>
      <c r="E2043" s="3" t="inlineStr">
        <is>
          <t>ĐIỆP</t>
        </is>
      </c>
      <c r="F2043" s="3" t="inlineStr">
        <is>
          <t>Tiktok, Shopee</t>
        </is>
      </c>
      <c r="G2043" s="4" t="inlineStr">
        <is>
          <t>SHOPEE: https://s.shopee.vn/5q8xKd1rIl TIKTOK: https://www.tiktok.com/@quandao1212?_r=1&amp;_t=ZS-9AZ3SH7c2xZ LAZADA: WEBSITE BÁN HÀNG:</t>
        </is>
      </c>
      <c r="H2043" s="3" t="inlineStr">
        <is>
          <t>DLG-M22</t>
        </is>
      </c>
      <c r="I2043" s="4" t="inlineStr">
        <is>
          <t>Chuôi khoan rút lõi lục giác DLG-M22</t>
        </is>
      </c>
      <c r="J2043" s="3" t="inlineStr">
        <is>
          <t>Cái</t>
        </is>
      </c>
      <c r="K2043" s="5" t="n">
        <v>24000</v>
      </c>
      <c r="L2043" s="5" t="n">
        <v>30000</v>
      </c>
      <c r="M2043" s="6" t="n">
        <v>38000</v>
      </c>
      <c r="N2043" s="5" t="n"/>
      <c r="O2043" s="5">
        <f>IF(AND(ISNUMBER(N2043),ISNUMBER(M2043)),N2043-M2043,"")</f>
        <v/>
      </c>
      <c r="P2043" s="7">
        <f>IF(AND(ISNUMBER(N2043),ISNUMBER(M2043),M2043&gt;0),(N2043-M2043)/M2043,"")</f>
        <v/>
      </c>
      <c r="Q2043" s="3">
        <f>IF(P2043="","",IF(P2043&lt;-0.02,"🔴 Bán phá giá sàn",IF(P2043&gt;0.05,"🔵 Bán cao hơn","🟢 Đúng giá sàn TMĐT")))</f>
        <v/>
      </c>
      <c r="R2043" s="3" t="n"/>
      <c r="S2043" s="4" t="n"/>
      <c r="T2043" s="4" t="n"/>
    </row>
    <row r="2044">
      <c r="A2044" s="3" t="n">
        <v>2043</v>
      </c>
      <c r="B2044" s="3" t="inlineStr">
        <is>
          <t>DL019</t>
        </is>
      </c>
      <c r="C2044" s="4" t="inlineStr">
        <is>
          <t>Quân- Khánh Hà</t>
        </is>
      </c>
      <c r="D2044" s="3" t="inlineStr">
        <is>
          <t>HN</t>
        </is>
      </c>
      <c r="E2044" s="3" t="inlineStr">
        <is>
          <t>ĐIỆP</t>
        </is>
      </c>
      <c r="F2044" s="3" t="inlineStr">
        <is>
          <t>Tiktok, Shopee</t>
        </is>
      </c>
      <c r="G2044" s="4" t="inlineStr">
        <is>
          <t>SHOPEE: https://s.shopee.vn/5q8xKd1rIl TIKTOK: https://www.tiktok.com/@quandao1212?_r=1&amp;_t=ZS-9AZ3SH7c2xZ LAZADA: WEBSITE BÁN HÀNG:</t>
        </is>
      </c>
      <c r="H2044" s="3" t="inlineStr">
        <is>
          <t>KH1-08</t>
        </is>
      </c>
      <c r="I2044" s="4" t="inlineStr">
        <is>
          <t>Cờ lê KH1-08</t>
        </is>
      </c>
      <c r="J2044" s="3" t="inlineStr">
        <is>
          <t>Cái</t>
        </is>
      </c>
      <c r="K2044" s="5" t="n">
        <v>21000</v>
      </c>
      <c r="L2044" s="5" t="n">
        <v>25000</v>
      </c>
      <c r="M2044" s="6" t="n">
        <v>31000</v>
      </c>
      <c r="N2044" s="5" t="n"/>
      <c r="O2044" s="5">
        <f>IF(AND(ISNUMBER(N2044),ISNUMBER(M2044)),N2044-M2044,"")</f>
        <v/>
      </c>
      <c r="P2044" s="7">
        <f>IF(AND(ISNUMBER(N2044),ISNUMBER(M2044),M2044&gt;0),(N2044-M2044)/M2044,"")</f>
        <v/>
      </c>
      <c r="Q2044" s="3">
        <f>IF(P2044="","",IF(P2044&lt;-0.02,"🔴 Bán phá giá sàn",IF(P2044&gt;0.05,"🔵 Bán cao hơn","🟢 Đúng giá sàn TMĐT")))</f>
        <v/>
      </c>
      <c r="R2044" s="3" t="n"/>
      <c r="S2044" s="4" t="n"/>
      <c r="T2044" s="4" t="n"/>
    </row>
    <row r="2045">
      <c r="A2045" s="3" t="n">
        <v>2044</v>
      </c>
      <c r="B2045" s="3" t="inlineStr">
        <is>
          <t>DL019</t>
        </is>
      </c>
      <c r="C2045" s="4" t="inlineStr">
        <is>
          <t>Quân- Khánh Hà</t>
        </is>
      </c>
      <c r="D2045" s="3" t="inlineStr">
        <is>
          <t>HN</t>
        </is>
      </c>
      <c r="E2045" s="3" t="inlineStr">
        <is>
          <t>ĐIỆP</t>
        </is>
      </c>
      <c r="F2045" s="3" t="inlineStr">
        <is>
          <t>Tiktok, Shopee</t>
        </is>
      </c>
      <c r="G2045" s="4" t="inlineStr">
        <is>
          <t>SHOPEE: https://s.shopee.vn/5q8xKd1rIl TIKTOK: https://www.tiktok.com/@quandao1212?_r=1&amp;_t=ZS-9AZ3SH7c2xZ LAZADA: WEBSITE BÁN HÀNG:</t>
        </is>
      </c>
      <c r="H2045" s="3" t="inlineStr">
        <is>
          <t>KH1-10</t>
        </is>
      </c>
      <c r="I2045" s="4" t="inlineStr">
        <is>
          <t>Cờ lê KH1-10</t>
        </is>
      </c>
      <c r="J2045" s="3" t="inlineStr">
        <is>
          <t>Cái</t>
        </is>
      </c>
      <c r="K2045" s="5" t="n">
        <v>24000</v>
      </c>
      <c r="L2045" s="5" t="n">
        <v>28000</v>
      </c>
      <c r="M2045" s="6" t="n">
        <v>35000</v>
      </c>
      <c r="N2045" s="5" t="n"/>
      <c r="O2045" s="5">
        <f>IF(AND(ISNUMBER(N2045),ISNUMBER(M2045)),N2045-M2045,"")</f>
        <v/>
      </c>
      <c r="P2045" s="7">
        <f>IF(AND(ISNUMBER(N2045),ISNUMBER(M2045),M2045&gt;0),(N2045-M2045)/M2045,"")</f>
        <v/>
      </c>
      <c r="Q2045" s="3">
        <f>IF(P2045="","",IF(P2045&lt;-0.02,"🔴 Bán phá giá sàn",IF(P2045&gt;0.05,"🔵 Bán cao hơn","🟢 Đúng giá sàn TMĐT")))</f>
        <v/>
      </c>
      <c r="R2045" s="3" t="n"/>
      <c r="S2045" s="4" t="n"/>
      <c r="T2045" s="4" t="n"/>
    </row>
    <row r="2046">
      <c r="A2046" s="3" t="n">
        <v>2045</v>
      </c>
      <c r="B2046" s="3" t="inlineStr">
        <is>
          <t>DL019</t>
        </is>
      </c>
      <c r="C2046" s="4" t="inlineStr">
        <is>
          <t>Quân- Khánh Hà</t>
        </is>
      </c>
      <c r="D2046" s="3" t="inlineStr">
        <is>
          <t>HN</t>
        </is>
      </c>
      <c r="E2046" s="3" t="inlineStr">
        <is>
          <t>ĐIỆP</t>
        </is>
      </c>
      <c r="F2046" s="3" t="inlineStr">
        <is>
          <t>Tiktok, Shopee</t>
        </is>
      </c>
      <c r="G2046" s="4" t="inlineStr">
        <is>
          <t>SHOPEE: https://s.shopee.vn/5q8xKd1rIl TIKTOK: https://www.tiktok.com/@quandao1212?_r=1&amp;_t=ZS-9AZ3SH7c2xZ LAZADA: WEBSITE BÁN HÀNG:</t>
        </is>
      </c>
      <c r="H2046" s="3" t="inlineStr">
        <is>
          <t>KH1-13</t>
        </is>
      </c>
      <c r="I2046" s="4" t="inlineStr">
        <is>
          <t>Cờ lê KH1-13</t>
        </is>
      </c>
      <c r="J2046" s="3" t="inlineStr">
        <is>
          <t>Cái</t>
        </is>
      </c>
      <c r="K2046" s="5" t="n">
        <v>28000</v>
      </c>
      <c r="L2046" s="5" t="n">
        <v>33000</v>
      </c>
      <c r="M2046" s="6" t="n">
        <v>41000</v>
      </c>
      <c r="N2046" s="5" t="n"/>
      <c r="O2046" s="5">
        <f>IF(AND(ISNUMBER(N2046),ISNUMBER(M2046)),N2046-M2046,"")</f>
        <v/>
      </c>
      <c r="P2046" s="7">
        <f>IF(AND(ISNUMBER(N2046),ISNUMBER(M2046),M2046&gt;0),(N2046-M2046)/M2046,"")</f>
        <v/>
      </c>
      <c r="Q2046" s="3">
        <f>IF(P2046="","",IF(P2046&lt;-0.02,"🔴 Bán phá giá sàn",IF(P2046&gt;0.05,"🔵 Bán cao hơn","🟢 Đúng giá sàn TMĐT")))</f>
        <v/>
      </c>
      <c r="R2046" s="3" t="n"/>
      <c r="S2046" s="4" t="n"/>
      <c r="T2046" s="4" t="n"/>
    </row>
    <row r="2047">
      <c r="A2047" s="3" t="n">
        <v>2046</v>
      </c>
      <c r="B2047" s="3" t="inlineStr">
        <is>
          <t>DL019</t>
        </is>
      </c>
      <c r="C2047" s="4" t="inlineStr">
        <is>
          <t>Quân- Khánh Hà</t>
        </is>
      </c>
      <c r="D2047" s="3" t="inlineStr">
        <is>
          <t>HN</t>
        </is>
      </c>
      <c r="E2047" s="3" t="inlineStr">
        <is>
          <t>ĐIỆP</t>
        </is>
      </c>
      <c r="F2047" s="3" t="inlineStr">
        <is>
          <t>Tiktok, Shopee</t>
        </is>
      </c>
      <c r="G2047" s="4" t="inlineStr">
        <is>
          <t>SHOPEE: https://s.shopee.vn/5q8xKd1rIl TIKTOK: https://www.tiktok.com/@quandao1212?_r=1&amp;_t=ZS-9AZ3SH7c2xZ LAZADA: WEBSITE BÁN HÀNG:</t>
        </is>
      </c>
      <c r="H2047" s="3" t="inlineStr">
        <is>
          <t>KH1-14</t>
        </is>
      </c>
      <c r="I2047" s="4" t="inlineStr">
        <is>
          <t>Cờ lê KH1-14</t>
        </is>
      </c>
      <c r="J2047" s="3" t="inlineStr">
        <is>
          <t>Cái</t>
        </is>
      </c>
      <c r="K2047" s="5" t="n">
        <v>30000</v>
      </c>
      <c r="L2047" s="5" t="n">
        <v>36000</v>
      </c>
      <c r="M2047" s="6" t="n">
        <v>44000</v>
      </c>
      <c r="N2047" s="5" t="n"/>
      <c r="O2047" s="5">
        <f>IF(AND(ISNUMBER(N2047),ISNUMBER(M2047)),N2047-M2047,"")</f>
        <v/>
      </c>
      <c r="P2047" s="7">
        <f>IF(AND(ISNUMBER(N2047),ISNUMBER(M2047),M2047&gt;0),(N2047-M2047)/M2047,"")</f>
        <v/>
      </c>
      <c r="Q2047" s="3">
        <f>IF(P2047="","",IF(P2047&lt;-0.02,"🔴 Bán phá giá sàn",IF(P2047&gt;0.05,"🔵 Bán cao hơn","🟢 Đúng giá sàn TMĐT")))</f>
        <v/>
      </c>
      <c r="R2047" s="3" t="n"/>
      <c r="S2047" s="4" t="n"/>
      <c r="T2047" s="4" t="n"/>
    </row>
    <row r="2048">
      <c r="A2048" s="3" t="n">
        <v>2047</v>
      </c>
      <c r="B2048" s="3" t="inlineStr">
        <is>
          <t>DL019</t>
        </is>
      </c>
      <c r="C2048" s="4" t="inlineStr">
        <is>
          <t>Quân- Khánh Hà</t>
        </is>
      </c>
      <c r="D2048" s="3" t="inlineStr">
        <is>
          <t>HN</t>
        </is>
      </c>
      <c r="E2048" s="3" t="inlineStr">
        <is>
          <t>ĐIỆP</t>
        </is>
      </c>
      <c r="F2048" s="3" t="inlineStr">
        <is>
          <t>Tiktok, Shopee</t>
        </is>
      </c>
      <c r="G2048" s="4" t="inlineStr">
        <is>
          <t>SHOPEE: https://s.shopee.vn/5q8xKd1rIl TIKTOK: https://www.tiktok.com/@quandao1212?_r=1&amp;_t=ZS-9AZ3SH7c2xZ LAZADA: WEBSITE BÁN HÀNG:</t>
        </is>
      </c>
      <c r="H2048" s="3" t="inlineStr">
        <is>
          <t>KH1-17</t>
        </is>
      </c>
      <c r="I2048" s="4" t="inlineStr">
        <is>
          <t>Cờ lê KH1-17</t>
        </is>
      </c>
      <c r="J2048" s="3" t="inlineStr">
        <is>
          <t>Cái</t>
        </is>
      </c>
      <c r="K2048" s="5" t="n">
        <v>40000</v>
      </c>
      <c r="L2048" s="5" t="n">
        <v>47000</v>
      </c>
      <c r="M2048" s="6" t="n">
        <v>58000</v>
      </c>
      <c r="N2048" s="5" t="n"/>
      <c r="O2048" s="5">
        <f>IF(AND(ISNUMBER(N2048),ISNUMBER(M2048)),N2048-M2048,"")</f>
        <v/>
      </c>
      <c r="P2048" s="7">
        <f>IF(AND(ISNUMBER(N2048),ISNUMBER(M2048),M2048&gt;0),(N2048-M2048)/M2048,"")</f>
        <v/>
      </c>
      <c r="Q2048" s="3">
        <f>IF(P2048="","",IF(P2048&lt;-0.02,"🔴 Bán phá giá sàn",IF(P2048&gt;0.05,"🔵 Bán cao hơn","🟢 Đúng giá sàn TMĐT")))</f>
        <v/>
      </c>
      <c r="R2048" s="3" t="n"/>
      <c r="S2048" s="4" t="n"/>
      <c r="T2048" s="4" t="n"/>
    </row>
    <row r="2049">
      <c r="A2049" s="3" t="n">
        <v>2048</v>
      </c>
      <c r="B2049" s="3" t="inlineStr">
        <is>
          <t>DL019</t>
        </is>
      </c>
      <c r="C2049" s="4" t="inlineStr">
        <is>
          <t>Quân- Khánh Hà</t>
        </is>
      </c>
      <c r="D2049" s="3" t="inlineStr">
        <is>
          <t>HN</t>
        </is>
      </c>
      <c r="E2049" s="3" t="inlineStr">
        <is>
          <t>ĐIỆP</t>
        </is>
      </c>
      <c r="F2049" s="3" t="inlineStr">
        <is>
          <t>Tiktok, Shopee</t>
        </is>
      </c>
      <c r="G2049" s="4" t="inlineStr">
        <is>
          <t>SHOPEE: https://s.shopee.vn/5q8xKd1rIl TIKTOK: https://www.tiktok.com/@quandao1212?_r=1&amp;_t=ZS-9AZ3SH7c2xZ LAZADA: WEBSITE BÁN HÀNG:</t>
        </is>
      </c>
      <c r="H2049" s="3" t="inlineStr"/>
      <c r="I2049" s="4" t="inlineStr">
        <is>
          <t>Cờ lê lực 24mm</t>
        </is>
      </c>
      <c r="J2049" s="3" t="inlineStr">
        <is>
          <t>Cái</t>
        </is>
      </c>
      <c r="K2049" s="5" t="n">
        <v>269000</v>
      </c>
      <c r="L2049" s="5" t="n">
        <v>317000</v>
      </c>
      <c r="M2049" s="6" t="n">
        <v>390000</v>
      </c>
      <c r="N2049" s="5" t="n"/>
      <c r="O2049" s="5">
        <f>IF(AND(ISNUMBER(N2049),ISNUMBER(M2049)),N2049-M2049,"")</f>
        <v/>
      </c>
      <c r="P2049" s="7">
        <f>IF(AND(ISNUMBER(N2049),ISNUMBER(M2049),M2049&gt;0),(N2049-M2049)/M2049,"")</f>
        <v/>
      </c>
      <c r="Q2049" s="3">
        <f>IF(P2049="","",IF(P2049&lt;-0.02,"🔴 Bán phá giá sàn",IF(P2049&gt;0.05,"🔵 Bán cao hơn","🟢 Đúng giá sàn TMĐT")))</f>
        <v/>
      </c>
      <c r="R2049" s="3" t="n"/>
      <c r="S2049" s="4" t="n"/>
      <c r="T2049" s="4" t="n"/>
    </row>
    <row r="2050">
      <c r="A2050" s="3" t="n">
        <v>2049</v>
      </c>
      <c r="B2050" s="3" t="inlineStr">
        <is>
          <t>DL019</t>
        </is>
      </c>
      <c r="C2050" s="4" t="inlineStr">
        <is>
          <t>Quân- Khánh Hà</t>
        </is>
      </c>
      <c r="D2050" s="3" t="inlineStr">
        <is>
          <t>HN</t>
        </is>
      </c>
      <c r="E2050" s="3" t="inlineStr">
        <is>
          <t>ĐIỆP</t>
        </is>
      </c>
      <c r="F2050" s="3" t="inlineStr">
        <is>
          <t>Tiktok, Shopee</t>
        </is>
      </c>
      <c r="G2050" s="4" t="inlineStr">
        <is>
          <t>SHOPEE: https://s.shopee.vn/5q8xKd1rIl TIKTOK: https://www.tiktok.com/@quandao1212?_r=1&amp;_t=ZS-9AZ3SH7c2xZ LAZADA: WEBSITE BÁN HÀNG:</t>
        </is>
      </c>
      <c r="H2050" s="3" t="inlineStr"/>
      <c r="I2050" s="4" t="inlineStr">
        <is>
          <t>Cờ lê lực 26mm</t>
        </is>
      </c>
      <c r="J2050" s="3" t="inlineStr">
        <is>
          <t>Cái</t>
        </is>
      </c>
      <c r="K2050" s="5" t="n">
        <v>269000</v>
      </c>
      <c r="L2050" s="5" t="n">
        <v>317000</v>
      </c>
      <c r="M2050" s="6" t="n">
        <v>390000</v>
      </c>
      <c r="N2050" s="5" t="n"/>
      <c r="O2050" s="5">
        <f>IF(AND(ISNUMBER(N2050),ISNUMBER(M2050)),N2050-M2050,"")</f>
        <v/>
      </c>
      <c r="P2050" s="7">
        <f>IF(AND(ISNUMBER(N2050),ISNUMBER(M2050),M2050&gt;0),(N2050-M2050)/M2050,"")</f>
        <v/>
      </c>
      <c r="Q2050" s="3">
        <f>IF(P2050="","",IF(P2050&lt;-0.02,"🔴 Bán phá giá sàn",IF(P2050&gt;0.05,"🔵 Bán cao hơn","🟢 Đúng giá sàn TMĐT")))</f>
        <v/>
      </c>
      <c r="R2050" s="3" t="n"/>
      <c r="S2050" s="4" t="n"/>
      <c r="T2050" s="4" t="n"/>
    </row>
    <row r="2051">
      <c r="A2051" s="3" t="n">
        <v>2050</v>
      </c>
      <c r="B2051" s="3" t="inlineStr">
        <is>
          <t>DL019</t>
        </is>
      </c>
      <c r="C2051" s="4" t="inlineStr">
        <is>
          <t>Quân- Khánh Hà</t>
        </is>
      </c>
      <c r="D2051" s="3" t="inlineStr">
        <is>
          <t>HN</t>
        </is>
      </c>
      <c r="E2051" s="3" t="inlineStr">
        <is>
          <t>ĐIỆP</t>
        </is>
      </c>
      <c r="F2051" s="3" t="inlineStr">
        <is>
          <t>Tiktok, Shopee</t>
        </is>
      </c>
      <c r="G2051" s="4" t="inlineStr">
        <is>
          <t>SHOPEE: https://s.shopee.vn/5q8xKd1rIl TIKTOK: https://www.tiktok.com/@quandao1212?_r=1&amp;_t=ZS-9AZ3SH7c2xZ LAZADA: WEBSITE BÁN HÀNG:</t>
        </is>
      </c>
      <c r="H2051" s="3" t="inlineStr">
        <is>
          <t>D1-107x1.2</t>
        </is>
      </c>
      <c r="I2051" s="4" t="inlineStr">
        <is>
          <t>Đá cắt sắt, inox KingBlue D1-107x1.2 xanh (Hộp sắt)</t>
        </is>
      </c>
      <c r="J2051" s="3" t="inlineStr">
        <is>
          <t>Cái</t>
        </is>
      </c>
      <c r="K2051" s="5" t="n">
        <v>4000</v>
      </c>
      <c r="L2051" s="5" t="n">
        <v>5000</v>
      </c>
      <c r="M2051" s="6" t="n">
        <v>6500</v>
      </c>
      <c r="N2051" s="5" t="n"/>
      <c r="O2051" s="5">
        <f>IF(AND(ISNUMBER(N2051),ISNUMBER(M2051)),N2051-M2051,"")</f>
        <v/>
      </c>
      <c r="P2051" s="7">
        <f>IF(AND(ISNUMBER(N2051),ISNUMBER(M2051),M2051&gt;0),(N2051-M2051)/M2051,"")</f>
        <v/>
      </c>
      <c r="Q2051" s="3">
        <f>IF(P2051="","",IF(P2051&lt;-0.02,"🔴 Bán phá giá sàn",IF(P2051&gt;0.05,"🔵 Bán cao hơn","🟢 Đúng giá sàn TMĐT")))</f>
        <v/>
      </c>
      <c r="R2051" s="3" t="n"/>
      <c r="S2051" s="4" t="n"/>
      <c r="T2051" s="4" t="n"/>
    </row>
    <row r="2052">
      <c r="A2052" s="3" t="n">
        <v>2051</v>
      </c>
      <c r="B2052" s="3" t="inlineStr">
        <is>
          <t>DL019</t>
        </is>
      </c>
      <c r="C2052" s="4" t="inlineStr">
        <is>
          <t>Quân- Khánh Hà</t>
        </is>
      </c>
      <c r="D2052" s="3" t="inlineStr">
        <is>
          <t>HN</t>
        </is>
      </c>
      <c r="E2052" s="3" t="inlineStr">
        <is>
          <t>ĐIỆP</t>
        </is>
      </c>
      <c r="F2052" s="3" t="inlineStr">
        <is>
          <t>Tiktok, Shopee</t>
        </is>
      </c>
      <c r="G2052" s="4" t="inlineStr">
        <is>
          <t>SHOPEE: https://s.shopee.vn/5q8xKd1rIl TIKTOK: https://www.tiktok.com/@quandao1212?_r=1&amp;_t=ZS-9AZ3SH7c2xZ LAZADA: WEBSITE BÁN HÀNG:</t>
        </is>
      </c>
      <c r="H2052" s="3" t="inlineStr">
        <is>
          <t>D3-107x1.2</t>
        </is>
      </c>
      <c r="I2052" s="4" t="inlineStr">
        <is>
          <t>Đá cắt sắt, inox KingBlue D3-107x1.2 xanh ( hộp sắt)</t>
        </is>
      </c>
      <c r="J2052" s="3" t="inlineStr">
        <is>
          <t>Viên</t>
        </is>
      </c>
      <c r="K2052" s="5" t="n">
        <v>4600</v>
      </c>
      <c r="L2052" s="5" t="n">
        <v>5800</v>
      </c>
      <c r="M2052" s="6" t="n">
        <v>7500</v>
      </c>
      <c r="N2052" s="5" t="n"/>
      <c r="O2052" s="5">
        <f>IF(AND(ISNUMBER(N2052),ISNUMBER(M2052)),N2052-M2052,"")</f>
        <v/>
      </c>
      <c r="P2052" s="7">
        <f>IF(AND(ISNUMBER(N2052),ISNUMBER(M2052),M2052&gt;0),(N2052-M2052)/M2052,"")</f>
        <v/>
      </c>
      <c r="Q2052" s="3">
        <f>IF(P2052="","",IF(P2052&lt;-0.02,"🔴 Bán phá giá sàn",IF(P2052&gt;0.05,"🔵 Bán cao hơn","🟢 Đúng giá sàn TMĐT")))</f>
        <v/>
      </c>
      <c r="R2052" s="3" t="n"/>
      <c r="S2052" s="4" t="n"/>
      <c r="T2052" s="4" t="n"/>
    </row>
    <row r="2053">
      <c r="A2053" s="3" t="n">
        <v>2052</v>
      </c>
      <c r="B2053" s="3" t="inlineStr">
        <is>
          <t>DL019</t>
        </is>
      </c>
      <c r="C2053" s="4" t="inlineStr">
        <is>
          <t>Quân- Khánh Hà</t>
        </is>
      </c>
      <c r="D2053" s="3" t="inlineStr">
        <is>
          <t>HN</t>
        </is>
      </c>
      <c r="E2053" s="3" t="inlineStr">
        <is>
          <t>ĐIỆP</t>
        </is>
      </c>
      <c r="F2053" s="3" t="inlineStr">
        <is>
          <t>Tiktok, Shopee</t>
        </is>
      </c>
      <c r="G2053" s="4" t="inlineStr">
        <is>
          <t>SHOPEE: https://s.shopee.vn/5q8xKd1rIl TIKTOK: https://www.tiktok.com/@quandao1212?_r=1&amp;_t=ZS-9AZ3SH7c2xZ LAZADA: WEBSITE BÁN HÀNG:</t>
        </is>
      </c>
      <c r="H2053" s="3" t="inlineStr">
        <is>
          <t>KPG-032</t>
        </is>
      </c>
      <c r="I2053" s="4" t="inlineStr">
        <is>
          <t>Dao cắt ống kim loại KPG-032</t>
        </is>
      </c>
      <c r="J2053" s="3" t="inlineStr">
        <is>
          <t>Cái</t>
        </is>
      </c>
      <c r="K2053" s="5" t="n">
        <v>259000</v>
      </c>
      <c r="L2053" s="5" t="n">
        <v>306000</v>
      </c>
      <c r="M2053" s="6" t="n">
        <v>376000</v>
      </c>
      <c r="N2053" s="5" t="n"/>
      <c r="O2053" s="5">
        <f>IF(AND(ISNUMBER(N2053),ISNUMBER(M2053)),N2053-M2053,"")</f>
        <v/>
      </c>
      <c r="P2053" s="7">
        <f>IF(AND(ISNUMBER(N2053),ISNUMBER(M2053),M2053&gt;0),(N2053-M2053)/M2053,"")</f>
        <v/>
      </c>
      <c r="Q2053" s="3">
        <f>IF(P2053="","",IF(P2053&lt;-0.02,"🔴 Bán phá giá sàn",IF(P2053&gt;0.05,"🔵 Bán cao hơn","🟢 Đúng giá sàn TMĐT")))</f>
        <v/>
      </c>
      <c r="R2053" s="3" t="n"/>
      <c r="S2053" s="4" t="n"/>
      <c r="T2053" s="4" t="n"/>
    </row>
    <row r="2054">
      <c r="A2054" s="3" t="n">
        <v>2053</v>
      </c>
      <c r="B2054" s="3" t="inlineStr">
        <is>
          <t>DL019</t>
        </is>
      </c>
      <c r="C2054" s="4" t="inlineStr">
        <is>
          <t>Quân- Khánh Hà</t>
        </is>
      </c>
      <c r="D2054" s="3" t="inlineStr">
        <is>
          <t>HN</t>
        </is>
      </c>
      <c r="E2054" s="3" t="inlineStr">
        <is>
          <t>ĐIỆP</t>
        </is>
      </c>
      <c r="F2054" s="3" t="inlineStr">
        <is>
          <t>Tiktok, Shopee</t>
        </is>
      </c>
      <c r="G2054" s="4" t="inlineStr">
        <is>
          <t>SHOPEE: https://s.shopee.vn/5q8xKd1rIl TIKTOK: https://www.tiktok.com/@quandao1212?_r=1&amp;_t=ZS-9AZ3SH7c2xZ LAZADA: WEBSITE BÁN HÀNG:</t>
        </is>
      </c>
      <c r="H2054" s="3" t="inlineStr">
        <is>
          <t>KJH-05</t>
        </is>
      </c>
      <c r="I2054" s="4" t="inlineStr">
        <is>
          <t>Dao rọc cáp đa năng KJH-05</t>
        </is>
      </c>
      <c r="J2054" s="3" t="inlineStr">
        <is>
          <t>Cái</t>
        </is>
      </c>
      <c r="K2054" s="5" t="n">
        <v>119000</v>
      </c>
      <c r="L2054" s="5" t="n">
        <v>141000</v>
      </c>
      <c r="M2054" s="6" t="n">
        <v>173000</v>
      </c>
      <c r="N2054" s="5" t="n"/>
      <c r="O2054" s="5">
        <f>IF(AND(ISNUMBER(N2054),ISNUMBER(M2054)),N2054-M2054,"")</f>
        <v/>
      </c>
      <c r="P2054" s="7">
        <f>IF(AND(ISNUMBER(N2054),ISNUMBER(M2054),M2054&gt;0),(N2054-M2054)/M2054,"")</f>
        <v/>
      </c>
      <c r="Q2054" s="3">
        <f>IF(P2054="","",IF(P2054&lt;-0.02,"🔴 Bán phá giá sàn",IF(P2054&gt;0.05,"🔵 Bán cao hơn","🟢 Đúng giá sàn TMĐT")))</f>
        <v/>
      </c>
      <c r="R2054" s="3" t="n"/>
      <c r="S2054" s="4" t="n"/>
      <c r="T2054" s="4" t="n"/>
    </row>
    <row r="2055">
      <c r="A2055" s="3" t="n">
        <v>2054</v>
      </c>
      <c r="B2055" s="3" t="inlineStr">
        <is>
          <t>DL019</t>
        </is>
      </c>
      <c r="C2055" s="4" t="inlineStr">
        <is>
          <t>Quân- Khánh Hà</t>
        </is>
      </c>
      <c r="D2055" s="3" t="inlineStr">
        <is>
          <t>HN</t>
        </is>
      </c>
      <c r="E2055" s="3" t="inlineStr">
        <is>
          <t>ĐIỆP</t>
        </is>
      </c>
      <c r="F2055" s="3" t="inlineStr">
        <is>
          <t>Tiktok, Shopee</t>
        </is>
      </c>
      <c r="G2055" s="4" t="inlineStr">
        <is>
          <t>SHOPEE: https://s.shopee.vn/5q8xKd1rIl TIKTOK: https://www.tiktok.com/@quandao1212?_r=1&amp;_t=ZS-9AZ3SH7c2xZ LAZADA: WEBSITE BÁN HÀNG:</t>
        </is>
      </c>
      <c r="H2055" s="3" t="inlineStr">
        <is>
          <t>KJH-01</t>
        </is>
      </c>
      <c r="I2055" s="4" t="inlineStr">
        <is>
          <t>Dao rọc giấy KJH-01</t>
        </is>
      </c>
      <c r="J2055" s="3" t="inlineStr">
        <is>
          <t>Cái</t>
        </is>
      </c>
      <c r="K2055" s="5" t="n">
        <v>21000</v>
      </c>
      <c r="L2055" s="5" t="n">
        <v>25000</v>
      </c>
      <c r="M2055" s="6" t="n">
        <v>31000</v>
      </c>
      <c r="N2055" s="5" t="n"/>
      <c r="O2055" s="5">
        <f>IF(AND(ISNUMBER(N2055),ISNUMBER(M2055)),N2055-M2055,"")</f>
        <v/>
      </c>
      <c r="P2055" s="7">
        <f>IF(AND(ISNUMBER(N2055),ISNUMBER(M2055),M2055&gt;0),(N2055-M2055)/M2055,"")</f>
        <v/>
      </c>
      <c r="Q2055" s="3">
        <f>IF(P2055="","",IF(P2055&lt;-0.02,"🔴 Bán phá giá sàn",IF(P2055&gt;0.05,"🔵 Bán cao hơn","🟢 Đúng giá sàn TMĐT")))</f>
        <v/>
      </c>
      <c r="R2055" s="3" t="n"/>
      <c r="S2055" s="4" t="n"/>
      <c r="T2055" s="4" t="n"/>
    </row>
    <row r="2056">
      <c r="A2056" s="3" t="n">
        <v>2055</v>
      </c>
      <c r="B2056" s="3" t="inlineStr">
        <is>
          <t>DL019</t>
        </is>
      </c>
      <c r="C2056" s="4" t="inlineStr">
        <is>
          <t>Quân- Khánh Hà</t>
        </is>
      </c>
      <c r="D2056" s="3" t="inlineStr">
        <is>
          <t>HN</t>
        </is>
      </c>
      <c r="E2056" s="3" t="inlineStr">
        <is>
          <t>ĐIỆP</t>
        </is>
      </c>
      <c r="F2056" s="3" t="inlineStr">
        <is>
          <t>Tiktok, Shopee</t>
        </is>
      </c>
      <c r="G2056" s="4" t="inlineStr">
        <is>
          <t>SHOPEE: https://s.shopee.vn/5q8xKd1rIl TIKTOK: https://www.tiktok.com/@quandao1212?_r=1&amp;_t=ZS-9AZ3SH7c2xZ LAZADA: WEBSITE BÁN HÀNG:</t>
        </is>
      </c>
      <c r="H2056" s="3" t="inlineStr">
        <is>
          <t>CM07</t>
        </is>
      </c>
      <c r="I2056" s="4" t="inlineStr">
        <is>
          <t>Đầu chụp bulon KingBlue CM07</t>
        </is>
      </c>
      <c r="J2056" s="3" t="inlineStr">
        <is>
          <t>Hộp</t>
        </is>
      </c>
      <c r="K2056" s="5" t="n">
        <v>143000</v>
      </c>
      <c r="L2056" s="5" t="n">
        <v>180000</v>
      </c>
      <c r="M2056" s="6" t="n">
        <v>236000</v>
      </c>
      <c r="N2056" s="5" t="n"/>
      <c r="O2056" s="5">
        <f>IF(AND(ISNUMBER(N2056),ISNUMBER(M2056)),N2056-M2056,"")</f>
        <v/>
      </c>
      <c r="P2056" s="7">
        <f>IF(AND(ISNUMBER(N2056),ISNUMBER(M2056),M2056&gt;0),(N2056-M2056)/M2056,"")</f>
        <v/>
      </c>
      <c r="Q2056" s="3">
        <f>IF(P2056="","",IF(P2056&lt;-0.02,"🔴 Bán phá giá sàn",IF(P2056&gt;0.05,"🔵 Bán cao hơn","🟢 Đúng giá sàn TMĐT")))</f>
        <v/>
      </c>
      <c r="R2056" s="3" t="n"/>
      <c r="S2056" s="4" t="n"/>
      <c r="T2056" s="4" t="n"/>
    </row>
    <row r="2057">
      <c r="A2057" s="3" t="n">
        <v>2056</v>
      </c>
      <c r="B2057" s="3" t="inlineStr">
        <is>
          <t>DL019</t>
        </is>
      </c>
      <c r="C2057" s="4" t="inlineStr">
        <is>
          <t>Quân- Khánh Hà</t>
        </is>
      </c>
      <c r="D2057" s="3" t="inlineStr">
        <is>
          <t>HN</t>
        </is>
      </c>
      <c r="E2057" s="3" t="inlineStr">
        <is>
          <t>ĐIỆP</t>
        </is>
      </c>
      <c r="F2057" s="3" t="inlineStr">
        <is>
          <t>Tiktok, Shopee</t>
        </is>
      </c>
      <c r="G2057" s="4" t="inlineStr">
        <is>
          <t>SHOPEE: https://s.shopee.vn/5q8xKd1rIl TIKTOK: https://www.tiktok.com/@quandao1212?_r=1&amp;_t=ZS-9AZ3SH7c2xZ LAZADA: WEBSITE BÁN HÀNG:</t>
        </is>
      </c>
      <c r="H2057" s="3" t="inlineStr">
        <is>
          <t>CM08</t>
        </is>
      </c>
      <c r="I2057" s="4" t="inlineStr">
        <is>
          <t>Đầu chụp bulon KingBlue CM08</t>
        </is>
      </c>
      <c r="J2057" s="3" t="inlineStr">
        <is>
          <t>Hộp</t>
        </is>
      </c>
      <c r="K2057" s="5" t="n">
        <v>154000</v>
      </c>
      <c r="L2057" s="5" t="n">
        <v>194000</v>
      </c>
      <c r="M2057" s="6" t="n">
        <v>254000</v>
      </c>
      <c r="N2057" s="5" t="n"/>
      <c r="O2057" s="5">
        <f>IF(AND(ISNUMBER(N2057),ISNUMBER(M2057)),N2057-M2057,"")</f>
        <v/>
      </c>
      <c r="P2057" s="7">
        <f>IF(AND(ISNUMBER(N2057),ISNUMBER(M2057),M2057&gt;0),(N2057-M2057)/M2057,"")</f>
        <v/>
      </c>
      <c r="Q2057" s="3">
        <f>IF(P2057="","",IF(P2057&lt;-0.02,"🔴 Bán phá giá sàn",IF(P2057&gt;0.05,"🔵 Bán cao hơn","🟢 Đúng giá sàn TMĐT")))</f>
        <v/>
      </c>
      <c r="R2057" s="3" t="n"/>
      <c r="S2057" s="4" t="n"/>
      <c r="T2057" s="4" t="n"/>
    </row>
    <row r="2058">
      <c r="A2058" s="3" t="n">
        <v>2057</v>
      </c>
      <c r="B2058" s="3" t="inlineStr">
        <is>
          <t>DL019</t>
        </is>
      </c>
      <c r="C2058" s="4" t="inlineStr">
        <is>
          <t>Quân- Khánh Hà</t>
        </is>
      </c>
      <c r="D2058" s="3" t="inlineStr">
        <is>
          <t>HN</t>
        </is>
      </c>
      <c r="E2058" s="3" t="inlineStr">
        <is>
          <t>ĐIỆP</t>
        </is>
      </c>
      <c r="F2058" s="3" t="inlineStr">
        <is>
          <t>Tiktok, Shopee</t>
        </is>
      </c>
      <c r="G2058" s="4" t="inlineStr">
        <is>
          <t>SHOPEE: https://s.shopee.vn/5q8xKd1rIl TIKTOK: https://www.tiktok.com/@quandao1212?_r=1&amp;_t=ZS-9AZ3SH7c2xZ LAZADA: WEBSITE BÁN HÀNG:</t>
        </is>
      </c>
      <c r="H2058" s="3" t="inlineStr">
        <is>
          <t>CM10</t>
        </is>
      </c>
      <c r="I2058" s="4" t="inlineStr">
        <is>
          <t>Đầu chụp bulon KingBlue CM10</t>
        </is>
      </c>
      <c r="J2058" s="3" t="inlineStr">
        <is>
          <t>Hộp</t>
        </is>
      </c>
      <c r="K2058" s="5" t="n">
        <v>176000</v>
      </c>
      <c r="L2058" s="5" t="n">
        <v>222000</v>
      </c>
      <c r="M2058" s="6" t="n">
        <v>290000</v>
      </c>
      <c r="N2058" s="5" t="n"/>
      <c r="O2058" s="5">
        <f>IF(AND(ISNUMBER(N2058),ISNUMBER(M2058)),N2058-M2058,"")</f>
        <v/>
      </c>
      <c r="P2058" s="7">
        <f>IF(AND(ISNUMBER(N2058),ISNUMBER(M2058),M2058&gt;0),(N2058-M2058)/M2058,"")</f>
        <v/>
      </c>
      <c r="Q2058" s="3">
        <f>IF(P2058="","",IF(P2058&lt;-0.02,"🔴 Bán phá giá sàn",IF(P2058&gt;0.05,"🔵 Bán cao hơn","🟢 Đúng giá sàn TMĐT")))</f>
        <v/>
      </c>
      <c r="R2058" s="3" t="n"/>
      <c r="S2058" s="4" t="n"/>
      <c r="T2058" s="4" t="n"/>
    </row>
    <row r="2059">
      <c r="A2059" s="3" t="n">
        <v>2058</v>
      </c>
      <c r="B2059" s="3" t="inlineStr">
        <is>
          <t>DL019</t>
        </is>
      </c>
      <c r="C2059" s="4" t="inlineStr">
        <is>
          <t>Quân- Khánh Hà</t>
        </is>
      </c>
      <c r="D2059" s="3" t="inlineStr">
        <is>
          <t>HN</t>
        </is>
      </c>
      <c r="E2059" s="3" t="inlineStr">
        <is>
          <t>ĐIỆP</t>
        </is>
      </c>
      <c r="F2059" s="3" t="inlineStr">
        <is>
          <t>Tiktok, Shopee</t>
        </is>
      </c>
      <c r="G2059" s="4" t="inlineStr">
        <is>
          <t>SHOPEE: https://s.shopee.vn/5q8xKd1rIl TIKTOK: https://www.tiktok.com/@quandao1212?_r=1&amp;_t=ZS-9AZ3SH7c2xZ LAZADA: WEBSITE BÁN HÀNG:</t>
        </is>
      </c>
      <c r="H2059" s="3" t="inlineStr">
        <is>
          <t>CM12</t>
        </is>
      </c>
      <c r="I2059" s="4" t="inlineStr">
        <is>
          <t>Đầu chụp bulon KingBlue CM12</t>
        </is>
      </c>
      <c r="J2059" s="3" t="inlineStr">
        <is>
          <t>Hộp</t>
        </is>
      </c>
      <c r="K2059" s="5" t="n">
        <v>99000</v>
      </c>
      <c r="L2059" s="5" t="n">
        <v>125000</v>
      </c>
      <c r="M2059" s="6" t="n">
        <v>163000</v>
      </c>
      <c r="N2059" s="5" t="n"/>
      <c r="O2059" s="5">
        <f>IF(AND(ISNUMBER(N2059),ISNUMBER(M2059)),N2059-M2059,"")</f>
        <v/>
      </c>
      <c r="P2059" s="7">
        <f>IF(AND(ISNUMBER(N2059),ISNUMBER(M2059),M2059&gt;0),(N2059-M2059)/M2059,"")</f>
        <v/>
      </c>
      <c r="Q2059" s="3">
        <f>IF(P2059="","",IF(P2059&lt;-0.02,"🔴 Bán phá giá sàn",IF(P2059&gt;0.05,"🔵 Bán cao hơn","🟢 Đúng giá sàn TMĐT")))</f>
        <v/>
      </c>
      <c r="R2059" s="3" t="n"/>
      <c r="S2059" s="4" t="n"/>
      <c r="T2059" s="4" t="n"/>
    </row>
    <row r="2060">
      <c r="A2060" s="3" t="n">
        <v>2059</v>
      </c>
      <c r="B2060" s="3" t="inlineStr">
        <is>
          <t>DL019</t>
        </is>
      </c>
      <c r="C2060" s="4" t="inlineStr">
        <is>
          <t>Quân- Khánh Hà</t>
        </is>
      </c>
      <c r="D2060" s="3" t="inlineStr">
        <is>
          <t>HN</t>
        </is>
      </c>
      <c r="E2060" s="3" t="inlineStr">
        <is>
          <t>ĐIỆP</t>
        </is>
      </c>
      <c r="F2060" s="3" t="inlineStr">
        <is>
          <t>Tiktok, Shopee</t>
        </is>
      </c>
      <c r="G2060" s="4" t="inlineStr">
        <is>
          <t>SHOPEE: https://s.shopee.vn/5q8xKd1rIl TIKTOK: https://www.tiktok.com/@quandao1212?_r=1&amp;_t=ZS-9AZ3SH7c2xZ LAZADA: WEBSITE BÁN HÀNG:</t>
        </is>
      </c>
      <c r="H2060" s="3" t="inlineStr">
        <is>
          <t>CM13</t>
        </is>
      </c>
      <c r="I2060" s="4" t="inlineStr">
        <is>
          <t>Đầu chụp bulon KingBlue CM13</t>
        </is>
      </c>
      <c r="J2060" s="3" t="inlineStr">
        <is>
          <t>Hộp</t>
        </is>
      </c>
      <c r="K2060" s="5" t="n">
        <v>105000</v>
      </c>
      <c r="L2060" s="5" t="n">
        <v>132000</v>
      </c>
      <c r="M2060" s="6" t="n">
        <v>173000</v>
      </c>
      <c r="N2060" s="5" t="n"/>
      <c r="O2060" s="5">
        <f>IF(AND(ISNUMBER(N2060),ISNUMBER(M2060)),N2060-M2060,"")</f>
        <v/>
      </c>
      <c r="P2060" s="7">
        <f>IF(AND(ISNUMBER(N2060),ISNUMBER(M2060),M2060&gt;0),(N2060-M2060)/M2060,"")</f>
        <v/>
      </c>
      <c r="Q2060" s="3">
        <f>IF(P2060="","",IF(P2060&lt;-0.02,"🔴 Bán phá giá sàn",IF(P2060&gt;0.05,"🔵 Bán cao hơn","🟢 Đúng giá sàn TMĐT")))</f>
        <v/>
      </c>
      <c r="R2060" s="3" t="n"/>
      <c r="S2060" s="4" t="n"/>
      <c r="T2060" s="4" t="n"/>
    </row>
    <row r="2061">
      <c r="A2061" s="3" t="n">
        <v>2060</v>
      </c>
      <c r="B2061" s="3" t="inlineStr">
        <is>
          <t>DL019</t>
        </is>
      </c>
      <c r="C2061" s="4" t="inlineStr">
        <is>
          <t>Quân- Khánh Hà</t>
        </is>
      </c>
      <c r="D2061" s="3" t="inlineStr">
        <is>
          <t>HN</t>
        </is>
      </c>
      <c r="E2061" s="3" t="inlineStr">
        <is>
          <t>ĐIỆP</t>
        </is>
      </c>
      <c r="F2061" s="3" t="inlineStr">
        <is>
          <t>Tiktok, Shopee</t>
        </is>
      </c>
      <c r="G2061" s="4" t="inlineStr">
        <is>
          <t>SHOPEE: https://s.shopee.vn/5q8xKd1rIl TIKTOK: https://www.tiktok.com/@quandao1212?_r=1&amp;_t=ZS-9AZ3SH7c2xZ LAZADA: WEBSITE BÁN HÀNG:</t>
        </is>
      </c>
      <c r="H2061" s="3" t="inlineStr">
        <is>
          <t>CM14</t>
        </is>
      </c>
      <c r="I2061" s="4" t="inlineStr">
        <is>
          <t>Đầu chụp bulon KingBlue CM14</t>
        </is>
      </c>
      <c r="J2061" s="3" t="inlineStr">
        <is>
          <t>Hộp</t>
        </is>
      </c>
      <c r="K2061" s="5" t="n">
        <v>105000</v>
      </c>
      <c r="L2061" s="5" t="n">
        <v>132000</v>
      </c>
      <c r="M2061" s="6" t="n">
        <v>173000</v>
      </c>
      <c r="N2061" s="5" t="n"/>
      <c r="O2061" s="5">
        <f>IF(AND(ISNUMBER(N2061),ISNUMBER(M2061)),N2061-M2061,"")</f>
        <v/>
      </c>
      <c r="P2061" s="7">
        <f>IF(AND(ISNUMBER(N2061),ISNUMBER(M2061),M2061&gt;0),(N2061-M2061)/M2061,"")</f>
        <v/>
      </c>
      <c r="Q2061" s="3">
        <f>IF(P2061="","",IF(P2061&lt;-0.02,"🔴 Bán phá giá sàn",IF(P2061&gt;0.05,"🔵 Bán cao hơn","🟢 Đúng giá sàn TMĐT")))</f>
        <v/>
      </c>
      <c r="R2061" s="3" t="n"/>
      <c r="S2061" s="4" t="n"/>
      <c r="T2061" s="4" t="n"/>
    </row>
    <row r="2062">
      <c r="A2062" s="3" t="n">
        <v>2061</v>
      </c>
      <c r="B2062" s="3" t="inlineStr">
        <is>
          <t>DL019</t>
        </is>
      </c>
      <c r="C2062" s="4" t="inlineStr">
        <is>
          <t>Quân- Khánh Hà</t>
        </is>
      </c>
      <c r="D2062" s="3" t="inlineStr">
        <is>
          <t>HN</t>
        </is>
      </c>
      <c r="E2062" s="3" t="inlineStr">
        <is>
          <t>ĐIỆP</t>
        </is>
      </c>
      <c r="F2062" s="3" t="inlineStr">
        <is>
          <t>Tiktok, Shopee</t>
        </is>
      </c>
      <c r="G2062" s="4" t="inlineStr">
        <is>
          <t>SHOPEE: https://s.shopee.vn/5q8xKd1rIl TIKTOK: https://www.tiktok.com/@quandao1212?_r=1&amp;_t=ZS-9AZ3SH7c2xZ LAZADA: WEBSITE BÁN HÀNG:</t>
        </is>
      </c>
      <c r="H2062" s="3" t="inlineStr">
        <is>
          <t>CM17</t>
        </is>
      </c>
      <c r="I2062" s="4" t="inlineStr">
        <is>
          <t>Đầu chụp bulon KingBlue CM17</t>
        </is>
      </c>
      <c r="J2062" s="3" t="inlineStr">
        <is>
          <t>Hộp</t>
        </is>
      </c>
      <c r="K2062" s="5" t="n">
        <v>110000</v>
      </c>
      <c r="L2062" s="5" t="n">
        <v>139000</v>
      </c>
      <c r="M2062" s="6" t="n">
        <v>182000</v>
      </c>
      <c r="N2062" s="5" t="n"/>
      <c r="O2062" s="5">
        <f>IF(AND(ISNUMBER(N2062),ISNUMBER(M2062)),N2062-M2062,"")</f>
        <v/>
      </c>
      <c r="P2062" s="7">
        <f>IF(AND(ISNUMBER(N2062),ISNUMBER(M2062),M2062&gt;0),(N2062-M2062)/M2062,"")</f>
        <v/>
      </c>
      <c r="Q2062" s="3">
        <f>IF(P2062="","",IF(P2062&lt;-0.02,"🔴 Bán phá giá sàn",IF(P2062&gt;0.05,"🔵 Bán cao hơn","🟢 Đúng giá sàn TMĐT")))</f>
        <v/>
      </c>
      <c r="R2062" s="3" t="n"/>
      <c r="S2062" s="4" t="n"/>
      <c r="T2062" s="4" t="n"/>
    </row>
    <row r="2063">
      <c r="A2063" s="3" t="n">
        <v>2062</v>
      </c>
      <c r="B2063" s="3" t="inlineStr">
        <is>
          <t>DL019</t>
        </is>
      </c>
      <c r="C2063" s="4" t="inlineStr">
        <is>
          <t>Quân- Khánh Hà</t>
        </is>
      </c>
      <c r="D2063" s="3" t="inlineStr">
        <is>
          <t>HN</t>
        </is>
      </c>
      <c r="E2063" s="3" t="inlineStr">
        <is>
          <t>ĐIỆP</t>
        </is>
      </c>
      <c r="F2063" s="3" t="inlineStr">
        <is>
          <t>Tiktok, Shopee</t>
        </is>
      </c>
      <c r="G2063" s="4" t="inlineStr">
        <is>
          <t>SHOPEE: https://s.shopee.vn/5q8xKd1rIl TIKTOK: https://www.tiktok.com/@quandao1212?_r=1&amp;_t=ZS-9AZ3SH7c2xZ LAZADA: WEBSITE BÁN HÀNG:</t>
        </is>
      </c>
      <c r="H2063" s="3" t="inlineStr">
        <is>
          <t>CM19</t>
        </is>
      </c>
      <c r="I2063" s="4" t="inlineStr">
        <is>
          <t>Đầu chụp bulon KingBlue CM19</t>
        </is>
      </c>
      <c r="J2063" s="3" t="inlineStr">
        <is>
          <t>Hộp</t>
        </is>
      </c>
      <c r="K2063" s="5" t="n">
        <v>86000</v>
      </c>
      <c r="L2063" s="5" t="n">
        <v>108000</v>
      </c>
      <c r="M2063" s="6" t="n">
        <v>142000</v>
      </c>
      <c r="N2063" s="5" t="n"/>
      <c r="O2063" s="5">
        <f>IF(AND(ISNUMBER(N2063),ISNUMBER(M2063)),N2063-M2063,"")</f>
        <v/>
      </c>
      <c r="P2063" s="7">
        <f>IF(AND(ISNUMBER(N2063),ISNUMBER(M2063),M2063&gt;0),(N2063-M2063)/M2063,"")</f>
        <v/>
      </c>
      <c r="Q2063" s="3">
        <f>IF(P2063="","",IF(P2063&lt;-0.02,"🔴 Bán phá giá sàn",IF(P2063&gt;0.05,"🔵 Bán cao hơn","🟢 Đúng giá sàn TMĐT")))</f>
        <v/>
      </c>
      <c r="R2063" s="3" t="n"/>
      <c r="S2063" s="4" t="n"/>
      <c r="T2063" s="4" t="n"/>
    </row>
    <row r="2064">
      <c r="A2064" s="3" t="n">
        <v>2063</v>
      </c>
      <c r="B2064" s="3" t="inlineStr">
        <is>
          <t>DL019</t>
        </is>
      </c>
      <c r="C2064" s="4" t="inlineStr">
        <is>
          <t>Quân- Khánh Hà</t>
        </is>
      </c>
      <c r="D2064" s="3" t="inlineStr">
        <is>
          <t>HN</t>
        </is>
      </c>
      <c r="E2064" s="3" t="inlineStr">
        <is>
          <t>ĐIỆP</t>
        </is>
      </c>
      <c r="F2064" s="3" t="inlineStr">
        <is>
          <t>Tiktok, Shopee</t>
        </is>
      </c>
      <c r="G2064" s="4" t="inlineStr">
        <is>
          <t>SHOPEE: https://s.shopee.vn/5q8xKd1rIl TIKTOK: https://www.tiktok.com/@quandao1212?_r=1&amp;_t=ZS-9AZ3SH7c2xZ LAZADA: WEBSITE BÁN HÀNG:</t>
        </is>
      </c>
      <c r="H2064" s="3" t="inlineStr">
        <is>
          <t>K45M</t>
        </is>
      </c>
      <c r="I2064" s="4" t="inlineStr">
        <is>
          <t>Đầu khò gas K45M</t>
        </is>
      </c>
      <c r="J2064" s="3" t="inlineStr">
        <is>
          <t>Cái</t>
        </is>
      </c>
      <c r="K2064" s="5" t="n">
        <v>269000</v>
      </c>
      <c r="L2064" s="5" t="n">
        <v>317000</v>
      </c>
      <c r="M2064" s="6" t="n">
        <v>390000</v>
      </c>
      <c r="N2064" s="5" t="n"/>
      <c r="O2064" s="5">
        <f>IF(AND(ISNUMBER(N2064),ISNUMBER(M2064)),N2064-M2064,"")</f>
        <v/>
      </c>
      <c r="P2064" s="7">
        <f>IF(AND(ISNUMBER(N2064),ISNUMBER(M2064),M2064&gt;0),(N2064-M2064)/M2064,"")</f>
        <v/>
      </c>
      <c r="Q2064" s="3">
        <f>IF(P2064="","",IF(P2064&lt;-0.02,"🔴 Bán phá giá sàn",IF(P2064&gt;0.05,"🔵 Bán cao hơn","🟢 Đúng giá sàn TMĐT")))</f>
        <v/>
      </c>
      <c r="R2064" s="3" t="n"/>
      <c r="S2064" s="4" t="n"/>
      <c r="T2064" s="4" t="n"/>
    </row>
    <row r="2065">
      <c r="A2065" s="3" t="n">
        <v>2064</v>
      </c>
      <c r="B2065" s="3" t="inlineStr">
        <is>
          <t>DL019</t>
        </is>
      </c>
      <c r="C2065" s="4" t="inlineStr">
        <is>
          <t>Quân- Khánh Hà</t>
        </is>
      </c>
      <c r="D2065" s="3" t="inlineStr">
        <is>
          <t>HN</t>
        </is>
      </c>
      <c r="E2065" s="3" t="inlineStr">
        <is>
          <t>ĐIỆP</t>
        </is>
      </c>
      <c r="F2065" s="3" t="inlineStr">
        <is>
          <t>Tiktok, Shopee</t>
        </is>
      </c>
      <c r="G2065" s="4" t="inlineStr">
        <is>
          <t>SHOPEE: https://s.shopee.vn/5q8xKd1rIl TIKTOK: https://www.tiktok.com/@quandao1212?_r=1&amp;_t=ZS-9AZ3SH7c2xZ LAZADA: WEBSITE BÁN HÀNG:</t>
        </is>
      </c>
      <c r="H2065" s="3" t="inlineStr">
        <is>
          <t>LED600</t>
        </is>
      </c>
      <c r="I2065" s="4" t="inlineStr">
        <is>
          <t>Đèn Led soi sửa chữa máy móc LED600</t>
        </is>
      </c>
      <c r="J2065" s="3" t="inlineStr">
        <is>
          <t>Cái</t>
        </is>
      </c>
      <c r="K2065" s="5" t="n">
        <v>650000</v>
      </c>
      <c r="L2065" s="5" t="n">
        <v>741000</v>
      </c>
      <c r="M2065" s="6" t="n">
        <v>878000</v>
      </c>
      <c r="N2065" s="5" t="n"/>
      <c r="O2065" s="5">
        <f>IF(AND(ISNUMBER(N2065),ISNUMBER(M2065)),N2065-M2065,"")</f>
        <v/>
      </c>
      <c r="P2065" s="7">
        <f>IF(AND(ISNUMBER(N2065),ISNUMBER(M2065),M2065&gt;0),(N2065-M2065)/M2065,"")</f>
        <v/>
      </c>
      <c r="Q2065" s="3">
        <f>IF(P2065="","",IF(P2065&lt;-0.02,"🔴 Bán phá giá sàn",IF(P2065&gt;0.05,"🔵 Bán cao hơn","🟢 Đúng giá sàn TMĐT")))</f>
        <v/>
      </c>
      <c r="R2065" s="3" t="n"/>
      <c r="S2065" s="4" t="n"/>
      <c r="T2065" s="4" t="n"/>
    </row>
    <row r="2066">
      <c r="A2066" s="3" t="n">
        <v>2065</v>
      </c>
      <c r="B2066" s="3" t="inlineStr">
        <is>
          <t>DL019</t>
        </is>
      </c>
      <c r="C2066" s="4" t="inlineStr">
        <is>
          <t>Quân- Khánh Hà</t>
        </is>
      </c>
      <c r="D2066" s="3" t="inlineStr">
        <is>
          <t>HN</t>
        </is>
      </c>
      <c r="E2066" s="3" t="inlineStr">
        <is>
          <t>ĐIỆP</t>
        </is>
      </c>
      <c r="F2066" s="3" t="inlineStr">
        <is>
          <t>Tiktok, Shopee</t>
        </is>
      </c>
      <c r="G2066" s="4" t="inlineStr">
        <is>
          <t>SHOPEE: https://s.shopee.vn/5q8xKd1rIl TIKTOK: https://www.tiktok.com/@quandao1212?_r=1&amp;_t=ZS-9AZ3SH7c2xZ LAZADA: WEBSITE BÁN HÀNG:</t>
        </is>
      </c>
      <c r="H2066" s="3" t="inlineStr"/>
      <c r="I2066" s="4" t="inlineStr">
        <is>
          <t>Định tâm</t>
        </is>
      </c>
      <c r="J2066" s="3" t="inlineStr">
        <is>
          <t>Cái</t>
        </is>
      </c>
      <c r="K2066" s="5" t="n">
        <v>269000</v>
      </c>
      <c r="L2066" s="5" t="n">
        <v>317000</v>
      </c>
      <c r="M2066" s="6" t="n">
        <v>390000</v>
      </c>
      <c r="N2066" s="5" t="n"/>
      <c r="O2066" s="5">
        <f>IF(AND(ISNUMBER(N2066),ISNUMBER(M2066)),N2066-M2066,"")</f>
        <v/>
      </c>
      <c r="P2066" s="7">
        <f>IF(AND(ISNUMBER(N2066),ISNUMBER(M2066),M2066&gt;0),(N2066-M2066)/M2066,"")</f>
        <v/>
      </c>
      <c r="Q2066" s="3">
        <f>IF(P2066="","",IF(P2066&lt;-0.02,"🔴 Bán phá giá sàn",IF(P2066&gt;0.05,"🔵 Bán cao hơn","🟢 Đúng giá sàn TMĐT")))</f>
        <v/>
      </c>
      <c r="R2066" s="3" t="n"/>
      <c r="S2066" s="4" t="n"/>
      <c r="T2066" s="4" t="n"/>
    </row>
    <row r="2067">
      <c r="A2067" s="3" t="n">
        <v>2066</v>
      </c>
      <c r="B2067" s="3" t="inlineStr">
        <is>
          <t>DL019</t>
        </is>
      </c>
      <c r="C2067" s="4" t="inlineStr">
        <is>
          <t>Quân- Khánh Hà</t>
        </is>
      </c>
      <c r="D2067" s="3" t="inlineStr">
        <is>
          <t>HN</t>
        </is>
      </c>
      <c r="E2067" s="3" t="inlineStr">
        <is>
          <t>ĐIỆP</t>
        </is>
      </c>
      <c r="F2067" s="3" t="inlineStr">
        <is>
          <t>Tiktok, Shopee</t>
        </is>
      </c>
      <c r="G2067" s="4" t="inlineStr">
        <is>
          <t>SHOPEE: https://s.shopee.vn/5q8xKd1rIl TIKTOK: https://www.tiktok.com/@quandao1212?_r=1&amp;_t=ZS-9AZ3SH7c2xZ LAZADA: WEBSITE BÁN HÀNG:</t>
        </is>
      </c>
      <c r="H2067" s="3" t="inlineStr">
        <is>
          <t>HKE-924</t>
        </is>
      </c>
      <c r="I2067" s="4" t="inlineStr">
        <is>
          <t>Hít gạch điện tử HKE-924</t>
        </is>
      </c>
      <c r="J2067" s="3" t="inlineStr">
        <is>
          <t>Cái</t>
        </is>
      </c>
      <c r="K2067" s="5" t="n">
        <v>680000</v>
      </c>
      <c r="L2067" s="5" t="n">
        <v>789000</v>
      </c>
      <c r="M2067" s="6" t="n">
        <v>952000</v>
      </c>
      <c r="N2067" s="5" t="n"/>
      <c r="O2067" s="5">
        <f>IF(AND(ISNUMBER(N2067),ISNUMBER(M2067)),N2067-M2067,"")</f>
        <v/>
      </c>
      <c r="P2067" s="7">
        <f>IF(AND(ISNUMBER(N2067),ISNUMBER(M2067),M2067&gt;0),(N2067-M2067)/M2067,"")</f>
        <v/>
      </c>
      <c r="Q2067" s="3">
        <f>IF(P2067="","",IF(P2067&lt;-0.02,"🔴 Bán phá giá sàn",IF(P2067&gt;0.05,"🔵 Bán cao hơn","🟢 Đúng giá sàn TMĐT")))</f>
        <v/>
      </c>
      <c r="R2067" s="3" t="n"/>
      <c r="S2067" s="4" t="n"/>
      <c r="T2067" s="4" t="n"/>
    </row>
    <row r="2068">
      <c r="A2068" s="3" t="n">
        <v>2067</v>
      </c>
      <c r="B2068" s="3" t="inlineStr">
        <is>
          <t>DL019</t>
        </is>
      </c>
      <c r="C2068" s="4" t="inlineStr">
        <is>
          <t>Quân- Khánh Hà</t>
        </is>
      </c>
      <c r="D2068" s="3" t="inlineStr">
        <is>
          <t>HN</t>
        </is>
      </c>
      <c r="E2068" s="3" t="inlineStr">
        <is>
          <t>ĐIỆP</t>
        </is>
      </c>
      <c r="F2068" s="3" t="inlineStr">
        <is>
          <t>Tiktok, Shopee</t>
        </is>
      </c>
      <c r="G2068" s="4" t="inlineStr">
        <is>
          <t>SHOPEE: https://s.shopee.vn/5q8xKd1rIl TIKTOK: https://www.tiktok.com/@quandao1212?_r=1&amp;_t=ZS-9AZ3SH7c2xZ LAZADA: WEBSITE BÁN HÀNG:</t>
        </is>
      </c>
      <c r="H2068" s="3" t="inlineStr"/>
      <c r="I2068" s="4" t="inlineStr">
        <is>
          <t>KỆ HÀNG</t>
        </is>
      </c>
      <c r="J2068" s="3" t="inlineStr">
        <is>
          <t>Cái</t>
        </is>
      </c>
      <c r="K2068" s="5" t="n">
        <v>269000</v>
      </c>
      <c r="L2068" s="5" t="n">
        <v>317000</v>
      </c>
      <c r="M2068" s="6" t="n">
        <v>390000</v>
      </c>
      <c r="N2068" s="5" t="n"/>
      <c r="O2068" s="5">
        <f>IF(AND(ISNUMBER(N2068),ISNUMBER(M2068)),N2068-M2068,"")</f>
        <v/>
      </c>
      <c r="P2068" s="7">
        <f>IF(AND(ISNUMBER(N2068),ISNUMBER(M2068),M2068&gt;0),(N2068-M2068)/M2068,"")</f>
        <v/>
      </c>
      <c r="Q2068" s="3">
        <f>IF(P2068="","",IF(P2068&lt;-0.02,"🔴 Bán phá giá sàn",IF(P2068&gt;0.05,"🔵 Bán cao hơn","🟢 Đúng giá sàn TMĐT")))</f>
        <v/>
      </c>
      <c r="R2068" s="3" t="n"/>
      <c r="S2068" s="4" t="n"/>
      <c r="T2068" s="4" t="n"/>
    </row>
    <row r="2069">
      <c r="A2069" s="3" t="n">
        <v>2068</v>
      </c>
      <c r="B2069" s="3" t="inlineStr">
        <is>
          <t>DL019</t>
        </is>
      </c>
      <c r="C2069" s="4" t="inlineStr">
        <is>
          <t>Quân- Khánh Hà</t>
        </is>
      </c>
      <c r="D2069" s="3" t="inlineStr">
        <is>
          <t>HN</t>
        </is>
      </c>
      <c r="E2069" s="3" t="inlineStr">
        <is>
          <t>ĐIỆP</t>
        </is>
      </c>
      <c r="F2069" s="3" t="inlineStr">
        <is>
          <t>Tiktok, Shopee</t>
        </is>
      </c>
      <c r="G2069" s="4" t="inlineStr">
        <is>
          <t>SHOPEE: https://s.shopee.vn/5q8xKd1rIl TIKTOK: https://www.tiktok.com/@quandao1212?_r=1&amp;_t=ZS-9AZ3SH7c2xZ LAZADA: WEBSITE BÁN HÀNG:</t>
        </is>
      </c>
      <c r="H2069" s="3" t="inlineStr">
        <is>
          <t>QC4</t>
        </is>
      </c>
      <c r="I2069" s="4" t="inlineStr">
        <is>
          <t>Kéo cắt đa năng QC4</t>
        </is>
      </c>
      <c r="J2069" s="3" t="inlineStr">
        <is>
          <t>Cái</t>
        </is>
      </c>
      <c r="K2069" s="5" t="n">
        <v>103000</v>
      </c>
      <c r="L2069" s="5" t="n">
        <v>121000</v>
      </c>
      <c r="M2069" s="6" t="n">
        <v>149000</v>
      </c>
      <c r="N2069" s="5" t="n"/>
      <c r="O2069" s="5">
        <f>IF(AND(ISNUMBER(N2069),ISNUMBER(M2069)),N2069-M2069,"")</f>
        <v/>
      </c>
      <c r="P2069" s="7">
        <f>IF(AND(ISNUMBER(N2069),ISNUMBER(M2069),M2069&gt;0),(N2069-M2069)/M2069,"")</f>
        <v/>
      </c>
      <c r="Q2069" s="3">
        <f>IF(P2069="","",IF(P2069&lt;-0.02,"🔴 Bán phá giá sàn",IF(P2069&gt;0.05,"🔵 Bán cao hơn","🟢 Đúng giá sàn TMĐT")))</f>
        <v/>
      </c>
      <c r="R2069" s="3" t="n"/>
      <c r="S2069" s="4" t="n"/>
      <c r="T2069" s="4" t="n"/>
    </row>
    <row r="2070">
      <c r="A2070" s="3" t="n">
        <v>2069</v>
      </c>
      <c r="B2070" s="3" t="inlineStr">
        <is>
          <t>DL019</t>
        </is>
      </c>
      <c r="C2070" s="4" t="inlineStr">
        <is>
          <t>Quân- Khánh Hà</t>
        </is>
      </c>
      <c r="D2070" s="3" t="inlineStr">
        <is>
          <t>HN</t>
        </is>
      </c>
      <c r="E2070" s="3" t="inlineStr">
        <is>
          <t>ĐIỆP</t>
        </is>
      </c>
      <c r="F2070" s="3" t="inlineStr">
        <is>
          <t>Tiktok, Shopee</t>
        </is>
      </c>
      <c r="G2070" s="4" t="inlineStr">
        <is>
          <t>SHOPEE: https://s.shopee.vn/5q8xKd1rIl TIKTOK: https://www.tiktok.com/@quandao1212?_r=1&amp;_t=ZS-9AZ3SH7c2xZ LAZADA: WEBSITE BÁN HÀNG:</t>
        </is>
      </c>
      <c r="H2070" s="3" t="inlineStr">
        <is>
          <t>KPC-132</t>
        </is>
      </c>
      <c r="I2070" s="4" t="inlineStr">
        <is>
          <t>Kéo cắt ống KPC-132</t>
        </is>
      </c>
      <c r="J2070" s="3" t="inlineStr">
        <is>
          <t>Cái</t>
        </is>
      </c>
      <c r="K2070" s="5" t="n">
        <v>101000</v>
      </c>
      <c r="L2070" s="5" t="n">
        <v>119000</v>
      </c>
      <c r="M2070" s="6" t="n">
        <v>147000</v>
      </c>
      <c r="N2070" s="5" t="n"/>
      <c r="O2070" s="5">
        <f>IF(AND(ISNUMBER(N2070),ISNUMBER(M2070)),N2070-M2070,"")</f>
        <v/>
      </c>
      <c r="P2070" s="7">
        <f>IF(AND(ISNUMBER(N2070),ISNUMBER(M2070),M2070&gt;0),(N2070-M2070)/M2070,"")</f>
        <v/>
      </c>
      <c r="Q2070" s="3">
        <f>IF(P2070="","",IF(P2070&lt;-0.02,"🔴 Bán phá giá sàn",IF(P2070&gt;0.05,"🔵 Bán cao hơn","🟢 Đúng giá sàn TMĐT")))</f>
        <v/>
      </c>
      <c r="R2070" s="3" t="n"/>
      <c r="S2070" s="4" t="n"/>
      <c r="T2070" s="4" t="n"/>
    </row>
    <row r="2071">
      <c r="A2071" s="3" t="n">
        <v>2070</v>
      </c>
      <c r="B2071" s="3" t="inlineStr">
        <is>
          <t>DL019</t>
        </is>
      </c>
      <c r="C2071" s="4" t="inlineStr">
        <is>
          <t>Quân- Khánh Hà</t>
        </is>
      </c>
      <c r="D2071" s="3" t="inlineStr">
        <is>
          <t>HN</t>
        </is>
      </c>
      <c r="E2071" s="3" t="inlineStr">
        <is>
          <t>ĐIỆP</t>
        </is>
      </c>
      <c r="F2071" s="3" t="inlineStr">
        <is>
          <t>Tiktok, Shopee</t>
        </is>
      </c>
      <c r="G2071" s="4" t="inlineStr">
        <is>
          <t>SHOPEE: https://s.shopee.vn/5q8xKd1rIl TIKTOK: https://www.tiktok.com/@quandao1212?_r=1&amp;_t=ZS-9AZ3SH7c2xZ LAZADA: WEBSITE BÁN HÀNG:</t>
        </is>
      </c>
      <c r="H2071" s="3" t="inlineStr">
        <is>
          <t>QC1</t>
        </is>
      </c>
      <c r="I2071" s="4" t="inlineStr">
        <is>
          <t>Kéo cắt trái cây QC1</t>
        </is>
      </c>
      <c r="J2071" s="3" t="inlineStr">
        <is>
          <t>Cái</t>
        </is>
      </c>
      <c r="K2071" s="5" t="n">
        <v>38000</v>
      </c>
      <c r="L2071" s="5" t="n">
        <v>45000</v>
      </c>
      <c r="M2071" s="6" t="n">
        <v>55000</v>
      </c>
      <c r="N2071" s="5" t="n"/>
      <c r="O2071" s="5">
        <f>IF(AND(ISNUMBER(N2071),ISNUMBER(M2071)),N2071-M2071,"")</f>
        <v/>
      </c>
      <c r="P2071" s="7">
        <f>IF(AND(ISNUMBER(N2071),ISNUMBER(M2071),M2071&gt;0),(N2071-M2071)/M2071,"")</f>
        <v/>
      </c>
      <c r="Q2071" s="3">
        <f>IF(P2071="","",IF(P2071&lt;-0.02,"🔴 Bán phá giá sàn",IF(P2071&gt;0.05,"🔵 Bán cao hơn","🟢 Đúng giá sàn TMĐT")))</f>
        <v/>
      </c>
      <c r="R2071" s="3" t="n"/>
      <c r="S2071" s="4" t="n"/>
      <c r="T2071" s="4" t="n"/>
    </row>
    <row r="2072">
      <c r="A2072" s="3" t="n">
        <v>2071</v>
      </c>
      <c r="B2072" s="3" t="inlineStr">
        <is>
          <t>DL019</t>
        </is>
      </c>
      <c r="C2072" s="4" t="inlineStr">
        <is>
          <t>Quân- Khánh Hà</t>
        </is>
      </c>
      <c r="D2072" s="3" t="inlineStr">
        <is>
          <t>HN</t>
        </is>
      </c>
      <c r="E2072" s="3" t="inlineStr">
        <is>
          <t>ĐIỆP</t>
        </is>
      </c>
      <c r="F2072" s="3" t="inlineStr">
        <is>
          <t>Tiktok, Shopee</t>
        </is>
      </c>
      <c r="G2072" s="4" t="inlineStr">
        <is>
          <t>SHOPEE: https://s.shopee.vn/5q8xKd1rIl TIKTOK: https://www.tiktok.com/@quandao1212?_r=1&amp;_t=ZS-9AZ3SH7c2xZ LAZADA: WEBSITE BÁN HÀNG:</t>
        </is>
      </c>
      <c r="H2072" s="3" t="inlineStr">
        <is>
          <t>QC2</t>
        </is>
      </c>
      <c r="I2072" s="4" t="inlineStr">
        <is>
          <t>Kéo cắt trái cây QC2</t>
        </is>
      </c>
      <c r="J2072" s="3" t="inlineStr">
        <is>
          <t>Cái</t>
        </is>
      </c>
      <c r="K2072" s="5" t="n">
        <v>65000</v>
      </c>
      <c r="L2072" s="5" t="n">
        <v>77000</v>
      </c>
      <c r="M2072" s="6" t="n">
        <v>94000</v>
      </c>
      <c r="N2072" s="5" t="n"/>
      <c r="O2072" s="5">
        <f>IF(AND(ISNUMBER(N2072),ISNUMBER(M2072)),N2072-M2072,"")</f>
        <v/>
      </c>
      <c r="P2072" s="7">
        <f>IF(AND(ISNUMBER(N2072),ISNUMBER(M2072),M2072&gt;0),(N2072-M2072)/M2072,"")</f>
        <v/>
      </c>
      <c r="Q2072" s="3">
        <f>IF(P2072="","",IF(P2072&lt;-0.02,"🔴 Bán phá giá sàn",IF(P2072&gt;0.05,"🔵 Bán cao hơn","🟢 Đúng giá sàn TMĐT")))</f>
        <v/>
      </c>
      <c r="R2072" s="3" t="n"/>
      <c r="S2072" s="4" t="n"/>
      <c r="T2072" s="4" t="n"/>
    </row>
    <row r="2073">
      <c r="A2073" s="3" t="n">
        <v>2072</v>
      </c>
      <c r="B2073" s="3" t="inlineStr">
        <is>
          <t>DL019</t>
        </is>
      </c>
      <c r="C2073" s="4" t="inlineStr">
        <is>
          <t>Quân- Khánh Hà</t>
        </is>
      </c>
      <c r="D2073" s="3" t="inlineStr">
        <is>
          <t>HN</t>
        </is>
      </c>
      <c r="E2073" s="3" t="inlineStr">
        <is>
          <t>ĐIỆP</t>
        </is>
      </c>
      <c r="F2073" s="3" t="inlineStr">
        <is>
          <t>Tiktok, Shopee</t>
        </is>
      </c>
      <c r="G2073" s="4" t="inlineStr">
        <is>
          <t>SHOPEE: https://s.shopee.vn/5q8xKd1rIl TIKTOK: https://www.tiktok.com/@quandao1212?_r=1&amp;_t=ZS-9AZ3SH7c2xZ LAZADA: WEBSITE BÁN HÀNG:</t>
        </is>
      </c>
      <c r="H2073" s="3" t="inlineStr">
        <is>
          <t>KB002-E7</t>
        </is>
      </c>
      <c r="I2073" s="4" t="inlineStr">
        <is>
          <t>Kéo KB002-E7</t>
        </is>
      </c>
      <c r="J2073" s="3" t="inlineStr">
        <is>
          <t>Cái</t>
        </is>
      </c>
      <c r="K2073" s="5" t="n">
        <v>145000</v>
      </c>
      <c r="L2073" s="5" t="n">
        <v>171000</v>
      </c>
      <c r="M2073" s="6" t="n">
        <v>210000</v>
      </c>
      <c r="N2073" s="5" t="n"/>
      <c r="O2073" s="5">
        <f>IF(AND(ISNUMBER(N2073),ISNUMBER(M2073)),N2073-M2073,"")</f>
        <v/>
      </c>
      <c r="P2073" s="7">
        <f>IF(AND(ISNUMBER(N2073),ISNUMBER(M2073),M2073&gt;0),(N2073-M2073)/M2073,"")</f>
        <v/>
      </c>
      <c r="Q2073" s="3">
        <f>IF(P2073="","",IF(P2073&lt;-0.02,"🔴 Bán phá giá sàn",IF(P2073&gt;0.05,"🔵 Bán cao hơn","🟢 Đúng giá sàn TMĐT")))</f>
        <v/>
      </c>
      <c r="R2073" s="3" t="n"/>
      <c r="S2073" s="4" t="n"/>
      <c r="T2073" s="4" t="n"/>
    </row>
    <row r="2074">
      <c r="A2074" s="3" t="n">
        <v>2073</v>
      </c>
      <c r="B2074" s="3" t="inlineStr">
        <is>
          <t>DL019</t>
        </is>
      </c>
      <c r="C2074" s="4" t="inlineStr">
        <is>
          <t>Quân- Khánh Hà</t>
        </is>
      </c>
      <c r="D2074" s="3" t="inlineStr">
        <is>
          <t>HN</t>
        </is>
      </c>
      <c r="E2074" s="3" t="inlineStr">
        <is>
          <t>ĐIỆP</t>
        </is>
      </c>
      <c r="F2074" s="3" t="inlineStr">
        <is>
          <t>Tiktok, Shopee</t>
        </is>
      </c>
      <c r="G2074" s="4" t="inlineStr">
        <is>
          <t>SHOPEE: https://s.shopee.vn/5q8xKd1rIl TIKTOK: https://www.tiktok.com/@quandao1212?_r=1&amp;_t=ZS-9AZ3SH7c2xZ LAZADA: WEBSITE BÁN HÀNG:</t>
        </is>
      </c>
      <c r="H2074" s="3" t="inlineStr">
        <is>
          <t>KRLK-56370</t>
        </is>
      </c>
      <c r="I2074" s="4" t="inlineStr">
        <is>
          <t>Khoan rút lõi bê tông nước + khô KRLK-56*370</t>
        </is>
      </c>
      <c r="J2074" s="3" t="inlineStr">
        <is>
          <t>Cái</t>
        </is>
      </c>
      <c r="K2074" s="5" t="n">
        <v>244000</v>
      </c>
      <c r="L2074" s="5" t="n">
        <v>293000</v>
      </c>
      <c r="M2074" s="6" t="n">
        <v>366000</v>
      </c>
      <c r="N2074" s="5" t="n"/>
      <c r="O2074" s="5">
        <f>IF(AND(ISNUMBER(N2074),ISNUMBER(M2074)),N2074-M2074,"")</f>
        <v/>
      </c>
      <c r="P2074" s="7">
        <f>IF(AND(ISNUMBER(N2074),ISNUMBER(M2074),M2074&gt;0),(N2074-M2074)/M2074,"")</f>
        <v/>
      </c>
      <c r="Q2074" s="3">
        <f>IF(P2074="","",IF(P2074&lt;-0.02,"🔴 Bán phá giá sàn",IF(P2074&gt;0.05,"🔵 Bán cao hơn","🟢 Đúng giá sàn TMĐT")))</f>
        <v/>
      </c>
      <c r="R2074" s="3" t="n"/>
      <c r="S2074" s="4" t="n"/>
      <c r="T2074" s="4" t="n"/>
    </row>
    <row r="2075">
      <c r="A2075" s="3" t="n">
        <v>2074</v>
      </c>
      <c r="B2075" s="3" t="inlineStr">
        <is>
          <t>DL019</t>
        </is>
      </c>
      <c r="C2075" s="4" t="inlineStr">
        <is>
          <t>Quân- Khánh Hà</t>
        </is>
      </c>
      <c r="D2075" s="3" t="inlineStr">
        <is>
          <t>HN</t>
        </is>
      </c>
      <c r="E2075" s="3" t="inlineStr">
        <is>
          <t>ĐIỆP</t>
        </is>
      </c>
      <c r="F2075" s="3" t="inlineStr">
        <is>
          <t>Tiktok, Shopee</t>
        </is>
      </c>
      <c r="G2075" s="4" t="inlineStr">
        <is>
          <t>SHOPEE: https://s.shopee.vn/5q8xKd1rIl TIKTOK: https://www.tiktok.com/@quandao1212?_r=1&amp;_t=ZS-9AZ3SH7c2xZ LAZADA: WEBSITE BÁN HÀNG:</t>
        </is>
      </c>
      <c r="H2075" s="3" t="inlineStr">
        <is>
          <t>KRLK-63370</t>
        </is>
      </c>
      <c r="I2075" s="4" t="inlineStr">
        <is>
          <t>Khoan rút lõi bê tông nước + khô KRLK-63*370</t>
        </is>
      </c>
      <c r="J2075" s="3" t="inlineStr">
        <is>
          <t>Cái</t>
        </is>
      </c>
      <c r="K2075" s="5" t="n">
        <v>282000</v>
      </c>
      <c r="L2075" s="5" t="n">
        <v>338000</v>
      </c>
      <c r="M2075" s="6" t="n">
        <v>423000</v>
      </c>
      <c r="N2075" s="5" t="n"/>
      <c r="O2075" s="5">
        <f>IF(AND(ISNUMBER(N2075),ISNUMBER(M2075)),N2075-M2075,"")</f>
        <v/>
      </c>
      <c r="P2075" s="7">
        <f>IF(AND(ISNUMBER(N2075),ISNUMBER(M2075),M2075&gt;0),(N2075-M2075)/M2075,"")</f>
        <v/>
      </c>
      <c r="Q2075" s="3">
        <f>IF(P2075="","",IF(P2075&lt;-0.02,"🔴 Bán phá giá sàn",IF(P2075&gt;0.05,"🔵 Bán cao hơn","🟢 Đúng giá sàn TMĐT")))</f>
        <v/>
      </c>
      <c r="R2075" s="3" t="n"/>
      <c r="S2075" s="4" t="n"/>
      <c r="T2075" s="4" t="n"/>
    </row>
    <row r="2076">
      <c r="A2076" s="3" t="n">
        <v>2075</v>
      </c>
      <c r="B2076" s="3" t="inlineStr">
        <is>
          <t>DL019</t>
        </is>
      </c>
      <c r="C2076" s="4" t="inlineStr">
        <is>
          <t>Quân- Khánh Hà</t>
        </is>
      </c>
      <c r="D2076" s="3" t="inlineStr">
        <is>
          <t>HN</t>
        </is>
      </c>
      <c r="E2076" s="3" t="inlineStr">
        <is>
          <t>ĐIỆP</t>
        </is>
      </c>
      <c r="F2076" s="3" t="inlineStr">
        <is>
          <t>Tiktok, Shopee</t>
        </is>
      </c>
      <c r="G2076" s="4" t="inlineStr">
        <is>
          <t>SHOPEE: https://s.shopee.vn/5q8xKd1rIl TIKTOK: https://www.tiktok.com/@quandao1212?_r=1&amp;_t=ZS-9AZ3SH7c2xZ LAZADA: WEBSITE BÁN HÀNG:</t>
        </is>
      </c>
      <c r="H2076" s="3" t="inlineStr">
        <is>
          <t>KC3-09</t>
        </is>
      </c>
      <c r="I2076" s="4" t="inlineStr">
        <is>
          <t>Kìm cắt đa năng KC3-09</t>
        </is>
      </c>
      <c r="J2076" s="3" t="inlineStr">
        <is>
          <t>Cái</t>
        </is>
      </c>
      <c r="K2076" s="5" t="n">
        <v>269000</v>
      </c>
      <c r="L2076" s="5" t="n">
        <v>317000</v>
      </c>
      <c r="M2076" s="6" t="n">
        <v>390000</v>
      </c>
      <c r="N2076" s="5" t="n"/>
      <c r="O2076" s="5">
        <f>IF(AND(ISNUMBER(N2076),ISNUMBER(M2076)),N2076-M2076,"")</f>
        <v/>
      </c>
      <c r="P2076" s="7">
        <f>IF(AND(ISNUMBER(N2076),ISNUMBER(M2076),M2076&gt;0),(N2076-M2076)/M2076,"")</f>
        <v/>
      </c>
      <c r="Q2076" s="3">
        <f>IF(P2076="","",IF(P2076&lt;-0.02,"🔴 Bán phá giá sàn",IF(P2076&gt;0.05,"🔵 Bán cao hơn","🟢 Đúng giá sàn TMĐT")))</f>
        <v/>
      </c>
      <c r="R2076" s="3" t="n"/>
      <c r="S2076" s="4" t="n"/>
      <c r="T2076" s="4" t="n"/>
    </row>
    <row r="2077">
      <c r="A2077" s="3" t="n">
        <v>2076</v>
      </c>
      <c r="B2077" s="3" t="inlineStr">
        <is>
          <t>DL019</t>
        </is>
      </c>
      <c r="C2077" s="4" t="inlineStr">
        <is>
          <t>Quân- Khánh Hà</t>
        </is>
      </c>
      <c r="D2077" s="3" t="inlineStr">
        <is>
          <t>HN</t>
        </is>
      </c>
      <c r="E2077" s="3" t="inlineStr">
        <is>
          <t>ĐIỆP</t>
        </is>
      </c>
      <c r="F2077" s="3" t="inlineStr">
        <is>
          <t>Tiktok, Shopee</t>
        </is>
      </c>
      <c r="G2077" s="4" t="inlineStr">
        <is>
          <t>SHOPEE: https://s.shopee.vn/5q8xKd1rIl TIKTOK: https://www.tiktok.com/@quandao1212?_r=1&amp;_t=ZS-9AZ3SH7c2xZ LAZADA: WEBSITE BÁN HÀNG:</t>
        </is>
      </c>
      <c r="H2077" s="3" t="inlineStr">
        <is>
          <t>KC1-09</t>
        </is>
      </c>
      <c r="I2077" s="4" t="inlineStr">
        <is>
          <t>Kìm điện đa năng KC1-09</t>
        </is>
      </c>
      <c r="J2077" s="3" t="inlineStr">
        <is>
          <t>Cái</t>
        </is>
      </c>
      <c r="K2077" s="5" t="n">
        <v>127000</v>
      </c>
      <c r="L2077" s="5" t="n">
        <v>150000</v>
      </c>
      <c r="M2077" s="6" t="n">
        <v>184000</v>
      </c>
      <c r="N2077" s="5" t="n"/>
      <c r="O2077" s="5">
        <f>IF(AND(ISNUMBER(N2077),ISNUMBER(M2077)),N2077-M2077,"")</f>
        <v/>
      </c>
      <c r="P2077" s="7">
        <f>IF(AND(ISNUMBER(N2077),ISNUMBER(M2077),M2077&gt;0),(N2077-M2077)/M2077,"")</f>
        <v/>
      </c>
      <c r="Q2077" s="3">
        <f>IF(P2077="","",IF(P2077&lt;-0.02,"🔴 Bán phá giá sàn",IF(P2077&gt;0.05,"🔵 Bán cao hơn","🟢 Đúng giá sàn TMĐT")))</f>
        <v/>
      </c>
      <c r="R2077" s="3" t="n"/>
      <c r="S2077" s="4" t="n"/>
      <c r="T2077" s="4" t="n"/>
    </row>
    <row r="2078">
      <c r="A2078" s="3" t="n">
        <v>2077</v>
      </c>
      <c r="B2078" s="3" t="inlineStr">
        <is>
          <t>DL019</t>
        </is>
      </c>
      <c r="C2078" s="4" t="inlineStr">
        <is>
          <t>Quân- Khánh Hà</t>
        </is>
      </c>
      <c r="D2078" s="3" t="inlineStr">
        <is>
          <t>HN</t>
        </is>
      </c>
      <c r="E2078" s="3" t="inlineStr">
        <is>
          <t>ĐIỆP</t>
        </is>
      </c>
      <c r="F2078" s="3" t="inlineStr">
        <is>
          <t>Tiktok, Shopee</t>
        </is>
      </c>
      <c r="G2078" s="4" t="inlineStr">
        <is>
          <t>SHOPEE: https://s.shopee.vn/5q8xKd1rIl TIKTOK: https://www.tiktok.com/@quandao1212?_r=1&amp;_t=ZS-9AZ3SH7c2xZ LAZADA: WEBSITE BÁN HÀNG:</t>
        </is>
      </c>
      <c r="H2078" s="3" t="inlineStr">
        <is>
          <t>KC1-06</t>
        </is>
      </c>
      <c r="I2078" s="4" t="inlineStr">
        <is>
          <t>Kìm điện KC1-06</t>
        </is>
      </c>
      <c r="J2078" s="3" t="inlineStr">
        <is>
          <t>Cái</t>
        </is>
      </c>
      <c r="K2078" s="5" t="n">
        <v>269000</v>
      </c>
      <c r="L2078" s="5" t="n">
        <v>317000</v>
      </c>
      <c r="M2078" s="6" t="n">
        <v>390000</v>
      </c>
      <c r="N2078" s="5" t="n"/>
      <c r="O2078" s="5">
        <f>IF(AND(ISNUMBER(N2078),ISNUMBER(M2078)),N2078-M2078,"")</f>
        <v/>
      </c>
      <c r="P2078" s="7">
        <f>IF(AND(ISNUMBER(N2078),ISNUMBER(M2078),M2078&gt;0),(N2078-M2078)/M2078,"")</f>
        <v/>
      </c>
      <c r="Q2078" s="3">
        <f>IF(P2078="","",IF(P2078&lt;-0.02,"🔴 Bán phá giá sàn",IF(P2078&gt;0.05,"🔵 Bán cao hơn","🟢 Đúng giá sàn TMĐT")))</f>
        <v/>
      </c>
      <c r="R2078" s="3" t="n"/>
      <c r="S2078" s="4" t="n"/>
      <c r="T2078" s="4" t="n"/>
    </row>
    <row r="2079">
      <c r="A2079" s="3" t="n">
        <v>2078</v>
      </c>
      <c r="B2079" s="3" t="inlineStr">
        <is>
          <t>DL019</t>
        </is>
      </c>
      <c r="C2079" s="4" t="inlineStr">
        <is>
          <t>Quân- Khánh Hà</t>
        </is>
      </c>
      <c r="D2079" s="3" t="inlineStr">
        <is>
          <t>HN</t>
        </is>
      </c>
      <c r="E2079" s="3" t="inlineStr">
        <is>
          <t>ĐIỆP</t>
        </is>
      </c>
      <c r="F2079" s="3" t="inlineStr">
        <is>
          <t>Tiktok, Shopee</t>
        </is>
      </c>
      <c r="G2079" s="4" t="inlineStr">
        <is>
          <t>SHOPEE: https://s.shopee.vn/5q8xKd1rIl TIKTOK: https://www.tiktok.com/@quandao1212?_r=1&amp;_t=ZS-9AZ3SH7c2xZ LAZADA: WEBSITE BÁN HÀNG:</t>
        </is>
      </c>
      <c r="H2079" s="3" t="inlineStr">
        <is>
          <t>KC2-09</t>
        </is>
      </c>
      <c r="I2079" s="4" t="inlineStr">
        <is>
          <t>Kìm mỏ nhọn đa năng KC2-09</t>
        </is>
      </c>
      <c r="J2079" s="3" t="inlineStr">
        <is>
          <t>Cái</t>
        </is>
      </c>
      <c r="K2079" s="5" t="n">
        <v>127000</v>
      </c>
      <c r="L2079" s="5" t="n">
        <v>150000</v>
      </c>
      <c r="M2079" s="6" t="n">
        <v>184000</v>
      </c>
      <c r="N2079" s="5" t="n"/>
      <c r="O2079" s="5">
        <f>IF(AND(ISNUMBER(N2079),ISNUMBER(M2079)),N2079-M2079,"")</f>
        <v/>
      </c>
      <c r="P2079" s="7">
        <f>IF(AND(ISNUMBER(N2079),ISNUMBER(M2079),M2079&gt;0),(N2079-M2079)/M2079,"")</f>
        <v/>
      </c>
      <c r="Q2079" s="3">
        <f>IF(P2079="","",IF(P2079&lt;-0.02,"🔴 Bán phá giá sàn",IF(P2079&gt;0.05,"🔵 Bán cao hơn","🟢 Đúng giá sàn TMĐT")))</f>
        <v/>
      </c>
      <c r="R2079" s="3" t="n"/>
      <c r="S2079" s="4" t="n"/>
      <c r="T2079" s="4" t="n"/>
    </row>
    <row r="2080">
      <c r="A2080" s="3" t="n">
        <v>2079</v>
      </c>
      <c r="B2080" s="3" t="inlineStr">
        <is>
          <t>DL019</t>
        </is>
      </c>
      <c r="C2080" s="4" t="inlineStr">
        <is>
          <t>Quân- Khánh Hà</t>
        </is>
      </c>
      <c r="D2080" s="3" t="inlineStr">
        <is>
          <t>HN</t>
        </is>
      </c>
      <c r="E2080" s="3" t="inlineStr">
        <is>
          <t>ĐIỆP</t>
        </is>
      </c>
      <c r="F2080" s="3" t="inlineStr">
        <is>
          <t>Tiktok, Shopee</t>
        </is>
      </c>
      <c r="G2080" s="4" t="inlineStr">
        <is>
          <t>SHOPEE: https://s.shopee.vn/5q8xKd1rIl TIKTOK: https://www.tiktok.com/@quandao1212?_r=1&amp;_t=ZS-9AZ3SH7c2xZ LAZADA: WEBSITE BÁN HÀNG:</t>
        </is>
      </c>
      <c r="H2080" s="3" t="inlineStr">
        <is>
          <t>40-50Nm</t>
        </is>
      </c>
      <c r="I2080" s="4" t="inlineStr">
        <is>
          <t>Mạch máy khoan 40-50Nm</t>
        </is>
      </c>
      <c r="J2080" s="3" t="inlineStr">
        <is>
          <t>Cái</t>
        </is>
      </c>
      <c r="K2080" s="5" t="n">
        <v>269000</v>
      </c>
      <c r="L2080" s="5" t="n">
        <v>317000</v>
      </c>
      <c r="M2080" s="6" t="n">
        <v>390000</v>
      </c>
      <c r="N2080" s="5" t="n"/>
      <c r="O2080" s="5">
        <f>IF(AND(ISNUMBER(N2080),ISNUMBER(M2080)),N2080-M2080,"")</f>
        <v/>
      </c>
      <c r="P2080" s="7">
        <f>IF(AND(ISNUMBER(N2080),ISNUMBER(M2080),M2080&gt;0),(N2080-M2080)/M2080,"")</f>
        <v/>
      </c>
      <c r="Q2080" s="3">
        <f>IF(P2080="","",IF(P2080&lt;-0.02,"🔴 Bán phá giá sàn",IF(P2080&gt;0.05,"🔵 Bán cao hơn","🟢 Đúng giá sàn TMĐT")))</f>
        <v/>
      </c>
      <c r="R2080" s="3" t="n"/>
      <c r="S2080" s="4" t="n"/>
      <c r="T2080" s="4" t="n"/>
    </row>
    <row r="2081">
      <c r="A2081" s="3" t="n">
        <v>2080</v>
      </c>
      <c r="B2081" s="3" t="inlineStr">
        <is>
          <t>DL019</t>
        </is>
      </c>
      <c r="C2081" s="4" t="inlineStr">
        <is>
          <t>Quân- Khánh Hà</t>
        </is>
      </c>
      <c r="D2081" s="3" t="inlineStr">
        <is>
          <t>HN</t>
        </is>
      </c>
      <c r="E2081" s="3" t="inlineStr">
        <is>
          <t>ĐIỆP</t>
        </is>
      </c>
      <c r="F2081" s="3" t="inlineStr">
        <is>
          <t>Tiktok, Shopee</t>
        </is>
      </c>
      <c r="G2081" s="4" t="inlineStr">
        <is>
          <t>SHOPEE: https://s.shopee.vn/5q8xKd1rIl TIKTOK: https://www.tiktok.com/@quandao1212?_r=1&amp;_t=ZS-9AZ3SH7c2xZ LAZADA: WEBSITE BÁN HÀNG:</t>
        </is>
      </c>
      <c r="H2081" s="3" t="inlineStr">
        <is>
          <t>K18VFS</t>
        </is>
      </c>
      <c r="I2081" s="4" t="inlineStr">
        <is>
          <t>Máy Bắn Vít 18V K18VFS</t>
        </is>
      </c>
      <c r="J2081" s="3" t="inlineStr">
        <is>
          <t>Cái</t>
        </is>
      </c>
      <c r="K2081" s="5" t="n">
        <v>1540000</v>
      </c>
      <c r="L2081" s="5" t="n">
        <v>1690000</v>
      </c>
      <c r="M2081" s="6" t="n">
        <v>1930000</v>
      </c>
      <c r="N2081" s="5" t="n"/>
      <c r="O2081" s="5">
        <f>IF(AND(ISNUMBER(N2081),ISNUMBER(M2081)),N2081-M2081,"")</f>
        <v/>
      </c>
      <c r="P2081" s="7">
        <f>IF(AND(ISNUMBER(N2081),ISNUMBER(M2081),M2081&gt;0),(N2081-M2081)/M2081,"")</f>
        <v/>
      </c>
      <c r="Q2081" s="3">
        <f>IF(P2081="","",IF(P2081&lt;-0.02,"🔴 Bán phá giá sàn",IF(P2081&gt;0.05,"🔵 Bán cao hơn","🟢 Đúng giá sàn TMĐT")))</f>
        <v/>
      </c>
      <c r="R2081" s="3" t="n"/>
      <c r="S2081" s="4" t="n"/>
      <c r="T2081" s="4" t="n"/>
    </row>
    <row r="2082">
      <c r="A2082" s="3" t="n">
        <v>2081</v>
      </c>
      <c r="B2082" s="3" t="inlineStr">
        <is>
          <t>DL019</t>
        </is>
      </c>
      <c r="C2082" s="4" t="inlineStr">
        <is>
          <t>Quân- Khánh Hà</t>
        </is>
      </c>
      <c r="D2082" s="3" t="inlineStr">
        <is>
          <t>HN</t>
        </is>
      </c>
      <c r="E2082" s="3" t="inlineStr">
        <is>
          <t>ĐIỆP</t>
        </is>
      </c>
      <c r="F2082" s="3" t="inlineStr">
        <is>
          <t>Tiktok, Shopee</t>
        </is>
      </c>
      <c r="G2082" s="4" t="inlineStr">
        <is>
          <t>SHOPEE: https://s.shopee.vn/5q8xKd1rIl TIKTOK: https://www.tiktok.com/@quandao1212?_r=1&amp;_t=ZS-9AZ3SH7c2xZ LAZADA: WEBSITE BÁN HÀNG:</t>
        </is>
      </c>
      <c r="H2082" s="3" t="inlineStr">
        <is>
          <t>KB-02XS</t>
        </is>
      </c>
      <c r="I2082" s="4" t="inlineStr">
        <is>
          <t>Máy cân bằng KB-02XS</t>
        </is>
      </c>
      <c r="J2082" s="3" t="inlineStr">
        <is>
          <t>Cái</t>
        </is>
      </c>
      <c r="K2082" s="5" t="n">
        <v>269000</v>
      </c>
      <c r="L2082" s="5" t="n">
        <v>317000</v>
      </c>
      <c r="M2082" s="6" t="n">
        <v>390000</v>
      </c>
      <c r="N2082" s="5" t="n"/>
      <c r="O2082" s="5">
        <f>IF(AND(ISNUMBER(N2082),ISNUMBER(M2082)),N2082-M2082,"")</f>
        <v/>
      </c>
      <c r="P2082" s="7">
        <f>IF(AND(ISNUMBER(N2082),ISNUMBER(M2082),M2082&gt;0),(N2082-M2082)/M2082,"")</f>
        <v/>
      </c>
      <c r="Q2082" s="3">
        <f>IF(P2082="","",IF(P2082&lt;-0.02,"🔴 Bán phá giá sàn",IF(P2082&gt;0.05,"🔵 Bán cao hơn","🟢 Đúng giá sàn TMĐT")))</f>
        <v/>
      </c>
      <c r="R2082" s="3" t="n"/>
      <c r="S2082" s="4" t="n"/>
      <c r="T2082" s="4" t="n"/>
    </row>
    <row r="2083">
      <c r="A2083" s="3" t="n">
        <v>2082</v>
      </c>
      <c r="B2083" s="3" t="inlineStr">
        <is>
          <t>DL019</t>
        </is>
      </c>
      <c r="C2083" s="4" t="inlineStr">
        <is>
          <t>Quân- Khánh Hà</t>
        </is>
      </c>
      <c r="D2083" s="3" t="inlineStr">
        <is>
          <t>HN</t>
        </is>
      </c>
      <c r="E2083" s="3" t="inlineStr">
        <is>
          <t>ĐIỆP</t>
        </is>
      </c>
      <c r="F2083" s="3" t="inlineStr">
        <is>
          <t>Tiktok, Shopee</t>
        </is>
      </c>
      <c r="G2083" s="4" t="inlineStr">
        <is>
          <t>SHOPEE: https://s.shopee.vn/5q8xKd1rIl TIKTOK: https://www.tiktok.com/@quandao1212?_r=1&amp;_t=ZS-9AZ3SH7c2xZ LAZADA: WEBSITE BÁN HÀNG:</t>
        </is>
      </c>
      <c r="H2083" s="3" t="inlineStr">
        <is>
          <t>KB-05X</t>
        </is>
      </c>
      <c r="I2083" s="4" t="inlineStr">
        <is>
          <t>Máy cân bằng KB-05X</t>
        </is>
      </c>
      <c r="J2083" s="3" t="inlineStr">
        <is>
          <t>Cái</t>
        </is>
      </c>
      <c r="K2083" s="5" t="n">
        <v>1350000</v>
      </c>
      <c r="L2083" s="5" t="n">
        <v>1510000</v>
      </c>
      <c r="M2083" s="6" t="n">
        <v>1760000</v>
      </c>
      <c r="N2083" s="5" t="n"/>
      <c r="O2083" s="5">
        <f>IF(AND(ISNUMBER(N2083),ISNUMBER(M2083)),N2083-M2083,"")</f>
        <v/>
      </c>
      <c r="P2083" s="7">
        <f>IF(AND(ISNUMBER(N2083),ISNUMBER(M2083),M2083&gt;0),(N2083-M2083)/M2083,"")</f>
        <v/>
      </c>
      <c r="Q2083" s="3">
        <f>IF(P2083="","",IF(P2083&lt;-0.02,"🔴 Bán phá giá sàn",IF(P2083&gt;0.05,"🔵 Bán cao hơn","🟢 Đúng giá sàn TMĐT")))</f>
        <v/>
      </c>
      <c r="R2083" s="3" t="n"/>
      <c r="S2083" s="4" t="n"/>
      <c r="T2083" s="4" t="n"/>
    </row>
    <row r="2084">
      <c r="A2084" s="3" t="n">
        <v>2083</v>
      </c>
      <c r="B2084" s="3" t="inlineStr">
        <is>
          <t>DL019</t>
        </is>
      </c>
      <c r="C2084" s="4" t="inlineStr">
        <is>
          <t>Quân- Khánh Hà</t>
        </is>
      </c>
      <c r="D2084" s="3" t="inlineStr">
        <is>
          <t>HN</t>
        </is>
      </c>
      <c r="E2084" s="3" t="inlineStr">
        <is>
          <t>ĐIỆP</t>
        </is>
      </c>
      <c r="F2084" s="3" t="inlineStr">
        <is>
          <t>Tiktok, Shopee</t>
        </is>
      </c>
      <c r="G2084" s="4" t="inlineStr">
        <is>
          <t>SHOPEE: https://s.shopee.vn/5q8xKd1rIl TIKTOK: https://www.tiktok.com/@quandao1212?_r=1&amp;_t=ZS-9AZ3SH7c2xZ LAZADA: WEBSITE BÁN HÀNG:</t>
        </is>
      </c>
      <c r="H2084" s="3" t="inlineStr">
        <is>
          <t>KB-05XS</t>
        </is>
      </c>
      <c r="I2084" s="4" t="inlineStr">
        <is>
          <t>Máy cân bằng KB-05XS</t>
        </is>
      </c>
      <c r="J2084" s="3" t="inlineStr">
        <is>
          <t>Cái</t>
        </is>
      </c>
      <c r="K2084" s="5" t="n">
        <v>2090000</v>
      </c>
      <c r="L2084" s="5" t="n">
        <v>2340000</v>
      </c>
      <c r="M2084" s="6" t="n">
        <v>2720000</v>
      </c>
      <c r="N2084" s="5" t="n"/>
      <c r="O2084" s="5">
        <f>IF(AND(ISNUMBER(N2084),ISNUMBER(M2084)),N2084-M2084,"")</f>
        <v/>
      </c>
      <c r="P2084" s="7">
        <f>IF(AND(ISNUMBER(N2084),ISNUMBER(M2084),M2084&gt;0),(N2084-M2084)/M2084,"")</f>
        <v/>
      </c>
      <c r="Q2084" s="3">
        <f>IF(P2084="","",IF(P2084&lt;-0.02,"🔴 Bán phá giá sàn",IF(P2084&gt;0.05,"🔵 Bán cao hơn","🟢 Đúng giá sàn TMĐT")))</f>
        <v/>
      </c>
      <c r="R2084" s="3" t="n"/>
      <c r="S2084" s="4" t="n"/>
      <c r="T2084" s="4" t="n"/>
    </row>
    <row r="2085">
      <c r="A2085" s="3" t="n">
        <v>2084</v>
      </c>
      <c r="B2085" s="3" t="inlineStr">
        <is>
          <t>DL019</t>
        </is>
      </c>
      <c r="C2085" s="4" t="inlineStr">
        <is>
          <t>Quân- Khánh Hà</t>
        </is>
      </c>
      <c r="D2085" s="3" t="inlineStr">
        <is>
          <t>HN</t>
        </is>
      </c>
      <c r="E2085" s="3" t="inlineStr">
        <is>
          <t>ĐIỆP</t>
        </is>
      </c>
      <c r="F2085" s="3" t="inlineStr">
        <is>
          <t>Tiktok, Shopee</t>
        </is>
      </c>
      <c r="G2085" s="4" t="inlineStr">
        <is>
          <t>SHOPEE: https://s.shopee.vn/5q8xKd1rIl TIKTOK: https://www.tiktok.com/@quandao1212?_r=1&amp;_t=ZS-9AZ3SH7c2xZ LAZADA: WEBSITE BÁN HÀNG:</t>
        </is>
      </c>
      <c r="H2085" s="3" t="inlineStr">
        <is>
          <t>KM18CK</t>
        </is>
      </c>
      <c r="I2085" s="4" t="inlineStr">
        <is>
          <t>Máy Cưa Kiếm 18V KM18CK</t>
        </is>
      </c>
      <c r="J2085" s="3" t="inlineStr">
        <is>
          <t>Cái</t>
        </is>
      </c>
      <c r="K2085" s="5" t="n">
        <v>2110000</v>
      </c>
      <c r="L2085" s="5" t="n">
        <v>2320000</v>
      </c>
      <c r="M2085" s="6" t="n">
        <v>2640000</v>
      </c>
      <c r="N2085" s="5" t="n"/>
      <c r="O2085" s="5">
        <f>IF(AND(ISNUMBER(N2085),ISNUMBER(M2085)),N2085-M2085,"")</f>
        <v/>
      </c>
      <c r="P2085" s="7">
        <f>IF(AND(ISNUMBER(N2085),ISNUMBER(M2085),M2085&gt;0),(N2085-M2085)/M2085,"")</f>
        <v/>
      </c>
      <c r="Q2085" s="3">
        <f>IF(P2085="","",IF(P2085&lt;-0.02,"🔴 Bán phá giá sàn",IF(P2085&gt;0.05,"🔵 Bán cao hơn","🟢 Đúng giá sàn TMĐT")))</f>
        <v/>
      </c>
      <c r="R2085" s="3" t="n"/>
      <c r="S2085" s="4" t="n"/>
      <c r="T2085" s="4" t="n"/>
    </row>
    <row r="2086">
      <c r="A2086" s="3" t="n">
        <v>2085</v>
      </c>
      <c r="B2086" s="3" t="inlineStr">
        <is>
          <t>DL019</t>
        </is>
      </c>
      <c r="C2086" s="4" t="inlineStr">
        <is>
          <t>Quân- Khánh Hà</t>
        </is>
      </c>
      <c r="D2086" s="3" t="inlineStr">
        <is>
          <t>HN</t>
        </is>
      </c>
      <c r="E2086" s="3" t="inlineStr">
        <is>
          <t>ĐIỆP</t>
        </is>
      </c>
      <c r="F2086" s="3" t="inlineStr">
        <is>
          <t>Tiktok, Shopee</t>
        </is>
      </c>
      <c r="G2086" s="4" t="inlineStr">
        <is>
          <t>SHOPEE: https://s.shopee.vn/5q8xKd1rIl TIKTOK: https://www.tiktok.com/@quandao1212?_r=1&amp;_t=ZS-9AZ3SH7c2xZ LAZADA: WEBSITE BÁN HÀNG:</t>
        </is>
      </c>
      <c r="H2086" s="3" t="inlineStr">
        <is>
          <t>KM18CX</t>
        </is>
      </c>
      <c r="I2086" s="4" t="inlineStr">
        <is>
          <t>Máy Cưa Xích dùng Pin 18V KM18CX</t>
        </is>
      </c>
      <c r="J2086" s="3" t="inlineStr">
        <is>
          <t>Cái</t>
        </is>
      </c>
      <c r="K2086" s="5" t="n">
        <v>1890000</v>
      </c>
      <c r="L2086" s="5" t="n">
        <v>2080000</v>
      </c>
      <c r="M2086" s="6" t="n">
        <v>2370000</v>
      </c>
      <c r="N2086" s="5" t="n"/>
      <c r="O2086" s="5">
        <f>IF(AND(ISNUMBER(N2086),ISNUMBER(M2086)),N2086-M2086,"")</f>
        <v/>
      </c>
      <c r="P2086" s="7">
        <f>IF(AND(ISNUMBER(N2086),ISNUMBER(M2086),M2086&gt;0),(N2086-M2086)/M2086,"")</f>
        <v/>
      </c>
      <c r="Q2086" s="3">
        <f>IF(P2086="","",IF(P2086&lt;-0.02,"🔴 Bán phá giá sàn",IF(P2086&gt;0.05,"🔵 Bán cao hơn","🟢 Đúng giá sàn TMĐT")))</f>
        <v/>
      </c>
      <c r="R2086" s="3" t="n"/>
      <c r="S2086" s="4" t="n"/>
      <c r="T2086" s="4" t="n"/>
    </row>
    <row r="2087">
      <c r="A2087" s="3" t="n">
        <v>2086</v>
      </c>
      <c r="B2087" s="3" t="inlineStr">
        <is>
          <t>DL019</t>
        </is>
      </c>
      <c r="C2087" s="4" t="inlineStr">
        <is>
          <t>Quân- Khánh Hà</t>
        </is>
      </c>
      <c r="D2087" s="3" t="inlineStr">
        <is>
          <t>HN</t>
        </is>
      </c>
      <c r="E2087" s="3" t="inlineStr">
        <is>
          <t>ĐIỆP</t>
        </is>
      </c>
      <c r="F2087" s="3" t="inlineStr">
        <is>
          <t>Tiktok, Shopee</t>
        </is>
      </c>
      <c r="G2087" s="4" t="inlineStr">
        <is>
          <t>SHOPEE: https://s.shopee.vn/5q8xKd1rIl TIKTOK: https://www.tiktok.com/@quandao1212?_r=1&amp;_t=ZS-9AZ3SH7c2xZ LAZADA: WEBSITE BÁN HÀNG:</t>
        </is>
      </c>
      <c r="H2087" s="3" t="inlineStr">
        <is>
          <t>KB-2.5CFM</t>
        </is>
      </c>
      <c r="I2087" s="4" t="inlineStr">
        <is>
          <t>Máy hút chân không dùng pin KingBlue KB-2.5CFM</t>
        </is>
      </c>
      <c r="J2087" s="3" t="inlineStr">
        <is>
          <t>Cái</t>
        </is>
      </c>
      <c r="K2087" s="5" t="n">
        <v>269000</v>
      </c>
      <c r="L2087" s="5" t="n">
        <v>317000</v>
      </c>
      <c r="M2087" s="6" t="n">
        <v>390000</v>
      </c>
      <c r="N2087" s="5" t="n"/>
      <c r="O2087" s="5">
        <f>IF(AND(ISNUMBER(N2087),ISNUMBER(M2087)),N2087-M2087,"")</f>
        <v/>
      </c>
      <c r="P2087" s="7">
        <f>IF(AND(ISNUMBER(N2087),ISNUMBER(M2087),M2087&gt;0),(N2087-M2087)/M2087,"")</f>
        <v/>
      </c>
      <c r="Q2087" s="3">
        <f>IF(P2087="","",IF(P2087&lt;-0.02,"🔴 Bán phá giá sàn",IF(P2087&gt;0.05,"🔵 Bán cao hơn","🟢 Đúng giá sàn TMĐT")))</f>
        <v/>
      </c>
      <c r="R2087" s="3" t="n"/>
      <c r="S2087" s="4" t="n"/>
      <c r="T2087" s="4" t="n"/>
    </row>
    <row r="2088">
      <c r="A2088" s="3" t="n">
        <v>2087</v>
      </c>
      <c r="B2088" s="3" t="inlineStr">
        <is>
          <t>DL019</t>
        </is>
      </c>
      <c r="C2088" s="4" t="inlineStr">
        <is>
          <t>Quân- Khánh Hà</t>
        </is>
      </c>
      <c r="D2088" s="3" t="inlineStr">
        <is>
          <t>HN</t>
        </is>
      </c>
      <c r="E2088" s="3" t="inlineStr">
        <is>
          <t>ĐIỆP</t>
        </is>
      </c>
      <c r="F2088" s="3" t="inlineStr">
        <is>
          <t>Tiktok, Shopee</t>
        </is>
      </c>
      <c r="G2088" s="4" t="inlineStr">
        <is>
          <t>SHOPEE: https://s.shopee.vn/5q8xKd1rIl TIKTOK: https://www.tiktok.com/@quandao1212?_r=1&amp;_t=ZS-9AZ3SH7c2xZ LAZADA: WEBSITE BÁN HÀNG:</t>
        </is>
      </c>
      <c r="H2088" s="3" t="inlineStr">
        <is>
          <t>K18QES</t>
        </is>
      </c>
      <c r="I2088" s="4" t="inlineStr">
        <is>
          <t>Máy Khoan 3 Chức Năng 18V K18QES</t>
        </is>
      </c>
      <c r="J2088" s="3" t="inlineStr">
        <is>
          <t>Cái</t>
        </is>
      </c>
      <c r="K2088" s="5" t="n">
        <v>2380000</v>
      </c>
      <c r="L2088" s="5" t="n">
        <v>2610000</v>
      </c>
      <c r="M2088" s="6" t="n">
        <v>2970000</v>
      </c>
      <c r="N2088" s="5" t="n"/>
      <c r="O2088" s="5">
        <f>IF(AND(ISNUMBER(N2088),ISNUMBER(M2088)),N2088-M2088,"")</f>
        <v/>
      </c>
      <c r="P2088" s="7">
        <f>IF(AND(ISNUMBER(N2088),ISNUMBER(M2088),M2088&gt;0),(N2088-M2088)/M2088,"")</f>
        <v/>
      </c>
      <c r="Q2088" s="3">
        <f>IF(P2088="","",IF(P2088&lt;-0.02,"🔴 Bán phá giá sàn",IF(P2088&gt;0.05,"🔵 Bán cao hơn","🟢 Đúng giá sàn TMĐT")))</f>
        <v/>
      </c>
      <c r="R2088" s="3" t="n"/>
      <c r="S2088" s="4" t="n"/>
      <c r="T2088" s="4" t="n"/>
    </row>
    <row r="2089">
      <c r="A2089" s="3" t="n">
        <v>2088</v>
      </c>
      <c r="B2089" s="3" t="inlineStr">
        <is>
          <t>DL019</t>
        </is>
      </c>
      <c r="C2089" s="4" t="inlineStr">
        <is>
          <t>Quân- Khánh Hà</t>
        </is>
      </c>
      <c r="D2089" s="3" t="inlineStr">
        <is>
          <t>HN</t>
        </is>
      </c>
      <c r="E2089" s="3" t="inlineStr">
        <is>
          <t>ĐIỆP</t>
        </is>
      </c>
      <c r="F2089" s="3" t="inlineStr">
        <is>
          <t>Tiktok, Shopee</t>
        </is>
      </c>
      <c r="G2089" s="4" t="inlineStr">
        <is>
          <t>SHOPEE: https://s.shopee.vn/5q8xKd1rIl TIKTOK: https://www.tiktok.com/@quandao1212?_r=1&amp;_t=ZS-9AZ3SH7c2xZ LAZADA: WEBSITE BÁN HÀNG:</t>
        </is>
      </c>
      <c r="H2089" s="3" t="inlineStr">
        <is>
          <t>KM18QE</t>
        </is>
      </c>
      <c r="I2089" s="4" t="inlineStr">
        <is>
          <t>Máy Khoan 3 chức năng 18V KM18QE</t>
        </is>
      </c>
      <c r="J2089" s="3" t="inlineStr">
        <is>
          <t>Cái</t>
        </is>
      </c>
      <c r="K2089" s="5" t="n">
        <v>2110000</v>
      </c>
      <c r="L2089" s="5" t="n">
        <v>2320000</v>
      </c>
      <c r="M2089" s="6" t="n">
        <v>2640000</v>
      </c>
      <c r="N2089" s="5" t="n"/>
      <c r="O2089" s="5">
        <f>IF(AND(ISNUMBER(N2089),ISNUMBER(M2089)),N2089-M2089,"")</f>
        <v/>
      </c>
      <c r="P2089" s="7">
        <f>IF(AND(ISNUMBER(N2089),ISNUMBER(M2089),M2089&gt;0),(N2089-M2089)/M2089,"")</f>
        <v/>
      </c>
      <c r="Q2089" s="3">
        <f>IF(P2089="","",IF(P2089&lt;-0.02,"🔴 Bán phá giá sàn",IF(P2089&gt;0.05,"🔵 Bán cao hơn","🟢 Đúng giá sàn TMĐT")))</f>
        <v/>
      </c>
      <c r="R2089" s="3" t="n"/>
      <c r="S2089" s="4" t="n"/>
      <c r="T2089" s="4" t="n"/>
    </row>
    <row r="2090">
      <c r="A2090" s="3" t="n">
        <v>2089</v>
      </c>
      <c r="B2090" s="3" t="inlineStr">
        <is>
          <t>DL019</t>
        </is>
      </c>
      <c r="C2090" s="4" t="inlineStr">
        <is>
          <t>Quân- Khánh Hà</t>
        </is>
      </c>
      <c r="D2090" s="3" t="inlineStr">
        <is>
          <t>HN</t>
        </is>
      </c>
      <c r="E2090" s="3" t="inlineStr">
        <is>
          <t>ĐIỆP</t>
        </is>
      </c>
      <c r="F2090" s="3" t="inlineStr">
        <is>
          <t>Tiktok, Shopee</t>
        </is>
      </c>
      <c r="G2090" s="4" t="inlineStr">
        <is>
          <t>SHOPEE: https://s.shopee.vn/5q8xKd1rIl TIKTOK: https://www.tiktok.com/@quandao1212?_r=1&amp;_t=ZS-9AZ3SH7c2xZ LAZADA: WEBSITE BÁN HÀNG:</t>
        </is>
      </c>
      <c r="H2090" s="3" t="inlineStr">
        <is>
          <t>KM18QF</t>
        </is>
      </c>
      <c r="I2090" s="4" t="inlineStr">
        <is>
          <t>Máy Khoan Bê Tông 18V KM18QF</t>
        </is>
      </c>
      <c r="J2090" s="3" t="inlineStr">
        <is>
          <t>Cái</t>
        </is>
      </c>
      <c r="K2090" s="5" t="n">
        <v>2110000</v>
      </c>
      <c r="L2090" s="5" t="n">
        <v>2320000</v>
      </c>
      <c r="M2090" s="6" t="n">
        <v>2640000</v>
      </c>
      <c r="N2090" s="5" t="n"/>
      <c r="O2090" s="5">
        <f>IF(AND(ISNUMBER(N2090),ISNUMBER(M2090)),N2090-M2090,"")</f>
        <v/>
      </c>
      <c r="P2090" s="7">
        <f>IF(AND(ISNUMBER(N2090),ISNUMBER(M2090),M2090&gt;0),(N2090-M2090)/M2090,"")</f>
        <v/>
      </c>
      <c r="Q2090" s="3">
        <f>IF(P2090="","",IF(P2090&lt;-0.02,"🔴 Bán phá giá sàn",IF(P2090&gt;0.05,"🔵 Bán cao hơn","🟢 Đúng giá sàn TMĐT")))</f>
        <v/>
      </c>
      <c r="R2090" s="3" t="n"/>
      <c r="S2090" s="4" t="n"/>
      <c r="T2090" s="4" t="n"/>
    </row>
    <row r="2091">
      <c r="A2091" s="3" t="n">
        <v>2090</v>
      </c>
      <c r="B2091" s="3" t="inlineStr">
        <is>
          <t>DL019</t>
        </is>
      </c>
      <c r="C2091" s="4" t="inlineStr">
        <is>
          <t>Quân- Khánh Hà</t>
        </is>
      </c>
      <c r="D2091" s="3" t="inlineStr">
        <is>
          <t>HN</t>
        </is>
      </c>
      <c r="E2091" s="3" t="inlineStr">
        <is>
          <t>ĐIỆP</t>
        </is>
      </c>
      <c r="F2091" s="3" t="inlineStr">
        <is>
          <t>Tiktok, Shopee</t>
        </is>
      </c>
      <c r="G2091" s="4" t="inlineStr">
        <is>
          <t>SHOPEE: https://s.shopee.vn/5q8xKd1rIl TIKTOK: https://www.tiktok.com/@quandao1212?_r=1&amp;_t=ZS-9AZ3SH7c2xZ LAZADA: WEBSITE BÁN HÀNG:</t>
        </is>
      </c>
      <c r="H2091" s="3" t="inlineStr">
        <is>
          <t>K18MGS</t>
        </is>
      </c>
      <c r="I2091" s="4" t="inlineStr">
        <is>
          <t>Máy Mài Góc 18V K18MGS</t>
        </is>
      </c>
      <c r="J2091" s="3" t="inlineStr">
        <is>
          <t>Cái</t>
        </is>
      </c>
      <c r="K2091" s="5" t="n">
        <v>1340000</v>
      </c>
      <c r="L2091" s="5" t="n">
        <v>1480000</v>
      </c>
      <c r="M2091" s="6" t="n">
        <v>1680000</v>
      </c>
      <c r="N2091" s="5" t="n"/>
      <c r="O2091" s="5">
        <f>IF(AND(ISNUMBER(N2091),ISNUMBER(M2091)),N2091-M2091,"")</f>
        <v/>
      </c>
      <c r="P2091" s="7">
        <f>IF(AND(ISNUMBER(N2091),ISNUMBER(M2091),M2091&gt;0),(N2091-M2091)/M2091,"")</f>
        <v/>
      </c>
      <c r="Q2091" s="3">
        <f>IF(P2091="","",IF(P2091&lt;-0.02,"🔴 Bán phá giá sàn",IF(P2091&gt;0.05,"🔵 Bán cao hơn","🟢 Đúng giá sàn TMĐT")))</f>
        <v/>
      </c>
      <c r="R2091" s="3" t="n"/>
      <c r="S2091" s="4" t="n"/>
      <c r="T2091" s="4" t="n"/>
    </row>
    <row r="2092">
      <c r="A2092" s="3" t="n">
        <v>2091</v>
      </c>
      <c r="B2092" s="3" t="inlineStr">
        <is>
          <t>DL019</t>
        </is>
      </c>
      <c r="C2092" s="4" t="inlineStr">
        <is>
          <t>Quân- Khánh Hà</t>
        </is>
      </c>
      <c r="D2092" s="3" t="inlineStr">
        <is>
          <t>HN</t>
        </is>
      </c>
      <c r="E2092" s="3" t="inlineStr">
        <is>
          <t>ĐIỆP</t>
        </is>
      </c>
      <c r="F2092" s="3" t="inlineStr">
        <is>
          <t>Tiktok, Shopee</t>
        </is>
      </c>
      <c r="G2092" s="4" t="inlineStr">
        <is>
          <t>SHOPEE: https://s.shopee.vn/5q8xKd1rIl TIKTOK: https://www.tiktok.com/@quandao1212?_r=1&amp;_t=ZS-9AZ3SH7c2xZ LAZADA: WEBSITE BÁN HÀNG:</t>
        </is>
      </c>
      <c r="H2092" s="3" t="inlineStr">
        <is>
          <t>KM18-HR1</t>
        </is>
      </c>
      <c r="I2092" s="4" t="inlineStr">
        <is>
          <t>Máy rung ốp lát gạch KM18-HR1</t>
        </is>
      </c>
      <c r="J2092" s="3" t="inlineStr">
        <is>
          <t>Cái</t>
        </is>
      </c>
      <c r="K2092" s="5" t="n">
        <v>269000</v>
      </c>
      <c r="L2092" s="5" t="n">
        <v>317000</v>
      </c>
      <c r="M2092" s="6" t="n">
        <v>390000</v>
      </c>
      <c r="N2092" s="5" t="n"/>
      <c r="O2092" s="5">
        <f>IF(AND(ISNUMBER(N2092),ISNUMBER(M2092)),N2092-M2092,"")</f>
        <v/>
      </c>
      <c r="P2092" s="7">
        <f>IF(AND(ISNUMBER(N2092),ISNUMBER(M2092),M2092&gt;0),(N2092-M2092)/M2092,"")</f>
        <v/>
      </c>
      <c r="Q2092" s="3">
        <f>IF(P2092="","",IF(P2092&lt;-0.02,"🔴 Bán phá giá sàn",IF(P2092&gt;0.05,"🔵 Bán cao hơn","🟢 Đúng giá sàn TMĐT")))</f>
        <v/>
      </c>
      <c r="R2092" s="3" t="n"/>
      <c r="S2092" s="4" t="n"/>
      <c r="T2092" s="4" t="n"/>
    </row>
    <row r="2093">
      <c r="A2093" s="3" t="n">
        <v>2092</v>
      </c>
      <c r="B2093" s="3" t="inlineStr">
        <is>
          <t>DL019</t>
        </is>
      </c>
      <c r="C2093" s="4" t="inlineStr">
        <is>
          <t>Quân- Khánh Hà</t>
        </is>
      </c>
      <c r="D2093" s="3" t="inlineStr">
        <is>
          <t>HN</t>
        </is>
      </c>
      <c r="E2093" s="3" t="inlineStr">
        <is>
          <t>ĐIỆP</t>
        </is>
      </c>
      <c r="F2093" s="3" t="inlineStr">
        <is>
          <t>Tiktok, Shopee</t>
        </is>
      </c>
      <c r="G2093" s="4" t="inlineStr">
        <is>
          <t>SHOPEE: https://s.shopee.vn/5q8xKd1rIl TIKTOK: https://www.tiktok.com/@quandao1212?_r=1&amp;_t=ZS-9AZ3SH7c2xZ LAZADA: WEBSITE BÁN HÀNG:</t>
        </is>
      </c>
      <c r="H2093" s="3" t="inlineStr">
        <is>
          <t>KM18SM</t>
        </is>
      </c>
      <c r="I2093" s="4" t="inlineStr">
        <is>
          <t>Máy Siết Bulon 18V KM18SM</t>
        </is>
      </c>
      <c r="J2093" s="3" t="inlineStr">
        <is>
          <t>Cái</t>
        </is>
      </c>
      <c r="K2093" s="5" t="n">
        <v>1720000</v>
      </c>
      <c r="L2093" s="5" t="n">
        <v>1890000</v>
      </c>
      <c r="M2093" s="6" t="n">
        <v>2150000</v>
      </c>
      <c r="N2093" s="5" t="n"/>
      <c r="O2093" s="5">
        <f>IF(AND(ISNUMBER(N2093),ISNUMBER(M2093)),N2093-M2093,"")</f>
        <v/>
      </c>
      <c r="P2093" s="7">
        <f>IF(AND(ISNUMBER(N2093),ISNUMBER(M2093),M2093&gt;0),(N2093-M2093)/M2093,"")</f>
        <v/>
      </c>
      <c r="Q2093" s="3">
        <f>IF(P2093="","",IF(P2093&lt;-0.02,"🔴 Bán phá giá sàn",IF(P2093&gt;0.05,"🔵 Bán cao hơn","🟢 Đúng giá sàn TMĐT")))</f>
        <v/>
      </c>
      <c r="R2093" s="3" t="n"/>
      <c r="S2093" s="4" t="n"/>
      <c r="T2093" s="4" t="n"/>
    </row>
    <row r="2094">
      <c r="A2094" s="3" t="n">
        <v>2093</v>
      </c>
      <c r="B2094" s="3" t="inlineStr">
        <is>
          <t>DL019</t>
        </is>
      </c>
      <c r="C2094" s="4" t="inlineStr">
        <is>
          <t>Quân- Khánh Hà</t>
        </is>
      </c>
      <c r="D2094" s="3" t="inlineStr">
        <is>
          <t>HN</t>
        </is>
      </c>
      <c r="E2094" s="3" t="inlineStr">
        <is>
          <t>ĐIỆP</t>
        </is>
      </c>
      <c r="F2094" s="3" t="inlineStr">
        <is>
          <t>Tiktok, Shopee</t>
        </is>
      </c>
      <c r="G2094" s="4" t="inlineStr">
        <is>
          <t>SHOPEE: https://s.shopee.vn/5q8xKd1rIl TIKTOK: https://www.tiktok.com/@quandao1212?_r=1&amp;_t=ZS-9AZ3SH7c2xZ LAZADA: WEBSITE BÁN HÀNG:</t>
        </is>
      </c>
      <c r="H2094" s="3" t="inlineStr">
        <is>
          <t>KUC40</t>
        </is>
      </c>
      <c r="I2094" s="4" t="inlineStr">
        <is>
          <t>Mỏ hàn thiếc KUC40</t>
        </is>
      </c>
      <c r="J2094" s="3" t="inlineStr">
        <is>
          <t>Cái</t>
        </is>
      </c>
      <c r="K2094" s="5" t="n">
        <v>121000</v>
      </c>
      <c r="L2094" s="5" t="n">
        <v>143000</v>
      </c>
      <c r="M2094" s="6" t="n">
        <v>176000</v>
      </c>
      <c r="N2094" s="5" t="n"/>
      <c r="O2094" s="5">
        <f>IF(AND(ISNUMBER(N2094),ISNUMBER(M2094)),N2094-M2094,"")</f>
        <v/>
      </c>
      <c r="P2094" s="7">
        <f>IF(AND(ISNUMBER(N2094),ISNUMBER(M2094),M2094&gt;0),(N2094-M2094)/M2094,"")</f>
        <v/>
      </c>
      <c r="Q2094" s="3">
        <f>IF(P2094="","",IF(P2094&lt;-0.02,"🔴 Bán phá giá sàn",IF(P2094&gt;0.05,"🔵 Bán cao hơn","🟢 Đúng giá sàn TMĐT")))</f>
        <v/>
      </c>
      <c r="R2094" s="3" t="n"/>
      <c r="S2094" s="4" t="n"/>
      <c r="T2094" s="4" t="n"/>
    </row>
    <row r="2095">
      <c r="A2095" s="3" t="n">
        <v>2094</v>
      </c>
      <c r="B2095" s="3" t="inlineStr">
        <is>
          <t>DL019</t>
        </is>
      </c>
      <c r="C2095" s="4" t="inlineStr">
        <is>
          <t>Quân- Khánh Hà</t>
        </is>
      </c>
      <c r="D2095" s="3" t="inlineStr">
        <is>
          <t>HN</t>
        </is>
      </c>
      <c r="E2095" s="3" t="inlineStr">
        <is>
          <t>ĐIỆP</t>
        </is>
      </c>
      <c r="F2095" s="3" t="inlineStr">
        <is>
          <t>Tiktok, Shopee</t>
        </is>
      </c>
      <c r="G2095" s="4" t="inlineStr">
        <is>
          <t>SHOPEE: https://s.shopee.vn/5q8xKd1rIl TIKTOK: https://www.tiktok.com/@quandao1212?_r=1&amp;_t=ZS-9AZ3SH7c2xZ LAZADA: WEBSITE BÁN HÀNG:</t>
        </is>
      </c>
      <c r="H2095" s="3" t="inlineStr">
        <is>
          <t>KD3</t>
        </is>
      </c>
      <c r="I2095" s="4" t="inlineStr">
        <is>
          <t>Mỏ lết đa năng cán bọc KD3 200</t>
        </is>
      </c>
      <c r="J2095" s="3" t="inlineStr">
        <is>
          <t>Cái</t>
        </is>
      </c>
      <c r="K2095" s="5" t="n">
        <v>108000</v>
      </c>
      <c r="L2095" s="5" t="n">
        <v>128000</v>
      </c>
      <c r="M2095" s="6" t="n">
        <v>157000</v>
      </c>
      <c r="N2095" s="5" t="n"/>
      <c r="O2095" s="5">
        <f>IF(AND(ISNUMBER(N2095),ISNUMBER(M2095)),N2095-M2095,"")</f>
        <v/>
      </c>
      <c r="P2095" s="7">
        <f>IF(AND(ISNUMBER(N2095),ISNUMBER(M2095),M2095&gt;0),(N2095-M2095)/M2095,"")</f>
        <v/>
      </c>
      <c r="Q2095" s="3">
        <f>IF(P2095="","",IF(P2095&lt;-0.02,"🔴 Bán phá giá sàn",IF(P2095&gt;0.05,"🔵 Bán cao hơn","🟢 Đúng giá sàn TMĐT")))</f>
        <v/>
      </c>
      <c r="R2095" s="3" t="n"/>
      <c r="S2095" s="4" t="n"/>
      <c r="T2095" s="4" t="n"/>
    </row>
    <row r="2096">
      <c r="A2096" s="3" t="n">
        <v>2095</v>
      </c>
      <c r="B2096" s="3" t="inlineStr">
        <is>
          <t>DL019</t>
        </is>
      </c>
      <c r="C2096" s="4" t="inlineStr">
        <is>
          <t>Quân- Khánh Hà</t>
        </is>
      </c>
      <c r="D2096" s="3" t="inlineStr">
        <is>
          <t>HN</t>
        </is>
      </c>
      <c r="E2096" s="3" t="inlineStr">
        <is>
          <t>ĐIỆP</t>
        </is>
      </c>
      <c r="F2096" s="3" t="inlineStr">
        <is>
          <t>Tiktok, Shopee</t>
        </is>
      </c>
      <c r="G2096" s="4" t="inlineStr">
        <is>
          <t>SHOPEE: https://s.shopee.vn/5q8xKd1rIl TIKTOK: https://www.tiktok.com/@quandao1212?_r=1&amp;_t=ZS-9AZ3SH7c2xZ LAZADA: WEBSITE BÁN HÀNG:</t>
        </is>
      </c>
      <c r="H2096" s="3" t="inlineStr">
        <is>
          <t>KD3</t>
        </is>
      </c>
      <c r="I2096" s="4" t="inlineStr">
        <is>
          <t>Mỏ lết đa năng cán bọc KD3 250</t>
        </is>
      </c>
      <c r="J2096" s="3" t="inlineStr">
        <is>
          <t>Cái</t>
        </is>
      </c>
      <c r="K2096" s="5" t="n">
        <v>108000</v>
      </c>
      <c r="L2096" s="5" t="n">
        <v>128000</v>
      </c>
      <c r="M2096" s="6" t="n">
        <v>157000</v>
      </c>
      <c r="N2096" s="5" t="n"/>
      <c r="O2096" s="5">
        <f>IF(AND(ISNUMBER(N2096),ISNUMBER(M2096)),N2096-M2096,"")</f>
        <v/>
      </c>
      <c r="P2096" s="7">
        <f>IF(AND(ISNUMBER(N2096),ISNUMBER(M2096),M2096&gt;0),(N2096-M2096)/M2096,"")</f>
        <v/>
      </c>
      <c r="Q2096" s="3">
        <f>IF(P2096="","",IF(P2096&lt;-0.02,"🔴 Bán phá giá sàn",IF(P2096&gt;0.05,"🔵 Bán cao hơn","🟢 Đúng giá sàn TMĐT")))</f>
        <v/>
      </c>
      <c r="R2096" s="3" t="n"/>
      <c r="S2096" s="4" t="n"/>
      <c r="T2096" s="4" t="n"/>
    </row>
    <row r="2097">
      <c r="A2097" s="3" t="n">
        <v>2096</v>
      </c>
      <c r="B2097" s="3" t="inlineStr">
        <is>
          <t>DL019</t>
        </is>
      </c>
      <c r="C2097" s="4" t="inlineStr">
        <is>
          <t>Quân- Khánh Hà</t>
        </is>
      </c>
      <c r="D2097" s="3" t="inlineStr">
        <is>
          <t>HN</t>
        </is>
      </c>
      <c r="E2097" s="3" t="inlineStr">
        <is>
          <t>ĐIỆP</t>
        </is>
      </c>
      <c r="F2097" s="3" t="inlineStr">
        <is>
          <t>Tiktok, Shopee</t>
        </is>
      </c>
      <c r="G2097" s="4" t="inlineStr">
        <is>
          <t>SHOPEE: https://s.shopee.vn/5q8xKd1rIl TIKTOK: https://www.tiktok.com/@quandao1212?_r=1&amp;_t=ZS-9AZ3SH7c2xZ LAZADA: WEBSITE BÁN HÀNG:</t>
        </is>
      </c>
      <c r="H2097" s="3" t="inlineStr">
        <is>
          <t>KD3</t>
        </is>
      </c>
      <c r="I2097" s="4" t="inlineStr">
        <is>
          <t>Mỏ lết đa năng cán bọc KD3 300</t>
        </is>
      </c>
      <c r="J2097" s="3" t="inlineStr">
        <is>
          <t>Cái</t>
        </is>
      </c>
      <c r="K2097" s="5" t="n">
        <v>108000</v>
      </c>
      <c r="L2097" s="5" t="n">
        <v>128000</v>
      </c>
      <c r="M2097" s="6" t="n">
        <v>157000</v>
      </c>
      <c r="N2097" s="5" t="n"/>
      <c r="O2097" s="5">
        <f>IF(AND(ISNUMBER(N2097),ISNUMBER(M2097)),N2097-M2097,"")</f>
        <v/>
      </c>
      <c r="P2097" s="7">
        <f>IF(AND(ISNUMBER(N2097),ISNUMBER(M2097),M2097&gt;0),(N2097-M2097)/M2097,"")</f>
        <v/>
      </c>
      <c r="Q2097" s="3">
        <f>IF(P2097="","",IF(P2097&lt;-0.02,"🔴 Bán phá giá sàn",IF(P2097&gt;0.05,"🔵 Bán cao hơn","🟢 Đúng giá sàn TMĐT")))</f>
        <v/>
      </c>
      <c r="R2097" s="3" t="n"/>
      <c r="S2097" s="4" t="n"/>
      <c r="T2097" s="4" t="n"/>
    </row>
    <row r="2098">
      <c r="A2098" s="3" t="n">
        <v>2097</v>
      </c>
      <c r="B2098" s="3" t="inlineStr">
        <is>
          <t>DL019</t>
        </is>
      </c>
      <c r="C2098" s="4" t="inlineStr">
        <is>
          <t>Quân- Khánh Hà</t>
        </is>
      </c>
      <c r="D2098" s="3" t="inlineStr">
        <is>
          <t>HN</t>
        </is>
      </c>
      <c r="E2098" s="3" t="inlineStr">
        <is>
          <t>ĐIỆP</t>
        </is>
      </c>
      <c r="F2098" s="3" t="inlineStr">
        <is>
          <t>Tiktok, Shopee</t>
        </is>
      </c>
      <c r="G2098" s="4" t="inlineStr">
        <is>
          <t>SHOPEE: https://s.shopee.vn/5q8xKd1rIl TIKTOK: https://www.tiktok.com/@quandao1212?_r=1&amp;_t=ZS-9AZ3SH7c2xZ LAZADA: WEBSITE BÁN HÀNG:</t>
        </is>
      </c>
      <c r="H2098" s="3" t="inlineStr">
        <is>
          <t>KD1-200</t>
        </is>
      </c>
      <c r="I2098" s="4" t="inlineStr">
        <is>
          <t>Mỏ lết KD1-200</t>
        </is>
      </c>
      <c r="J2098" s="3" t="inlineStr">
        <is>
          <t>Cái</t>
        </is>
      </c>
      <c r="K2098" s="5" t="n">
        <v>86000</v>
      </c>
      <c r="L2098" s="5" t="n">
        <v>102000</v>
      </c>
      <c r="M2098" s="6" t="n">
        <v>125000</v>
      </c>
      <c r="N2098" s="5" t="n"/>
      <c r="O2098" s="5">
        <f>IF(AND(ISNUMBER(N2098),ISNUMBER(M2098)),N2098-M2098,"")</f>
        <v/>
      </c>
      <c r="P2098" s="7">
        <f>IF(AND(ISNUMBER(N2098),ISNUMBER(M2098),M2098&gt;0),(N2098-M2098)/M2098,"")</f>
        <v/>
      </c>
      <c r="Q2098" s="3">
        <f>IF(P2098="","",IF(P2098&lt;-0.02,"🔴 Bán phá giá sàn",IF(P2098&gt;0.05,"🔵 Bán cao hơn","🟢 Đúng giá sàn TMĐT")))</f>
        <v/>
      </c>
      <c r="R2098" s="3" t="n"/>
      <c r="S2098" s="4" t="n"/>
      <c r="T2098" s="4" t="n"/>
    </row>
    <row r="2099">
      <c r="A2099" s="3" t="n">
        <v>2098</v>
      </c>
      <c r="B2099" s="3" t="inlineStr">
        <is>
          <t>DL019</t>
        </is>
      </c>
      <c r="C2099" s="4" t="inlineStr">
        <is>
          <t>Quân- Khánh Hà</t>
        </is>
      </c>
      <c r="D2099" s="3" t="inlineStr">
        <is>
          <t>HN</t>
        </is>
      </c>
      <c r="E2099" s="3" t="inlineStr">
        <is>
          <t>ĐIỆP</t>
        </is>
      </c>
      <c r="F2099" s="3" t="inlineStr">
        <is>
          <t>Tiktok, Shopee</t>
        </is>
      </c>
      <c r="G2099" s="4" t="inlineStr">
        <is>
          <t>SHOPEE: https://s.shopee.vn/5q8xKd1rIl TIKTOK: https://www.tiktok.com/@quandao1212?_r=1&amp;_t=ZS-9AZ3SH7c2xZ LAZADA: WEBSITE BÁN HÀNG:</t>
        </is>
      </c>
      <c r="H2099" s="3" t="inlineStr">
        <is>
          <t>KD1-250</t>
        </is>
      </c>
      <c r="I2099" s="4" t="inlineStr">
        <is>
          <t>Mỏ lết KD1-250</t>
        </is>
      </c>
      <c r="J2099" s="3" t="inlineStr">
        <is>
          <t>Cái</t>
        </is>
      </c>
      <c r="K2099" s="5" t="n">
        <v>121000</v>
      </c>
      <c r="L2099" s="5" t="n">
        <v>143000</v>
      </c>
      <c r="M2099" s="6" t="n">
        <v>176000</v>
      </c>
      <c r="N2099" s="5" t="n"/>
      <c r="O2099" s="5">
        <f>IF(AND(ISNUMBER(N2099),ISNUMBER(M2099)),N2099-M2099,"")</f>
        <v/>
      </c>
      <c r="P2099" s="7">
        <f>IF(AND(ISNUMBER(N2099),ISNUMBER(M2099),M2099&gt;0),(N2099-M2099)/M2099,"")</f>
        <v/>
      </c>
      <c r="Q2099" s="3">
        <f>IF(P2099="","",IF(P2099&lt;-0.02,"🔴 Bán phá giá sàn",IF(P2099&gt;0.05,"🔵 Bán cao hơn","🟢 Đúng giá sàn TMĐT")))</f>
        <v/>
      </c>
      <c r="R2099" s="3" t="n"/>
      <c r="S2099" s="4" t="n"/>
      <c r="T2099" s="4" t="n"/>
    </row>
    <row r="2100">
      <c r="A2100" s="3" t="n">
        <v>2099</v>
      </c>
      <c r="B2100" s="3" t="inlineStr">
        <is>
          <t>DL019</t>
        </is>
      </c>
      <c r="C2100" s="4" t="inlineStr">
        <is>
          <t>Quân- Khánh Hà</t>
        </is>
      </c>
      <c r="D2100" s="3" t="inlineStr">
        <is>
          <t>HN</t>
        </is>
      </c>
      <c r="E2100" s="3" t="inlineStr">
        <is>
          <t>ĐIỆP</t>
        </is>
      </c>
      <c r="F2100" s="3" t="inlineStr">
        <is>
          <t>Tiktok, Shopee</t>
        </is>
      </c>
      <c r="G2100" s="4" t="inlineStr">
        <is>
          <t>SHOPEE: https://s.shopee.vn/5q8xKd1rIl TIKTOK: https://www.tiktok.com/@quandao1212?_r=1&amp;_t=ZS-9AZ3SH7c2xZ LAZADA: WEBSITE BÁN HÀNG:</t>
        </is>
      </c>
      <c r="H2100" s="3" t="inlineStr">
        <is>
          <t>KD1-300</t>
        </is>
      </c>
      <c r="I2100" s="4" t="inlineStr">
        <is>
          <t>Mỏ lết KD1-300</t>
        </is>
      </c>
      <c r="J2100" s="3" t="inlineStr">
        <is>
          <t>Cái</t>
        </is>
      </c>
      <c r="K2100" s="5" t="n">
        <v>165000</v>
      </c>
      <c r="L2100" s="5" t="n">
        <v>195000</v>
      </c>
      <c r="M2100" s="6" t="n">
        <v>239000</v>
      </c>
      <c r="N2100" s="5" t="n"/>
      <c r="O2100" s="5">
        <f>IF(AND(ISNUMBER(N2100),ISNUMBER(M2100)),N2100-M2100,"")</f>
        <v/>
      </c>
      <c r="P2100" s="7">
        <f>IF(AND(ISNUMBER(N2100),ISNUMBER(M2100),M2100&gt;0),(N2100-M2100)/M2100,"")</f>
        <v/>
      </c>
      <c r="Q2100" s="3">
        <f>IF(P2100="","",IF(P2100&lt;-0.02,"🔴 Bán phá giá sàn",IF(P2100&gt;0.05,"🔵 Bán cao hơn","🟢 Đúng giá sàn TMĐT")))</f>
        <v/>
      </c>
      <c r="R2100" s="3" t="n"/>
      <c r="S2100" s="4" t="n"/>
      <c r="T2100" s="4" t="n"/>
    </row>
    <row r="2101">
      <c r="A2101" s="3" t="n">
        <v>2100</v>
      </c>
      <c r="B2101" s="3" t="inlineStr">
        <is>
          <t>DL019</t>
        </is>
      </c>
      <c r="C2101" s="4" t="inlineStr">
        <is>
          <t>Quân- Khánh Hà</t>
        </is>
      </c>
      <c r="D2101" s="3" t="inlineStr">
        <is>
          <t>HN</t>
        </is>
      </c>
      <c r="E2101" s="3" t="inlineStr">
        <is>
          <t>ĐIỆP</t>
        </is>
      </c>
      <c r="F2101" s="3" t="inlineStr">
        <is>
          <t>Tiktok, Shopee</t>
        </is>
      </c>
      <c r="G2101" s="4" t="inlineStr">
        <is>
          <t>SHOPEE: https://s.shopee.vn/5q8xKd1rIl TIKTOK: https://www.tiktok.com/@quandao1212?_r=1&amp;_t=ZS-9AZ3SH7c2xZ LAZADA: WEBSITE BÁN HÀNG:</t>
        </is>
      </c>
      <c r="H2101" s="3" t="inlineStr">
        <is>
          <t>KD5-200</t>
        </is>
      </c>
      <c r="I2101" s="4" t="inlineStr">
        <is>
          <t>Mỏ lết KD5-200</t>
        </is>
      </c>
      <c r="J2101" s="3" t="inlineStr">
        <is>
          <t>Cái</t>
        </is>
      </c>
      <c r="K2101" s="5" t="n">
        <v>193000</v>
      </c>
      <c r="L2101" s="5" t="n">
        <v>228000</v>
      </c>
      <c r="M2101" s="6" t="n">
        <v>280000</v>
      </c>
      <c r="N2101" s="5" t="n"/>
      <c r="O2101" s="5">
        <f>IF(AND(ISNUMBER(N2101),ISNUMBER(M2101)),N2101-M2101,"")</f>
        <v/>
      </c>
      <c r="P2101" s="7">
        <f>IF(AND(ISNUMBER(N2101),ISNUMBER(M2101),M2101&gt;0),(N2101-M2101)/M2101,"")</f>
        <v/>
      </c>
      <c r="Q2101" s="3">
        <f>IF(P2101="","",IF(P2101&lt;-0.02,"🔴 Bán phá giá sàn",IF(P2101&gt;0.05,"🔵 Bán cao hơn","🟢 Đúng giá sàn TMĐT")))</f>
        <v/>
      </c>
      <c r="R2101" s="3" t="n"/>
      <c r="S2101" s="4" t="n"/>
      <c r="T2101" s="4" t="n"/>
    </row>
    <row r="2102">
      <c r="A2102" s="3" t="n">
        <v>2101</v>
      </c>
      <c r="B2102" s="3" t="inlineStr">
        <is>
          <t>DL019</t>
        </is>
      </c>
      <c r="C2102" s="4" t="inlineStr">
        <is>
          <t>Quân- Khánh Hà</t>
        </is>
      </c>
      <c r="D2102" s="3" t="inlineStr">
        <is>
          <t>HN</t>
        </is>
      </c>
      <c r="E2102" s="3" t="inlineStr">
        <is>
          <t>ĐIỆP</t>
        </is>
      </c>
      <c r="F2102" s="3" t="inlineStr">
        <is>
          <t>Tiktok, Shopee</t>
        </is>
      </c>
      <c r="G2102" s="4" t="inlineStr">
        <is>
          <t>SHOPEE: https://s.shopee.vn/5q8xKd1rIl TIKTOK: https://www.tiktok.com/@quandao1212?_r=1&amp;_t=ZS-9AZ3SH7c2xZ LAZADA: WEBSITE BÁN HÀNG:</t>
        </is>
      </c>
      <c r="H2102" s="3" t="inlineStr">
        <is>
          <t>KD5-300</t>
        </is>
      </c>
      <c r="I2102" s="4" t="inlineStr">
        <is>
          <t>Mỏ lết KD5-300</t>
        </is>
      </c>
      <c r="J2102" s="3" t="inlineStr">
        <is>
          <t>Cái</t>
        </is>
      </c>
      <c r="K2102" s="5" t="n">
        <v>413000</v>
      </c>
      <c r="L2102" s="5" t="n">
        <v>487000</v>
      </c>
      <c r="M2102" s="6" t="n">
        <v>599000</v>
      </c>
      <c r="N2102" s="5" t="n"/>
      <c r="O2102" s="5">
        <f>IF(AND(ISNUMBER(N2102),ISNUMBER(M2102)),N2102-M2102,"")</f>
        <v/>
      </c>
      <c r="P2102" s="7">
        <f>IF(AND(ISNUMBER(N2102),ISNUMBER(M2102),M2102&gt;0),(N2102-M2102)/M2102,"")</f>
        <v/>
      </c>
      <c r="Q2102" s="3">
        <f>IF(P2102="","",IF(P2102&lt;-0.02,"🔴 Bán phá giá sàn",IF(P2102&gt;0.05,"🔵 Bán cao hơn","🟢 Đúng giá sàn TMĐT")))</f>
        <v/>
      </c>
      <c r="R2102" s="3" t="n"/>
      <c r="S2102" s="4" t="n"/>
      <c r="T2102" s="4" t="n"/>
    </row>
    <row r="2103">
      <c r="A2103" s="3" t="n">
        <v>2102</v>
      </c>
      <c r="B2103" s="3" t="inlineStr">
        <is>
          <t>DL019</t>
        </is>
      </c>
      <c r="C2103" s="4" t="inlineStr">
        <is>
          <t>Quân- Khánh Hà</t>
        </is>
      </c>
      <c r="D2103" s="3" t="inlineStr">
        <is>
          <t>HN</t>
        </is>
      </c>
      <c r="E2103" s="3" t="inlineStr">
        <is>
          <t>ĐIỆP</t>
        </is>
      </c>
      <c r="F2103" s="3" t="inlineStr">
        <is>
          <t>Tiktok, Shopee</t>
        </is>
      </c>
      <c r="G2103" s="4" t="inlineStr">
        <is>
          <t>SHOPEE: https://s.shopee.vn/5q8xKd1rIl TIKTOK: https://www.tiktok.com/@quandao1212?_r=1&amp;_t=ZS-9AZ3SH7c2xZ LAZADA: WEBSITE BÁN HÀNG:</t>
        </is>
      </c>
      <c r="H2103" s="3" t="inlineStr">
        <is>
          <t>V100S</t>
        </is>
      </c>
      <c r="I2103" s="4" t="inlineStr">
        <is>
          <t>Mũi bắn vít PH2 V100S</t>
        </is>
      </c>
      <c r="J2103" s="3" t="inlineStr">
        <is>
          <t>Vỉ</t>
        </is>
      </c>
      <c r="K2103" s="5" t="n">
        <v>44000</v>
      </c>
      <c r="L2103" s="5" t="n">
        <v>56000</v>
      </c>
      <c r="M2103" s="6" t="n">
        <v>73000</v>
      </c>
      <c r="N2103" s="5" t="n"/>
      <c r="O2103" s="5">
        <f>IF(AND(ISNUMBER(N2103),ISNUMBER(M2103)),N2103-M2103,"")</f>
        <v/>
      </c>
      <c r="P2103" s="7">
        <f>IF(AND(ISNUMBER(N2103),ISNUMBER(M2103),M2103&gt;0),(N2103-M2103)/M2103,"")</f>
        <v/>
      </c>
      <c r="Q2103" s="3">
        <f>IF(P2103="","",IF(P2103&lt;-0.02,"🔴 Bán phá giá sàn",IF(P2103&gt;0.05,"🔵 Bán cao hơn","🟢 Đúng giá sàn TMĐT")))</f>
        <v/>
      </c>
      <c r="R2103" s="3" t="n"/>
      <c r="S2103" s="4" t="n"/>
      <c r="T2103" s="4" t="n"/>
    </row>
    <row r="2104">
      <c r="A2104" s="3" t="n">
        <v>2103</v>
      </c>
      <c r="B2104" s="3" t="inlineStr">
        <is>
          <t>DL019</t>
        </is>
      </c>
      <c r="C2104" s="4" t="inlineStr">
        <is>
          <t>Quân- Khánh Hà</t>
        </is>
      </c>
      <c r="D2104" s="3" t="inlineStr">
        <is>
          <t>HN</t>
        </is>
      </c>
      <c r="E2104" s="3" t="inlineStr">
        <is>
          <t>ĐIỆP</t>
        </is>
      </c>
      <c r="F2104" s="3" t="inlineStr">
        <is>
          <t>Tiktok, Shopee</t>
        </is>
      </c>
      <c r="G2104" s="4" t="inlineStr">
        <is>
          <t>SHOPEE: https://s.shopee.vn/5q8xKd1rIl TIKTOK: https://www.tiktok.com/@quandao1212?_r=1&amp;_t=ZS-9AZ3SH7c2xZ LAZADA: WEBSITE BÁN HÀNG:</t>
        </is>
      </c>
      <c r="H2104" s="3" t="inlineStr">
        <is>
          <t>V50S</t>
        </is>
      </c>
      <c r="I2104" s="4" t="inlineStr">
        <is>
          <t>Mũi bắn vít PH2 V50S</t>
        </is>
      </c>
      <c r="J2104" s="3" t="inlineStr">
        <is>
          <t>Vỉ</t>
        </is>
      </c>
      <c r="K2104" s="5" t="n">
        <v>28000</v>
      </c>
      <c r="L2104" s="5" t="n">
        <v>36000</v>
      </c>
      <c r="M2104" s="6" t="n">
        <v>48000</v>
      </c>
      <c r="N2104" s="5" t="n"/>
      <c r="O2104" s="5">
        <f>IF(AND(ISNUMBER(N2104),ISNUMBER(M2104)),N2104-M2104,"")</f>
        <v/>
      </c>
      <c r="P2104" s="7">
        <f>IF(AND(ISNUMBER(N2104),ISNUMBER(M2104),M2104&gt;0),(N2104-M2104)/M2104,"")</f>
        <v/>
      </c>
      <c r="Q2104" s="3">
        <f>IF(P2104="","",IF(P2104&lt;-0.02,"🔴 Bán phá giá sàn",IF(P2104&gt;0.05,"🔵 Bán cao hơn","🟢 Đúng giá sàn TMĐT")))</f>
        <v/>
      </c>
      <c r="R2104" s="3" t="n"/>
      <c r="S2104" s="4" t="n"/>
      <c r="T2104" s="4" t="n"/>
    </row>
    <row r="2105">
      <c r="A2105" s="3" t="n">
        <v>2104</v>
      </c>
      <c r="B2105" s="3" t="inlineStr">
        <is>
          <t>DL019</t>
        </is>
      </c>
      <c r="C2105" s="4" t="inlineStr">
        <is>
          <t>Quân- Khánh Hà</t>
        </is>
      </c>
      <c r="D2105" s="3" t="inlineStr">
        <is>
          <t>HN</t>
        </is>
      </c>
      <c r="E2105" s="3" t="inlineStr">
        <is>
          <t>ĐIỆP</t>
        </is>
      </c>
      <c r="F2105" s="3" t="inlineStr">
        <is>
          <t>Tiktok, Shopee</t>
        </is>
      </c>
      <c r="G2105" s="4" t="inlineStr">
        <is>
          <t>SHOPEE: https://s.shopee.vn/5q8xKd1rIl TIKTOK: https://www.tiktok.com/@quandao1212?_r=1&amp;_t=ZS-9AZ3SH7c2xZ LAZADA: WEBSITE BÁN HÀNG:</t>
        </is>
      </c>
      <c r="H2105" s="3" t="inlineStr"/>
      <c r="I2105" s="4" t="inlineStr">
        <is>
          <t>Mũi định tâm chuôi dài</t>
        </is>
      </c>
      <c r="J2105" s="3" t="inlineStr">
        <is>
          <t>Cái</t>
        </is>
      </c>
      <c r="K2105" s="5" t="n">
        <v>269000</v>
      </c>
      <c r="L2105" s="5" t="n">
        <v>317000</v>
      </c>
      <c r="M2105" s="6" t="n">
        <v>390000</v>
      </c>
      <c r="N2105" s="5" t="n"/>
      <c r="O2105" s="5">
        <f>IF(AND(ISNUMBER(N2105),ISNUMBER(M2105)),N2105-M2105,"")</f>
        <v/>
      </c>
      <c r="P2105" s="7">
        <f>IF(AND(ISNUMBER(N2105),ISNUMBER(M2105),M2105&gt;0),(N2105-M2105)/M2105,"")</f>
        <v/>
      </c>
      <c r="Q2105" s="3">
        <f>IF(P2105="","",IF(P2105&lt;-0.02,"🔴 Bán phá giá sàn",IF(P2105&gt;0.05,"🔵 Bán cao hơn","🟢 Đúng giá sàn TMĐT")))</f>
        <v/>
      </c>
      <c r="R2105" s="3" t="n"/>
      <c r="S2105" s="4" t="n"/>
      <c r="T2105" s="4" t="n"/>
    </row>
    <row r="2106">
      <c r="A2106" s="3" t="n">
        <v>2105</v>
      </c>
      <c r="B2106" s="3" t="inlineStr">
        <is>
          <t>DL019</t>
        </is>
      </c>
      <c r="C2106" s="4" t="inlineStr">
        <is>
          <t>Quân- Khánh Hà</t>
        </is>
      </c>
      <c r="D2106" s="3" t="inlineStr">
        <is>
          <t>HN</t>
        </is>
      </c>
      <c r="E2106" s="3" t="inlineStr">
        <is>
          <t>ĐIỆP</t>
        </is>
      </c>
      <c r="F2106" s="3" t="inlineStr">
        <is>
          <t>Tiktok, Shopee</t>
        </is>
      </c>
      <c r="G2106" s="4" t="inlineStr">
        <is>
          <t>SHOPEE: https://s.shopee.vn/5q8xKd1rIl TIKTOK: https://www.tiktok.com/@quandao1212?_r=1&amp;_t=ZS-9AZ3SH7c2xZ LAZADA: WEBSITE BÁN HÀNG:</t>
        </is>
      </c>
      <c r="H2106" s="3" t="inlineStr"/>
      <c r="I2106" s="4" t="inlineStr">
        <is>
          <t>Mũi định tâm chuôi dài NEW</t>
        </is>
      </c>
      <c r="J2106" s="3" t="inlineStr">
        <is>
          <t>Cái</t>
        </is>
      </c>
      <c r="K2106" s="5" t="n">
        <v>269000</v>
      </c>
      <c r="L2106" s="5" t="n">
        <v>317000</v>
      </c>
      <c r="M2106" s="6" t="n">
        <v>390000</v>
      </c>
      <c r="N2106" s="5" t="n"/>
      <c r="O2106" s="5">
        <f>IF(AND(ISNUMBER(N2106),ISNUMBER(M2106)),N2106-M2106,"")</f>
        <v/>
      </c>
      <c r="P2106" s="7">
        <f>IF(AND(ISNUMBER(N2106),ISNUMBER(M2106),M2106&gt;0),(N2106-M2106)/M2106,"")</f>
        <v/>
      </c>
      <c r="Q2106" s="3">
        <f>IF(P2106="","",IF(P2106&lt;-0.02,"🔴 Bán phá giá sàn",IF(P2106&gt;0.05,"🔵 Bán cao hơn","🟢 Đúng giá sàn TMĐT")))</f>
        <v/>
      </c>
      <c r="R2106" s="3" t="n"/>
      <c r="S2106" s="4" t="n"/>
      <c r="T2106" s="4" t="n"/>
    </row>
    <row r="2107">
      <c r="A2107" s="3" t="n">
        <v>2106</v>
      </c>
      <c r="B2107" s="3" t="inlineStr">
        <is>
          <t>DL019</t>
        </is>
      </c>
      <c r="C2107" s="4" t="inlineStr">
        <is>
          <t>Quân- Khánh Hà</t>
        </is>
      </c>
      <c r="D2107" s="3" t="inlineStr">
        <is>
          <t>HN</t>
        </is>
      </c>
      <c r="E2107" s="3" t="inlineStr">
        <is>
          <t>ĐIỆP</t>
        </is>
      </c>
      <c r="F2107" s="3" t="inlineStr">
        <is>
          <t>Tiktok, Shopee</t>
        </is>
      </c>
      <c r="G2107" s="4" t="inlineStr">
        <is>
          <t>SHOPEE: https://s.shopee.vn/5q8xKd1rIl TIKTOK: https://www.tiktok.com/@quandao1212?_r=1&amp;_t=ZS-9AZ3SH7c2xZ LAZADA: WEBSITE BÁN HÀNG:</t>
        </is>
      </c>
      <c r="H2107" s="3" t="inlineStr"/>
      <c r="I2107" s="4" t="inlineStr">
        <is>
          <t>Mũi định tâm chuôi ngắn kẹp</t>
        </is>
      </c>
      <c r="J2107" s="3" t="inlineStr">
        <is>
          <t>Cái</t>
        </is>
      </c>
      <c r="K2107" s="5" t="n">
        <v>269000</v>
      </c>
      <c r="L2107" s="5" t="n">
        <v>317000</v>
      </c>
      <c r="M2107" s="6" t="n">
        <v>390000</v>
      </c>
      <c r="N2107" s="5" t="n"/>
      <c r="O2107" s="5">
        <f>IF(AND(ISNUMBER(N2107),ISNUMBER(M2107)),N2107-M2107,"")</f>
        <v/>
      </c>
      <c r="P2107" s="7">
        <f>IF(AND(ISNUMBER(N2107),ISNUMBER(M2107),M2107&gt;0),(N2107-M2107)/M2107,"")</f>
        <v/>
      </c>
      <c r="Q2107" s="3">
        <f>IF(P2107="","",IF(P2107&lt;-0.02,"🔴 Bán phá giá sàn",IF(P2107&gt;0.05,"🔵 Bán cao hơn","🟢 Đúng giá sàn TMĐT")))</f>
        <v/>
      </c>
      <c r="R2107" s="3" t="n"/>
      <c r="S2107" s="4" t="n"/>
      <c r="T2107" s="4" t="n"/>
    </row>
    <row r="2108">
      <c r="A2108" s="3" t="n">
        <v>2107</v>
      </c>
      <c r="B2108" s="3" t="inlineStr">
        <is>
          <t>DL019</t>
        </is>
      </c>
      <c r="C2108" s="4" t="inlineStr">
        <is>
          <t>Quân- Khánh Hà</t>
        </is>
      </c>
      <c r="D2108" s="3" t="inlineStr">
        <is>
          <t>HN</t>
        </is>
      </c>
      <c r="E2108" s="3" t="inlineStr">
        <is>
          <t>ĐIỆP</t>
        </is>
      </c>
      <c r="F2108" s="3" t="inlineStr">
        <is>
          <t>Tiktok, Shopee</t>
        </is>
      </c>
      <c r="G2108" s="4" t="inlineStr">
        <is>
          <t>SHOPEE: https://s.shopee.vn/5q8xKd1rIl TIKTOK: https://www.tiktok.com/@quandao1212?_r=1&amp;_t=ZS-9AZ3SH7c2xZ LAZADA: WEBSITE BÁN HÀNG:</t>
        </is>
      </c>
      <c r="H2108" s="3" t="inlineStr">
        <is>
          <t>KBL2-06160</t>
        </is>
      </c>
      <c r="I2108" s="4" t="inlineStr">
        <is>
          <t>Mũi khoan bê tông gài 2 cạnh KBL2-06*160</t>
        </is>
      </c>
      <c r="J2108" s="3" t="inlineStr">
        <is>
          <t>Cái</t>
        </is>
      </c>
      <c r="K2108" s="5" t="n">
        <v>23000</v>
      </c>
      <c r="L2108" s="5" t="n">
        <v>28000</v>
      </c>
      <c r="M2108" s="6" t="n">
        <v>36000</v>
      </c>
      <c r="N2108" s="5" t="n"/>
      <c r="O2108" s="5">
        <f>IF(AND(ISNUMBER(N2108),ISNUMBER(M2108)),N2108-M2108,"")</f>
        <v/>
      </c>
      <c r="P2108" s="7">
        <f>IF(AND(ISNUMBER(N2108),ISNUMBER(M2108),M2108&gt;0),(N2108-M2108)/M2108,"")</f>
        <v/>
      </c>
      <c r="Q2108" s="3">
        <f>IF(P2108="","",IF(P2108&lt;-0.02,"🔴 Bán phá giá sàn",IF(P2108&gt;0.05,"🔵 Bán cao hơn","🟢 Đúng giá sàn TMĐT")))</f>
        <v/>
      </c>
      <c r="R2108" s="3" t="n"/>
      <c r="S2108" s="4" t="n"/>
      <c r="T2108" s="4" t="n"/>
    </row>
    <row r="2109">
      <c r="A2109" s="3" t="n">
        <v>2108</v>
      </c>
      <c r="B2109" s="3" t="inlineStr">
        <is>
          <t>DL019</t>
        </is>
      </c>
      <c r="C2109" s="4" t="inlineStr">
        <is>
          <t>Quân- Khánh Hà</t>
        </is>
      </c>
      <c r="D2109" s="3" t="inlineStr">
        <is>
          <t>HN</t>
        </is>
      </c>
      <c r="E2109" s="3" t="inlineStr">
        <is>
          <t>ĐIỆP</t>
        </is>
      </c>
      <c r="F2109" s="3" t="inlineStr">
        <is>
          <t>Tiktok, Shopee</t>
        </is>
      </c>
      <c r="G2109" s="4" t="inlineStr">
        <is>
          <t>SHOPEE: https://s.shopee.vn/5q8xKd1rIl TIKTOK: https://www.tiktok.com/@quandao1212?_r=1&amp;_t=ZS-9AZ3SH7c2xZ LAZADA: WEBSITE BÁN HÀNG:</t>
        </is>
      </c>
      <c r="H2109" s="3" t="inlineStr">
        <is>
          <t>KBL2-08110</t>
        </is>
      </c>
      <c r="I2109" s="4" t="inlineStr">
        <is>
          <t>Mũi khoan bê tông gài 2 cạnh KBL2-08*110</t>
        </is>
      </c>
      <c r="J2109" s="3" t="inlineStr">
        <is>
          <t>Cái</t>
        </is>
      </c>
      <c r="K2109" s="5" t="n">
        <v>22000</v>
      </c>
      <c r="L2109" s="5" t="n">
        <v>27000</v>
      </c>
      <c r="M2109" s="6" t="n">
        <v>34000</v>
      </c>
      <c r="N2109" s="5" t="n"/>
      <c r="O2109" s="5">
        <f>IF(AND(ISNUMBER(N2109),ISNUMBER(M2109)),N2109-M2109,"")</f>
        <v/>
      </c>
      <c r="P2109" s="7">
        <f>IF(AND(ISNUMBER(N2109),ISNUMBER(M2109),M2109&gt;0),(N2109-M2109)/M2109,"")</f>
        <v/>
      </c>
      <c r="Q2109" s="3">
        <f>IF(P2109="","",IF(P2109&lt;-0.02,"🔴 Bán phá giá sàn",IF(P2109&gt;0.05,"🔵 Bán cao hơn","🟢 Đúng giá sàn TMĐT")))</f>
        <v/>
      </c>
      <c r="R2109" s="3" t="n"/>
      <c r="S2109" s="4" t="n"/>
      <c r="T2109" s="4" t="n"/>
    </row>
    <row r="2110">
      <c r="A2110" s="3" t="n">
        <v>2109</v>
      </c>
      <c r="B2110" s="3" t="inlineStr">
        <is>
          <t>DL019</t>
        </is>
      </c>
      <c r="C2110" s="4" t="inlineStr">
        <is>
          <t>Quân- Khánh Hà</t>
        </is>
      </c>
      <c r="D2110" s="3" t="inlineStr">
        <is>
          <t>HN</t>
        </is>
      </c>
      <c r="E2110" s="3" t="inlineStr">
        <is>
          <t>ĐIỆP</t>
        </is>
      </c>
      <c r="F2110" s="3" t="inlineStr">
        <is>
          <t>Tiktok, Shopee</t>
        </is>
      </c>
      <c r="G2110" s="4" t="inlineStr">
        <is>
          <t>SHOPEE: https://s.shopee.vn/5q8xKd1rIl TIKTOK: https://www.tiktok.com/@quandao1212?_r=1&amp;_t=ZS-9AZ3SH7c2xZ LAZADA: WEBSITE BÁN HÀNG:</t>
        </is>
      </c>
      <c r="H2110" s="3" t="inlineStr">
        <is>
          <t>KBL2-08160</t>
        </is>
      </c>
      <c r="I2110" s="4" t="inlineStr">
        <is>
          <t>Mũi khoan bê tông gài 2 cạnh KBL2-08*160</t>
        </is>
      </c>
      <c r="J2110" s="3" t="inlineStr">
        <is>
          <t>Cái</t>
        </is>
      </c>
      <c r="K2110" s="5" t="n">
        <v>25000</v>
      </c>
      <c r="L2110" s="5" t="n">
        <v>31000</v>
      </c>
      <c r="M2110" s="6" t="n">
        <v>39000</v>
      </c>
      <c r="N2110" s="5" t="n"/>
      <c r="O2110" s="5">
        <f>IF(AND(ISNUMBER(N2110),ISNUMBER(M2110)),N2110-M2110,"")</f>
        <v/>
      </c>
      <c r="P2110" s="7">
        <f>IF(AND(ISNUMBER(N2110),ISNUMBER(M2110),M2110&gt;0),(N2110-M2110)/M2110,"")</f>
        <v/>
      </c>
      <c r="Q2110" s="3">
        <f>IF(P2110="","",IF(P2110&lt;-0.02,"🔴 Bán phá giá sàn",IF(P2110&gt;0.05,"🔵 Bán cao hơn","🟢 Đúng giá sàn TMĐT")))</f>
        <v/>
      </c>
      <c r="R2110" s="3" t="n"/>
      <c r="S2110" s="4" t="n"/>
      <c r="T2110" s="4" t="n"/>
    </row>
    <row r="2111">
      <c r="A2111" s="3" t="n">
        <v>2110</v>
      </c>
      <c r="B2111" s="3" t="inlineStr">
        <is>
          <t>DL019</t>
        </is>
      </c>
      <c r="C2111" s="4" t="inlineStr">
        <is>
          <t>Quân- Khánh Hà</t>
        </is>
      </c>
      <c r="D2111" s="3" t="inlineStr">
        <is>
          <t>HN</t>
        </is>
      </c>
      <c r="E2111" s="3" t="inlineStr">
        <is>
          <t>ĐIỆP</t>
        </is>
      </c>
      <c r="F2111" s="3" t="inlineStr">
        <is>
          <t>Tiktok, Shopee</t>
        </is>
      </c>
      <c r="G2111" s="4" t="inlineStr">
        <is>
          <t>SHOPEE: https://s.shopee.vn/5q8xKd1rIl TIKTOK: https://www.tiktok.com/@quandao1212?_r=1&amp;_t=ZS-9AZ3SH7c2xZ LAZADA: WEBSITE BÁN HÀNG:</t>
        </is>
      </c>
      <c r="H2111" s="3" t="inlineStr">
        <is>
          <t>KBL2-14160</t>
        </is>
      </c>
      <c r="I2111" s="4" t="inlineStr">
        <is>
          <t>Mũi khoan bê tông gài 2 cạnh KBL2-14*160</t>
        </is>
      </c>
      <c r="J2111" s="3" t="inlineStr">
        <is>
          <t>Cái</t>
        </is>
      </c>
      <c r="K2111" s="5" t="n">
        <v>42000</v>
      </c>
      <c r="L2111" s="5" t="n">
        <v>51000</v>
      </c>
      <c r="M2111" s="6" t="n">
        <v>65000</v>
      </c>
      <c r="N2111" s="5" t="n"/>
      <c r="O2111" s="5">
        <f>IF(AND(ISNUMBER(N2111),ISNUMBER(M2111)),N2111-M2111,"")</f>
        <v/>
      </c>
      <c r="P2111" s="7">
        <f>IF(AND(ISNUMBER(N2111),ISNUMBER(M2111),M2111&gt;0),(N2111-M2111)/M2111,"")</f>
        <v/>
      </c>
      <c r="Q2111" s="3">
        <f>IF(P2111="","",IF(P2111&lt;-0.02,"🔴 Bán phá giá sàn",IF(P2111&gt;0.05,"🔵 Bán cao hơn","🟢 Đúng giá sàn TMĐT")))</f>
        <v/>
      </c>
      <c r="R2111" s="3" t="n"/>
      <c r="S2111" s="4" t="n"/>
      <c r="T2111" s="4" t="n"/>
    </row>
    <row r="2112">
      <c r="A2112" s="3" t="n">
        <v>2111</v>
      </c>
      <c r="B2112" s="3" t="inlineStr">
        <is>
          <t>DL019</t>
        </is>
      </c>
      <c r="C2112" s="4" t="inlineStr">
        <is>
          <t>Quân- Khánh Hà</t>
        </is>
      </c>
      <c r="D2112" s="3" t="inlineStr">
        <is>
          <t>HN</t>
        </is>
      </c>
      <c r="E2112" s="3" t="inlineStr">
        <is>
          <t>ĐIỆP</t>
        </is>
      </c>
      <c r="F2112" s="3" t="inlineStr">
        <is>
          <t>Tiktok, Shopee</t>
        </is>
      </c>
      <c r="G2112" s="4" t="inlineStr">
        <is>
          <t>SHOPEE: https://s.shopee.vn/5q8xKd1rIl TIKTOK: https://www.tiktok.com/@quandao1212?_r=1&amp;_t=ZS-9AZ3SH7c2xZ LAZADA: WEBSITE BÁN HÀNG:</t>
        </is>
      </c>
      <c r="H2112" s="3" t="inlineStr">
        <is>
          <t>KBK-22</t>
        </is>
      </c>
      <c r="I2112" s="4" t="inlineStr">
        <is>
          <t>Mũi khoan đá KBK-22</t>
        </is>
      </c>
      <c r="J2112" s="3" t="inlineStr">
        <is>
          <t>Cái</t>
        </is>
      </c>
      <c r="K2112" s="5" t="n">
        <v>67000</v>
      </c>
      <c r="L2112" s="5" t="n">
        <v>83000</v>
      </c>
      <c r="M2112" s="6" t="n">
        <v>107000</v>
      </c>
      <c r="N2112" s="5" t="n"/>
      <c r="O2112" s="5">
        <f>IF(AND(ISNUMBER(N2112),ISNUMBER(M2112)),N2112-M2112,"")</f>
        <v/>
      </c>
      <c r="P2112" s="7">
        <f>IF(AND(ISNUMBER(N2112),ISNUMBER(M2112),M2112&gt;0),(N2112-M2112)/M2112,"")</f>
        <v/>
      </c>
      <c r="Q2112" s="3">
        <f>IF(P2112="","",IF(P2112&lt;-0.02,"🔴 Bán phá giá sàn",IF(P2112&gt;0.05,"🔵 Bán cao hơn","🟢 Đúng giá sàn TMĐT")))</f>
        <v/>
      </c>
      <c r="R2112" s="3" t="n"/>
      <c r="S2112" s="4" t="n"/>
      <c r="T2112" s="4" t="n"/>
    </row>
    <row r="2113">
      <c r="A2113" s="3" t="n">
        <v>2112</v>
      </c>
      <c r="B2113" s="3" t="inlineStr">
        <is>
          <t>DL019</t>
        </is>
      </c>
      <c r="C2113" s="4" t="inlineStr">
        <is>
          <t>Quân- Khánh Hà</t>
        </is>
      </c>
      <c r="D2113" s="3" t="inlineStr">
        <is>
          <t>HN</t>
        </is>
      </c>
      <c r="E2113" s="3" t="inlineStr">
        <is>
          <t>ĐIỆP</t>
        </is>
      </c>
      <c r="F2113" s="3" t="inlineStr">
        <is>
          <t>Tiktok, Shopee</t>
        </is>
      </c>
      <c r="G2113" s="4" t="inlineStr">
        <is>
          <t>SHOPEE: https://s.shopee.vn/5q8xKd1rIl TIKTOK: https://www.tiktok.com/@quandao1212?_r=1&amp;_t=ZS-9AZ3SH7c2xZ LAZADA: WEBSITE BÁN HÀNG:</t>
        </is>
      </c>
      <c r="H2113" s="3" t="inlineStr">
        <is>
          <t>KBL2S-06160</t>
        </is>
      </c>
      <c r="I2113" s="4" t="inlineStr">
        <is>
          <t>Mũi khoan đa năng chuôi gài 2 cạnh KBL2S-06*160</t>
        </is>
      </c>
      <c r="J2113" s="3" t="inlineStr">
        <is>
          <t>Cái</t>
        </is>
      </c>
      <c r="K2113" s="5" t="n">
        <v>24000</v>
      </c>
      <c r="L2113" s="5" t="n">
        <v>30000</v>
      </c>
      <c r="M2113" s="6" t="n">
        <v>38000</v>
      </c>
      <c r="N2113" s="5" t="n"/>
      <c r="O2113" s="5">
        <f>IF(AND(ISNUMBER(N2113),ISNUMBER(M2113)),N2113-M2113,"")</f>
        <v/>
      </c>
      <c r="P2113" s="7">
        <f>IF(AND(ISNUMBER(N2113),ISNUMBER(M2113),M2113&gt;0),(N2113-M2113)/M2113,"")</f>
        <v/>
      </c>
      <c r="Q2113" s="3">
        <f>IF(P2113="","",IF(P2113&lt;-0.02,"🔴 Bán phá giá sàn",IF(P2113&gt;0.05,"🔵 Bán cao hơn","🟢 Đúng giá sàn TMĐT")))</f>
        <v/>
      </c>
      <c r="R2113" s="3" t="n"/>
      <c r="S2113" s="4" t="n"/>
      <c r="T2113" s="4" t="n"/>
    </row>
    <row r="2114">
      <c r="A2114" s="3" t="n">
        <v>2113</v>
      </c>
      <c r="B2114" s="3" t="inlineStr">
        <is>
          <t>DL019</t>
        </is>
      </c>
      <c r="C2114" s="4" t="inlineStr">
        <is>
          <t>Quân- Khánh Hà</t>
        </is>
      </c>
      <c r="D2114" s="3" t="inlineStr">
        <is>
          <t>HN</t>
        </is>
      </c>
      <c r="E2114" s="3" t="inlineStr">
        <is>
          <t>ĐIỆP</t>
        </is>
      </c>
      <c r="F2114" s="3" t="inlineStr">
        <is>
          <t>Tiktok, Shopee</t>
        </is>
      </c>
      <c r="G2114" s="4" t="inlineStr">
        <is>
          <t>SHOPEE: https://s.shopee.vn/5q8xKd1rIl TIKTOK: https://www.tiktok.com/@quandao1212?_r=1&amp;_t=ZS-9AZ3SH7c2xZ LAZADA: WEBSITE BÁN HÀNG:</t>
        </is>
      </c>
      <c r="H2114" s="3" t="inlineStr"/>
      <c r="I2114" s="4" t="inlineStr">
        <is>
          <t>Mũi khoan rút lõi  KBRS- 63*155</t>
        </is>
      </c>
      <c r="J2114" s="3" t="inlineStr">
        <is>
          <t>Cái</t>
        </is>
      </c>
      <c r="K2114" s="5" t="n">
        <v>269000</v>
      </c>
      <c r="L2114" s="5" t="n">
        <v>317000</v>
      </c>
      <c r="M2114" s="6" t="n">
        <v>390000</v>
      </c>
      <c r="N2114" s="5" t="n"/>
      <c r="O2114" s="5">
        <f>IF(AND(ISNUMBER(N2114),ISNUMBER(M2114)),N2114-M2114,"")</f>
        <v/>
      </c>
      <c r="P2114" s="7">
        <f>IF(AND(ISNUMBER(N2114),ISNUMBER(M2114),M2114&gt;0),(N2114-M2114)/M2114,"")</f>
        <v/>
      </c>
      <c r="Q2114" s="3">
        <f>IF(P2114="","",IF(P2114&lt;-0.02,"🔴 Bán phá giá sàn",IF(P2114&gt;0.05,"🔵 Bán cao hơn","🟢 Đúng giá sàn TMĐT")))</f>
        <v/>
      </c>
      <c r="R2114" s="3" t="n"/>
      <c r="S2114" s="4" t="n"/>
      <c r="T2114" s="4" t="n"/>
    </row>
    <row r="2115">
      <c r="A2115" s="3" t="n">
        <v>2114</v>
      </c>
      <c r="B2115" s="3" t="inlineStr">
        <is>
          <t>DL019</t>
        </is>
      </c>
      <c r="C2115" s="4" t="inlineStr">
        <is>
          <t>Quân- Khánh Hà</t>
        </is>
      </c>
      <c r="D2115" s="3" t="inlineStr">
        <is>
          <t>HN</t>
        </is>
      </c>
      <c r="E2115" s="3" t="inlineStr">
        <is>
          <t>ĐIỆP</t>
        </is>
      </c>
      <c r="F2115" s="3" t="inlineStr">
        <is>
          <t>Tiktok, Shopee</t>
        </is>
      </c>
      <c r="G2115" s="4" t="inlineStr">
        <is>
          <t>SHOPEE: https://s.shopee.vn/5q8xKd1rIl TIKTOK: https://www.tiktok.com/@quandao1212?_r=1&amp;_t=ZS-9AZ3SH7c2xZ LAZADA: WEBSITE BÁN HÀNG:</t>
        </is>
      </c>
      <c r="H2115" s="3" t="inlineStr">
        <is>
          <t>KRS-32155</t>
        </is>
      </c>
      <c r="I2115" s="4" t="inlineStr">
        <is>
          <t>Mũi khoan rút lõi khô KRS-32*155</t>
        </is>
      </c>
      <c r="J2115" s="3" t="inlineStr">
        <is>
          <t>Cái</t>
        </is>
      </c>
      <c r="K2115" s="5" t="n">
        <v>269000</v>
      </c>
      <c r="L2115" s="5" t="n">
        <v>317000</v>
      </c>
      <c r="M2115" s="6" t="n">
        <v>390000</v>
      </c>
      <c r="N2115" s="5" t="n"/>
      <c r="O2115" s="5">
        <f>IF(AND(ISNUMBER(N2115),ISNUMBER(M2115)),N2115-M2115,"")</f>
        <v/>
      </c>
      <c r="P2115" s="7">
        <f>IF(AND(ISNUMBER(N2115),ISNUMBER(M2115),M2115&gt;0),(N2115-M2115)/M2115,"")</f>
        <v/>
      </c>
      <c r="Q2115" s="3">
        <f>IF(P2115="","",IF(P2115&lt;-0.02,"🔴 Bán phá giá sàn",IF(P2115&gt;0.05,"🔵 Bán cao hơn","🟢 Đúng giá sàn TMĐT")))</f>
        <v/>
      </c>
      <c r="R2115" s="3" t="n"/>
      <c r="S2115" s="4" t="n"/>
      <c r="T2115" s="4" t="n"/>
    </row>
    <row r="2116">
      <c r="A2116" s="3" t="n">
        <v>2115</v>
      </c>
      <c r="B2116" s="3" t="inlineStr">
        <is>
          <t>DL019</t>
        </is>
      </c>
      <c r="C2116" s="4" t="inlineStr">
        <is>
          <t>Quân- Khánh Hà</t>
        </is>
      </c>
      <c r="D2116" s="3" t="inlineStr">
        <is>
          <t>HN</t>
        </is>
      </c>
      <c r="E2116" s="3" t="inlineStr">
        <is>
          <t>ĐIỆP</t>
        </is>
      </c>
      <c r="F2116" s="3" t="inlineStr">
        <is>
          <t>Tiktok, Shopee</t>
        </is>
      </c>
      <c r="G2116" s="4" t="inlineStr">
        <is>
          <t>SHOPEE: https://s.shopee.vn/5q8xKd1rIl TIKTOK: https://www.tiktok.com/@quandao1212?_r=1&amp;_t=ZS-9AZ3SH7c2xZ LAZADA: WEBSITE BÁN HÀNG:</t>
        </is>
      </c>
      <c r="H2116" s="3" t="inlineStr">
        <is>
          <t>KRS-40155</t>
        </is>
      </c>
      <c r="I2116" s="4" t="inlineStr">
        <is>
          <t>Mũi khoan rút lõi khô KRS-40*155</t>
        </is>
      </c>
      <c r="J2116" s="3" t="inlineStr">
        <is>
          <t>Cái</t>
        </is>
      </c>
      <c r="K2116" s="5" t="n">
        <v>269000</v>
      </c>
      <c r="L2116" s="5" t="n">
        <v>317000</v>
      </c>
      <c r="M2116" s="6" t="n">
        <v>390000</v>
      </c>
      <c r="N2116" s="5" t="n"/>
      <c r="O2116" s="5">
        <f>IF(AND(ISNUMBER(N2116),ISNUMBER(M2116)),N2116-M2116,"")</f>
        <v/>
      </c>
      <c r="P2116" s="7">
        <f>IF(AND(ISNUMBER(N2116),ISNUMBER(M2116),M2116&gt;0),(N2116-M2116)/M2116,"")</f>
        <v/>
      </c>
      <c r="Q2116" s="3">
        <f>IF(P2116="","",IF(P2116&lt;-0.02,"🔴 Bán phá giá sàn",IF(P2116&gt;0.05,"🔵 Bán cao hơn","🟢 Đúng giá sàn TMĐT")))</f>
        <v/>
      </c>
      <c r="R2116" s="3" t="n"/>
      <c r="S2116" s="4" t="n"/>
      <c r="T2116" s="4" t="n"/>
    </row>
    <row r="2117">
      <c r="A2117" s="3" t="n">
        <v>2116</v>
      </c>
      <c r="B2117" s="3" t="inlineStr">
        <is>
          <t>DL019</t>
        </is>
      </c>
      <c r="C2117" s="4" t="inlineStr">
        <is>
          <t>Quân- Khánh Hà</t>
        </is>
      </c>
      <c r="D2117" s="3" t="inlineStr">
        <is>
          <t>HN</t>
        </is>
      </c>
      <c r="E2117" s="3" t="inlineStr">
        <is>
          <t>ĐIỆP</t>
        </is>
      </c>
      <c r="F2117" s="3" t="inlineStr">
        <is>
          <t>Tiktok, Shopee</t>
        </is>
      </c>
      <c r="G2117" s="4" t="inlineStr">
        <is>
          <t>SHOPEE: https://s.shopee.vn/5q8xKd1rIl TIKTOK: https://www.tiktok.com/@quandao1212?_r=1&amp;_t=ZS-9AZ3SH7c2xZ LAZADA: WEBSITE BÁN HÀNG:</t>
        </is>
      </c>
      <c r="H2117" s="3" t="inlineStr">
        <is>
          <t>KRS-55155</t>
        </is>
      </c>
      <c r="I2117" s="4" t="inlineStr">
        <is>
          <t>Mũi khoan rút lõi khô KRS-55*155 (new)</t>
        </is>
      </c>
      <c r="J2117" s="3" t="inlineStr">
        <is>
          <t>Cái</t>
        </is>
      </c>
      <c r="K2117" s="5" t="n">
        <v>1190000</v>
      </c>
      <c r="L2117" s="5" t="n">
        <v>1380000</v>
      </c>
      <c r="M2117" s="6" t="n">
        <v>1666000</v>
      </c>
      <c r="N2117" s="5" t="n"/>
      <c r="O2117" s="5">
        <f>IF(AND(ISNUMBER(N2117),ISNUMBER(M2117)),N2117-M2117,"")</f>
        <v/>
      </c>
      <c r="P2117" s="7">
        <f>IF(AND(ISNUMBER(N2117),ISNUMBER(M2117),M2117&gt;0),(N2117-M2117)/M2117,"")</f>
        <v/>
      </c>
      <c r="Q2117" s="3">
        <f>IF(P2117="","",IF(P2117&lt;-0.02,"🔴 Bán phá giá sàn",IF(P2117&gt;0.05,"🔵 Bán cao hơn","🟢 Đúng giá sàn TMĐT")))</f>
        <v/>
      </c>
      <c r="R2117" s="3" t="n"/>
      <c r="S2117" s="4" t="n"/>
      <c r="T2117" s="4" t="n"/>
    </row>
    <row r="2118">
      <c r="A2118" s="3" t="n">
        <v>2117</v>
      </c>
      <c r="B2118" s="3" t="inlineStr">
        <is>
          <t>DL019</t>
        </is>
      </c>
      <c r="C2118" s="4" t="inlineStr">
        <is>
          <t>Quân- Khánh Hà</t>
        </is>
      </c>
      <c r="D2118" s="3" t="inlineStr">
        <is>
          <t>HN</t>
        </is>
      </c>
      <c r="E2118" s="3" t="inlineStr">
        <is>
          <t>ĐIỆP</t>
        </is>
      </c>
      <c r="F2118" s="3" t="inlineStr">
        <is>
          <t>Tiktok, Shopee</t>
        </is>
      </c>
      <c r="G2118" s="4" t="inlineStr">
        <is>
          <t>SHOPEE: https://s.shopee.vn/5q8xKd1rIl TIKTOK: https://www.tiktok.com/@quandao1212?_r=1&amp;_t=ZS-9AZ3SH7c2xZ LAZADA: WEBSITE BÁN HÀNG:</t>
        </is>
      </c>
      <c r="H2118" s="3" t="inlineStr">
        <is>
          <t>KRS-60155</t>
        </is>
      </c>
      <c r="I2118" s="4" t="inlineStr">
        <is>
          <t>Mũi khoan rút lõi khô KRS-60*155</t>
        </is>
      </c>
      <c r="J2118" s="3" t="inlineStr">
        <is>
          <t>Cái</t>
        </is>
      </c>
      <c r="K2118" s="5" t="n">
        <v>1290000</v>
      </c>
      <c r="L2118" s="5" t="n">
        <v>1496000</v>
      </c>
      <c r="M2118" s="6" t="n">
        <v>1806000</v>
      </c>
      <c r="N2118" s="5" t="n"/>
      <c r="O2118" s="5">
        <f>IF(AND(ISNUMBER(N2118),ISNUMBER(M2118)),N2118-M2118,"")</f>
        <v/>
      </c>
      <c r="P2118" s="7">
        <f>IF(AND(ISNUMBER(N2118),ISNUMBER(M2118),M2118&gt;0),(N2118-M2118)/M2118,"")</f>
        <v/>
      </c>
      <c r="Q2118" s="3">
        <f>IF(P2118="","",IF(P2118&lt;-0.02,"🔴 Bán phá giá sàn",IF(P2118&gt;0.05,"🔵 Bán cao hơn","🟢 Đúng giá sàn TMĐT")))</f>
        <v/>
      </c>
      <c r="R2118" s="3" t="n"/>
      <c r="S2118" s="4" t="n"/>
      <c r="T2118" s="4" t="n"/>
    </row>
    <row r="2119">
      <c r="A2119" s="3" t="n">
        <v>2118</v>
      </c>
      <c r="B2119" s="3" t="inlineStr">
        <is>
          <t>DL019</t>
        </is>
      </c>
      <c r="C2119" s="4" t="inlineStr">
        <is>
          <t>Quân- Khánh Hà</t>
        </is>
      </c>
      <c r="D2119" s="3" t="inlineStr">
        <is>
          <t>HN</t>
        </is>
      </c>
      <c r="E2119" s="3" t="inlineStr">
        <is>
          <t>ĐIỆP</t>
        </is>
      </c>
      <c r="F2119" s="3" t="inlineStr">
        <is>
          <t>Tiktok, Shopee</t>
        </is>
      </c>
      <c r="G2119" s="4" t="inlineStr">
        <is>
          <t>SHOPEE: https://s.shopee.vn/5q8xKd1rIl TIKTOK: https://www.tiktok.com/@quandao1212?_r=1&amp;_t=ZS-9AZ3SH7c2xZ LAZADA: WEBSITE BÁN HÀNG:</t>
        </is>
      </c>
      <c r="H2119" s="3" t="inlineStr">
        <is>
          <t>KRS-60155</t>
        </is>
      </c>
      <c r="I2119" s="4" t="inlineStr">
        <is>
          <t>Mũi khoan rút lõi khô KRS-60*155 (New)</t>
        </is>
      </c>
      <c r="J2119" s="3" t="inlineStr">
        <is>
          <t>Cái</t>
        </is>
      </c>
      <c r="K2119" s="5" t="n">
        <v>1290000</v>
      </c>
      <c r="L2119" s="5" t="n">
        <v>1496000</v>
      </c>
      <c r="M2119" s="6" t="n">
        <v>1806000</v>
      </c>
      <c r="N2119" s="5" t="n"/>
      <c r="O2119" s="5">
        <f>IF(AND(ISNUMBER(N2119),ISNUMBER(M2119)),N2119-M2119,"")</f>
        <v/>
      </c>
      <c r="P2119" s="7">
        <f>IF(AND(ISNUMBER(N2119),ISNUMBER(M2119),M2119&gt;0),(N2119-M2119)/M2119,"")</f>
        <v/>
      </c>
      <c r="Q2119" s="3">
        <f>IF(P2119="","",IF(P2119&lt;-0.02,"🔴 Bán phá giá sàn",IF(P2119&gt;0.05,"🔵 Bán cao hơn","🟢 Đúng giá sàn TMĐT")))</f>
        <v/>
      </c>
      <c r="R2119" s="3" t="n"/>
      <c r="S2119" s="4" t="n"/>
      <c r="T2119" s="4" t="n"/>
    </row>
    <row r="2120">
      <c r="A2120" s="3" t="n">
        <v>2119</v>
      </c>
      <c r="B2120" s="3" t="inlineStr">
        <is>
          <t>DL019</t>
        </is>
      </c>
      <c r="C2120" s="4" t="inlineStr">
        <is>
          <t>Quân- Khánh Hà</t>
        </is>
      </c>
      <c r="D2120" s="3" t="inlineStr">
        <is>
          <t>HN</t>
        </is>
      </c>
      <c r="E2120" s="3" t="inlineStr">
        <is>
          <t>ĐIỆP</t>
        </is>
      </c>
      <c r="F2120" s="3" t="inlineStr">
        <is>
          <t>Tiktok, Shopee</t>
        </is>
      </c>
      <c r="G2120" s="4" t="inlineStr">
        <is>
          <t>SHOPEE: https://s.shopee.vn/5q8xKd1rIl TIKTOK: https://www.tiktok.com/@quandao1212?_r=1&amp;_t=ZS-9AZ3SH7c2xZ LAZADA: WEBSITE BÁN HÀNG:</t>
        </is>
      </c>
      <c r="H2120" s="3" t="inlineStr">
        <is>
          <t>KRS-63155</t>
        </is>
      </c>
      <c r="I2120" s="4" t="inlineStr">
        <is>
          <t>Mũi khoan rút lõi khô KRS-63*155</t>
        </is>
      </c>
      <c r="J2120" s="3" t="inlineStr">
        <is>
          <t>Cái</t>
        </is>
      </c>
      <c r="K2120" s="5" t="n">
        <v>1350000</v>
      </c>
      <c r="L2120" s="5" t="n">
        <v>1566000</v>
      </c>
      <c r="M2120" s="6" t="n">
        <v>1890000</v>
      </c>
      <c r="N2120" s="5" t="n"/>
      <c r="O2120" s="5">
        <f>IF(AND(ISNUMBER(N2120),ISNUMBER(M2120)),N2120-M2120,"")</f>
        <v/>
      </c>
      <c r="P2120" s="7">
        <f>IF(AND(ISNUMBER(N2120),ISNUMBER(M2120),M2120&gt;0),(N2120-M2120)/M2120,"")</f>
        <v/>
      </c>
      <c r="Q2120" s="3">
        <f>IF(P2120="","",IF(P2120&lt;-0.02,"🔴 Bán phá giá sàn",IF(P2120&gt;0.05,"🔵 Bán cao hơn","🟢 Đúng giá sàn TMĐT")))</f>
        <v/>
      </c>
      <c r="R2120" s="3" t="n"/>
      <c r="S2120" s="4" t="n"/>
      <c r="T2120" s="4" t="n"/>
    </row>
    <row r="2121">
      <c r="A2121" s="3" t="n">
        <v>2120</v>
      </c>
      <c r="B2121" s="3" t="inlineStr">
        <is>
          <t>DL019</t>
        </is>
      </c>
      <c r="C2121" s="4" t="inlineStr">
        <is>
          <t>Quân- Khánh Hà</t>
        </is>
      </c>
      <c r="D2121" s="3" t="inlineStr">
        <is>
          <t>HN</t>
        </is>
      </c>
      <c r="E2121" s="3" t="inlineStr">
        <is>
          <t>ĐIỆP</t>
        </is>
      </c>
      <c r="F2121" s="3" t="inlineStr">
        <is>
          <t>Tiktok, Shopee</t>
        </is>
      </c>
      <c r="G2121" s="4" t="inlineStr">
        <is>
          <t>SHOPEE: https://s.shopee.vn/5q8xKd1rIl TIKTOK: https://www.tiktok.com/@quandao1212?_r=1&amp;_t=ZS-9AZ3SH7c2xZ LAZADA: WEBSITE BÁN HÀNG:</t>
        </is>
      </c>
      <c r="H2121" s="3" t="inlineStr"/>
      <c r="I2121" s="4" t="inlineStr">
        <is>
          <t>Mũi khoan tường không tắc kê KBLJ - 03.2*100</t>
        </is>
      </c>
      <c r="J2121" s="3" t="inlineStr">
        <is>
          <t>Cái</t>
        </is>
      </c>
      <c r="K2121" s="5" t="n">
        <v>269000</v>
      </c>
      <c r="L2121" s="5" t="n">
        <v>317000</v>
      </c>
      <c r="M2121" s="6" t="n">
        <v>390000</v>
      </c>
      <c r="N2121" s="5" t="n"/>
      <c r="O2121" s="5">
        <f>IF(AND(ISNUMBER(N2121),ISNUMBER(M2121)),N2121-M2121,"")</f>
        <v/>
      </c>
      <c r="P2121" s="7">
        <f>IF(AND(ISNUMBER(N2121),ISNUMBER(M2121),M2121&gt;0),(N2121-M2121)/M2121,"")</f>
        <v/>
      </c>
      <c r="Q2121" s="3">
        <f>IF(P2121="","",IF(P2121&lt;-0.02,"🔴 Bán phá giá sàn",IF(P2121&gt;0.05,"🔵 Bán cao hơn","🟢 Đúng giá sàn TMĐT")))</f>
        <v/>
      </c>
      <c r="R2121" s="3" t="n"/>
      <c r="S2121" s="4" t="n"/>
      <c r="T2121" s="4" t="n"/>
    </row>
    <row r="2122">
      <c r="A2122" s="3" t="n">
        <v>2121</v>
      </c>
      <c r="B2122" s="3" t="inlineStr">
        <is>
          <t>DL019</t>
        </is>
      </c>
      <c r="C2122" s="4" t="inlineStr">
        <is>
          <t>Quân- Khánh Hà</t>
        </is>
      </c>
      <c r="D2122" s="3" t="inlineStr">
        <is>
          <t>HN</t>
        </is>
      </c>
      <c r="E2122" s="3" t="inlineStr">
        <is>
          <t>ĐIỆP</t>
        </is>
      </c>
      <c r="F2122" s="3" t="inlineStr">
        <is>
          <t>Tiktok, Shopee</t>
        </is>
      </c>
      <c r="G2122" s="4" t="inlineStr">
        <is>
          <t>SHOPEE: https://s.shopee.vn/5q8xKd1rIl TIKTOK: https://www.tiktok.com/@quandao1212?_r=1&amp;_t=ZS-9AZ3SH7c2xZ LAZADA: WEBSITE BÁN HÀNG:</t>
        </is>
      </c>
      <c r="H2122" s="3" t="inlineStr"/>
      <c r="I2122" s="4" t="inlineStr">
        <is>
          <t>Mũi khoan tường không tắc kê KBLJ - 03.5*100</t>
        </is>
      </c>
      <c r="J2122" s="3" t="inlineStr">
        <is>
          <t>Cái</t>
        </is>
      </c>
      <c r="K2122" s="5" t="n">
        <v>269000</v>
      </c>
      <c r="L2122" s="5" t="n">
        <v>317000</v>
      </c>
      <c r="M2122" s="6" t="n">
        <v>390000</v>
      </c>
      <c r="N2122" s="5" t="n"/>
      <c r="O2122" s="5">
        <f>IF(AND(ISNUMBER(N2122),ISNUMBER(M2122)),N2122-M2122,"")</f>
        <v/>
      </c>
      <c r="P2122" s="7">
        <f>IF(AND(ISNUMBER(N2122),ISNUMBER(M2122),M2122&gt;0),(N2122-M2122)/M2122,"")</f>
        <v/>
      </c>
      <c r="Q2122" s="3">
        <f>IF(P2122="","",IF(P2122&lt;-0.02,"🔴 Bán phá giá sàn",IF(P2122&gt;0.05,"🔵 Bán cao hơn","🟢 Đúng giá sàn TMĐT")))</f>
        <v/>
      </c>
      <c r="R2122" s="3" t="n"/>
      <c r="S2122" s="4" t="n"/>
      <c r="T2122" s="4" t="n"/>
    </row>
    <row r="2123">
      <c r="A2123" s="3" t="n">
        <v>2122</v>
      </c>
      <c r="B2123" s="3" t="inlineStr">
        <is>
          <t>DL019</t>
        </is>
      </c>
      <c r="C2123" s="4" t="inlineStr">
        <is>
          <t>Quân- Khánh Hà</t>
        </is>
      </c>
      <c r="D2123" s="3" t="inlineStr">
        <is>
          <t>HN</t>
        </is>
      </c>
      <c r="E2123" s="3" t="inlineStr">
        <is>
          <t>ĐIỆP</t>
        </is>
      </c>
      <c r="F2123" s="3" t="inlineStr">
        <is>
          <t>Tiktok, Shopee</t>
        </is>
      </c>
      <c r="G2123" s="4" t="inlineStr">
        <is>
          <t>SHOPEE: https://s.shopee.vn/5q8xKd1rIl TIKTOK: https://www.tiktok.com/@quandao1212?_r=1&amp;_t=ZS-9AZ3SH7c2xZ LAZADA: WEBSITE BÁN HÀNG:</t>
        </is>
      </c>
      <c r="H2123" s="3" t="inlineStr"/>
      <c r="I2123" s="4" t="inlineStr">
        <is>
          <t>Mũi khoan tường không tắc kê KBLJ - 04.2*100</t>
        </is>
      </c>
      <c r="J2123" s="3" t="inlineStr">
        <is>
          <t>Cái</t>
        </is>
      </c>
      <c r="K2123" s="5" t="n">
        <v>269000</v>
      </c>
      <c r="L2123" s="5" t="n">
        <v>317000</v>
      </c>
      <c r="M2123" s="6" t="n">
        <v>390000</v>
      </c>
      <c r="N2123" s="5" t="n"/>
      <c r="O2123" s="5">
        <f>IF(AND(ISNUMBER(N2123),ISNUMBER(M2123)),N2123-M2123,"")</f>
        <v/>
      </c>
      <c r="P2123" s="7">
        <f>IF(AND(ISNUMBER(N2123),ISNUMBER(M2123),M2123&gt;0),(N2123-M2123)/M2123,"")</f>
        <v/>
      </c>
      <c r="Q2123" s="3">
        <f>IF(P2123="","",IF(P2123&lt;-0.02,"🔴 Bán phá giá sàn",IF(P2123&gt;0.05,"🔵 Bán cao hơn","🟢 Đúng giá sàn TMĐT")))</f>
        <v/>
      </c>
      <c r="R2123" s="3" t="n"/>
      <c r="S2123" s="4" t="n"/>
      <c r="T2123" s="4" t="n"/>
    </row>
    <row r="2124">
      <c r="A2124" s="3" t="n">
        <v>2123</v>
      </c>
      <c r="B2124" s="3" t="inlineStr">
        <is>
          <t>DL019</t>
        </is>
      </c>
      <c r="C2124" s="4" t="inlineStr">
        <is>
          <t>Quân- Khánh Hà</t>
        </is>
      </c>
      <c r="D2124" s="3" t="inlineStr">
        <is>
          <t>HN</t>
        </is>
      </c>
      <c r="E2124" s="3" t="inlineStr">
        <is>
          <t>ĐIỆP</t>
        </is>
      </c>
      <c r="F2124" s="3" t="inlineStr">
        <is>
          <t>Tiktok, Shopee</t>
        </is>
      </c>
      <c r="G2124" s="4" t="inlineStr">
        <is>
          <t>SHOPEE: https://s.shopee.vn/5q8xKd1rIl TIKTOK: https://www.tiktok.com/@quandao1212?_r=1&amp;_t=ZS-9AZ3SH7c2xZ LAZADA: WEBSITE BÁN HÀNG:</t>
        </is>
      </c>
      <c r="H2124" s="3" t="inlineStr"/>
      <c r="I2124" s="4" t="inlineStr">
        <is>
          <t>Mũi khoan tường không tắc kê KBLJ - 06*125</t>
        </is>
      </c>
      <c r="J2124" s="3" t="inlineStr">
        <is>
          <t>Cái</t>
        </is>
      </c>
      <c r="K2124" s="5" t="n">
        <v>269000</v>
      </c>
      <c r="L2124" s="5" t="n">
        <v>317000</v>
      </c>
      <c r="M2124" s="6" t="n">
        <v>390000</v>
      </c>
      <c r="N2124" s="5" t="n"/>
      <c r="O2124" s="5">
        <f>IF(AND(ISNUMBER(N2124),ISNUMBER(M2124)),N2124-M2124,"")</f>
        <v/>
      </c>
      <c r="P2124" s="7">
        <f>IF(AND(ISNUMBER(N2124),ISNUMBER(M2124),M2124&gt;0),(N2124-M2124)/M2124,"")</f>
        <v/>
      </c>
      <c r="Q2124" s="3">
        <f>IF(P2124="","",IF(P2124&lt;-0.02,"🔴 Bán phá giá sàn",IF(P2124&gt;0.05,"🔵 Bán cao hơn","🟢 Đúng giá sàn TMĐT")))</f>
        <v/>
      </c>
      <c r="R2124" s="3" t="n"/>
      <c r="S2124" s="4" t="n"/>
      <c r="T2124" s="4" t="n"/>
    </row>
    <row r="2125">
      <c r="A2125" s="3" t="n">
        <v>2124</v>
      </c>
      <c r="B2125" s="3" t="inlineStr">
        <is>
          <t>DL019</t>
        </is>
      </c>
      <c r="C2125" s="4" t="inlineStr">
        <is>
          <t>Quân- Khánh Hà</t>
        </is>
      </c>
      <c r="D2125" s="3" t="inlineStr">
        <is>
          <t>HN</t>
        </is>
      </c>
      <c r="E2125" s="3" t="inlineStr">
        <is>
          <t>ĐIỆP</t>
        </is>
      </c>
      <c r="F2125" s="3" t="inlineStr">
        <is>
          <t>Tiktok, Shopee</t>
        </is>
      </c>
      <c r="G2125" s="4" t="inlineStr">
        <is>
          <t>SHOPEE: https://s.shopee.vn/5q8xKd1rIl TIKTOK: https://www.tiktok.com/@quandao1212?_r=1&amp;_t=ZS-9AZ3SH7c2xZ LAZADA: WEBSITE BÁN HÀNG:</t>
        </is>
      </c>
      <c r="H2125" s="3" t="inlineStr"/>
      <c r="I2125" s="4" t="inlineStr">
        <is>
          <t>Mũi khoan tường không tắc kê KBLJ - 08*125</t>
        </is>
      </c>
      <c r="J2125" s="3" t="inlineStr">
        <is>
          <t>Cái</t>
        </is>
      </c>
      <c r="K2125" s="5" t="n">
        <v>269000</v>
      </c>
      <c r="L2125" s="5" t="n">
        <v>317000</v>
      </c>
      <c r="M2125" s="6" t="n">
        <v>390000</v>
      </c>
      <c r="N2125" s="5" t="n"/>
      <c r="O2125" s="5">
        <f>IF(AND(ISNUMBER(N2125),ISNUMBER(M2125)),N2125-M2125,"")</f>
        <v/>
      </c>
      <c r="P2125" s="7">
        <f>IF(AND(ISNUMBER(N2125),ISNUMBER(M2125),M2125&gt;0),(N2125-M2125)/M2125,"")</f>
        <v/>
      </c>
      <c r="Q2125" s="3">
        <f>IF(P2125="","",IF(P2125&lt;-0.02,"🔴 Bán phá giá sàn",IF(P2125&gt;0.05,"🔵 Bán cao hơn","🟢 Đúng giá sàn TMĐT")))</f>
        <v/>
      </c>
      <c r="R2125" s="3" t="n"/>
      <c r="S2125" s="4" t="n"/>
      <c r="T2125" s="4" t="n"/>
    </row>
    <row r="2126">
      <c r="A2126" s="3" t="n">
        <v>2125</v>
      </c>
      <c r="B2126" s="3" t="inlineStr">
        <is>
          <t>DL019</t>
        </is>
      </c>
      <c r="C2126" s="4" t="inlineStr">
        <is>
          <t>Quân- Khánh Hà</t>
        </is>
      </c>
      <c r="D2126" s="3" t="inlineStr">
        <is>
          <t>HN</t>
        </is>
      </c>
      <c r="E2126" s="3" t="inlineStr">
        <is>
          <t>ĐIỆP</t>
        </is>
      </c>
      <c r="F2126" s="3" t="inlineStr">
        <is>
          <t>Tiktok, Shopee</t>
        </is>
      </c>
      <c r="G2126" s="4" t="inlineStr">
        <is>
          <t>SHOPEE: https://s.shopee.vn/5q8xKd1rIl TIKTOK: https://www.tiktok.com/@quandao1212?_r=1&amp;_t=ZS-9AZ3SH7c2xZ LAZADA: WEBSITE BÁN HÀNG:</t>
        </is>
      </c>
      <c r="H2126" s="3" t="inlineStr">
        <is>
          <t>KYZ50</t>
        </is>
      </c>
      <c r="I2126" s="4" t="inlineStr">
        <is>
          <t>Ổ khóa KYZ50</t>
        </is>
      </c>
      <c r="J2126" s="3" t="inlineStr">
        <is>
          <t>Cái</t>
        </is>
      </c>
      <c r="K2126" s="5" t="n">
        <v>152000</v>
      </c>
      <c r="L2126" s="5" t="n">
        <v>176000</v>
      </c>
      <c r="M2126" s="6" t="n">
        <v>213000</v>
      </c>
      <c r="N2126" s="5" t="n"/>
      <c r="O2126" s="5">
        <f>IF(AND(ISNUMBER(N2126),ISNUMBER(M2126)),N2126-M2126,"")</f>
        <v/>
      </c>
      <c r="P2126" s="7">
        <f>IF(AND(ISNUMBER(N2126),ISNUMBER(M2126),M2126&gt;0),(N2126-M2126)/M2126,"")</f>
        <v/>
      </c>
      <c r="Q2126" s="3">
        <f>IF(P2126="","",IF(P2126&lt;-0.02,"🔴 Bán phá giá sàn",IF(P2126&gt;0.05,"🔵 Bán cao hơn","🟢 Đúng giá sàn TMĐT")))</f>
        <v/>
      </c>
      <c r="R2126" s="3" t="n"/>
      <c r="S2126" s="4" t="n"/>
      <c r="T2126" s="4" t="n"/>
    </row>
    <row r="2127">
      <c r="A2127" s="3" t="n">
        <v>2126</v>
      </c>
      <c r="B2127" s="3" t="inlineStr">
        <is>
          <t>DL019</t>
        </is>
      </c>
      <c r="C2127" s="4" t="inlineStr">
        <is>
          <t>Quân- Khánh Hà</t>
        </is>
      </c>
      <c r="D2127" s="3" t="inlineStr">
        <is>
          <t>HN</t>
        </is>
      </c>
      <c r="E2127" s="3" t="inlineStr">
        <is>
          <t>ĐIỆP</t>
        </is>
      </c>
      <c r="F2127" s="3" t="inlineStr">
        <is>
          <t>Tiktok, Shopee</t>
        </is>
      </c>
      <c r="G2127" s="4" t="inlineStr">
        <is>
          <t>SHOPEE: https://s.shopee.vn/5q8xKd1rIl TIKTOK: https://www.tiktok.com/@quandao1212?_r=1&amp;_t=ZS-9AZ3SH7c2xZ LAZADA: WEBSITE BÁN HÀNG:</t>
        </is>
      </c>
      <c r="H2127" s="3" t="inlineStr">
        <is>
          <t>MP4018</t>
        </is>
      </c>
      <c r="I2127" s="4" t="inlineStr">
        <is>
          <t>Pin MP4018</t>
        </is>
      </c>
      <c r="J2127" s="3" t="inlineStr">
        <is>
          <t>Cái</t>
        </is>
      </c>
      <c r="K2127" s="5" t="n">
        <v>730000</v>
      </c>
      <c r="L2127" s="5" t="n">
        <v>818000</v>
      </c>
      <c r="M2127" s="6" t="n">
        <v>949000</v>
      </c>
      <c r="N2127" s="5" t="n"/>
      <c r="O2127" s="5">
        <f>IF(AND(ISNUMBER(N2127),ISNUMBER(M2127)),N2127-M2127,"")</f>
        <v/>
      </c>
      <c r="P2127" s="7">
        <f>IF(AND(ISNUMBER(N2127),ISNUMBER(M2127),M2127&gt;0),(N2127-M2127)/M2127,"")</f>
        <v/>
      </c>
      <c r="Q2127" s="3">
        <f>IF(P2127="","",IF(P2127&lt;-0.02,"🔴 Bán phá giá sàn",IF(P2127&gt;0.05,"🔵 Bán cao hơn","🟢 Đúng giá sàn TMĐT")))</f>
        <v/>
      </c>
      <c r="R2127" s="3" t="n"/>
      <c r="S2127" s="4" t="n"/>
      <c r="T2127" s="4" t="n"/>
    </row>
    <row r="2128">
      <c r="A2128" s="3" t="n">
        <v>2127</v>
      </c>
      <c r="B2128" s="3" t="inlineStr">
        <is>
          <t>DL019</t>
        </is>
      </c>
      <c r="C2128" s="4" t="inlineStr">
        <is>
          <t>Quân- Khánh Hà</t>
        </is>
      </c>
      <c r="D2128" s="3" t="inlineStr">
        <is>
          <t>HN</t>
        </is>
      </c>
      <c r="E2128" s="3" t="inlineStr">
        <is>
          <t>ĐIỆP</t>
        </is>
      </c>
      <c r="F2128" s="3" t="inlineStr">
        <is>
          <t>Tiktok, Shopee</t>
        </is>
      </c>
      <c r="G2128" s="4" t="inlineStr">
        <is>
          <t>SHOPEE: https://s.shopee.vn/5q8xKd1rIl TIKTOK: https://www.tiktok.com/@quandao1212?_r=1&amp;_t=ZS-9AZ3SH7c2xZ LAZADA: WEBSITE BÁN HÀNG:</t>
        </is>
      </c>
      <c r="H2128" s="3" t="inlineStr">
        <is>
          <t>MP6018</t>
        </is>
      </c>
      <c r="I2128" s="4" t="inlineStr">
        <is>
          <t>Pin MP6018</t>
        </is>
      </c>
      <c r="J2128" s="3" t="inlineStr">
        <is>
          <t>Cái</t>
        </is>
      </c>
      <c r="K2128" s="5" t="n">
        <v>1045000</v>
      </c>
      <c r="L2128" s="5" t="n">
        <v>1171000</v>
      </c>
      <c r="M2128" s="6" t="n">
        <v>1359000</v>
      </c>
      <c r="N2128" s="5" t="n"/>
      <c r="O2128" s="5">
        <f>IF(AND(ISNUMBER(N2128),ISNUMBER(M2128)),N2128-M2128,"")</f>
        <v/>
      </c>
      <c r="P2128" s="7">
        <f>IF(AND(ISNUMBER(N2128),ISNUMBER(M2128),M2128&gt;0),(N2128-M2128)/M2128,"")</f>
        <v/>
      </c>
      <c r="Q2128" s="3">
        <f>IF(P2128="","",IF(P2128&lt;-0.02,"🔴 Bán phá giá sàn",IF(P2128&gt;0.05,"🔵 Bán cao hơn","🟢 Đúng giá sàn TMĐT")))</f>
        <v/>
      </c>
      <c r="R2128" s="3" t="n"/>
      <c r="S2128" s="4" t="n"/>
      <c r="T2128" s="4" t="n"/>
    </row>
    <row r="2129">
      <c r="A2129" s="3" t="n">
        <v>2128</v>
      </c>
      <c r="B2129" s="3" t="inlineStr">
        <is>
          <t>DL019</t>
        </is>
      </c>
      <c r="C2129" s="4" t="inlineStr">
        <is>
          <t>Quân- Khánh Hà</t>
        </is>
      </c>
      <c r="D2129" s="3" t="inlineStr">
        <is>
          <t>HN</t>
        </is>
      </c>
      <c r="E2129" s="3" t="inlineStr">
        <is>
          <t>ĐIỆP</t>
        </is>
      </c>
      <c r="F2129" s="3" t="inlineStr">
        <is>
          <t>Tiktok, Shopee</t>
        </is>
      </c>
      <c r="G2129" s="4" t="inlineStr">
        <is>
          <t>SHOPEE: https://s.shopee.vn/5q8xKd1rIl TIKTOK: https://www.tiktok.com/@quandao1212?_r=1&amp;_t=ZS-9AZ3SH7c2xZ LAZADA: WEBSITE BÁN HÀNG:</t>
        </is>
      </c>
      <c r="H2129" s="3" t="inlineStr">
        <is>
          <t>MS2A18</t>
        </is>
      </c>
      <c r="I2129" s="4" t="inlineStr">
        <is>
          <t>Sạc MS2A18</t>
        </is>
      </c>
      <c r="J2129" s="3" t="inlineStr">
        <is>
          <t>Cái</t>
        </is>
      </c>
      <c r="K2129" s="5" t="n">
        <v>290000</v>
      </c>
      <c r="L2129" s="5" t="n">
        <v>325000</v>
      </c>
      <c r="M2129" s="6" t="n">
        <v>377000</v>
      </c>
      <c r="N2129" s="5" t="n"/>
      <c r="O2129" s="5">
        <f>IF(AND(ISNUMBER(N2129),ISNUMBER(M2129)),N2129-M2129,"")</f>
        <v/>
      </c>
      <c r="P2129" s="7">
        <f>IF(AND(ISNUMBER(N2129),ISNUMBER(M2129),M2129&gt;0),(N2129-M2129)/M2129,"")</f>
        <v/>
      </c>
      <c r="Q2129" s="3">
        <f>IF(P2129="","",IF(P2129&lt;-0.02,"🔴 Bán phá giá sàn",IF(P2129&gt;0.05,"🔵 Bán cao hơn","🟢 Đúng giá sàn TMĐT")))</f>
        <v/>
      </c>
      <c r="R2129" s="3" t="n"/>
      <c r="S2129" s="4" t="n"/>
      <c r="T2129" s="4" t="n"/>
    </row>
    <row r="2130">
      <c r="A2130" s="3" t="n">
        <v>2129</v>
      </c>
      <c r="B2130" s="3" t="inlineStr">
        <is>
          <t>DL019</t>
        </is>
      </c>
      <c r="C2130" s="4" t="inlineStr">
        <is>
          <t>Quân- Khánh Hà</t>
        </is>
      </c>
      <c r="D2130" s="3" t="inlineStr">
        <is>
          <t>HN</t>
        </is>
      </c>
      <c r="E2130" s="3" t="inlineStr">
        <is>
          <t>ĐIỆP</t>
        </is>
      </c>
      <c r="F2130" s="3" t="inlineStr">
        <is>
          <t>Tiktok, Shopee</t>
        </is>
      </c>
      <c r="G2130" s="4" t="inlineStr">
        <is>
          <t>SHOPEE: https://s.shopee.vn/5q8xKd1rIl TIKTOK: https://www.tiktok.com/@quandao1212?_r=1&amp;_t=ZS-9AZ3SH7c2xZ LAZADA: WEBSITE BÁN HÀNG:</t>
        </is>
      </c>
      <c r="H2130" s="3" t="inlineStr">
        <is>
          <t>KM08AI</t>
        </is>
      </c>
      <c r="I2130" s="4" t="inlineStr">
        <is>
          <t>Sạc nhanh KM08AI (18V - 21V)</t>
        </is>
      </c>
      <c r="J2130" s="3" t="inlineStr">
        <is>
          <t>Cái</t>
        </is>
      </c>
      <c r="K2130" s="5" t="n">
        <v>760000</v>
      </c>
      <c r="L2130" s="5" t="n">
        <v>851000</v>
      </c>
      <c r="M2130" s="6" t="n">
        <v>988000</v>
      </c>
      <c r="N2130" s="5" t="n"/>
      <c r="O2130" s="5">
        <f>IF(AND(ISNUMBER(N2130),ISNUMBER(M2130)),N2130-M2130,"")</f>
        <v/>
      </c>
      <c r="P2130" s="7">
        <f>IF(AND(ISNUMBER(N2130),ISNUMBER(M2130),M2130&gt;0),(N2130-M2130)/M2130,"")</f>
        <v/>
      </c>
      <c r="Q2130" s="3">
        <f>IF(P2130="","",IF(P2130&lt;-0.02,"🔴 Bán phá giá sàn",IF(P2130&gt;0.05,"🔵 Bán cao hơn","🟢 Đúng giá sàn TMĐT")))</f>
        <v/>
      </c>
      <c r="R2130" s="3" t="n"/>
      <c r="S2130" s="4" t="n"/>
      <c r="T2130" s="4" t="n"/>
    </row>
    <row r="2131">
      <c r="A2131" s="3" t="n">
        <v>2130</v>
      </c>
      <c r="B2131" s="3" t="inlineStr">
        <is>
          <t>DL019</t>
        </is>
      </c>
      <c r="C2131" s="4" t="inlineStr">
        <is>
          <t>Quân- Khánh Hà</t>
        </is>
      </c>
      <c r="D2131" s="3" t="inlineStr">
        <is>
          <t>HN</t>
        </is>
      </c>
      <c r="E2131" s="3" t="inlineStr">
        <is>
          <t>ĐIỆP</t>
        </is>
      </c>
      <c r="F2131" s="3" t="inlineStr">
        <is>
          <t>Tiktok, Shopee</t>
        </is>
      </c>
      <c r="G2131" s="4" t="inlineStr">
        <is>
          <t>SHOPEE: https://s.shopee.vn/5q8xKd1rIl TIKTOK: https://www.tiktok.com/@quandao1212?_r=1&amp;_t=ZS-9AZ3SH7c2xZ LAZADA: WEBSITE BÁN HÀNG:</t>
        </is>
      </c>
      <c r="H2131" s="3" t="inlineStr">
        <is>
          <t>B2A20</t>
        </is>
      </c>
      <c r="I2131" s="4" t="inlineStr">
        <is>
          <t>Sạc pin B2A20</t>
        </is>
      </c>
      <c r="J2131" s="3" t="inlineStr">
        <is>
          <t>Cái</t>
        </is>
      </c>
      <c r="K2131" s="5" t="n">
        <v>270000</v>
      </c>
      <c r="L2131" s="5" t="n">
        <v>302000</v>
      </c>
      <c r="M2131" s="6" t="n">
        <v>351000</v>
      </c>
      <c r="N2131" s="5" t="n"/>
      <c r="O2131" s="5">
        <f>IF(AND(ISNUMBER(N2131),ISNUMBER(M2131)),N2131-M2131,"")</f>
        <v/>
      </c>
      <c r="P2131" s="7">
        <f>IF(AND(ISNUMBER(N2131),ISNUMBER(M2131),M2131&gt;0),(N2131-M2131)/M2131,"")</f>
        <v/>
      </c>
      <c r="Q2131" s="3">
        <f>IF(P2131="","",IF(P2131&lt;-0.02,"🔴 Bán phá giá sàn",IF(P2131&gt;0.05,"🔵 Bán cao hơn","🟢 Đúng giá sàn TMĐT")))</f>
        <v/>
      </c>
      <c r="R2131" s="3" t="n"/>
      <c r="S2131" s="4" t="n"/>
      <c r="T2131" s="4" t="n"/>
    </row>
    <row r="2132">
      <c r="A2132" s="3" t="n">
        <v>2131</v>
      </c>
      <c r="B2132" s="3" t="inlineStr">
        <is>
          <t>DL019</t>
        </is>
      </c>
      <c r="C2132" s="4" t="inlineStr">
        <is>
          <t>Quân- Khánh Hà</t>
        </is>
      </c>
      <c r="D2132" s="3" t="inlineStr">
        <is>
          <t>HN</t>
        </is>
      </c>
      <c r="E2132" s="3" t="inlineStr">
        <is>
          <t>ĐIỆP</t>
        </is>
      </c>
      <c r="F2132" s="3" t="inlineStr">
        <is>
          <t>Tiktok, Shopee</t>
        </is>
      </c>
      <c r="G2132" s="4" t="inlineStr">
        <is>
          <t>SHOPEE: https://s.shopee.vn/5q8xKd1rIl TIKTOK: https://www.tiktok.com/@quandao1212?_r=1&amp;_t=ZS-9AZ3SH7c2xZ LAZADA: WEBSITE BÁN HÀNG:</t>
        </is>
      </c>
      <c r="H2132" s="3" t="inlineStr">
        <is>
          <t>KB848G</t>
        </is>
      </c>
      <c r="I2132" s="4" t="inlineStr">
        <is>
          <t>Siết tôn King Blue KB8*48G</t>
        </is>
      </c>
      <c r="J2132" s="3" t="inlineStr">
        <is>
          <t>Cái</t>
        </is>
      </c>
      <c r="K2132" s="5" t="n">
        <v>7500</v>
      </c>
      <c r="L2132" s="5" t="n">
        <v>10000</v>
      </c>
      <c r="M2132" s="6" t="n">
        <v>13000</v>
      </c>
      <c r="N2132" s="5" t="n"/>
      <c r="O2132" s="5">
        <f>IF(AND(ISNUMBER(N2132),ISNUMBER(M2132)),N2132-M2132,"")</f>
        <v/>
      </c>
      <c r="P2132" s="7">
        <f>IF(AND(ISNUMBER(N2132),ISNUMBER(M2132),M2132&gt;0),(N2132-M2132)/M2132,"")</f>
        <v/>
      </c>
      <c r="Q2132" s="3">
        <f>IF(P2132="","",IF(P2132&lt;-0.02,"🔴 Bán phá giá sàn",IF(P2132&gt;0.05,"🔵 Bán cao hơn","🟢 Đúng giá sàn TMĐT")))</f>
        <v/>
      </c>
      <c r="R2132" s="3" t="n"/>
      <c r="S2132" s="4" t="n"/>
      <c r="T2132" s="4" t="n"/>
    </row>
    <row r="2133">
      <c r="A2133" s="3" t="n">
        <v>2132</v>
      </c>
      <c r="B2133" s="3" t="inlineStr">
        <is>
          <t>DL019</t>
        </is>
      </c>
      <c r="C2133" s="4" t="inlineStr">
        <is>
          <t>Quân- Khánh Hà</t>
        </is>
      </c>
      <c r="D2133" s="3" t="inlineStr">
        <is>
          <t>HN</t>
        </is>
      </c>
      <c r="E2133" s="3" t="inlineStr">
        <is>
          <t>ĐIỆP</t>
        </is>
      </c>
      <c r="F2133" s="3" t="inlineStr">
        <is>
          <t>Tiktok, Shopee</t>
        </is>
      </c>
      <c r="G2133" s="4" t="inlineStr">
        <is>
          <t>SHOPEE: https://s.shopee.vn/5q8xKd1rIl TIKTOK: https://www.tiktok.com/@quandao1212?_r=1&amp;_t=ZS-9AZ3SH7c2xZ LAZADA: WEBSITE BÁN HÀNG:</t>
        </is>
      </c>
      <c r="H2133" s="3" t="inlineStr">
        <is>
          <t>ST08x42V</t>
        </is>
      </c>
      <c r="I2133" s="4" t="inlineStr">
        <is>
          <t>Siết tôn King Blue ST08x42V</t>
        </is>
      </c>
      <c r="J2133" s="3" t="inlineStr">
        <is>
          <t>Vỉ</t>
        </is>
      </c>
      <c r="K2133" s="5" t="n">
        <v>22000</v>
      </c>
      <c r="L2133" s="5" t="n">
        <v>28000</v>
      </c>
      <c r="M2133" s="6" t="n">
        <v>36000</v>
      </c>
      <c r="N2133" s="5" t="n"/>
      <c r="O2133" s="5">
        <f>IF(AND(ISNUMBER(N2133),ISNUMBER(M2133)),N2133-M2133,"")</f>
        <v/>
      </c>
      <c r="P2133" s="7">
        <f>IF(AND(ISNUMBER(N2133),ISNUMBER(M2133),M2133&gt;0),(N2133-M2133)/M2133,"")</f>
        <v/>
      </c>
      <c r="Q2133" s="3">
        <f>IF(P2133="","",IF(P2133&lt;-0.02,"🔴 Bán phá giá sàn",IF(P2133&gt;0.05,"🔵 Bán cao hơn","🟢 Đúng giá sàn TMĐT")))</f>
        <v/>
      </c>
      <c r="R2133" s="3" t="n"/>
      <c r="S2133" s="4" t="n"/>
      <c r="T2133" s="4" t="n"/>
    </row>
    <row r="2134">
      <c r="A2134" s="3" t="n">
        <v>2133</v>
      </c>
      <c r="B2134" s="3" t="inlineStr">
        <is>
          <t>DL019</t>
        </is>
      </c>
      <c r="C2134" s="4" t="inlineStr">
        <is>
          <t>Quân- Khánh Hà</t>
        </is>
      </c>
      <c r="D2134" s="3" t="inlineStr">
        <is>
          <t>HN</t>
        </is>
      </c>
      <c r="E2134" s="3" t="inlineStr">
        <is>
          <t>ĐIỆP</t>
        </is>
      </c>
      <c r="F2134" s="3" t="inlineStr">
        <is>
          <t>Tiktok, Shopee</t>
        </is>
      </c>
      <c r="G2134" s="4" t="inlineStr">
        <is>
          <t>SHOPEE: https://s.shopee.vn/5q8xKd1rIl TIKTOK: https://www.tiktok.com/@quandao1212?_r=1&amp;_t=ZS-9AZ3SH7c2xZ LAZADA: WEBSITE BÁN HÀNG:</t>
        </is>
      </c>
      <c r="H2134" s="3" t="inlineStr">
        <is>
          <t>KBO-FG30</t>
        </is>
      </c>
      <c r="I2134" s="4" t="inlineStr">
        <is>
          <t>Súng bắn đinh hơi KBO-FG30</t>
        </is>
      </c>
      <c r="J2134" s="3" t="inlineStr">
        <is>
          <t>Cái</t>
        </is>
      </c>
      <c r="K2134" s="5" t="n">
        <v>426000</v>
      </c>
      <c r="L2134" s="5" t="n">
        <v>494000</v>
      </c>
      <c r="M2134" s="6" t="n">
        <v>596000</v>
      </c>
      <c r="N2134" s="5" t="n"/>
      <c r="O2134" s="5">
        <f>IF(AND(ISNUMBER(N2134),ISNUMBER(M2134)),N2134-M2134,"")</f>
        <v/>
      </c>
      <c r="P2134" s="7">
        <f>IF(AND(ISNUMBER(N2134),ISNUMBER(M2134),M2134&gt;0),(N2134-M2134)/M2134,"")</f>
        <v/>
      </c>
      <c r="Q2134" s="3">
        <f>IF(P2134="","",IF(P2134&lt;-0.02,"🔴 Bán phá giá sàn",IF(P2134&gt;0.05,"🔵 Bán cao hơn","🟢 Đúng giá sàn TMĐT")))</f>
        <v/>
      </c>
      <c r="R2134" s="3" t="n"/>
      <c r="S2134" s="4" t="n"/>
      <c r="T2134" s="4" t="n"/>
    </row>
    <row r="2135">
      <c r="A2135" s="3" t="n">
        <v>2134</v>
      </c>
      <c r="B2135" s="3" t="inlineStr">
        <is>
          <t>DL019</t>
        </is>
      </c>
      <c r="C2135" s="4" t="inlineStr">
        <is>
          <t>Quân- Khánh Hà</t>
        </is>
      </c>
      <c r="D2135" s="3" t="inlineStr">
        <is>
          <t>HN</t>
        </is>
      </c>
      <c r="E2135" s="3" t="inlineStr">
        <is>
          <t>ĐIỆP</t>
        </is>
      </c>
      <c r="F2135" s="3" t="inlineStr">
        <is>
          <t>Tiktok, Shopee</t>
        </is>
      </c>
      <c r="G2135" s="4" t="inlineStr">
        <is>
          <t>SHOPEE: https://s.shopee.vn/5q8xKd1rIl TIKTOK: https://www.tiktok.com/@quandao1212?_r=1&amp;_t=ZS-9AZ3SH7c2xZ LAZADA: WEBSITE BÁN HÀNG:</t>
        </is>
      </c>
      <c r="H2135" s="3" t="inlineStr">
        <is>
          <t>KBO-W71</t>
        </is>
      </c>
      <c r="I2135" s="4" t="inlineStr">
        <is>
          <t>Súng phun sơn KBO-W71</t>
        </is>
      </c>
      <c r="J2135" s="3" t="inlineStr">
        <is>
          <t>Cái</t>
        </is>
      </c>
      <c r="K2135" s="5" t="n">
        <v>317000</v>
      </c>
      <c r="L2135" s="5" t="n">
        <v>374000</v>
      </c>
      <c r="M2135" s="6" t="n">
        <v>460000</v>
      </c>
      <c r="N2135" s="5" t="n"/>
      <c r="O2135" s="5">
        <f>IF(AND(ISNUMBER(N2135),ISNUMBER(M2135)),N2135-M2135,"")</f>
        <v/>
      </c>
      <c r="P2135" s="7">
        <f>IF(AND(ISNUMBER(N2135),ISNUMBER(M2135),M2135&gt;0),(N2135-M2135)/M2135,"")</f>
        <v/>
      </c>
      <c r="Q2135" s="3">
        <f>IF(P2135="","",IF(P2135&lt;-0.02,"🔴 Bán phá giá sàn",IF(P2135&gt;0.05,"🔵 Bán cao hơn","🟢 Đúng giá sàn TMĐT")))</f>
        <v/>
      </c>
      <c r="R2135" s="3" t="n"/>
      <c r="S2135" s="4" t="n"/>
      <c r="T2135" s="4" t="n"/>
    </row>
    <row r="2136">
      <c r="A2136" s="3" t="n">
        <v>2135</v>
      </c>
      <c r="B2136" s="3" t="inlineStr">
        <is>
          <t>DL019</t>
        </is>
      </c>
      <c r="C2136" s="4" t="inlineStr">
        <is>
          <t>Quân- Khánh Hà</t>
        </is>
      </c>
      <c r="D2136" s="3" t="inlineStr">
        <is>
          <t>HN</t>
        </is>
      </c>
      <c r="E2136" s="3" t="inlineStr">
        <is>
          <t>ĐIỆP</t>
        </is>
      </c>
      <c r="F2136" s="3" t="inlineStr">
        <is>
          <t>Tiktok, Shopee</t>
        </is>
      </c>
      <c r="G2136" s="4" t="inlineStr">
        <is>
          <t>SHOPEE: https://s.shopee.vn/5q8xKd1rIl TIKTOK: https://www.tiktok.com/@quandao1212?_r=1&amp;_t=ZS-9AZ3SH7c2xZ LAZADA: WEBSITE BÁN HÀNG:</t>
        </is>
      </c>
      <c r="H2136" s="3" t="inlineStr">
        <is>
          <t>KT-08</t>
        </is>
      </c>
      <c r="I2136" s="4" t="inlineStr">
        <is>
          <t>Tay vặn tuýp chữ T KT-08</t>
        </is>
      </c>
      <c r="J2136" s="3" t="inlineStr">
        <is>
          <t>Cái</t>
        </is>
      </c>
      <c r="K2136" s="5" t="n">
        <v>42000</v>
      </c>
      <c r="L2136" s="5" t="n">
        <v>50000</v>
      </c>
      <c r="M2136" s="6" t="n">
        <v>61000</v>
      </c>
      <c r="N2136" s="5" t="n"/>
      <c r="O2136" s="5">
        <f>IF(AND(ISNUMBER(N2136),ISNUMBER(M2136)),N2136-M2136,"")</f>
        <v/>
      </c>
      <c r="P2136" s="7">
        <f>IF(AND(ISNUMBER(N2136),ISNUMBER(M2136),M2136&gt;0),(N2136-M2136)/M2136,"")</f>
        <v/>
      </c>
      <c r="Q2136" s="3">
        <f>IF(P2136="","",IF(P2136&lt;-0.02,"🔴 Bán phá giá sàn",IF(P2136&gt;0.05,"🔵 Bán cao hơn","🟢 Đúng giá sàn TMĐT")))</f>
        <v/>
      </c>
      <c r="R2136" s="3" t="n"/>
      <c r="S2136" s="4" t="n"/>
      <c r="T2136" s="4" t="n"/>
    </row>
    <row r="2137">
      <c r="A2137" s="3" t="n">
        <v>2136</v>
      </c>
      <c r="B2137" s="3" t="inlineStr">
        <is>
          <t>DL019</t>
        </is>
      </c>
      <c r="C2137" s="4" t="inlineStr">
        <is>
          <t>Quân- Khánh Hà</t>
        </is>
      </c>
      <c r="D2137" s="3" t="inlineStr">
        <is>
          <t>HN</t>
        </is>
      </c>
      <c r="E2137" s="3" t="inlineStr">
        <is>
          <t>ĐIỆP</t>
        </is>
      </c>
      <c r="F2137" s="3" t="inlineStr">
        <is>
          <t>Tiktok, Shopee</t>
        </is>
      </c>
      <c r="G2137" s="4" t="inlineStr">
        <is>
          <t>SHOPEE: https://s.shopee.vn/5q8xKd1rIl TIKTOK: https://www.tiktok.com/@quandao1212?_r=1&amp;_t=ZS-9AZ3SH7c2xZ LAZADA: WEBSITE BÁN HÀNG:</t>
        </is>
      </c>
      <c r="H2137" s="3" t="inlineStr">
        <is>
          <t>KT-13</t>
        </is>
      </c>
      <c r="I2137" s="4" t="inlineStr">
        <is>
          <t>Tay vặn tuýp chữ T KT-13</t>
        </is>
      </c>
      <c r="J2137" s="3" t="inlineStr">
        <is>
          <t>Cái</t>
        </is>
      </c>
      <c r="K2137" s="5" t="n">
        <v>43000</v>
      </c>
      <c r="L2137" s="5" t="n">
        <v>51000</v>
      </c>
      <c r="M2137" s="6" t="n">
        <v>62000</v>
      </c>
      <c r="N2137" s="5" t="n"/>
      <c r="O2137" s="5">
        <f>IF(AND(ISNUMBER(N2137),ISNUMBER(M2137)),N2137-M2137,"")</f>
        <v/>
      </c>
      <c r="P2137" s="7">
        <f>IF(AND(ISNUMBER(N2137),ISNUMBER(M2137),M2137&gt;0),(N2137-M2137)/M2137,"")</f>
        <v/>
      </c>
      <c r="Q2137" s="3">
        <f>IF(P2137="","",IF(P2137&lt;-0.02,"🔴 Bán phá giá sàn",IF(P2137&gt;0.05,"🔵 Bán cao hơn","🟢 Đúng giá sàn TMĐT")))</f>
        <v/>
      </c>
      <c r="R2137" s="3" t="n"/>
      <c r="S2137" s="4" t="n"/>
      <c r="T2137" s="4" t="n"/>
    </row>
    <row r="2138">
      <c r="A2138" s="3" t="n">
        <v>2137</v>
      </c>
      <c r="B2138" s="3" t="inlineStr">
        <is>
          <t>DL019</t>
        </is>
      </c>
      <c r="C2138" s="4" t="inlineStr">
        <is>
          <t>Quân- Khánh Hà</t>
        </is>
      </c>
      <c r="D2138" s="3" t="inlineStr">
        <is>
          <t>HN</t>
        </is>
      </c>
      <c r="E2138" s="3" t="inlineStr">
        <is>
          <t>ĐIỆP</t>
        </is>
      </c>
      <c r="F2138" s="3" t="inlineStr">
        <is>
          <t>Tiktok, Shopee</t>
        </is>
      </c>
      <c r="G2138" s="4" t="inlineStr">
        <is>
          <t>SHOPEE: https://s.shopee.vn/5q8xKd1rIl TIKTOK: https://www.tiktok.com/@quandao1212?_r=1&amp;_t=ZS-9AZ3SH7c2xZ LAZADA: WEBSITE BÁN HÀNG:</t>
        </is>
      </c>
      <c r="H2138" s="3" t="inlineStr">
        <is>
          <t>KT-14</t>
        </is>
      </c>
      <c r="I2138" s="4" t="inlineStr">
        <is>
          <t>Tay vặn tuýp chữ T KT-14</t>
        </is>
      </c>
      <c r="J2138" s="3" t="inlineStr">
        <is>
          <t>Cái</t>
        </is>
      </c>
      <c r="K2138" s="5" t="n">
        <v>43000</v>
      </c>
      <c r="L2138" s="5" t="n">
        <v>51000</v>
      </c>
      <c r="M2138" s="6" t="n">
        <v>62000</v>
      </c>
      <c r="N2138" s="5" t="n"/>
      <c r="O2138" s="5">
        <f>IF(AND(ISNUMBER(N2138),ISNUMBER(M2138)),N2138-M2138,"")</f>
        <v/>
      </c>
      <c r="P2138" s="7">
        <f>IF(AND(ISNUMBER(N2138),ISNUMBER(M2138),M2138&gt;0),(N2138-M2138)/M2138,"")</f>
        <v/>
      </c>
      <c r="Q2138" s="3">
        <f>IF(P2138="","",IF(P2138&lt;-0.02,"🔴 Bán phá giá sàn",IF(P2138&gt;0.05,"🔵 Bán cao hơn","🟢 Đúng giá sàn TMĐT")))</f>
        <v/>
      </c>
      <c r="R2138" s="3" t="n"/>
      <c r="S2138" s="4" t="n"/>
      <c r="T2138" s="4" t="n"/>
    </row>
    <row r="2139">
      <c r="A2139" s="3" t="n">
        <v>2138</v>
      </c>
      <c r="B2139" s="3" t="inlineStr">
        <is>
          <t>DL019</t>
        </is>
      </c>
      <c r="C2139" s="4" t="inlineStr">
        <is>
          <t>Quân- Khánh Hà</t>
        </is>
      </c>
      <c r="D2139" s="3" t="inlineStr">
        <is>
          <t>HN</t>
        </is>
      </c>
      <c r="E2139" s="3" t="inlineStr">
        <is>
          <t>ĐIỆP</t>
        </is>
      </c>
      <c r="F2139" s="3" t="inlineStr">
        <is>
          <t>Tiktok, Shopee</t>
        </is>
      </c>
      <c r="G2139" s="4" t="inlineStr">
        <is>
          <t>SHOPEE: https://s.shopee.vn/5q8xKd1rIl TIKTOK: https://www.tiktok.com/@quandao1212?_r=1&amp;_t=ZS-9AZ3SH7c2xZ LAZADA: WEBSITE BÁN HÀNG:</t>
        </is>
      </c>
      <c r="H2139" s="3" t="inlineStr">
        <is>
          <t>KT-17</t>
        </is>
      </c>
      <c r="I2139" s="4" t="inlineStr">
        <is>
          <t>Tay vặn tuýp chữ T KT-17</t>
        </is>
      </c>
      <c r="J2139" s="3" t="inlineStr">
        <is>
          <t>Cái</t>
        </is>
      </c>
      <c r="K2139" s="5" t="n">
        <v>59000</v>
      </c>
      <c r="L2139" s="5" t="n">
        <v>70000</v>
      </c>
      <c r="M2139" s="6" t="n">
        <v>86000</v>
      </c>
      <c r="N2139" s="5" t="n"/>
      <c r="O2139" s="5">
        <f>IF(AND(ISNUMBER(N2139),ISNUMBER(M2139)),N2139-M2139,"")</f>
        <v/>
      </c>
      <c r="P2139" s="7">
        <f>IF(AND(ISNUMBER(N2139),ISNUMBER(M2139),M2139&gt;0),(N2139-M2139)/M2139,"")</f>
        <v/>
      </c>
      <c r="Q2139" s="3">
        <f>IF(P2139="","",IF(P2139&lt;-0.02,"🔴 Bán phá giá sàn",IF(P2139&gt;0.05,"🔵 Bán cao hơn","🟢 Đúng giá sàn TMĐT")))</f>
        <v/>
      </c>
      <c r="R2139" s="3" t="n"/>
      <c r="S2139" s="4" t="n"/>
      <c r="T2139" s="4" t="n"/>
    </row>
    <row r="2140">
      <c r="A2140" s="3" t="n">
        <v>2139</v>
      </c>
      <c r="B2140" s="3" t="inlineStr">
        <is>
          <t>DL019</t>
        </is>
      </c>
      <c r="C2140" s="4" t="inlineStr">
        <is>
          <t>Quân- Khánh Hà</t>
        </is>
      </c>
      <c r="D2140" s="3" t="inlineStr">
        <is>
          <t>HN</t>
        </is>
      </c>
      <c r="E2140" s="3" t="inlineStr">
        <is>
          <t>ĐIỆP</t>
        </is>
      </c>
      <c r="F2140" s="3" t="inlineStr">
        <is>
          <t>Tiktok, Shopee</t>
        </is>
      </c>
      <c r="G2140" s="4" t="inlineStr">
        <is>
          <t>SHOPEE: https://s.shopee.vn/5q8xKd1rIl TIKTOK: https://www.tiktok.com/@quandao1212?_r=1&amp;_t=ZS-9AZ3SH7c2xZ LAZADA: WEBSITE BÁN HÀNG:</t>
        </is>
      </c>
      <c r="H2140" s="3" t="inlineStr">
        <is>
          <t>KHD20</t>
        </is>
      </c>
      <c r="I2140" s="4" t="inlineStr">
        <is>
          <t>Thùng đựng đồ nghề KHD20</t>
        </is>
      </c>
      <c r="J2140" s="3" t="inlineStr">
        <is>
          <t>Cái</t>
        </is>
      </c>
      <c r="K2140" s="5" t="n">
        <v>396000</v>
      </c>
      <c r="L2140" s="5" t="n">
        <v>452000</v>
      </c>
      <c r="M2140" s="6" t="n">
        <v>535000</v>
      </c>
      <c r="N2140" s="5" t="n"/>
      <c r="O2140" s="5">
        <f>IF(AND(ISNUMBER(N2140),ISNUMBER(M2140)),N2140-M2140,"")</f>
        <v/>
      </c>
      <c r="P2140" s="7">
        <f>IF(AND(ISNUMBER(N2140),ISNUMBER(M2140),M2140&gt;0),(N2140-M2140)/M2140,"")</f>
        <v/>
      </c>
      <c r="Q2140" s="3">
        <f>IF(P2140="","",IF(P2140&lt;-0.02,"🔴 Bán phá giá sàn",IF(P2140&gt;0.05,"🔵 Bán cao hơn","🟢 Đúng giá sàn TMĐT")))</f>
        <v/>
      </c>
      <c r="R2140" s="3" t="n"/>
      <c r="S2140" s="4" t="n"/>
      <c r="T2140" s="4" t="n"/>
    </row>
    <row r="2141">
      <c r="A2141" s="3" t="n">
        <v>2140</v>
      </c>
      <c r="B2141" s="3" t="inlineStr">
        <is>
          <t>DL019</t>
        </is>
      </c>
      <c r="C2141" s="4" t="inlineStr">
        <is>
          <t>Quân- Khánh Hà</t>
        </is>
      </c>
      <c r="D2141" s="3" t="inlineStr">
        <is>
          <t>HN</t>
        </is>
      </c>
      <c r="E2141" s="3" t="inlineStr">
        <is>
          <t>ĐIỆP</t>
        </is>
      </c>
      <c r="F2141" s="3" t="inlineStr">
        <is>
          <t>Tiktok, Shopee</t>
        </is>
      </c>
      <c r="G2141" s="4" t="inlineStr">
        <is>
          <t>SHOPEE: https://s.shopee.vn/5q8xKd1rIl TIKTOK: https://www.tiktok.com/@quandao1212?_r=1&amp;_t=ZS-9AZ3SH7c2xZ LAZADA: WEBSITE BÁN HÀNG:</t>
        </is>
      </c>
      <c r="H2141" s="3" t="inlineStr">
        <is>
          <t>KHD4233</t>
        </is>
      </c>
      <c r="I2141" s="4" t="inlineStr">
        <is>
          <t>Thùng đựng đồ nghề KHD4233</t>
        </is>
      </c>
      <c r="J2141" s="3" t="inlineStr">
        <is>
          <t>Cái</t>
        </is>
      </c>
      <c r="K2141" s="5" t="n">
        <v>269000</v>
      </c>
      <c r="L2141" s="5" t="n">
        <v>317000</v>
      </c>
      <c r="M2141" s="6" t="n">
        <v>390000</v>
      </c>
      <c r="N2141" s="5" t="n"/>
      <c r="O2141" s="5">
        <f>IF(AND(ISNUMBER(N2141),ISNUMBER(M2141)),N2141-M2141,"")</f>
        <v/>
      </c>
      <c r="P2141" s="7">
        <f>IF(AND(ISNUMBER(N2141),ISNUMBER(M2141),M2141&gt;0),(N2141-M2141)/M2141,"")</f>
        <v/>
      </c>
      <c r="Q2141" s="3">
        <f>IF(P2141="","",IF(P2141&lt;-0.02,"🔴 Bán phá giá sàn",IF(P2141&gt;0.05,"🔵 Bán cao hơn","🟢 Đúng giá sàn TMĐT")))</f>
        <v/>
      </c>
      <c r="R2141" s="3" t="n"/>
      <c r="S2141" s="4" t="n"/>
      <c r="T2141" s="4" t="n"/>
    </row>
    <row r="2142">
      <c r="A2142" s="3" t="n">
        <v>2141</v>
      </c>
      <c r="B2142" s="3" t="inlineStr">
        <is>
          <t>DL019</t>
        </is>
      </c>
      <c r="C2142" s="4" t="inlineStr">
        <is>
          <t>Quân- Khánh Hà</t>
        </is>
      </c>
      <c r="D2142" s="3" t="inlineStr">
        <is>
          <t>HN</t>
        </is>
      </c>
      <c r="E2142" s="3" t="inlineStr">
        <is>
          <t>ĐIỆP</t>
        </is>
      </c>
      <c r="F2142" s="3" t="inlineStr">
        <is>
          <t>Tiktok, Shopee</t>
        </is>
      </c>
      <c r="G2142" s="4" t="inlineStr">
        <is>
          <t>SHOPEE: https://s.shopee.vn/5q8xKd1rIl TIKTOK: https://www.tiktok.com/@quandao1212?_r=1&amp;_t=ZS-9AZ3SH7c2xZ LAZADA: WEBSITE BÁN HÀNG:</t>
        </is>
      </c>
      <c r="H2142" s="3" t="inlineStr">
        <is>
          <t>MD-50.25</t>
        </is>
      </c>
      <c r="I2142" s="4" t="inlineStr">
        <is>
          <t>Thước Cuộn tự hãm MD-50.25</t>
        </is>
      </c>
      <c r="J2142" s="3" t="inlineStr">
        <is>
          <t>Cái</t>
        </is>
      </c>
      <c r="K2142" s="5" t="n">
        <v>64000</v>
      </c>
      <c r="L2142" s="5" t="n">
        <v>76000</v>
      </c>
      <c r="M2142" s="6" t="n">
        <v>93000</v>
      </c>
      <c r="N2142" s="5" t="n"/>
      <c r="O2142" s="5">
        <f>IF(AND(ISNUMBER(N2142),ISNUMBER(M2142)),N2142-M2142,"")</f>
        <v/>
      </c>
      <c r="P2142" s="7">
        <f>IF(AND(ISNUMBER(N2142),ISNUMBER(M2142),M2142&gt;0),(N2142-M2142)/M2142,"")</f>
        <v/>
      </c>
      <c r="Q2142" s="3">
        <f>IF(P2142="","",IF(P2142&lt;-0.02,"🔴 Bán phá giá sàn",IF(P2142&gt;0.05,"🔵 Bán cao hơn","🟢 Đúng giá sàn TMĐT")))</f>
        <v/>
      </c>
      <c r="R2142" s="3" t="n"/>
      <c r="S2142" s="4" t="n"/>
      <c r="T2142" s="4" t="n"/>
    </row>
    <row r="2143">
      <c r="A2143" s="3" t="n">
        <v>2142</v>
      </c>
      <c r="B2143" s="3" t="inlineStr">
        <is>
          <t>DL019</t>
        </is>
      </c>
      <c r="C2143" s="4" t="inlineStr">
        <is>
          <t>Quân- Khánh Hà</t>
        </is>
      </c>
      <c r="D2143" s="3" t="inlineStr">
        <is>
          <t>HN</t>
        </is>
      </c>
      <c r="E2143" s="3" t="inlineStr">
        <is>
          <t>ĐIỆP</t>
        </is>
      </c>
      <c r="F2143" s="3" t="inlineStr">
        <is>
          <t>Tiktok, Shopee</t>
        </is>
      </c>
      <c r="G2143" s="4" t="inlineStr">
        <is>
          <t>SHOPEE: https://s.shopee.vn/5q8xKd1rIl TIKTOK: https://www.tiktok.com/@quandao1212?_r=1&amp;_t=ZS-9AZ3SH7c2xZ LAZADA: WEBSITE BÁN HÀNG:</t>
        </is>
      </c>
      <c r="H2143" s="3" t="inlineStr">
        <is>
          <t>MD-80.25</t>
        </is>
      </c>
      <c r="I2143" s="4" t="inlineStr">
        <is>
          <t>Thước Cuộn tự hãm MD-80.25</t>
        </is>
      </c>
      <c r="J2143" s="3" t="inlineStr">
        <is>
          <t>Cái</t>
        </is>
      </c>
      <c r="K2143" s="5" t="n">
        <v>81000</v>
      </c>
      <c r="L2143" s="5" t="n">
        <v>96000</v>
      </c>
      <c r="M2143" s="6" t="n">
        <v>118000</v>
      </c>
      <c r="N2143" s="5" t="n"/>
      <c r="O2143" s="5">
        <f>IF(AND(ISNUMBER(N2143),ISNUMBER(M2143)),N2143-M2143,"")</f>
        <v/>
      </c>
      <c r="P2143" s="7">
        <f>IF(AND(ISNUMBER(N2143),ISNUMBER(M2143),M2143&gt;0),(N2143-M2143)/M2143,"")</f>
        <v/>
      </c>
      <c r="Q2143" s="3">
        <f>IF(P2143="","",IF(P2143&lt;-0.02,"🔴 Bán phá giá sàn",IF(P2143&gt;0.05,"🔵 Bán cao hơn","🟢 Đúng giá sàn TMĐT")))</f>
        <v/>
      </c>
      <c r="R2143" s="3" t="n"/>
      <c r="S2143" s="4" t="n"/>
      <c r="T2143" s="4" t="n"/>
    </row>
    <row r="2144">
      <c r="A2144" s="3" t="n">
        <v>2143</v>
      </c>
      <c r="B2144" s="3" t="inlineStr">
        <is>
          <t>DL019</t>
        </is>
      </c>
      <c r="C2144" s="4" t="inlineStr">
        <is>
          <t>Quân- Khánh Hà</t>
        </is>
      </c>
      <c r="D2144" s="3" t="inlineStr">
        <is>
          <t>HN</t>
        </is>
      </c>
      <c r="E2144" s="3" t="inlineStr">
        <is>
          <t>ĐIỆP</t>
        </is>
      </c>
      <c r="F2144" s="3" t="inlineStr">
        <is>
          <t>Tiktok, Shopee</t>
        </is>
      </c>
      <c r="G2144" s="4" t="inlineStr">
        <is>
          <t>SHOPEE: https://s.shopee.vn/5q8xKd1rIl TIKTOK: https://www.tiktok.com/@quandao1212?_r=1&amp;_t=ZS-9AZ3SH7c2xZ LAZADA: WEBSITE BÁN HÀNG:</t>
        </is>
      </c>
      <c r="H2144" s="3" t="inlineStr">
        <is>
          <t>LA-50.19</t>
        </is>
      </c>
      <c r="I2144" s="4" t="inlineStr">
        <is>
          <t>Thước kéo LA-50.19 (new)</t>
        </is>
      </c>
      <c r="J2144" s="3" t="inlineStr">
        <is>
          <t>Cái</t>
        </is>
      </c>
      <c r="K2144" s="5" t="n">
        <v>29000</v>
      </c>
      <c r="L2144" s="5" t="n">
        <v>34000</v>
      </c>
      <c r="M2144" s="6" t="n">
        <v>42000</v>
      </c>
      <c r="N2144" s="5" t="n"/>
      <c r="O2144" s="5">
        <f>IF(AND(ISNUMBER(N2144),ISNUMBER(M2144)),N2144-M2144,"")</f>
        <v/>
      </c>
      <c r="P2144" s="7">
        <f>IF(AND(ISNUMBER(N2144),ISNUMBER(M2144),M2144&gt;0),(N2144-M2144)/M2144,"")</f>
        <v/>
      </c>
      <c r="Q2144" s="3">
        <f>IF(P2144="","",IF(P2144&lt;-0.02,"🔴 Bán phá giá sàn",IF(P2144&gt;0.05,"🔵 Bán cao hơn","🟢 Đúng giá sàn TMĐT")))</f>
        <v/>
      </c>
      <c r="R2144" s="3" t="n"/>
      <c r="S2144" s="4" t="n"/>
      <c r="T2144" s="4" t="n"/>
    </row>
    <row r="2145">
      <c r="A2145" s="3" t="n">
        <v>2144</v>
      </c>
      <c r="B2145" s="3" t="inlineStr">
        <is>
          <t>DL019</t>
        </is>
      </c>
      <c r="C2145" s="4" t="inlineStr">
        <is>
          <t>Quân- Khánh Hà</t>
        </is>
      </c>
      <c r="D2145" s="3" t="inlineStr">
        <is>
          <t>HN</t>
        </is>
      </c>
      <c r="E2145" s="3" t="inlineStr">
        <is>
          <t>ĐIỆP</t>
        </is>
      </c>
      <c r="F2145" s="3" t="inlineStr">
        <is>
          <t>Tiktok, Shopee</t>
        </is>
      </c>
      <c r="G2145" s="4" t="inlineStr">
        <is>
          <t>SHOPEE: https://s.shopee.vn/5q8xKd1rIl TIKTOK: https://www.tiktok.com/@quandao1212?_r=1&amp;_t=ZS-9AZ3SH7c2xZ LAZADA: WEBSITE BÁN HÀNG:</t>
        </is>
      </c>
      <c r="H2145" s="3" t="inlineStr">
        <is>
          <t>KFJ-432</t>
        </is>
      </c>
      <c r="I2145" s="4" t="inlineStr">
        <is>
          <t>Vít bê tông không dùng tắc kê KFJ-432</t>
        </is>
      </c>
      <c r="J2145" s="3" t="inlineStr">
        <is>
          <t>Hộp</t>
        </is>
      </c>
      <c r="K2145" s="5" t="n">
        <v>81000</v>
      </c>
      <c r="L2145" s="5" t="n">
        <v>101000</v>
      </c>
      <c r="M2145" s="6" t="n">
        <v>130000</v>
      </c>
      <c r="N2145" s="5" t="n"/>
      <c r="O2145" s="5">
        <f>IF(AND(ISNUMBER(N2145),ISNUMBER(M2145)),N2145-M2145,"")</f>
        <v/>
      </c>
      <c r="P2145" s="7">
        <f>IF(AND(ISNUMBER(N2145),ISNUMBER(M2145),M2145&gt;0),(N2145-M2145)/M2145,"")</f>
        <v/>
      </c>
      <c r="Q2145" s="3">
        <f>IF(P2145="","",IF(P2145&lt;-0.02,"🔴 Bán phá giá sàn",IF(P2145&gt;0.05,"🔵 Bán cao hơn","🟢 Đúng giá sàn TMĐT")))</f>
        <v/>
      </c>
      <c r="R2145" s="3" t="n"/>
      <c r="S2145" s="4" t="n"/>
      <c r="T2145" s="4" t="n"/>
    </row>
    <row r="2146">
      <c r="A2146" s="3" t="n">
        <v>2145</v>
      </c>
      <c r="B2146" s="3" t="inlineStr">
        <is>
          <t>DL019</t>
        </is>
      </c>
      <c r="C2146" s="4" t="inlineStr">
        <is>
          <t>Quân- Khánh Hà</t>
        </is>
      </c>
      <c r="D2146" s="3" t="inlineStr">
        <is>
          <t>HN</t>
        </is>
      </c>
      <c r="E2146" s="3" t="inlineStr">
        <is>
          <t>ĐIỆP</t>
        </is>
      </c>
      <c r="F2146" s="3" t="inlineStr">
        <is>
          <t>Tiktok, Shopee</t>
        </is>
      </c>
      <c r="G2146" s="4" t="inlineStr">
        <is>
          <t>SHOPEE: https://s.shopee.vn/5q8xKd1rIl TIKTOK: https://www.tiktok.com/@quandao1212?_r=1&amp;_t=ZS-9AZ3SH7c2xZ LAZADA: WEBSITE BÁN HÀNG:</t>
        </is>
      </c>
      <c r="H2146" s="3" t="inlineStr">
        <is>
          <t>KFJ-438</t>
        </is>
      </c>
      <c r="I2146" s="4" t="inlineStr">
        <is>
          <t>Vít bê tông không dùng tắc kê KFJ-438</t>
        </is>
      </c>
      <c r="J2146" s="3" t="inlineStr">
        <is>
          <t>Hộp</t>
        </is>
      </c>
      <c r="K2146" s="5" t="n">
        <v>81000</v>
      </c>
      <c r="L2146" s="5" t="n">
        <v>101000</v>
      </c>
      <c r="M2146" s="6" t="n">
        <v>130000</v>
      </c>
      <c r="N2146" s="5" t="n"/>
      <c r="O2146" s="5">
        <f>IF(AND(ISNUMBER(N2146),ISNUMBER(M2146)),N2146-M2146,"")</f>
        <v/>
      </c>
      <c r="P2146" s="7">
        <f>IF(AND(ISNUMBER(N2146),ISNUMBER(M2146),M2146&gt;0),(N2146-M2146)/M2146,"")</f>
        <v/>
      </c>
      <c r="Q2146" s="3">
        <f>IF(P2146="","",IF(P2146&lt;-0.02,"🔴 Bán phá giá sàn",IF(P2146&gt;0.05,"🔵 Bán cao hơn","🟢 Đúng giá sàn TMĐT")))</f>
        <v/>
      </c>
      <c r="R2146" s="3" t="n"/>
      <c r="S2146" s="4" t="n"/>
      <c r="T2146" s="4" t="n"/>
    </row>
    <row r="2147">
      <c r="A2147" s="3" t="n">
        <v>2146</v>
      </c>
      <c r="B2147" s="3" t="inlineStr">
        <is>
          <t>DL019</t>
        </is>
      </c>
      <c r="C2147" s="4" t="inlineStr">
        <is>
          <t>Quân- Khánh Hà</t>
        </is>
      </c>
      <c r="D2147" s="3" t="inlineStr">
        <is>
          <t>HN</t>
        </is>
      </c>
      <c r="E2147" s="3" t="inlineStr">
        <is>
          <t>ĐIỆP</t>
        </is>
      </c>
      <c r="F2147" s="3" t="inlineStr">
        <is>
          <t>Tiktok, Shopee</t>
        </is>
      </c>
      <c r="G2147" s="4" t="inlineStr">
        <is>
          <t>SHOPEE: https://s.shopee.vn/5q8xKd1rIl TIKTOK: https://www.tiktok.com/@quandao1212?_r=1&amp;_t=ZS-9AZ3SH7c2xZ LAZADA: WEBSITE BÁN HÀNG:</t>
        </is>
      </c>
      <c r="H2147" s="3" t="inlineStr">
        <is>
          <t>KFJ-445</t>
        </is>
      </c>
      <c r="I2147" s="4" t="inlineStr">
        <is>
          <t>Vít bê tông không dùng tắc kê KFJ-445</t>
        </is>
      </c>
      <c r="J2147" s="3" t="inlineStr">
        <is>
          <t>Hộp</t>
        </is>
      </c>
      <c r="K2147" s="5" t="n">
        <v>81000</v>
      </c>
      <c r="L2147" s="5" t="n">
        <v>101000</v>
      </c>
      <c r="M2147" s="6" t="n">
        <v>130000</v>
      </c>
      <c r="N2147" s="5" t="n"/>
      <c r="O2147" s="5">
        <f>IF(AND(ISNUMBER(N2147),ISNUMBER(M2147)),N2147-M2147,"")</f>
        <v/>
      </c>
      <c r="P2147" s="7">
        <f>IF(AND(ISNUMBER(N2147),ISNUMBER(M2147),M2147&gt;0),(N2147-M2147)/M2147,"")</f>
        <v/>
      </c>
      <c r="Q2147" s="3">
        <f>IF(P2147="","",IF(P2147&lt;-0.02,"🔴 Bán phá giá sàn",IF(P2147&gt;0.05,"🔵 Bán cao hơn","🟢 Đúng giá sàn TMĐT")))</f>
        <v/>
      </c>
      <c r="R2147" s="3" t="n"/>
      <c r="S2147" s="4" t="n"/>
      <c r="T2147" s="4" t="n"/>
    </row>
    <row r="2148">
      <c r="A2148" s="3" t="n">
        <v>2147</v>
      </c>
      <c r="B2148" s="3" t="inlineStr">
        <is>
          <t>DL019</t>
        </is>
      </c>
      <c r="C2148" s="4" t="inlineStr">
        <is>
          <t>Quân- Khánh Hà</t>
        </is>
      </c>
      <c r="D2148" s="3" t="inlineStr">
        <is>
          <t>HN</t>
        </is>
      </c>
      <c r="E2148" s="3" t="inlineStr">
        <is>
          <t>ĐIỆP</t>
        </is>
      </c>
      <c r="F2148" s="3" t="inlineStr">
        <is>
          <t>Tiktok, Shopee</t>
        </is>
      </c>
      <c r="G2148" s="4" t="inlineStr">
        <is>
          <t>SHOPEE: https://s.shopee.vn/5q8xKd1rIl TIKTOK: https://www.tiktok.com/@quandao1212?_r=1&amp;_t=ZS-9AZ3SH7c2xZ LAZADA: WEBSITE BÁN HÀNG:</t>
        </is>
      </c>
      <c r="H2148" s="3" t="inlineStr">
        <is>
          <t>KFJ-535</t>
        </is>
      </c>
      <c r="I2148" s="4" t="inlineStr">
        <is>
          <t>Vít bê tông không dùng tắc kê KFJ-535</t>
        </is>
      </c>
      <c r="J2148" s="3" t="inlineStr">
        <is>
          <t>Hộp</t>
        </is>
      </c>
      <c r="K2148" s="5" t="n">
        <v>81000</v>
      </c>
      <c r="L2148" s="5" t="n">
        <v>101000</v>
      </c>
      <c r="M2148" s="6" t="n">
        <v>130000</v>
      </c>
      <c r="N2148" s="5" t="n"/>
      <c r="O2148" s="5">
        <f>IF(AND(ISNUMBER(N2148),ISNUMBER(M2148)),N2148-M2148,"")</f>
        <v/>
      </c>
      <c r="P2148" s="7">
        <f>IF(AND(ISNUMBER(N2148),ISNUMBER(M2148),M2148&gt;0),(N2148-M2148)/M2148,"")</f>
        <v/>
      </c>
      <c r="Q2148" s="3">
        <f>IF(P2148="","",IF(P2148&lt;-0.02,"🔴 Bán phá giá sàn",IF(P2148&gt;0.05,"🔵 Bán cao hơn","🟢 Đúng giá sàn TMĐT")))</f>
        <v/>
      </c>
      <c r="R2148" s="3" t="n"/>
      <c r="S2148" s="4" t="n"/>
      <c r="T2148" s="4" t="n"/>
    </row>
    <row r="2149">
      <c r="A2149" s="3" t="n">
        <v>2148</v>
      </c>
      <c r="B2149" s="3" t="inlineStr">
        <is>
          <t>DL019</t>
        </is>
      </c>
      <c r="C2149" s="4" t="inlineStr">
        <is>
          <t>Quân- Khánh Hà</t>
        </is>
      </c>
      <c r="D2149" s="3" t="inlineStr">
        <is>
          <t>HN</t>
        </is>
      </c>
      <c r="E2149" s="3" t="inlineStr">
        <is>
          <t>ĐIỆP</t>
        </is>
      </c>
      <c r="F2149" s="3" t="inlineStr">
        <is>
          <t>Tiktok, Shopee</t>
        </is>
      </c>
      <c r="G2149" s="4" t="inlineStr">
        <is>
          <t>SHOPEE: https://s.shopee.vn/5q8xKd1rIl TIKTOK: https://www.tiktok.com/@quandao1212?_r=1&amp;_t=ZS-9AZ3SH7c2xZ LAZADA: WEBSITE BÁN HÀNG:</t>
        </is>
      </c>
      <c r="H2149" s="3" t="inlineStr">
        <is>
          <t>KFJ-545</t>
        </is>
      </c>
      <c r="I2149" s="4" t="inlineStr">
        <is>
          <t>Vít bê tông không dùng tắc kê KFJ-545</t>
        </is>
      </c>
      <c r="J2149" s="3" t="inlineStr">
        <is>
          <t>Hộp</t>
        </is>
      </c>
      <c r="K2149" s="5" t="n">
        <v>81000</v>
      </c>
      <c r="L2149" s="5" t="n">
        <v>101000</v>
      </c>
      <c r="M2149" s="6" t="n">
        <v>130000</v>
      </c>
      <c r="N2149" s="5" t="n"/>
      <c r="O2149" s="5">
        <f>IF(AND(ISNUMBER(N2149),ISNUMBER(M2149)),N2149-M2149,"")</f>
        <v/>
      </c>
      <c r="P2149" s="7">
        <f>IF(AND(ISNUMBER(N2149),ISNUMBER(M2149),M2149&gt;0),(N2149-M2149)/M2149,"")</f>
        <v/>
      </c>
      <c r="Q2149" s="3">
        <f>IF(P2149="","",IF(P2149&lt;-0.02,"🔴 Bán phá giá sàn",IF(P2149&gt;0.05,"🔵 Bán cao hơn","🟢 Đúng giá sàn TMĐT")))</f>
        <v/>
      </c>
      <c r="R2149" s="3" t="n"/>
      <c r="S2149" s="4" t="n"/>
      <c r="T2149" s="4" t="n"/>
    </row>
    <row r="2150">
      <c r="A2150" s="3" t="n">
        <v>2149</v>
      </c>
      <c r="B2150" s="3" t="inlineStr">
        <is>
          <t>DL020</t>
        </is>
      </c>
      <c r="C2150" s="4" t="inlineStr">
        <is>
          <t>Công ty TNHH Thiết bị Điện Ngũ Phúc</t>
        </is>
      </c>
      <c r="D2150" s="3" t="inlineStr">
        <is>
          <t>HN</t>
        </is>
      </c>
      <c r="E2150" s="3" t="inlineStr">
        <is>
          <t>Lan</t>
        </is>
      </c>
      <c r="F2150" s="3" t="inlineStr">
        <is>
          <t>Website bán hàng</t>
        </is>
      </c>
      <c r="G2150" s="4" t="inlineStr">
        <is>
          <t>SHOPEE: TIKTOK: LAZADA: WEBSITE BÁN HÀNG: https://www.nguphuc.com.vn/</t>
        </is>
      </c>
      <c r="H2150" s="3" t="inlineStr">
        <is>
          <t>KH1-B10</t>
        </is>
      </c>
      <c r="I2150" s="4" t="inlineStr">
        <is>
          <t>Bộ cờ lê KH1-B10</t>
        </is>
      </c>
      <c r="J2150" s="3" t="inlineStr">
        <is>
          <t>Bộ</t>
        </is>
      </c>
      <c r="K2150" s="5" t="n">
        <v>435000</v>
      </c>
      <c r="L2150" s="5" t="n">
        <v>513000</v>
      </c>
      <c r="M2150" s="6" t="n">
        <v>631000</v>
      </c>
      <c r="N2150" s="5" t="n"/>
      <c r="O2150" s="5">
        <f>IF(AND(ISNUMBER(N2150),ISNUMBER(M2150)),N2150-M2150,"")</f>
        <v/>
      </c>
      <c r="P2150" s="7">
        <f>IF(AND(ISNUMBER(N2150),ISNUMBER(M2150),M2150&gt;0),(N2150-M2150)/M2150,"")</f>
        <v/>
      </c>
      <c r="Q2150" s="3">
        <f>IF(P2150="","",IF(P2150&lt;-0.02,"🔴 Bán phá giá sàn",IF(P2150&gt;0.05,"🔵 Bán cao hơn","🟢 Đúng giá sàn TMĐT")))</f>
        <v/>
      </c>
      <c r="R2150" s="3" t="n"/>
      <c r="S2150" s="4" t="n"/>
      <c r="T2150" s="4" t="n"/>
    </row>
    <row r="2151">
      <c r="A2151" s="3" t="n">
        <v>2150</v>
      </c>
      <c r="B2151" s="3" t="inlineStr">
        <is>
          <t>DL020</t>
        </is>
      </c>
      <c r="C2151" s="4" t="inlineStr">
        <is>
          <t>Công ty TNHH Thiết bị Điện Ngũ Phúc</t>
        </is>
      </c>
      <c r="D2151" s="3" t="inlineStr">
        <is>
          <t>HN</t>
        </is>
      </c>
      <c r="E2151" s="3" t="inlineStr">
        <is>
          <t>Lan</t>
        </is>
      </c>
      <c r="F2151" s="3" t="inlineStr">
        <is>
          <t>Website bán hàng</t>
        </is>
      </c>
      <c r="G2151" s="4" t="inlineStr">
        <is>
          <t>SHOPEE: TIKTOK: LAZADA: WEBSITE BÁN HÀNG: https://www.nguphuc.com.vn/</t>
        </is>
      </c>
      <c r="H2151" s="3" t="inlineStr">
        <is>
          <t>KL5-09</t>
        </is>
      </c>
      <c r="I2151" s="4" t="inlineStr">
        <is>
          <t>Bộ lục giác KL5-09 ( đầu bi)</t>
        </is>
      </c>
      <c r="J2151" s="3" t="inlineStr">
        <is>
          <t>Cái</t>
        </is>
      </c>
      <c r="K2151" s="5" t="n">
        <v>269000</v>
      </c>
      <c r="L2151" s="5" t="n">
        <v>317000</v>
      </c>
      <c r="M2151" s="6" t="n">
        <v>390000</v>
      </c>
      <c r="N2151" s="5" t="n"/>
      <c r="O2151" s="5">
        <f>IF(AND(ISNUMBER(N2151),ISNUMBER(M2151)),N2151-M2151,"")</f>
        <v/>
      </c>
      <c r="P2151" s="7">
        <f>IF(AND(ISNUMBER(N2151),ISNUMBER(M2151),M2151&gt;0),(N2151-M2151)/M2151,"")</f>
        <v/>
      </c>
      <c r="Q2151" s="3">
        <f>IF(P2151="","",IF(P2151&lt;-0.02,"🔴 Bán phá giá sàn",IF(P2151&gt;0.05,"🔵 Bán cao hơn","🟢 Đúng giá sàn TMĐT")))</f>
        <v/>
      </c>
      <c r="R2151" s="3" t="n"/>
      <c r="S2151" s="4" t="n"/>
      <c r="T2151" s="4" t="n"/>
    </row>
    <row r="2152">
      <c r="A2152" s="3" t="n">
        <v>2151</v>
      </c>
      <c r="B2152" s="3" t="inlineStr">
        <is>
          <t>DL020</t>
        </is>
      </c>
      <c r="C2152" s="4" t="inlineStr">
        <is>
          <t>Công ty TNHH Thiết bị Điện Ngũ Phúc</t>
        </is>
      </c>
      <c r="D2152" s="3" t="inlineStr">
        <is>
          <t>HN</t>
        </is>
      </c>
      <c r="E2152" s="3" t="inlineStr">
        <is>
          <t>Lan</t>
        </is>
      </c>
      <c r="F2152" s="3" t="inlineStr">
        <is>
          <t>Website bán hàng</t>
        </is>
      </c>
      <c r="G2152" s="4" t="inlineStr">
        <is>
          <t>SHOPEE: TIKTOK: LAZADA: WEBSITE BÁN HÀNG: https://www.nguphuc.com.vn/</t>
        </is>
      </c>
      <c r="H2152" s="3" t="inlineStr">
        <is>
          <t>KLG-21</t>
        </is>
      </c>
      <c r="I2152" s="4" t="inlineStr">
        <is>
          <t>Bộ tuýp cần  tự động 21 chi tiết KLG-21</t>
        </is>
      </c>
      <c r="J2152" s="3" t="inlineStr">
        <is>
          <t>Cái</t>
        </is>
      </c>
      <c r="K2152" s="5" t="n">
        <v>269000</v>
      </c>
      <c r="L2152" s="5" t="n">
        <v>317000</v>
      </c>
      <c r="M2152" s="6" t="n">
        <v>390000</v>
      </c>
      <c r="N2152" s="5" t="n"/>
      <c r="O2152" s="5">
        <f>IF(AND(ISNUMBER(N2152),ISNUMBER(M2152)),N2152-M2152,"")</f>
        <v/>
      </c>
      <c r="P2152" s="7">
        <f>IF(AND(ISNUMBER(N2152),ISNUMBER(M2152),M2152&gt;0),(N2152-M2152)/M2152,"")</f>
        <v/>
      </c>
      <c r="Q2152" s="3">
        <f>IF(P2152="","",IF(P2152&lt;-0.02,"🔴 Bán phá giá sàn",IF(P2152&gt;0.05,"🔵 Bán cao hơn","🟢 Đúng giá sàn TMĐT")))</f>
        <v/>
      </c>
      <c r="R2152" s="3" t="n"/>
      <c r="S2152" s="4" t="n"/>
      <c r="T2152" s="4" t="n"/>
    </row>
    <row r="2153">
      <c r="A2153" s="3" t="n">
        <v>2152</v>
      </c>
      <c r="B2153" s="3" t="inlineStr">
        <is>
          <t>DL020</t>
        </is>
      </c>
      <c r="C2153" s="4" t="inlineStr">
        <is>
          <t>Công ty TNHH Thiết bị Điện Ngũ Phúc</t>
        </is>
      </c>
      <c r="D2153" s="3" t="inlineStr">
        <is>
          <t>HN</t>
        </is>
      </c>
      <c r="E2153" s="3" t="inlineStr">
        <is>
          <t>Lan</t>
        </is>
      </c>
      <c r="F2153" s="3" t="inlineStr">
        <is>
          <t>Website bán hàng</t>
        </is>
      </c>
      <c r="G2153" s="4" t="inlineStr">
        <is>
          <t>SHOPEE: TIKTOK: LAZADA: WEBSITE BÁN HÀNG: https://www.nguphuc.com.vn/</t>
        </is>
      </c>
      <c r="H2153" s="3" t="inlineStr">
        <is>
          <t>LED500</t>
        </is>
      </c>
      <c r="I2153" s="4" t="inlineStr">
        <is>
          <t>Đèn Led đội đầu LED500</t>
        </is>
      </c>
      <c r="J2153" s="3" t="inlineStr">
        <is>
          <t>Cái</t>
        </is>
      </c>
      <c r="K2153" s="5" t="n">
        <v>440000</v>
      </c>
      <c r="L2153" s="5" t="n">
        <v>502000</v>
      </c>
      <c r="M2153" s="6" t="n">
        <v>594000</v>
      </c>
      <c r="N2153" s="5" t="n"/>
      <c r="O2153" s="5">
        <f>IF(AND(ISNUMBER(N2153),ISNUMBER(M2153)),N2153-M2153,"")</f>
        <v/>
      </c>
      <c r="P2153" s="7">
        <f>IF(AND(ISNUMBER(N2153),ISNUMBER(M2153),M2153&gt;0),(N2153-M2153)/M2153,"")</f>
        <v/>
      </c>
      <c r="Q2153" s="3">
        <f>IF(P2153="","",IF(P2153&lt;-0.02,"🔴 Bán phá giá sàn",IF(P2153&gt;0.05,"🔵 Bán cao hơn","🟢 Đúng giá sàn TMĐT")))</f>
        <v/>
      </c>
      <c r="R2153" s="3" t="n"/>
      <c r="S2153" s="4" t="n"/>
      <c r="T2153" s="4" t="n"/>
    </row>
    <row r="2154">
      <c r="A2154" s="3" t="n">
        <v>2153</v>
      </c>
      <c r="B2154" s="3" t="inlineStr">
        <is>
          <t>DL020</t>
        </is>
      </c>
      <c r="C2154" s="4" t="inlineStr">
        <is>
          <t>Công ty TNHH Thiết bị Điện Ngũ Phúc</t>
        </is>
      </c>
      <c r="D2154" s="3" t="inlineStr">
        <is>
          <t>HN</t>
        </is>
      </c>
      <c r="E2154" s="3" t="inlineStr">
        <is>
          <t>Lan</t>
        </is>
      </c>
      <c r="F2154" s="3" t="inlineStr">
        <is>
          <t>Website bán hàng</t>
        </is>
      </c>
      <c r="G2154" s="4" t="inlineStr">
        <is>
          <t>SHOPEE: TIKTOK: LAZADA: WEBSITE BÁN HÀNG: https://www.nguphuc.com.vn/</t>
        </is>
      </c>
      <c r="H2154" s="3" t="inlineStr">
        <is>
          <t>KPC-142</t>
        </is>
      </c>
      <c r="I2154" s="4" t="inlineStr">
        <is>
          <t>Kéo cắt ống KPC-142 (NEW)</t>
        </is>
      </c>
      <c r="J2154" s="3" t="inlineStr">
        <is>
          <t>Cái</t>
        </is>
      </c>
      <c r="K2154" s="5" t="n">
        <v>269000</v>
      </c>
      <c r="L2154" s="5" t="n">
        <v>317000</v>
      </c>
      <c r="M2154" s="6" t="n">
        <v>390000</v>
      </c>
      <c r="N2154" s="5" t="n"/>
      <c r="O2154" s="5">
        <f>IF(AND(ISNUMBER(N2154),ISNUMBER(M2154)),N2154-M2154,"")</f>
        <v/>
      </c>
      <c r="P2154" s="7">
        <f>IF(AND(ISNUMBER(N2154),ISNUMBER(M2154),M2154&gt;0),(N2154-M2154)/M2154,"")</f>
        <v/>
      </c>
      <c r="Q2154" s="3">
        <f>IF(P2154="","",IF(P2154&lt;-0.02,"🔴 Bán phá giá sàn",IF(P2154&gt;0.05,"🔵 Bán cao hơn","🟢 Đúng giá sàn TMĐT")))</f>
        <v/>
      </c>
      <c r="R2154" s="3" t="n"/>
      <c r="S2154" s="4" t="n"/>
      <c r="T2154" s="4" t="n"/>
    </row>
    <row r="2155">
      <c r="A2155" s="3" t="n">
        <v>2154</v>
      </c>
      <c r="B2155" s="3" t="inlineStr">
        <is>
          <t>DL020</t>
        </is>
      </c>
      <c r="C2155" s="4" t="inlineStr">
        <is>
          <t>Công ty TNHH Thiết bị Điện Ngũ Phúc</t>
        </is>
      </c>
      <c r="D2155" s="3" t="inlineStr">
        <is>
          <t>HN</t>
        </is>
      </c>
      <c r="E2155" s="3" t="inlineStr">
        <is>
          <t>Lan</t>
        </is>
      </c>
      <c r="F2155" s="3" t="inlineStr">
        <is>
          <t>Website bán hàng</t>
        </is>
      </c>
      <c r="G2155" s="4" t="inlineStr">
        <is>
          <t>SHOPEE: TIKTOK: LAZADA: WEBSITE BÁN HÀNG: https://www.nguphuc.com.vn/</t>
        </is>
      </c>
      <c r="H2155" s="3" t="inlineStr">
        <is>
          <t>KB006-Q5</t>
        </is>
      </c>
      <c r="I2155" s="4" t="inlineStr">
        <is>
          <t>Kéo KB006-Q5</t>
        </is>
      </c>
      <c r="J2155" s="3" t="inlineStr">
        <is>
          <t>Cái</t>
        </is>
      </c>
      <c r="K2155" s="5" t="n">
        <v>128000</v>
      </c>
      <c r="L2155" s="5" t="n">
        <v>151000</v>
      </c>
      <c r="M2155" s="6" t="n">
        <v>186000</v>
      </c>
      <c r="N2155" s="5" t="n"/>
      <c r="O2155" s="5">
        <f>IF(AND(ISNUMBER(N2155),ISNUMBER(M2155)),N2155-M2155,"")</f>
        <v/>
      </c>
      <c r="P2155" s="7">
        <f>IF(AND(ISNUMBER(N2155),ISNUMBER(M2155),M2155&gt;0),(N2155-M2155)/M2155,"")</f>
        <v/>
      </c>
      <c r="Q2155" s="3">
        <f>IF(P2155="","",IF(P2155&lt;-0.02,"🔴 Bán phá giá sàn",IF(P2155&gt;0.05,"🔵 Bán cao hơn","🟢 Đúng giá sàn TMĐT")))</f>
        <v/>
      </c>
      <c r="R2155" s="3" t="n"/>
      <c r="S2155" s="4" t="n"/>
      <c r="T2155" s="4" t="n"/>
    </row>
    <row r="2156">
      <c r="A2156" s="3" t="n">
        <v>2155</v>
      </c>
      <c r="B2156" s="3" t="inlineStr">
        <is>
          <t>DL020</t>
        </is>
      </c>
      <c r="C2156" s="4" t="inlineStr">
        <is>
          <t>Công ty TNHH Thiết bị Điện Ngũ Phúc</t>
        </is>
      </c>
      <c r="D2156" s="3" t="inlineStr">
        <is>
          <t>HN</t>
        </is>
      </c>
      <c r="E2156" s="3" t="inlineStr">
        <is>
          <t>Lan</t>
        </is>
      </c>
      <c r="F2156" s="3" t="inlineStr">
        <is>
          <t>Website bán hàng</t>
        </is>
      </c>
      <c r="G2156" s="4" t="inlineStr">
        <is>
          <t>SHOPEE: TIKTOK: LAZADA: WEBSITE BÁN HÀNG: https://www.nguphuc.com.vn/</t>
        </is>
      </c>
      <c r="H2156" s="3" t="inlineStr">
        <is>
          <t>KC3-09</t>
        </is>
      </c>
      <c r="I2156" s="4" t="inlineStr">
        <is>
          <t>Kìm cắt đa năng KC3-09</t>
        </is>
      </c>
      <c r="J2156" s="3" t="inlineStr">
        <is>
          <t>Cái</t>
        </is>
      </c>
      <c r="K2156" s="5" t="n">
        <v>269000</v>
      </c>
      <c r="L2156" s="5" t="n">
        <v>317000</v>
      </c>
      <c r="M2156" s="6" t="n">
        <v>390000</v>
      </c>
      <c r="N2156" s="5" t="n"/>
      <c r="O2156" s="5">
        <f>IF(AND(ISNUMBER(N2156),ISNUMBER(M2156)),N2156-M2156,"")</f>
        <v/>
      </c>
      <c r="P2156" s="7">
        <f>IF(AND(ISNUMBER(N2156),ISNUMBER(M2156),M2156&gt;0),(N2156-M2156)/M2156,"")</f>
        <v/>
      </c>
      <c r="Q2156" s="3">
        <f>IF(P2156="","",IF(P2156&lt;-0.02,"🔴 Bán phá giá sàn",IF(P2156&gt;0.05,"🔵 Bán cao hơn","🟢 Đúng giá sàn TMĐT")))</f>
        <v/>
      </c>
      <c r="R2156" s="3" t="n"/>
      <c r="S2156" s="4" t="n"/>
      <c r="T2156" s="4" t="n"/>
    </row>
    <row r="2157">
      <c r="A2157" s="3" t="n">
        <v>2156</v>
      </c>
      <c r="B2157" s="3" t="inlineStr">
        <is>
          <t>DL020</t>
        </is>
      </c>
      <c r="C2157" s="4" t="inlineStr">
        <is>
          <t>Công ty TNHH Thiết bị Điện Ngũ Phúc</t>
        </is>
      </c>
      <c r="D2157" s="3" t="inlineStr">
        <is>
          <t>HN</t>
        </is>
      </c>
      <c r="E2157" s="3" t="inlineStr">
        <is>
          <t>Lan</t>
        </is>
      </c>
      <c r="F2157" s="3" t="inlineStr">
        <is>
          <t>Website bán hàng</t>
        </is>
      </c>
      <c r="G2157" s="4" t="inlineStr">
        <is>
          <t>SHOPEE: TIKTOK: LAZADA: WEBSITE BÁN HÀNG: https://www.nguphuc.com.vn/</t>
        </is>
      </c>
      <c r="H2157" s="3" t="inlineStr">
        <is>
          <t>KC1-08</t>
        </is>
      </c>
      <c r="I2157" s="4" t="inlineStr">
        <is>
          <t>Kìm điện KC1-08</t>
        </is>
      </c>
      <c r="J2157" s="3" t="inlineStr">
        <is>
          <t>Cái</t>
        </is>
      </c>
      <c r="K2157" s="5" t="n">
        <v>109000</v>
      </c>
      <c r="L2157" s="5" t="n">
        <v>129000</v>
      </c>
      <c r="M2157" s="6" t="n">
        <v>158000</v>
      </c>
      <c r="N2157" s="5" t="n"/>
      <c r="O2157" s="5">
        <f>IF(AND(ISNUMBER(N2157),ISNUMBER(M2157)),N2157-M2157,"")</f>
        <v/>
      </c>
      <c r="P2157" s="7">
        <f>IF(AND(ISNUMBER(N2157),ISNUMBER(M2157),M2157&gt;0),(N2157-M2157)/M2157,"")</f>
        <v/>
      </c>
      <c r="Q2157" s="3">
        <f>IF(P2157="","",IF(P2157&lt;-0.02,"🔴 Bán phá giá sàn",IF(P2157&gt;0.05,"🔵 Bán cao hơn","🟢 Đúng giá sàn TMĐT")))</f>
        <v/>
      </c>
      <c r="R2157" s="3" t="n"/>
      <c r="S2157" s="4" t="n"/>
      <c r="T2157" s="4" t="n"/>
    </row>
    <row r="2158">
      <c r="A2158" s="3" t="n">
        <v>2157</v>
      </c>
      <c r="B2158" s="3" t="inlineStr">
        <is>
          <t>DL020</t>
        </is>
      </c>
      <c r="C2158" s="4" t="inlineStr">
        <is>
          <t>Công ty TNHH Thiết bị Điện Ngũ Phúc</t>
        </is>
      </c>
      <c r="D2158" s="3" t="inlineStr">
        <is>
          <t>HN</t>
        </is>
      </c>
      <c r="E2158" s="3" t="inlineStr">
        <is>
          <t>Lan</t>
        </is>
      </c>
      <c r="F2158" s="3" t="inlineStr">
        <is>
          <t>Website bán hàng</t>
        </is>
      </c>
      <c r="G2158" s="4" t="inlineStr">
        <is>
          <t>SHOPEE: TIKTOK: LAZADA: WEBSITE BÁN HÀNG: https://www.nguphuc.com.vn/</t>
        </is>
      </c>
      <c r="H2158" s="3" t="inlineStr">
        <is>
          <t>KC2-150</t>
        </is>
      </c>
      <c r="I2158" s="4" t="inlineStr">
        <is>
          <t>Kìm nhọn KC2-150</t>
        </is>
      </c>
      <c r="J2158" s="3" t="inlineStr">
        <is>
          <t>Cái</t>
        </is>
      </c>
      <c r="K2158" s="5" t="n">
        <v>91000</v>
      </c>
      <c r="L2158" s="5" t="n">
        <v>107000</v>
      </c>
      <c r="M2158" s="6" t="n">
        <v>132000</v>
      </c>
      <c r="N2158" s="5" t="n"/>
      <c r="O2158" s="5">
        <f>IF(AND(ISNUMBER(N2158),ISNUMBER(M2158)),N2158-M2158,"")</f>
        <v/>
      </c>
      <c r="P2158" s="7">
        <f>IF(AND(ISNUMBER(N2158),ISNUMBER(M2158),M2158&gt;0),(N2158-M2158)/M2158,"")</f>
        <v/>
      </c>
      <c r="Q2158" s="3">
        <f>IF(P2158="","",IF(P2158&lt;-0.02,"🔴 Bán phá giá sàn",IF(P2158&gt;0.05,"🔵 Bán cao hơn","🟢 Đúng giá sàn TMĐT")))</f>
        <v/>
      </c>
      <c r="R2158" s="3" t="n"/>
      <c r="S2158" s="4" t="n"/>
      <c r="T2158" s="4" t="n"/>
    </row>
    <row r="2159">
      <c r="A2159" s="3" t="n">
        <v>2158</v>
      </c>
      <c r="B2159" s="3" t="inlineStr">
        <is>
          <t>DL020</t>
        </is>
      </c>
      <c r="C2159" s="4" t="inlineStr">
        <is>
          <t>Công ty TNHH Thiết bị Điện Ngũ Phúc</t>
        </is>
      </c>
      <c r="D2159" s="3" t="inlineStr">
        <is>
          <t>HN</t>
        </is>
      </c>
      <c r="E2159" s="3" t="inlineStr">
        <is>
          <t>Lan</t>
        </is>
      </c>
      <c r="F2159" s="3" t="inlineStr">
        <is>
          <t>Website bán hàng</t>
        </is>
      </c>
      <c r="G2159" s="4" t="inlineStr">
        <is>
          <t>SHOPEE: TIKTOK: LAZADA: WEBSITE BÁN HÀNG: https://www.nguphuc.com.vn/</t>
        </is>
      </c>
      <c r="H2159" s="3" t="inlineStr">
        <is>
          <t>KND205</t>
        </is>
      </c>
      <c r="I2159" s="4" t="inlineStr">
        <is>
          <t>Kìm tuốt dây điện đa năng KND205</t>
        </is>
      </c>
      <c r="J2159" s="3" t="inlineStr">
        <is>
          <t>Cái</t>
        </is>
      </c>
      <c r="K2159" s="5" t="n">
        <v>160000</v>
      </c>
      <c r="L2159" s="5" t="n">
        <v>189000</v>
      </c>
      <c r="M2159" s="6" t="n">
        <v>232000</v>
      </c>
      <c r="N2159" s="5" t="n"/>
      <c r="O2159" s="5">
        <f>IF(AND(ISNUMBER(N2159),ISNUMBER(M2159)),N2159-M2159,"")</f>
        <v/>
      </c>
      <c r="P2159" s="7">
        <f>IF(AND(ISNUMBER(N2159),ISNUMBER(M2159),M2159&gt;0),(N2159-M2159)/M2159,"")</f>
        <v/>
      </c>
      <c r="Q2159" s="3">
        <f>IF(P2159="","",IF(P2159&lt;-0.02,"🔴 Bán phá giá sàn",IF(P2159&gt;0.05,"🔵 Bán cao hơn","🟢 Đúng giá sàn TMĐT")))</f>
        <v/>
      </c>
      <c r="R2159" s="3" t="n"/>
      <c r="S2159" s="4" t="n"/>
      <c r="T2159" s="4" t="n"/>
    </row>
    <row r="2160">
      <c r="A2160" s="3" t="n">
        <v>2159</v>
      </c>
      <c r="B2160" s="3" t="inlineStr">
        <is>
          <t>DL020</t>
        </is>
      </c>
      <c r="C2160" s="4" t="inlineStr">
        <is>
          <t>Công ty TNHH Thiết bị Điện Ngũ Phúc</t>
        </is>
      </c>
      <c r="D2160" s="3" t="inlineStr">
        <is>
          <t>HN</t>
        </is>
      </c>
      <c r="E2160" s="3" t="inlineStr">
        <is>
          <t>Lan</t>
        </is>
      </c>
      <c r="F2160" s="3" t="inlineStr">
        <is>
          <t>Website bán hàng</t>
        </is>
      </c>
      <c r="G2160" s="4" t="inlineStr">
        <is>
          <t>SHOPEE: TIKTOK: LAZADA: WEBSITE BÁN HÀNG: https://www.nguphuc.com.vn/</t>
        </is>
      </c>
      <c r="H2160" s="3" t="inlineStr">
        <is>
          <t>V100R</t>
        </is>
      </c>
      <c r="I2160" s="4" t="inlineStr">
        <is>
          <t>Mũi bắn vít chống trượt KingBlue V100R</t>
        </is>
      </c>
      <c r="J2160" s="3" t="inlineStr">
        <is>
          <t>Vỉ</t>
        </is>
      </c>
      <c r="K2160" s="5" t="n">
        <v>29000</v>
      </c>
      <c r="L2160" s="5" t="n">
        <v>37000</v>
      </c>
      <c r="M2160" s="6" t="n">
        <v>48000</v>
      </c>
      <c r="N2160" s="5" t="n"/>
      <c r="O2160" s="5">
        <f>IF(AND(ISNUMBER(N2160),ISNUMBER(M2160)),N2160-M2160,"")</f>
        <v/>
      </c>
      <c r="P2160" s="7">
        <f>IF(AND(ISNUMBER(N2160),ISNUMBER(M2160),M2160&gt;0),(N2160-M2160)/M2160,"")</f>
        <v/>
      </c>
      <c r="Q2160" s="3">
        <f>IF(P2160="","",IF(P2160&lt;-0.02,"🔴 Bán phá giá sàn",IF(P2160&gt;0.05,"🔵 Bán cao hơn","🟢 Đúng giá sàn TMĐT")))</f>
        <v/>
      </c>
      <c r="R2160" s="3" t="n"/>
      <c r="S2160" s="4" t="n"/>
      <c r="T2160" s="4" t="n"/>
    </row>
    <row r="2161">
      <c r="A2161" s="3" t="n">
        <v>2160</v>
      </c>
      <c r="B2161" s="3" t="inlineStr">
        <is>
          <t>DL020</t>
        </is>
      </c>
      <c r="C2161" s="4" t="inlineStr">
        <is>
          <t>Công ty TNHH Thiết bị Điện Ngũ Phúc</t>
        </is>
      </c>
      <c r="D2161" s="3" t="inlineStr">
        <is>
          <t>HN</t>
        </is>
      </c>
      <c r="E2161" s="3" t="inlineStr">
        <is>
          <t>Lan</t>
        </is>
      </c>
      <c r="F2161" s="3" t="inlineStr">
        <is>
          <t>Website bán hàng</t>
        </is>
      </c>
      <c r="G2161" s="4" t="inlineStr">
        <is>
          <t>SHOPEE: TIKTOK: LAZADA: WEBSITE BÁN HÀNG: https://www.nguphuc.com.vn/</t>
        </is>
      </c>
      <c r="H2161" s="3" t="inlineStr">
        <is>
          <t>V150R</t>
        </is>
      </c>
      <c r="I2161" s="4" t="inlineStr">
        <is>
          <t>Mũi bắn vít chống trượt KingBlue V150R</t>
        </is>
      </c>
      <c r="J2161" s="3" t="inlineStr">
        <is>
          <t>Vỉ</t>
        </is>
      </c>
      <c r="K2161" s="5" t="n">
        <v>40000</v>
      </c>
      <c r="L2161" s="5" t="n">
        <v>50000</v>
      </c>
      <c r="M2161" s="6" t="n">
        <v>66000</v>
      </c>
      <c r="N2161" s="5" t="n"/>
      <c r="O2161" s="5">
        <f>IF(AND(ISNUMBER(N2161),ISNUMBER(M2161)),N2161-M2161,"")</f>
        <v/>
      </c>
      <c r="P2161" s="7">
        <f>IF(AND(ISNUMBER(N2161),ISNUMBER(M2161),M2161&gt;0),(N2161-M2161)/M2161,"")</f>
        <v/>
      </c>
      <c r="Q2161" s="3">
        <f>IF(P2161="","",IF(P2161&lt;-0.02,"🔴 Bán phá giá sàn",IF(P2161&gt;0.05,"🔵 Bán cao hơn","🟢 Đúng giá sàn TMĐT")))</f>
        <v/>
      </c>
      <c r="R2161" s="3" t="n"/>
      <c r="S2161" s="4" t="n"/>
      <c r="T2161" s="4" t="n"/>
    </row>
    <row r="2162">
      <c r="A2162" s="3" t="n">
        <v>2161</v>
      </c>
      <c r="B2162" s="3" t="inlineStr">
        <is>
          <t>DL020</t>
        </is>
      </c>
      <c r="C2162" s="4" t="inlineStr">
        <is>
          <t>Công ty TNHH Thiết bị Điện Ngũ Phúc</t>
        </is>
      </c>
      <c r="D2162" s="3" t="inlineStr">
        <is>
          <t>HN</t>
        </is>
      </c>
      <c r="E2162" s="3" t="inlineStr">
        <is>
          <t>Lan</t>
        </is>
      </c>
      <c r="F2162" s="3" t="inlineStr">
        <is>
          <t>Website bán hàng</t>
        </is>
      </c>
      <c r="G2162" s="4" t="inlineStr">
        <is>
          <t>SHOPEE: TIKTOK: LAZADA: WEBSITE BÁN HÀNG: https://www.nguphuc.com.vn/</t>
        </is>
      </c>
      <c r="H2162" s="3" t="inlineStr">
        <is>
          <t>V65R</t>
        </is>
      </c>
      <c r="I2162" s="4" t="inlineStr">
        <is>
          <t>Mũi bắn vít chống trượt KingBlue V65R</t>
        </is>
      </c>
      <c r="J2162" s="3" t="inlineStr">
        <is>
          <t>Vỉ</t>
        </is>
      </c>
      <c r="K2162" s="5" t="n">
        <v>20000</v>
      </c>
      <c r="L2162" s="5" t="n">
        <v>25000</v>
      </c>
      <c r="M2162" s="6" t="n">
        <v>33000</v>
      </c>
      <c r="N2162" s="5" t="n"/>
      <c r="O2162" s="5">
        <f>IF(AND(ISNUMBER(N2162),ISNUMBER(M2162)),N2162-M2162,"")</f>
        <v/>
      </c>
      <c r="P2162" s="7">
        <f>IF(AND(ISNUMBER(N2162),ISNUMBER(M2162),M2162&gt;0),(N2162-M2162)/M2162,"")</f>
        <v/>
      </c>
      <c r="Q2162" s="3">
        <f>IF(P2162="","",IF(P2162&lt;-0.02,"🔴 Bán phá giá sàn",IF(P2162&gt;0.05,"🔵 Bán cao hơn","🟢 Đúng giá sàn TMĐT")))</f>
        <v/>
      </c>
      <c r="R2162" s="3" t="n"/>
      <c r="S2162" s="4" t="n"/>
      <c r="T2162" s="4" t="n"/>
    </row>
    <row r="2163">
      <c r="A2163" s="3" t="n">
        <v>2162</v>
      </c>
      <c r="B2163" s="3" t="inlineStr">
        <is>
          <t>DL020</t>
        </is>
      </c>
      <c r="C2163" s="4" t="inlineStr">
        <is>
          <t>Công ty TNHH Thiết bị Điện Ngũ Phúc</t>
        </is>
      </c>
      <c r="D2163" s="3" t="inlineStr">
        <is>
          <t>HN</t>
        </is>
      </c>
      <c r="E2163" s="3" t="inlineStr">
        <is>
          <t>Lan</t>
        </is>
      </c>
      <c r="F2163" s="3" t="inlineStr">
        <is>
          <t>Website bán hàng</t>
        </is>
      </c>
      <c r="G2163" s="4" t="inlineStr">
        <is>
          <t>SHOPEE: TIKTOK: LAZADA: WEBSITE BÁN HÀNG: https://www.nguphuc.com.vn/</t>
        </is>
      </c>
      <c r="H2163" s="3" t="inlineStr">
        <is>
          <t>KHD20</t>
        </is>
      </c>
      <c r="I2163" s="4" t="inlineStr">
        <is>
          <t>Thùng đựng đồ nghề KHD20</t>
        </is>
      </c>
      <c r="J2163" s="3" t="inlineStr">
        <is>
          <t>Cái</t>
        </is>
      </c>
      <c r="K2163" s="5" t="n">
        <v>396000</v>
      </c>
      <c r="L2163" s="5" t="n">
        <v>452000</v>
      </c>
      <c r="M2163" s="6" t="n">
        <v>535000</v>
      </c>
      <c r="N2163" s="5" t="n"/>
      <c r="O2163" s="5">
        <f>IF(AND(ISNUMBER(N2163),ISNUMBER(M2163)),N2163-M2163,"")</f>
        <v/>
      </c>
      <c r="P2163" s="7">
        <f>IF(AND(ISNUMBER(N2163),ISNUMBER(M2163),M2163&gt;0),(N2163-M2163)/M2163,"")</f>
        <v/>
      </c>
      <c r="Q2163" s="3">
        <f>IF(P2163="","",IF(P2163&lt;-0.02,"🔴 Bán phá giá sàn",IF(P2163&gt;0.05,"🔵 Bán cao hơn","🟢 Đúng giá sàn TMĐT")))</f>
        <v/>
      </c>
      <c r="R2163" s="3" t="n"/>
      <c r="S2163" s="4" t="n"/>
      <c r="T2163" s="4" t="n"/>
    </row>
    <row r="2164">
      <c r="A2164" s="3" t="n">
        <v>2163</v>
      </c>
      <c r="B2164" s="3" t="inlineStr">
        <is>
          <t>DL020</t>
        </is>
      </c>
      <c r="C2164" s="4" t="inlineStr">
        <is>
          <t>Công ty TNHH Thiết bị Điện Ngũ Phúc</t>
        </is>
      </c>
      <c r="D2164" s="3" t="inlineStr">
        <is>
          <t>HN</t>
        </is>
      </c>
      <c r="E2164" s="3" t="inlineStr">
        <is>
          <t>Lan</t>
        </is>
      </c>
      <c r="F2164" s="3" t="inlineStr">
        <is>
          <t>Website bán hàng</t>
        </is>
      </c>
      <c r="G2164" s="4" t="inlineStr">
        <is>
          <t>SHOPEE: TIKTOK: LAZADA: WEBSITE BÁN HÀNG: https://www.nguphuc.com.vn/</t>
        </is>
      </c>
      <c r="H2164" s="3" t="inlineStr">
        <is>
          <t>KV1-6150</t>
        </is>
      </c>
      <c r="I2164" s="4" t="inlineStr">
        <is>
          <t>Tuốc nơ vít 2 đầu KV1-6*150</t>
        </is>
      </c>
      <c r="J2164" s="3" t="inlineStr">
        <is>
          <t>Cái</t>
        </is>
      </c>
      <c r="K2164" s="5" t="n">
        <v>25000</v>
      </c>
      <c r="L2164" s="5" t="n">
        <v>29000</v>
      </c>
      <c r="M2164" s="6" t="n">
        <v>36000</v>
      </c>
      <c r="N2164" s="5" t="n"/>
      <c r="O2164" s="5">
        <f>IF(AND(ISNUMBER(N2164),ISNUMBER(M2164)),N2164-M2164,"")</f>
        <v/>
      </c>
      <c r="P2164" s="7">
        <f>IF(AND(ISNUMBER(N2164),ISNUMBER(M2164),M2164&gt;0),(N2164-M2164)/M2164,"")</f>
        <v/>
      </c>
      <c r="Q2164" s="3">
        <f>IF(P2164="","",IF(P2164&lt;-0.02,"🔴 Bán phá giá sàn",IF(P2164&gt;0.05,"🔵 Bán cao hơn","🟢 Đúng giá sàn TMĐT")))</f>
        <v/>
      </c>
      <c r="R2164" s="3" t="n"/>
      <c r="S2164" s="4" t="n"/>
      <c r="T2164" s="4" t="n"/>
    </row>
    <row r="2165">
      <c r="A2165" s="3" t="n">
        <v>2164</v>
      </c>
      <c r="B2165" s="3" t="inlineStr">
        <is>
          <t>DL020</t>
        </is>
      </c>
      <c r="C2165" s="4" t="inlineStr">
        <is>
          <t>Công ty TNHH Thiết bị Điện Ngũ Phúc</t>
        </is>
      </c>
      <c r="D2165" s="3" t="inlineStr">
        <is>
          <t>HN</t>
        </is>
      </c>
      <c r="E2165" s="3" t="inlineStr">
        <is>
          <t>Lan</t>
        </is>
      </c>
      <c r="F2165" s="3" t="inlineStr">
        <is>
          <t>Website bán hàng</t>
        </is>
      </c>
      <c r="G2165" s="4" t="inlineStr">
        <is>
          <t>SHOPEE: TIKTOK: LAZADA: WEBSITE BÁN HÀNG: https://www.nguphuc.com.vn/</t>
        </is>
      </c>
      <c r="H2165" s="3" t="inlineStr">
        <is>
          <t>KV1-6200</t>
        </is>
      </c>
      <c r="I2165" s="4" t="inlineStr">
        <is>
          <t>Tuốc nơ vít 2 đầu KV1-6*200</t>
        </is>
      </c>
      <c r="J2165" s="3" t="inlineStr">
        <is>
          <t>Cái</t>
        </is>
      </c>
      <c r="K2165" s="5" t="n">
        <v>29000</v>
      </c>
      <c r="L2165" s="5" t="n">
        <v>34000</v>
      </c>
      <c r="M2165" s="6" t="n">
        <v>42000</v>
      </c>
      <c r="N2165" s="5" t="n"/>
      <c r="O2165" s="5">
        <f>IF(AND(ISNUMBER(N2165),ISNUMBER(M2165)),N2165-M2165,"")</f>
        <v/>
      </c>
      <c r="P2165" s="7">
        <f>IF(AND(ISNUMBER(N2165),ISNUMBER(M2165),M2165&gt;0),(N2165-M2165)/M2165,"")</f>
        <v/>
      </c>
      <c r="Q2165" s="3">
        <f>IF(P2165="","",IF(P2165&lt;-0.02,"🔴 Bán phá giá sàn",IF(P2165&gt;0.05,"🔵 Bán cao hơn","🟢 Đúng giá sàn TMĐT")))</f>
        <v/>
      </c>
      <c r="R2165" s="3" t="n"/>
      <c r="S2165" s="4" t="n"/>
      <c r="T2165" s="4" t="n"/>
    </row>
    <row r="2166">
      <c r="A2166" s="3" t="n">
        <v>2165</v>
      </c>
      <c r="B2166" s="3" t="inlineStr">
        <is>
          <t>DL020</t>
        </is>
      </c>
      <c r="C2166" s="4" t="inlineStr">
        <is>
          <t>Công ty TNHH Thiết bị Điện Ngũ Phúc</t>
        </is>
      </c>
      <c r="D2166" s="3" t="inlineStr">
        <is>
          <t>HN</t>
        </is>
      </c>
      <c r="E2166" s="3" t="inlineStr">
        <is>
          <t>Lan</t>
        </is>
      </c>
      <c r="F2166" s="3" t="inlineStr">
        <is>
          <t>Website bán hàng</t>
        </is>
      </c>
      <c r="G2166" s="4" t="inlineStr">
        <is>
          <t>SHOPEE: TIKTOK: LAZADA: WEBSITE BÁN HÀNG: https://www.nguphuc.com.vn/</t>
        </is>
      </c>
      <c r="H2166" s="3" t="inlineStr">
        <is>
          <t>KV3-6150</t>
        </is>
      </c>
      <c r="I2166" s="4" t="inlineStr">
        <is>
          <t>Tuốc nơ vít 2 đầu tịnh tiến KV3-6*150</t>
        </is>
      </c>
      <c r="J2166" s="3" t="inlineStr">
        <is>
          <t>Cái</t>
        </is>
      </c>
      <c r="K2166" s="5" t="n">
        <v>51000</v>
      </c>
      <c r="L2166" s="5" t="n">
        <v>60000</v>
      </c>
      <c r="M2166" s="6" t="n">
        <v>74000</v>
      </c>
      <c r="N2166" s="5" t="n"/>
      <c r="O2166" s="5">
        <f>IF(AND(ISNUMBER(N2166),ISNUMBER(M2166)),N2166-M2166,"")</f>
        <v/>
      </c>
      <c r="P2166" s="7">
        <f>IF(AND(ISNUMBER(N2166),ISNUMBER(M2166),M2166&gt;0),(N2166-M2166)/M2166,"")</f>
        <v/>
      </c>
      <c r="Q2166" s="3">
        <f>IF(P2166="","",IF(P2166&lt;-0.02,"🔴 Bán phá giá sàn",IF(P2166&gt;0.05,"🔵 Bán cao hơn","🟢 Đúng giá sàn TMĐT")))</f>
        <v/>
      </c>
      <c r="R2166" s="3" t="n"/>
      <c r="S2166" s="4" t="n"/>
      <c r="T2166" s="4" t="n"/>
    </row>
    <row r="2167">
      <c r="A2167" s="3" t="n">
        <v>2166</v>
      </c>
      <c r="B2167" s="3" t="inlineStr">
        <is>
          <t>DL021</t>
        </is>
      </c>
      <c r="C2167" s="4" t="inlineStr">
        <is>
          <t>Điện Máy Châu Trưởng</t>
        </is>
      </c>
      <c r="D2167" s="3" t="inlineStr">
        <is>
          <t>HN</t>
        </is>
      </c>
      <c r="E2167" s="3" t="inlineStr">
        <is>
          <t>Lan</t>
        </is>
      </c>
      <c r="F2167" s="3" t="inlineStr">
        <is>
          <t>Shopee</t>
        </is>
      </c>
      <c r="G2167" s="4" t="inlineStr">
        <is>
          <t>SHOPEE: https://shopee.vn/dienmay_ct24h TIKTOK: LAZADA: WEBSITE BÁN HÀNG:</t>
        </is>
      </c>
      <c r="H2167" s="3" t="inlineStr">
        <is>
          <t>KIC140</t>
        </is>
      </c>
      <c r="I2167" s="4" t="inlineStr">
        <is>
          <t>Bút thử điện KIC140</t>
        </is>
      </c>
      <c r="J2167" s="3" t="inlineStr">
        <is>
          <t>Cái</t>
        </is>
      </c>
      <c r="K2167" s="5" t="n">
        <v>14000</v>
      </c>
      <c r="L2167" s="5" t="n">
        <v>16000</v>
      </c>
      <c r="M2167" s="6" t="n">
        <v>20000</v>
      </c>
      <c r="N2167" s="5" t="n"/>
      <c r="O2167" s="5">
        <f>IF(AND(ISNUMBER(N2167),ISNUMBER(M2167)),N2167-M2167,"")</f>
        <v/>
      </c>
      <c r="P2167" s="7">
        <f>IF(AND(ISNUMBER(N2167),ISNUMBER(M2167),M2167&gt;0),(N2167-M2167)/M2167,"")</f>
        <v/>
      </c>
      <c r="Q2167" s="3">
        <f>IF(P2167="","",IF(P2167&lt;-0.02,"🔴 Bán phá giá sàn",IF(P2167&gt;0.05,"🔵 Bán cao hơn","🟢 Đúng giá sàn TMĐT")))</f>
        <v/>
      </c>
      <c r="R2167" s="3" t="n"/>
      <c r="S2167" s="4" t="n"/>
      <c r="T2167" s="4" t="n"/>
    </row>
    <row r="2168">
      <c r="A2168" s="3" t="n">
        <v>2167</v>
      </c>
      <c r="B2168" s="3" t="inlineStr">
        <is>
          <t>DL021</t>
        </is>
      </c>
      <c r="C2168" s="4" t="inlineStr">
        <is>
          <t>Điện Máy Châu Trưởng</t>
        </is>
      </c>
      <c r="D2168" s="3" t="inlineStr">
        <is>
          <t>HN</t>
        </is>
      </c>
      <c r="E2168" s="3" t="inlineStr">
        <is>
          <t>Lan</t>
        </is>
      </c>
      <c r="F2168" s="3" t="inlineStr">
        <is>
          <t>Shopee</t>
        </is>
      </c>
      <c r="G2168" s="4" t="inlineStr">
        <is>
          <t>SHOPEE: https://shopee.vn/dienmay_ct24h TIKTOK: LAZADA: WEBSITE BÁN HÀNG:</t>
        </is>
      </c>
      <c r="H2168" s="3" t="inlineStr">
        <is>
          <t>KID160</t>
        </is>
      </c>
      <c r="I2168" s="4" t="inlineStr">
        <is>
          <t>Bút thử điện KID160</t>
        </is>
      </c>
      <c r="J2168" s="3" t="inlineStr">
        <is>
          <t>Cái</t>
        </is>
      </c>
      <c r="K2168" s="5" t="n">
        <v>43000</v>
      </c>
      <c r="L2168" s="5" t="n">
        <v>51000</v>
      </c>
      <c r="M2168" s="6" t="n">
        <v>62000</v>
      </c>
      <c r="N2168" s="5" t="n"/>
      <c r="O2168" s="5">
        <f>IF(AND(ISNUMBER(N2168),ISNUMBER(M2168)),N2168-M2168,"")</f>
        <v/>
      </c>
      <c r="P2168" s="7">
        <f>IF(AND(ISNUMBER(N2168),ISNUMBER(M2168),M2168&gt;0),(N2168-M2168)/M2168,"")</f>
        <v/>
      </c>
      <c r="Q2168" s="3">
        <f>IF(P2168="","",IF(P2168&lt;-0.02,"🔴 Bán phá giá sàn",IF(P2168&gt;0.05,"🔵 Bán cao hơn","🟢 Đúng giá sàn TMĐT")))</f>
        <v/>
      </c>
      <c r="R2168" s="3" t="n"/>
      <c r="S2168" s="4" t="n"/>
      <c r="T2168" s="4" t="n"/>
    </row>
    <row r="2169">
      <c r="A2169" s="3" t="n">
        <v>2168</v>
      </c>
      <c r="B2169" s="3" t="inlineStr">
        <is>
          <t>DL021</t>
        </is>
      </c>
      <c r="C2169" s="4" t="inlineStr">
        <is>
          <t>Điện Máy Châu Trưởng</t>
        </is>
      </c>
      <c r="D2169" s="3" t="inlineStr">
        <is>
          <t>HN</t>
        </is>
      </c>
      <c r="E2169" s="3" t="inlineStr">
        <is>
          <t>Lan</t>
        </is>
      </c>
      <c r="F2169" s="3" t="inlineStr">
        <is>
          <t>Shopee</t>
        </is>
      </c>
      <c r="G2169" s="4" t="inlineStr">
        <is>
          <t>SHOPEE: https://shopee.vn/dienmay_ct24h TIKTOK: LAZADA: WEBSITE BÁN HÀNG:</t>
        </is>
      </c>
      <c r="H2169" s="3" t="inlineStr">
        <is>
          <t>D1-107x1.2</t>
        </is>
      </c>
      <c r="I2169" s="4" t="inlineStr">
        <is>
          <t>Đá cắt sắt, inox KingBlue D1-107x1.2 xanh (Hộp sắt)</t>
        </is>
      </c>
      <c r="J2169" s="3" t="inlineStr">
        <is>
          <t>Cái</t>
        </is>
      </c>
      <c r="K2169" s="5" t="n">
        <v>4000</v>
      </c>
      <c r="L2169" s="5" t="n">
        <v>5000</v>
      </c>
      <c r="M2169" s="6" t="n">
        <v>6500</v>
      </c>
      <c r="N2169" s="5" t="n"/>
      <c r="O2169" s="5">
        <f>IF(AND(ISNUMBER(N2169),ISNUMBER(M2169)),N2169-M2169,"")</f>
        <v/>
      </c>
      <c r="P2169" s="7">
        <f>IF(AND(ISNUMBER(N2169),ISNUMBER(M2169),M2169&gt;0),(N2169-M2169)/M2169,"")</f>
        <v/>
      </c>
      <c r="Q2169" s="3">
        <f>IF(P2169="","",IF(P2169&lt;-0.02,"🔴 Bán phá giá sàn",IF(P2169&gt;0.05,"🔵 Bán cao hơn","🟢 Đúng giá sàn TMĐT")))</f>
        <v/>
      </c>
      <c r="R2169" s="3" t="n"/>
      <c r="S2169" s="4" t="n"/>
      <c r="T2169" s="4" t="n"/>
    </row>
    <row r="2170">
      <c r="A2170" s="3" t="n">
        <v>2169</v>
      </c>
      <c r="B2170" s="3" t="inlineStr">
        <is>
          <t>DL021</t>
        </is>
      </c>
      <c r="C2170" s="4" t="inlineStr">
        <is>
          <t>Điện Máy Châu Trưởng</t>
        </is>
      </c>
      <c r="D2170" s="3" t="inlineStr">
        <is>
          <t>HN</t>
        </is>
      </c>
      <c r="E2170" s="3" t="inlineStr">
        <is>
          <t>Lan</t>
        </is>
      </c>
      <c r="F2170" s="3" t="inlineStr">
        <is>
          <t>Shopee</t>
        </is>
      </c>
      <c r="G2170" s="4" t="inlineStr">
        <is>
          <t>SHOPEE: https://shopee.vn/dienmay_ct24h TIKTOK: LAZADA: WEBSITE BÁN HÀNG:</t>
        </is>
      </c>
      <c r="H2170" s="3" t="inlineStr">
        <is>
          <t>KIW-600</t>
        </is>
      </c>
      <c r="I2170" s="4" t="inlineStr">
        <is>
          <t>Đồng hồ vạn năng điện tử KIW-600</t>
        </is>
      </c>
      <c r="J2170" s="3" t="inlineStr">
        <is>
          <t>Cái</t>
        </is>
      </c>
      <c r="K2170" s="5" t="n">
        <v>269000</v>
      </c>
      <c r="L2170" s="5" t="n">
        <v>317000</v>
      </c>
      <c r="M2170" s="6" t="n">
        <v>390000</v>
      </c>
      <c r="N2170" s="5" t="n"/>
      <c r="O2170" s="5">
        <f>IF(AND(ISNUMBER(N2170),ISNUMBER(M2170)),N2170-M2170,"")</f>
        <v/>
      </c>
      <c r="P2170" s="7">
        <f>IF(AND(ISNUMBER(N2170),ISNUMBER(M2170),M2170&gt;0),(N2170-M2170)/M2170,"")</f>
        <v/>
      </c>
      <c r="Q2170" s="3">
        <f>IF(P2170="","",IF(P2170&lt;-0.02,"🔴 Bán phá giá sàn",IF(P2170&gt;0.05,"🔵 Bán cao hơn","🟢 Đúng giá sàn TMĐT")))</f>
        <v/>
      </c>
      <c r="R2170" s="3" t="n"/>
      <c r="S2170" s="4" t="n"/>
      <c r="T2170" s="4" t="n"/>
    </row>
    <row r="2171">
      <c r="A2171" s="3" t="n">
        <v>2170</v>
      </c>
      <c r="B2171" s="3" t="inlineStr">
        <is>
          <t>DL021</t>
        </is>
      </c>
      <c r="C2171" s="4" t="inlineStr">
        <is>
          <t>Điện Máy Châu Trưởng</t>
        </is>
      </c>
      <c r="D2171" s="3" t="inlineStr">
        <is>
          <t>HN</t>
        </is>
      </c>
      <c r="E2171" s="3" t="inlineStr">
        <is>
          <t>Lan</t>
        </is>
      </c>
      <c r="F2171" s="3" t="inlineStr">
        <is>
          <t>Shopee</t>
        </is>
      </c>
      <c r="G2171" s="4" t="inlineStr">
        <is>
          <t>SHOPEE: https://shopee.vn/dienmay_ct24h TIKTOK: LAZADA: WEBSITE BÁN HÀNG:</t>
        </is>
      </c>
      <c r="H2171" s="3" t="inlineStr">
        <is>
          <t>KKB-06MM</t>
        </is>
      </c>
      <c r="I2171" s="4" t="inlineStr">
        <is>
          <t>Khoan Kính KingBlue KKB-06MM</t>
        </is>
      </c>
      <c r="J2171" s="3" t="inlineStr">
        <is>
          <t>Cái</t>
        </is>
      </c>
      <c r="K2171" s="5" t="n">
        <v>269000</v>
      </c>
      <c r="L2171" s="5" t="n">
        <v>317000</v>
      </c>
      <c r="M2171" s="6" t="n">
        <v>390000</v>
      </c>
      <c r="N2171" s="5" t="n"/>
      <c r="O2171" s="5">
        <f>IF(AND(ISNUMBER(N2171),ISNUMBER(M2171)),N2171-M2171,"")</f>
        <v/>
      </c>
      <c r="P2171" s="7">
        <f>IF(AND(ISNUMBER(N2171),ISNUMBER(M2171),M2171&gt;0),(N2171-M2171)/M2171,"")</f>
        <v/>
      </c>
      <c r="Q2171" s="3">
        <f>IF(P2171="","",IF(P2171&lt;-0.02,"🔴 Bán phá giá sàn",IF(P2171&gt;0.05,"🔵 Bán cao hơn","🟢 Đúng giá sàn TMĐT")))</f>
        <v/>
      </c>
      <c r="R2171" s="3" t="n"/>
      <c r="S2171" s="4" t="n"/>
      <c r="T2171" s="4" t="n"/>
    </row>
    <row r="2172">
      <c r="A2172" s="3" t="n">
        <v>2171</v>
      </c>
      <c r="B2172" s="3" t="inlineStr">
        <is>
          <t>DL021</t>
        </is>
      </c>
      <c r="C2172" s="4" t="inlineStr">
        <is>
          <t>Điện Máy Châu Trưởng</t>
        </is>
      </c>
      <c r="D2172" s="3" t="inlineStr">
        <is>
          <t>HN</t>
        </is>
      </c>
      <c r="E2172" s="3" t="inlineStr">
        <is>
          <t>Lan</t>
        </is>
      </c>
      <c r="F2172" s="3" t="inlineStr">
        <is>
          <t>Shopee</t>
        </is>
      </c>
      <c r="G2172" s="4" t="inlineStr">
        <is>
          <t>SHOPEE: https://shopee.vn/dienmay_ct24h TIKTOK: LAZADA: WEBSITE BÁN HÀNG:</t>
        </is>
      </c>
      <c r="H2172" s="3" t="inlineStr">
        <is>
          <t>800-1000A</t>
        </is>
      </c>
      <c r="I2172" s="4" t="inlineStr">
        <is>
          <t>Kìm hàn  KCH-800  (800-1000A)</t>
        </is>
      </c>
      <c r="J2172" s="3" t="inlineStr">
        <is>
          <t>Cái</t>
        </is>
      </c>
      <c r="K2172" s="5" t="n">
        <v>269000</v>
      </c>
      <c r="L2172" s="5" t="n">
        <v>317000</v>
      </c>
      <c r="M2172" s="6" t="n">
        <v>390000</v>
      </c>
      <c r="N2172" s="5" t="n"/>
      <c r="O2172" s="5">
        <f>IF(AND(ISNUMBER(N2172),ISNUMBER(M2172)),N2172-M2172,"")</f>
        <v/>
      </c>
      <c r="P2172" s="7">
        <f>IF(AND(ISNUMBER(N2172),ISNUMBER(M2172),M2172&gt;0),(N2172-M2172)/M2172,"")</f>
        <v/>
      </c>
      <c r="Q2172" s="3">
        <f>IF(P2172="","",IF(P2172&lt;-0.02,"🔴 Bán phá giá sàn",IF(P2172&gt;0.05,"🔵 Bán cao hơn","🟢 Đúng giá sàn TMĐT")))</f>
        <v/>
      </c>
      <c r="R2172" s="3" t="n"/>
      <c r="S2172" s="4" t="n"/>
      <c r="T2172" s="4" t="n"/>
    </row>
    <row r="2173">
      <c r="A2173" s="3" t="n">
        <v>2172</v>
      </c>
      <c r="B2173" s="3" t="inlineStr">
        <is>
          <t>DL021</t>
        </is>
      </c>
      <c r="C2173" s="4" t="inlineStr">
        <is>
          <t>Điện Máy Châu Trưởng</t>
        </is>
      </c>
      <c r="D2173" s="3" t="inlineStr">
        <is>
          <t>HN</t>
        </is>
      </c>
      <c r="E2173" s="3" t="inlineStr">
        <is>
          <t>Lan</t>
        </is>
      </c>
      <c r="F2173" s="3" t="inlineStr">
        <is>
          <t>Shopee</t>
        </is>
      </c>
      <c r="G2173" s="4" t="inlineStr">
        <is>
          <t>SHOPEE: https://shopee.vn/dienmay_ct24h TIKTOK: LAZADA: WEBSITE BÁN HÀNG:</t>
        </is>
      </c>
      <c r="H2173" s="3" t="inlineStr"/>
      <c r="I2173" s="4" t="inlineStr">
        <is>
          <t>Mũi đục bê tông KBVd-17*280*25</t>
        </is>
      </c>
      <c r="J2173" s="3" t="inlineStr">
        <is>
          <t>Cái</t>
        </is>
      </c>
      <c r="K2173" s="5" t="n">
        <v>269000</v>
      </c>
      <c r="L2173" s="5" t="n">
        <v>317000</v>
      </c>
      <c r="M2173" s="6" t="n">
        <v>390000</v>
      </c>
      <c r="N2173" s="5" t="n"/>
      <c r="O2173" s="5">
        <f>IF(AND(ISNUMBER(N2173),ISNUMBER(M2173)),N2173-M2173,"")</f>
        <v/>
      </c>
      <c r="P2173" s="7">
        <f>IF(AND(ISNUMBER(N2173),ISNUMBER(M2173),M2173&gt;0),(N2173-M2173)/M2173,"")</f>
        <v/>
      </c>
      <c r="Q2173" s="3">
        <f>IF(P2173="","",IF(P2173&lt;-0.02,"🔴 Bán phá giá sàn",IF(P2173&gt;0.05,"🔵 Bán cao hơn","🟢 Đúng giá sàn TMĐT")))</f>
        <v/>
      </c>
      <c r="R2173" s="3" t="n"/>
      <c r="S2173" s="4" t="n"/>
      <c r="T2173" s="4" t="n"/>
    </row>
    <row r="2174">
      <c r="A2174" s="3" t="n">
        <v>2173</v>
      </c>
      <c r="B2174" s="3" t="inlineStr">
        <is>
          <t>DL021</t>
        </is>
      </c>
      <c r="C2174" s="4" t="inlineStr">
        <is>
          <t>Điện Máy Châu Trưởng</t>
        </is>
      </c>
      <c r="D2174" s="3" t="inlineStr">
        <is>
          <t>HN</t>
        </is>
      </c>
      <c r="E2174" s="3" t="inlineStr">
        <is>
          <t>Lan</t>
        </is>
      </c>
      <c r="F2174" s="3" t="inlineStr">
        <is>
          <t>Shopee</t>
        </is>
      </c>
      <c r="G2174" s="4" t="inlineStr">
        <is>
          <t>SHOPEE: https://shopee.vn/dienmay_ct24h TIKTOK: LAZADA: WEBSITE BÁN HÀNG:</t>
        </is>
      </c>
      <c r="H2174" s="3" t="inlineStr"/>
      <c r="I2174" s="4" t="inlineStr">
        <is>
          <t>Mũi đục bê tông KBVn-17*280</t>
        </is>
      </c>
      <c r="J2174" s="3" t="inlineStr">
        <is>
          <t>Cái</t>
        </is>
      </c>
      <c r="K2174" s="5" t="n">
        <v>269000</v>
      </c>
      <c r="L2174" s="5" t="n">
        <v>317000</v>
      </c>
      <c r="M2174" s="6" t="n">
        <v>390000</v>
      </c>
      <c r="N2174" s="5" t="n"/>
      <c r="O2174" s="5">
        <f>IF(AND(ISNUMBER(N2174),ISNUMBER(M2174)),N2174-M2174,"")</f>
        <v/>
      </c>
      <c r="P2174" s="7">
        <f>IF(AND(ISNUMBER(N2174),ISNUMBER(M2174),M2174&gt;0),(N2174-M2174)/M2174,"")</f>
        <v/>
      </c>
      <c r="Q2174" s="3">
        <f>IF(P2174="","",IF(P2174&lt;-0.02,"🔴 Bán phá giá sàn",IF(P2174&gt;0.05,"🔵 Bán cao hơn","🟢 Đúng giá sàn TMĐT")))</f>
        <v/>
      </c>
      <c r="R2174" s="3" t="n"/>
      <c r="S2174" s="4" t="n"/>
      <c r="T2174" s="4" t="n"/>
    </row>
    <row r="2175">
      <c r="A2175" s="3" t="n">
        <v>2174</v>
      </c>
      <c r="B2175" s="3" t="inlineStr">
        <is>
          <t>DL021</t>
        </is>
      </c>
      <c r="C2175" s="4" t="inlineStr">
        <is>
          <t>Điện Máy Châu Trưởng</t>
        </is>
      </c>
      <c r="D2175" s="3" t="inlineStr">
        <is>
          <t>HN</t>
        </is>
      </c>
      <c r="E2175" s="3" t="inlineStr">
        <is>
          <t>Lan</t>
        </is>
      </c>
      <c r="F2175" s="3" t="inlineStr">
        <is>
          <t>Shopee</t>
        </is>
      </c>
      <c r="G2175" s="4" t="inlineStr">
        <is>
          <t>SHOPEE: https://shopee.vn/dienmay_ct24h TIKTOK: LAZADA: WEBSITE BÁN HÀNG:</t>
        </is>
      </c>
      <c r="H2175" s="3" t="inlineStr">
        <is>
          <t>KBL2-06110</t>
        </is>
      </c>
      <c r="I2175" s="4" t="inlineStr">
        <is>
          <t>Mũi khoan bê tông gài 2 cạnh KBL2-06*110</t>
        </is>
      </c>
      <c r="J2175" s="3" t="inlineStr">
        <is>
          <t>Cái</t>
        </is>
      </c>
      <c r="K2175" s="5" t="n">
        <v>20000</v>
      </c>
      <c r="L2175" s="5" t="n">
        <v>24000</v>
      </c>
      <c r="M2175" s="6" t="n">
        <v>31000</v>
      </c>
      <c r="N2175" s="5" t="n"/>
      <c r="O2175" s="5">
        <f>IF(AND(ISNUMBER(N2175),ISNUMBER(M2175)),N2175-M2175,"")</f>
        <v/>
      </c>
      <c r="P2175" s="7">
        <f>IF(AND(ISNUMBER(N2175),ISNUMBER(M2175),M2175&gt;0),(N2175-M2175)/M2175,"")</f>
        <v/>
      </c>
      <c r="Q2175" s="3">
        <f>IF(P2175="","",IF(P2175&lt;-0.02,"🔴 Bán phá giá sàn",IF(P2175&gt;0.05,"🔵 Bán cao hơn","🟢 Đúng giá sàn TMĐT")))</f>
        <v/>
      </c>
      <c r="R2175" s="3" t="n"/>
      <c r="S2175" s="4" t="n"/>
      <c r="T2175" s="4" t="n"/>
    </row>
    <row r="2176">
      <c r="A2176" s="3" t="n">
        <v>2175</v>
      </c>
      <c r="B2176" s="3" t="inlineStr">
        <is>
          <t>DL021</t>
        </is>
      </c>
      <c r="C2176" s="4" t="inlineStr">
        <is>
          <t>Điện Máy Châu Trưởng</t>
        </is>
      </c>
      <c r="D2176" s="3" t="inlineStr">
        <is>
          <t>HN</t>
        </is>
      </c>
      <c r="E2176" s="3" t="inlineStr">
        <is>
          <t>Lan</t>
        </is>
      </c>
      <c r="F2176" s="3" t="inlineStr">
        <is>
          <t>Shopee</t>
        </is>
      </c>
      <c r="G2176" s="4" t="inlineStr">
        <is>
          <t>SHOPEE: https://shopee.vn/dienmay_ct24h TIKTOK: LAZADA: WEBSITE BÁN HÀNG:</t>
        </is>
      </c>
      <c r="H2176" s="3" t="inlineStr">
        <is>
          <t>KBL2-08110</t>
        </is>
      </c>
      <c r="I2176" s="4" t="inlineStr">
        <is>
          <t>Mũi khoan bê tông gài 2 cạnh KBL2-08*110</t>
        </is>
      </c>
      <c r="J2176" s="3" t="inlineStr">
        <is>
          <t>Cái</t>
        </is>
      </c>
      <c r="K2176" s="5" t="n">
        <v>22000</v>
      </c>
      <c r="L2176" s="5" t="n">
        <v>27000</v>
      </c>
      <c r="M2176" s="6" t="n">
        <v>34000</v>
      </c>
      <c r="N2176" s="5" t="n"/>
      <c r="O2176" s="5">
        <f>IF(AND(ISNUMBER(N2176),ISNUMBER(M2176)),N2176-M2176,"")</f>
        <v/>
      </c>
      <c r="P2176" s="7">
        <f>IF(AND(ISNUMBER(N2176),ISNUMBER(M2176),M2176&gt;0),(N2176-M2176)/M2176,"")</f>
        <v/>
      </c>
      <c r="Q2176" s="3">
        <f>IF(P2176="","",IF(P2176&lt;-0.02,"🔴 Bán phá giá sàn",IF(P2176&gt;0.05,"🔵 Bán cao hơn","🟢 Đúng giá sàn TMĐT")))</f>
        <v/>
      </c>
      <c r="R2176" s="3" t="n"/>
      <c r="S2176" s="4" t="n"/>
      <c r="T2176" s="4" t="n"/>
    </row>
    <row r="2177">
      <c r="A2177" s="3" t="n">
        <v>2176</v>
      </c>
      <c r="B2177" s="3" t="inlineStr">
        <is>
          <t>DL021</t>
        </is>
      </c>
      <c r="C2177" s="4" t="inlineStr">
        <is>
          <t>Điện Máy Châu Trưởng</t>
        </is>
      </c>
      <c r="D2177" s="3" t="inlineStr">
        <is>
          <t>HN</t>
        </is>
      </c>
      <c r="E2177" s="3" t="inlineStr">
        <is>
          <t>Lan</t>
        </is>
      </c>
      <c r="F2177" s="3" t="inlineStr">
        <is>
          <t>Shopee</t>
        </is>
      </c>
      <c r="G2177" s="4" t="inlineStr">
        <is>
          <t>SHOPEE: https://shopee.vn/dienmay_ct24h TIKTOK: LAZADA: WEBSITE BÁN HÀNG:</t>
        </is>
      </c>
      <c r="H2177" s="3" t="inlineStr">
        <is>
          <t>KBH2F-0695</t>
        </is>
      </c>
      <c r="I2177" s="4" t="inlineStr">
        <is>
          <t>Mũi khoan ĐN lục giác 2 cạnh KBH2F-06*95</t>
        </is>
      </c>
      <c r="J2177" s="3" t="inlineStr">
        <is>
          <t>Cái</t>
        </is>
      </c>
      <c r="K2177" s="5" t="n">
        <v>26000</v>
      </c>
      <c r="L2177" s="5" t="n">
        <v>32000</v>
      </c>
      <c r="M2177" s="6" t="n">
        <v>42000</v>
      </c>
      <c r="N2177" s="5" t="n"/>
      <c r="O2177" s="5">
        <f>IF(AND(ISNUMBER(N2177),ISNUMBER(M2177)),N2177-M2177,"")</f>
        <v/>
      </c>
      <c r="P2177" s="7">
        <f>IF(AND(ISNUMBER(N2177),ISNUMBER(M2177),M2177&gt;0),(N2177-M2177)/M2177,"")</f>
        <v/>
      </c>
      <c r="Q2177" s="3">
        <f>IF(P2177="","",IF(P2177&lt;-0.02,"🔴 Bán phá giá sàn",IF(P2177&gt;0.05,"🔵 Bán cao hơn","🟢 Đúng giá sàn TMĐT")))</f>
        <v/>
      </c>
      <c r="R2177" s="3" t="n"/>
      <c r="S2177" s="4" t="n"/>
      <c r="T2177" s="4" t="n"/>
    </row>
    <row r="2178">
      <c r="A2178" s="3" t="n">
        <v>2177</v>
      </c>
      <c r="B2178" s="3" t="inlineStr">
        <is>
          <t>DL021</t>
        </is>
      </c>
      <c r="C2178" s="4" t="inlineStr">
        <is>
          <t>Điện Máy Châu Trưởng</t>
        </is>
      </c>
      <c r="D2178" s="3" t="inlineStr">
        <is>
          <t>HN</t>
        </is>
      </c>
      <c r="E2178" s="3" t="inlineStr">
        <is>
          <t>Lan</t>
        </is>
      </c>
      <c r="F2178" s="3" t="inlineStr">
        <is>
          <t>Shopee</t>
        </is>
      </c>
      <c r="G2178" s="4" t="inlineStr">
        <is>
          <t>SHOPEE: https://shopee.vn/dienmay_ct24h TIKTOK: LAZADA: WEBSITE BÁN HÀNG:</t>
        </is>
      </c>
      <c r="H2178" s="3" t="inlineStr">
        <is>
          <t>KBH2F-0895</t>
        </is>
      </c>
      <c r="I2178" s="4" t="inlineStr">
        <is>
          <t>Mũi khoan ĐN lục giác 2 cạnh KBH2F-08*95</t>
        </is>
      </c>
      <c r="J2178" s="3" t="inlineStr">
        <is>
          <t>Cái</t>
        </is>
      </c>
      <c r="K2178" s="5" t="n">
        <v>33000</v>
      </c>
      <c r="L2178" s="5" t="n">
        <v>41000</v>
      </c>
      <c r="M2178" s="6" t="n">
        <v>53000</v>
      </c>
      <c r="N2178" s="5" t="n"/>
      <c r="O2178" s="5">
        <f>IF(AND(ISNUMBER(N2178),ISNUMBER(M2178)),N2178-M2178,"")</f>
        <v/>
      </c>
      <c r="P2178" s="7">
        <f>IF(AND(ISNUMBER(N2178),ISNUMBER(M2178),M2178&gt;0),(N2178-M2178)/M2178,"")</f>
        <v/>
      </c>
      <c r="Q2178" s="3">
        <f>IF(P2178="","",IF(P2178&lt;-0.02,"🔴 Bán phá giá sàn",IF(P2178&gt;0.05,"🔵 Bán cao hơn","🟢 Đúng giá sàn TMĐT")))</f>
        <v/>
      </c>
      <c r="R2178" s="3" t="n"/>
      <c r="S2178" s="4" t="n"/>
      <c r="T2178" s="4" t="n"/>
    </row>
    <row r="2179">
      <c r="A2179" s="3" t="n">
        <v>2178</v>
      </c>
      <c r="B2179" s="3" t="inlineStr">
        <is>
          <t>DL021</t>
        </is>
      </c>
      <c r="C2179" s="4" t="inlineStr">
        <is>
          <t>Điện Máy Châu Trưởng</t>
        </is>
      </c>
      <c r="D2179" s="3" t="inlineStr">
        <is>
          <t>HN</t>
        </is>
      </c>
      <c r="E2179" s="3" t="inlineStr">
        <is>
          <t>Lan</t>
        </is>
      </c>
      <c r="F2179" s="3" t="inlineStr">
        <is>
          <t>Shopee</t>
        </is>
      </c>
      <c r="G2179" s="4" t="inlineStr">
        <is>
          <t>SHOPEE: https://shopee.vn/dienmay_ct24h TIKTOK: LAZADA: WEBSITE BÁN HÀNG:</t>
        </is>
      </c>
      <c r="H2179" s="3" t="inlineStr">
        <is>
          <t>KB848G</t>
        </is>
      </c>
      <c r="I2179" s="4" t="inlineStr">
        <is>
          <t>Siết tôn King Blue KB8*48G</t>
        </is>
      </c>
      <c r="J2179" s="3" t="inlineStr">
        <is>
          <t>Cái</t>
        </is>
      </c>
      <c r="K2179" s="5" t="n">
        <v>7500</v>
      </c>
      <c r="L2179" s="5" t="n">
        <v>10000</v>
      </c>
      <c r="M2179" s="6" t="n">
        <v>13000</v>
      </c>
      <c r="N2179" s="5" t="n"/>
      <c r="O2179" s="5">
        <f>IF(AND(ISNUMBER(N2179),ISNUMBER(M2179)),N2179-M2179,"")</f>
        <v/>
      </c>
      <c r="P2179" s="7">
        <f>IF(AND(ISNUMBER(N2179),ISNUMBER(M2179),M2179&gt;0),(N2179-M2179)/M2179,"")</f>
        <v/>
      </c>
      <c r="Q2179" s="3">
        <f>IF(P2179="","",IF(P2179&lt;-0.02,"🔴 Bán phá giá sàn",IF(P2179&gt;0.05,"🔵 Bán cao hơn","🟢 Đúng giá sàn TMĐT")))</f>
        <v/>
      </c>
      <c r="R2179" s="3" t="n"/>
      <c r="S2179" s="4" t="n"/>
      <c r="T2179" s="4" t="n"/>
    </row>
    <row r="2180">
      <c r="A2180" s="3" t="n">
        <v>2179</v>
      </c>
      <c r="B2180" s="3" t="inlineStr">
        <is>
          <t>DL021</t>
        </is>
      </c>
      <c r="C2180" s="4" t="inlineStr">
        <is>
          <t>Điện Máy Châu Trưởng</t>
        </is>
      </c>
      <c r="D2180" s="3" t="inlineStr">
        <is>
          <t>HN</t>
        </is>
      </c>
      <c r="E2180" s="3" t="inlineStr">
        <is>
          <t>Lan</t>
        </is>
      </c>
      <c r="F2180" s="3" t="inlineStr">
        <is>
          <t>Shopee</t>
        </is>
      </c>
      <c r="G2180" s="4" t="inlineStr">
        <is>
          <t>SHOPEE: https://shopee.vn/dienmay_ct24h TIKTOK: LAZADA: WEBSITE BÁN HÀNG:</t>
        </is>
      </c>
      <c r="H2180" s="3" t="inlineStr">
        <is>
          <t>TK-025</t>
        </is>
      </c>
      <c r="I2180" s="4" t="inlineStr">
        <is>
          <t>Thước kẹp panme TK-025</t>
        </is>
      </c>
      <c r="J2180" s="3" t="inlineStr">
        <is>
          <t>Cái</t>
        </is>
      </c>
      <c r="K2180" s="5" t="n">
        <v>396000</v>
      </c>
      <c r="L2180" s="5" t="n">
        <v>467000</v>
      </c>
      <c r="M2180" s="6" t="n">
        <v>574000</v>
      </c>
      <c r="N2180" s="5" t="n"/>
      <c r="O2180" s="5">
        <f>IF(AND(ISNUMBER(N2180),ISNUMBER(M2180)),N2180-M2180,"")</f>
        <v/>
      </c>
      <c r="P2180" s="7">
        <f>IF(AND(ISNUMBER(N2180),ISNUMBER(M2180),M2180&gt;0),(N2180-M2180)/M2180,"")</f>
        <v/>
      </c>
      <c r="Q2180" s="3">
        <f>IF(P2180="","",IF(P2180&lt;-0.02,"🔴 Bán phá giá sàn",IF(P2180&gt;0.05,"🔵 Bán cao hơn","🟢 Đúng giá sàn TMĐT")))</f>
        <v/>
      </c>
      <c r="R2180" s="3" t="n"/>
      <c r="S2180" s="4" t="n"/>
      <c r="T2180" s="4" t="n"/>
    </row>
    <row r="2181">
      <c r="A2181" s="3" t="n">
        <v>2180</v>
      </c>
      <c r="B2181" s="3" t="inlineStr">
        <is>
          <t>DL021</t>
        </is>
      </c>
      <c r="C2181" s="4" t="inlineStr">
        <is>
          <t>Điện Máy Châu Trưởng</t>
        </is>
      </c>
      <c r="D2181" s="3" t="inlineStr">
        <is>
          <t>HN</t>
        </is>
      </c>
      <c r="E2181" s="3" t="inlineStr">
        <is>
          <t>Lan</t>
        </is>
      </c>
      <c r="F2181" s="3" t="inlineStr">
        <is>
          <t>Shopee</t>
        </is>
      </c>
      <c r="G2181" s="4" t="inlineStr">
        <is>
          <t>SHOPEE: https://shopee.vn/dienmay_ct24h TIKTOK: LAZADA: WEBSITE BÁN HÀNG:</t>
        </is>
      </c>
      <c r="H2181" s="3" t="inlineStr">
        <is>
          <t>KB4x100</t>
        </is>
      </c>
      <c r="I2181" s="4" t="inlineStr">
        <is>
          <t>Vít KingBlue KB4x100</t>
        </is>
      </c>
      <c r="J2181" s="3" t="inlineStr">
        <is>
          <t>Cái</t>
        </is>
      </c>
      <c r="K2181" s="5" t="n">
        <v>11000</v>
      </c>
      <c r="L2181" s="5" t="n">
        <v>14000</v>
      </c>
      <c r="M2181" s="6" t="n">
        <v>18000</v>
      </c>
      <c r="N2181" s="5" t="n"/>
      <c r="O2181" s="5">
        <f>IF(AND(ISNUMBER(N2181),ISNUMBER(M2181)),N2181-M2181,"")</f>
        <v/>
      </c>
      <c r="P2181" s="7">
        <f>IF(AND(ISNUMBER(N2181),ISNUMBER(M2181),M2181&gt;0),(N2181-M2181)/M2181,"")</f>
        <v/>
      </c>
      <c r="Q2181" s="3">
        <f>IF(P2181="","",IF(P2181&lt;-0.02,"🔴 Bán phá giá sàn",IF(P2181&gt;0.05,"🔵 Bán cao hơn","🟢 Đúng giá sàn TMĐT")))</f>
        <v/>
      </c>
      <c r="R2181" s="3" t="n"/>
      <c r="S2181" s="4" t="n"/>
      <c r="T2181" s="4" t="n"/>
    </row>
    <row r="2182">
      <c r="A2182" s="3" t="n">
        <v>2181</v>
      </c>
      <c r="B2182" s="3" t="inlineStr">
        <is>
          <t>DL021</t>
        </is>
      </c>
      <c r="C2182" s="4" t="inlineStr">
        <is>
          <t>Điện Máy Châu Trưởng</t>
        </is>
      </c>
      <c r="D2182" s="3" t="inlineStr">
        <is>
          <t>HN</t>
        </is>
      </c>
      <c r="E2182" s="3" t="inlineStr">
        <is>
          <t>Lan</t>
        </is>
      </c>
      <c r="F2182" s="3" t="inlineStr">
        <is>
          <t>Shopee</t>
        </is>
      </c>
      <c r="G2182" s="4" t="inlineStr">
        <is>
          <t>SHOPEE: https://shopee.vn/dienmay_ct24h TIKTOK: LAZADA: WEBSITE BÁN HÀNG:</t>
        </is>
      </c>
      <c r="H2182" s="3" t="inlineStr">
        <is>
          <t>KB4x65S</t>
        </is>
      </c>
      <c r="I2182" s="4" t="inlineStr">
        <is>
          <t>Vít KingBlue KB4x65S</t>
        </is>
      </c>
      <c r="J2182" s="3" t="inlineStr">
        <is>
          <t>Cái</t>
        </is>
      </c>
      <c r="K2182" s="5" t="n">
        <v>11000</v>
      </c>
      <c r="L2182" s="5" t="n">
        <v>14000</v>
      </c>
      <c r="M2182" s="6" t="n">
        <v>18000</v>
      </c>
      <c r="N2182" s="5" t="n"/>
      <c r="O2182" s="5">
        <f>IF(AND(ISNUMBER(N2182),ISNUMBER(M2182)),N2182-M2182,"")</f>
        <v/>
      </c>
      <c r="P2182" s="7">
        <f>IF(AND(ISNUMBER(N2182),ISNUMBER(M2182),M2182&gt;0),(N2182-M2182)/M2182,"")</f>
        <v/>
      </c>
      <c r="Q2182" s="3">
        <f>IF(P2182="","",IF(P2182&lt;-0.02,"🔴 Bán phá giá sàn",IF(P2182&gt;0.05,"🔵 Bán cao hơn","🟢 Đúng giá sàn TMĐT")))</f>
        <v/>
      </c>
      <c r="R2182" s="3" t="n"/>
      <c r="S2182" s="4" t="n"/>
      <c r="T2182" s="4" t="n"/>
    </row>
    <row r="2183">
      <c r="A2183" s="3" t="n">
        <v>2182</v>
      </c>
      <c r="B2183" s="3" t="inlineStr">
        <is>
          <t>DL022</t>
        </is>
      </c>
      <c r="C2183" s="4" t="inlineStr">
        <is>
          <t>ĐL Đà Nẵng - Phú Vinh</t>
        </is>
      </c>
      <c r="D2183" s="3" t="inlineStr">
        <is>
          <t>Đà Nẵng</t>
        </is>
      </c>
      <c r="E2183" s="3" t="inlineStr">
        <is>
          <t>THÙY TRANG</t>
        </is>
      </c>
      <c r="F2183" s="3" t="inlineStr">
        <is>
          <t>Shopee, Tiktok</t>
        </is>
      </c>
      <c r="G218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3" s="3" t="inlineStr">
        <is>
          <t>T9100E</t>
        </is>
      </c>
      <c r="I2183" s="4" t="inlineStr">
        <is>
          <t>Bộ đầu hoa thị T9100E</t>
        </is>
      </c>
      <c r="J2183" s="3" t="inlineStr">
        <is>
          <t>Bộ</t>
        </is>
      </c>
      <c r="K2183" s="5" t="n">
        <v>86000</v>
      </c>
      <c r="L2183" s="5" t="n">
        <v>108000</v>
      </c>
      <c r="M2183" s="6" t="n">
        <v>142000</v>
      </c>
      <c r="N2183" s="5" t="n"/>
      <c r="O2183" s="5">
        <f>IF(AND(ISNUMBER(N2183),ISNUMBER(M2183)),N2183-M2183,"")</f>
        <v/>
      </c>
      <c r="P2183" s="7">
        <f>IF(AND(ISNUMBER(N2183),ISNUMBER(M2183),M2183&gt;0),(N2183-M2183)/M2183,"")</f>
        <v/>
      </c>
      <c r="Q2183" s="3">
        <f>IF(P2183="","",IF(P2183&lt;-0.02,"🔴 Bán phá giá sàn",IF(P2183&gt;0.05,"🔵 Bán cao hơn","🟢 Đúng giá sàn TMĐT")))</f>
        <v/>
      </c>
      <c r="R2183" s="3" t="n"/>
      <c r="S2183" s="4" t="n"/>
      <c r="T2183" s="4" t="n"/>
    </row>
    <row r="2184">
      <c r="A2184" s="3" t="n">
        <v>2183</v>
      </c>
      <c r="B2184" s="3" t="inlineStr">
        <is>
          <t>DL022</t>
        </is>
      </c>
      <c r="C2184" s="4" t="inlineStr">
        <is>
          <t>ĐL Đà Nẵng - Phú Vinh</t>
        </is>
      </c>
      <c r="D2184" s="3" t="inlineStr">
        <is>
          <t>Đà Nẵng</t>
        </is>
      </c>
      <c r="E2184" s="3" t="inlineStr">
        <is>
          <t>THÙY TRANG</t>
        </is>
      </c>
      <c r="F2184" s="3" t="inlineStr">
        <is>
          <t>Shopee, Tiktok</t>
        </is>
      </c>
      <c r="G218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4" s="3" t="inlineStr">
        <is>
          <t>L8100E</t>
        </is>
      </c>
      <c r="I2184" s="4" t="inlineStr">
        <is>
          <t>Bộ đầu lục giác L8100E</t>
        </is>
      </c>
      <c r="J2184" s="3" t="inlineStr">
        <is>
          <t>Bộ</t>
        </is>
      </c>
      <c r="K2184" s="5" t="n">
        <v>86000</v>
      </c>
      <c r="L2184" s="5" t="n">
        <v>108000</v>
      </c>
      <c r="M2184" s="6" t="n">
        <v>142000</v>
      </c>
      <c r="N2184" s="5" t="n"/>
      <c r="O2184" s="5">
        <f>IF(AND(ISNUMBER(N2184),ISNUMBER(M2184)),N2184-M2184,"")</f>
        <v/>
      </c>
      <c r="P2184" s="7">
        <f>IF(AND(ISNUMBER(N2184),ISNUMBER(M2184),M2184&gt;0),(N2184-M2184)/M2184,"")</f>
        <v/>
      </c>
      <c r="Q2184" s="3">
        <f>IF(P2184="","",IF(P2184&lt;-0.02,"🔴 Bán phá giá sàn",IF(P2184&gt;0.05,"🔵 Bán cao hơn","🟢 Đúng giá sàn TMĐT")))</f>
        <v/>
      </c>
      <c r="R2184" s="3" t="n"/>
      <c r="S2184" s="4" t="n"/>
      <c r="T2184" s="4" t="n"/>
    </row>
    <row r="2185">
      <c r="A2185" s="3" t="n">
        <v>2184</v>
      </c>
      <c r="B2185" s="3" t="inlineStr">
        <is>
          <t>DL022</t>
        </is>
      </c>
      <c r="C2185" s="4" t="inlineStr">
        <is>
          <t>ĐL Đà Nẵng - Phú Vinh</t>
        </is>
      </c>
      <c r="D2185" s="3" t="inlineStr">
        <is>
          <t>Đà Nẵng</t>
        </is>
      </c>
      <c r="E2185" s="3" t="inlineStr">
        <is>
          <t>THÙY TRANG</t>
        </is>
      </c>
      <c r="F2185" s="3" t="inlineStr">
        <is>
          <t>Shopee, Tiktok</t>
        </is>
      </c>
      <c r="G218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5" s="3" t="inlineStr">
        <is>
          <t>KL4-09</t>
        </is>
      </c>
      <c r="I2185" s="4" t="inlineStr">
        <is>
          <t>Bộ lục giác KL4-09 ( đầu bi)</t>
        </is>
      </c>
      <c r="J2185" s="3" t="inlineStr">
        <is>
          <t>Bộ</t>
        </is>
      </c>
      <c r="K2185" s="5" t="n">
        <v>132000</v>
      </c>
      <c r="L2185" s="5" t="n">
        <v>156000</v>
      </c>
      <c r="M2185" s="6" t="n">
        <v>191000</v>
      </c>
      <c r="N2185" s="5" t="n"/>
      <c r="O2185" s="5">
        <f>IF(AND(ISNUMBER(N2185),ISNUMBER(M2185)),N2185-M2185,"")</f>
        <v/>
      </c>
      <c r="P2185" s="7">
        <f>IF(AND(ISNUMBER(N2185),ISNUMBER(M2185),M2185&gt;0),(N2185-M2185)/M2185,"")</f>
        <v/>
      </c>
      <c r="Q2185" s="3">
        <f>IF(P2185="","",IF(P2185&lt;-0.02,"🔴 Bán phá giá sàn",IF(P2185&gt;0.05,"🔵 Bán cao hơn","🟢 Đúng giá sàn TMĐT")))</f>
        <v/>
      </c>
      <c r="R2185" s="3" t="n"/>
      <c r="S2185" s="4" t="n"/>
      <c r="T2185" s="4" t="n"/>
    </row>
    <row r="2186">
      <c r="A2186" s="3" t="n">
        <v>2185</v>
      </c>
      <c r="B2186" s="3" t="inlineStr">
        <is>
          <t>DL022</t>
        </is>
      </c>
      <c r="C2186" s="4" t="inlineStr">
        <is>
          <t>ĐL Đà Nẵng - Phú Vinh</t>
        </is>
      </c>
      <c r="D2186" s="3" t="inlineStr">
        <is>
          <t>Đà Nẵng</t>
        </is>
      </c>
      <c r="E2186" s="3" t="inlineStr">
        <is>
          <t>THÙY TRANG</t>
        </is>
      </c>
      <c r="F2186" s="3" t="inlineStr">
        <is>
          <t>Shopee, Tiktok</t>
        </is>
      </c>
      <c r="G218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6" s="3" t="inlineStr">
        <is>
          <t>KL5-09</t>
        </is>
      </c>
      <c r="I2186" s="4" t="inlineStr">
        <is>
          <t>Bộ lục giác KL5-09 ( đầu bi)</t>
        </is>
      </c>
      <c r="J2186" s="3" t="inlineStr">
        <is>
          <t>Cái</t>
        </is>
      </c>
      <c r="K2186" s="5" t="n">
        <v>269000</v>
      </c>
      <c r="L2186" s="5" t="n">
        <v>317000</v>
      </c>
      <c r="M2186" s="6" t="n">
        <v>390000</v>
      </c>
      <c r="N2186" s="5" t="n"/>
      <c r="O2186" s="5">
        <f>IF(AND(ISNUMBER(N2186),ISNUMBER(M2186)),N2186-M2186,"")</f>
        <v/>
      </c>
      <c r="P2186" s="7">
        <f>IF(AND(ISNUMBER(N2186),ISNUMBER(M2186),M2186&gt;0),(N2186-M2186)/M2186,"")</f>
        <v/>
      </c>
      <c r="Q2186" s="3">
        <f>IF(P2186="","",IF(P2186&lt;-0.02,"🔴 Bán phá giá sàn",IF(P2186&gt;0.05,"🔵 Bán cao hơn","🟢 Đúng giá sàn TMĐT")))</f>
        <v/>
      </c>
      <c r="R2186" s="3" t="n"/>
      <c r="S2186" s="4" t="n"/>
      <c r="T2186" s="4" t="n"/>
    </row>
    <row r="2187">
      <c r="A2187" s="3" t="n">
        <v>2186</v>
      </c>
      <c r="B2187" s="3" t="inlineStr">
        <is>
          <t>DL022</t>
        </is>
      </c>
      <c r="C2187" s="4" t="inlineStr">
        <is>
          <t>ĐL Đà Nẵng - Phú Vinh</t>
        </is>
      </c>
      <c r="D2187" s="3" t="inlineStr">
        <is>
          <t>Đà Nẵng</t>
        </is>
      </c>
      <c r="E2187" s="3" t="inlineStr">
        <is>
          <t>THÙY TRANG</t>
        </is>
      </c>
      <c r="F2187" s="3" t="inlineStr">
        <is>
          <t>Shopee, Tiktok</t>
        </is>
      </c>
      <c r="G218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7" s="3" t="inlineStr">
        <is>
          <t>KL7-09</t>
        </is>
      </c>
      <c r="I2187" s="4" t="inlineStr">
        <is>
          <t>Bộ lục giác KL7-09 ( đầu bi)</t>
        </is>
      </c>
      <c r="J2187" s="3" t="inlineStr">
        <is>
          <t>Cái</t>
        </is>
      </c>
      <c r="K2187" s="5" t="n">
        <v>269000</v>
      </c>
      <c r="L2187" s="5" t="n">
        <v>317000</v>
      </c>
      <c r="M2187" s="6" t="n">
        <v>390000</v>
      </c>
      <c r="N2187" s="5" t="n"/>
      <c r="O2187" s="5">
        <f>IF(AND(ISNUMBER(N2187),ISNUMBER(M2187)),N2187-M2187,"")</f>
        <v/>
      </c>
      <c r="P2187" s="7">
        <f>IF(AND(ISNUMBER(N2187),ISNUMBER(M2187),M2187&gt;0),(N2187-M2187)/M2187,"")</f>
        <v/>
      </c>
      <c r="Q2187" s="3">
        <f>IF(P2187="","",IF(P2187&lt;-0.02,"🔴 Bán phá giá sàn",IF(P2187&gt;0.05,"🔵 Bán cao hơn","🟢 Đúng giá sàn TMĐT")))</f>
        <v/>
      </c>
      <c r="R2187" s="3" t="n"/>
      <c r="S2187" s="4" t="n"/>
      <c r="T2187" s="4" t="n"/>
    </row>
    <row r="2188">
      <c r="A2188" s="3" t="n">
        <v>2187</v>
      </c>
      <c r="B2188" s="3" t="inlineStr">
        <is>
          <t>DL022</t>
        </is>
      </c>
      <c r="C2188" s="4" t="inlineStr">
        <is>
          <t>ĐL Đà Nẵng - Phú Vinh</t>
        </is>
      </c>
      <c r="D2188" s="3" t="inlineStr">
        <is>
          <t>Đà Nẵng</t>
        </is>
      </c>
      <c r="E2188" s="3" t="inlineStr">
        <is>
          <t>THÙY TRANG</t>
        </is>
      </c>
      <c r="F2188" s="3" t="inlineStr">
        <is>
          <t>Shopee, Tiktok</t>
        </is>
      </c>
      <c r="G218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8" s="3" t="inlineStr">
        <is>
          <t>KL9-09</t>
        </is>
      </c>
      <c r="I2188" s="4" t="inlineStr">
        <is>
          <t>Bộ lục giác KL9-09 (đầu hoa thị)</t>
        </is>
      </c>
      <c r="J2188" s="3" t="inlineStr">
        <is>
          <t>Cái</t>
        </is>
      </c>
      <c r="K2188" s="5" t="n">
        <v>269000</v>
      </c>
      <c r="L2188" s="5" t="n">
        <v>317000</v>
      </c>
      <c r="M2188" s="6" t="n">
        <v>390000</v>
      </c>
      <c r="N2188" s="5" t="n"/>
      <c r="O2188" s="5">
        <f>IF(AND(ISNUMBER(N2188),ISNUMBER(M2188)),N2188-M2188,"")</f>
        <v/>
      </c>
      <c r="P2188" s="7">
        <f>IF(AND(ISNUMBER(N2188),ISNUMBER(M2188),M2188&gt;0),(N2188-M2188)/M2188,"")</f>
        <v/>
      </c>
      <c r="Q2188" s="3">
        <f>IF(P2188="","",IF(P2188&lt;-0.02,"🔴 Bán phá giá sàn",IF(P2188&gt;0.05,"🔵 Bán cao hơn","🟢 Đúng giá sàn TMĐT")))</f>
        <v/>
      </c>
      <c r="R2188" s="3" t="n"/>
      <c r="S2188" s="4" t="n"/>
      <c r="T2188" s="4" t="n"/>
    </row>
    <row r="2189">
      <c r="A2189" s="3" t="n">
        <v>2188</v>
      </c>
      <c r="B2189" s="3" t="inlineStr">
        <is>
          <t>DL022</t>
        </is>
      </c>
      <c r="C2189" s="4" t="inlineStr">
        <is>
          <t>ĐL Đà Nẵng - Phú Vinh</t>
        </is>
      </c>
      <c r="D2189" s="3" t="inlineStr">
        <is>
          <t>Đà Nẵng</t>
        </is>
      </c>
      <c r="E2189" s="3" t="inlineStr">
        <is>
          <t>THÙY TRANG</t>
        </is>
      </c>
      <c r="F2189" s="3" t="inlineStr">
        <is>
          <t>Shopee, Tiktok</t>
        </is>
      </c>
      <c r="G218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89" s="3" t="inlineStr">
        <is>
          <t>KBY1-B10</t>
        </is>
      </c>
      <c r="I2189" s="4" t="inlineStr">
        <is>
          <t>Bộ mũi khoan thép Kingblue KBY1-B10</t>
        </is>
      </c>
      <c r="J2189" s="3" t="inlineStr">
        <is>
          <t>Bộ</t>
        </is>
      </c>
      <c r="K2189" s="5" t="n">
        <v>244000</v>
      </c>
      <c r="L2189" s="5" t="n">
        <v>302000</v>
      </c>
      <c r="M2189" s="6" t="n">
        <v>390000</v>
      </c>
      <c r="N2189" s="5" t="n"/>
      <c r="O2189" s="5">
        <f>IF(AND(ISNUMBER(N2189),ISNUMBER(M2189)),N2189-M2189,"")</f>
        <v/>
      </c>
      <c r="P2189" s="7">
        <f>IF(AND(ISNUMBER(N2189),ISNUMBER(M2189),M2189&gt;0),(N2189-M2189)/M2189,"")</f>
        <v/>
      </c>
      <c r="Q2189" s="3">
        <f>IF(P2189="","",IF(P2189&lt;-0.02,"🔴 Bán phá giá sàn",IF(P2189&gt;0.05,"🔵 Bán cao hơn","🟢 Đúng giá sàn TMĐT")))</f>
        <v/>
      </c>
      <c r="R2189" s="3" t="n"/>
      <c r="S2189" s="4" t="n"/>
      <c r="T2189" s="4" t="n"/>
    </row>
    <row r="2190">
      <c r="A2190" s="3" t="n">
        <v>2189</v>
      </c>
      <c r="B2190" s="3" t="inlineStr">
        <is>
          <t>DL022</t>
        </is>
      </c>
      <c r="C2190" s="4" t="inlineStr">
        <is>
          <t>ĐL Đà Nẵng - Phú Vinh</t>
        </is>
      </c>
      <c r="D2190" s="3" t="inlineStr">
        <is>
          <t>Đà Nẵng</t>
        </is>
      </c>
      <c r="E2190" s="3" t="inlineStr">
        <is>
          <t>THÙY TRANG</t>
        </is>
      </c>
      <c r="F2190" s="3" t="inlineStr">
        <is>
          <t>Shopee, Tiktok</t>
        </is>
      </c>
      <c r="G219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0" s="3" t="inlineStr">
        <is>
          <t>KBY1-B13</t>
        </is>
      </c>
      <c r="I2190" s="4" t="inlineStr">
        <is>
          <t>Bộ mũi khoan thép Kingblue KBY1-B13</t>
        </is>
      </c>
      <c r="J2190" s="3" t="inlineStr">
        <is>
          <t>Bộ</t>
        </is>
      </c>
      <c r="K2190" s="5" t="n">
        <v>199000</v>
      </c>
      <c r="L2190" s="5" t="n">
        <v>247000</v>
      </c>
      <c r="M2190" s="6" t="n">
        <v>318000</v>
      </c>
      <c r="N2190" s="5" t="n"/>
      <c r="O2190" s="5">
        <f>IF(AND(ISNUMBER(N2190),ISNUMBER(M2190)),N2190-M2190,"")</f>
        <v/>
      </c>
      <c r="P2190" s="7">
        <f>IF(AND(ISNUMBER(N2190),ISNUMBER(M2190),M2190&gt;0),(N2190-M2190)/M2190,"")</f>
        <v/>
      </c>
      <c r="Q2190" s="3">
        <f>IF(P2190="","",IF(P2190&lt;-0.02,"🔴 Bán phá giá sàn",IF(P2190&gt;0.05,"🔵 Bán cao hơn","🟢 Đúng giá sàn TMĐT")))</f>
        <v/>
      </c>
      <c r="R2190" s="3" t="n"/>
      <c r="S2190" s="4" t="n"/>
      <c r="T2190" s="4" t="n"/>
    </row>
    <row r="2191">
      <c r="A2191" s="3" t="n">
        <v>2190</v>
      </c>
      <c r="B2191" s="3" t="inlineStr">
        <is>
          <t>DL022</t>
        </is>
      </c>
      <c r="C2191" s="4" t="inlineStr">
        <is>
          <t>ĐL Đà Nẵng - Phú Vinh</t>
        </is>
      </c>
      <c r="D2191" s="3" t="inlineStr">
        <is>
          <t>Đà Nẵng</t>
        </is>
      </c>
      <c r="E2191" s="3" t="inlineStr">
        <is>
          <t>THÙY TRANG</t>
        </is>
      </c>
      <c r="F2191" s="3" t="inlineStr">
        <is>
          <t>Shopee, Tiktok</t>
        </is>
      </c>
      <c r="G219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1" s="3" t="inlineStr">
        <is>
          <t>KLG12</t>
        </is>
      </c>
      <c r="I2191" s="4" t="inlineStr">
        <is>
          <t>Bộ tuýp cần tự động 12 chi tiết KLG12</t>
        </is>
      </c>
      <c r="J2191" s="3" t="inlineStr">
        <is>
          <t>Bộ</t>
        </is>
      </c>
      <c r="K2191" s="5" t="n">
        <v>424000</v>
      </c>
      <c r="L2191" s="5" t="n">
        <v>500000</v>
      </c>
      <c r="M2191" s="6" t="n">
        <v>615000</v>
      </c>
      <c r="N2191" s="5" t="n"/>
      <c r="O2191" s="5">
        <f>IF(AND(ISNUMBER(N2191),ISNUMBER(M2191)),N2191-M2191,"")</f>
        <v/>
      </c>
      <c r="P2191" s="7">
        <f>IF(AND(ISNUMBER(N2191),ISNUMBER(M2191),M2191&gt;0),(N2191-M2191)/M2191,"")</f>
        <v/>
      </c>
      <c r="Q2191" s="3">
        <f>IF(P2191="","",IF(P2191&lt;-0.02,"🔴 Bán phá giá sàn",IF(P2191&gt;0.05,"🔵 Bán cao hơn","🟢 Đúng giá sàn TMĐT")))</f>
        <v/>
      </c>
      <c r="R2191" s="3" t="n"/>
      <c r="S2191" s="4" t="n"/>
      <c r="T2191" s="4" t="n"/>
    </row>
    <row r="2192">
      <c r="A2192" s="3" t="n">
        <v>2191</v>
      </c>
      <c r="B2192" s="3" t="inlineStr">
        <is>
          <t>DL022</t>
        </is>
      </c>
      <c r="C2192" s="4" t="inlineStr">
        <is>
          <t>ĐL Đà Nẵng - Phú Vinh</t>
        </is>
      </c>
      <c r="D2192" s="3" t="inlineStr">
        <is>
          <t>Đà Nẵng</t>
        </is>
      </c>
      <c r="E2192" s="3" t="inlineStr">
        <is>
          <t>THÙY TRANG</t>
        </is>
      </c>
      <c r="F2192" s="3" t="inlineStr">
        <is>
          <t>Shopee, Tiktok</t>
        </is>
      </c>
      <c r="G219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2" s="3" t="inlineStr">
        <is>
          <t>KLG-12S</t>
        </is>
      </c>
      <c r="I2192" s="4" t="inlineStr">
        <is>
          <t>Bộ tuýp cần tự động 12 chi tiết KLG-12S</t>
        </is>
      </c>
      <c r="J2192" s="3" t="inlineStr">
        <is>
          <t>Cái</t>
        </is>
      </c>
      <c r="K2192" s="5" t="n">
        <v>269000</v>
      </c>
      <c r="L2192" s="5" t="n">
        <v>317000</v>
      </c>
      <c r="M2192" s="6" t="n">
        <v>390000</v>
      </c>
      <c r="N2192" s="5" t="n"/>
      <c r="O2192" s="5">
        <f>IF(AND(ISNUMBER(N2192),ISNUMBER(M2192)),N2192-M2192,"")</f>
        <v/>
      </c>
      <c r="P2192" s="7">
        <f>IF(AND(ISNUMBER(N2192),ISNUMBER(M2192),M2192&gt;0),(N2192-M2192)/M2192,"")</f>
        <v/>
      </c>
      <c r="Q2192" s="3">
        <f>IF(P2192="","",IF(P2192&lt;-0.02,"🔴 Bán phá giá sàn",IF(P2192&gt;0.05,"🔵 Bán cao hơn","🟢 Đúng giá sàn TMĐT")))</f>
        <v/>
      </c>
      <c r="R2192" s="3" t="n"/>
      <c r="S2192" s="4" t="n"/>
      <c r="T2192" s="4" t="n"/>
    </row>
    <row r="2193">
      <c r="A2193" s="3" t="n">
        <v>2192</v>
      </c>
      <c r="B2193" s="3" t="inlineStr">
        <is>
          <t>DL022</t>
        </is>
      </c>
      <c r="C2193" s="4" t="inlineStr">
        <is>
          <t>ĐL Đà Nẵng - Phú Vinh</t>
        </is>
      </c>
      <c r="D2193" s="3" t="inlineStr">
        <is>
          <t>Đà Nẵng</t>
        </is>
      </c>
      <c r="E2193" s="3" t="inlineStr">
        <is>
          <t>THÙY TRANG</t>
        </is>
      </c>
      <c r="F2193" s="3" t="inlineStr">
        <is>
          <t>Shopee, Tiktok</t>
        </is>
      </c>
      <c r="G219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3" s="3" t="inlineStr">
        <is>
          <t>KID160</t>
        </is>
      </c>
      <c r="I2193" s="4" t="inlineStr">
        <is>
          <t>Bút thử điện KID160</t>
        </is>
      </c>
      <c r="J2193" s="3" t="inlineStr">
        <is>
          <t>Cái</t>
        </is>
      </c>
      <c r="K2193" s="5" t="n">
        <v>43000</v>
      </c>
      <c r="L2193" s="5" t="n">
        <v>51000</v>
      </c>
      <c r="M2193" s="6" t="n">
        <v>62000</v>
      </c>
      <c r="N2193" s="5" t="n"/>
      <c r="O2193" s="5">
        <f>IF(AND(ISNUMBER(N2193),ISNUMBER(M2193)),N2193-M2193,"")</f>
        <v/>
      </c>
      <c r="P2193" s="7">
        <f>IF(AND(ISNUMBER(N2193),ISNUMBER(M2193),M2193&gt;0),(N2193-M2193)/M2193,"")</f>
        <v/>
      </c>
      <c r="Q2193" s="3">
        <f>IF(P2193="","",IF(P2193&lt;-0.02,"🔴 Bán phá giá sàn",IF(P2193&gt;0.05,"🔵 Bán cao hơn","🟢 Đúng giá sàn TMĐT")))</f>
        <v/>
      </c>
      <c r="R2193" s="3" t="n"/>
      <c r="S2193" s="4" t="n"/>
      <c r="T2193" s="4" t="n"/>
    </row>
    <row r="2194">
      <c r="A2194" s="3" t="n">
        <v>2193</v>
      </c>
      <c r="B2194" s="3" t="inlineStr">
        <is>
          <t>DL022</t>
        </is>
      </c>
      <c r="C2194" s="4" t="inlineStr">
        <is>
          <t>ĐL Đà Nẵng - Phú Vinh</t>
        </is>
      </c>
      <c r="D2194" s="3" t="inlineStr">
        <is>
          <t>Đà Nẵng</t>
        </is>
      </c>
      <c r="E2194" s="3" t="inlineStr">
        <is>
          <t>THÙY TRANG</t>
        </is>
      </c>
      <c r="F2194" s="3" t="inlineStr">
        <is>
          <t>Shopee, Tiktok</t>
        </is>
      </c>
      <c r="G219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4" s="3" t="inlineStr">
        <is>
          <t>KIE154</t>
        </is>
      </c>
      <c r="I2194" s="4" t="inlineStr">
        <is>
          <t>Bút thử điện KIE154</t>
        </is>
      </c>
      <c r="J2194" s="3" t="inlineStr">
        <is>
          <t>Cái</t>
        </is>
      </c>
      <c r="K2194" s="5" t="n">
        <v>61000</v>
      </c>
      <c r="L2194" s="5" t="n">
        <v>72000</v>
      </c>
      <c r="M2194" s="6" t="n">
        <v>89000</v>
      </c>
      <c r="N2194" s="5" t="n"/>
      <c r="O2194" s="5">
        <f>IF(AND(ISNUMBER(N2194),ISNUMBER(M2194)),N2194-M2194,"")</f>
        <v/>
      </c>
      <c r="P2194" s="7">
        <f>IF(AND(ISNUMBER(N2194),ISNUMBER(M2194),M2194&gt;0),(N2194-M2194)/M2194,"")</f>
        <v/>
      </c>
      <c r="Q2194" s="3">
        <f>IF(P2194="","",IF(P2194&lt;-0.02,"🔴 Bán phá giá sàn",IF(P2194&gt;0.05,"🔵 Bán cao hơn","🟢 Đúng giá sàn TMĐT")))</f>
        <v/>
      </c>
      <c r="R2194" s="3" t="n"/>
      <c r="S2194" s="4" t="n"/>
      <c r="T2194" s="4" t="n"/>
    </row>
    <row r="2195">
      <c r="A2195" s="3" t="n">
        <v>2194</v>
      </c>
      <c r="B2195" s="3" t="inlineStr">
        <is>
          <t>DL022</t>
        </is>
      </c>
      <c r="C2195" s="4" t="inlineStr">
        <is>
          <t>ĐL Đà Nẵng - Phú Vinh</t>
        </is>
      </c>
      <c r="D2195" s="3" t="inlineStr">
        <is>
          <t>Đà Nẵng</t>
        </is>
      </c>
      <c r="E2195" s="3" t="inlineStr">
        <is>
          <t>THÙY TRANG</t>
        </is>
      </c>
      <c r="F2195" s="3" t="inlineStr">
        <is>
          <t>Shopee, Tiktok</t>
        </is>
      </c>
      <c r="G219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5" s="3" t="inlineStr">
        <is>
          <t>KLG-01</t>
        </is>
      </c>
      <c r="I2195" s="4" t="inlineStr">
        <is>
          <t>Cần siết tự động 1/2 (72 răng) KLG-01</t>
        </is>
      </c>
      <c r="J2195" s="3" t="inlineStr">
        <is>
          <t>Cái</t>
        </is>
      </c>
      <c r="K2195" s="5" t="n">
        <v>160000</v>
      </c>
      <c r="L2195" s="5" t="n">
        <v>189000</v>
      </c>
      <c r="M2195" s="6" t="n">
        <v>232000</v>
      </c>
      <c r="N2195" s="5" t="n"/>
      <c r="O2195" s="5">
        <f>IF(AND(ISNUMBER(N2195),ISNUMBER(M2195)),N2195-M2195,"")</f>
        <v/>
      </c>
      <c r="P2195" s="7">
        <f>IF(AND(ISNUMBER(N2195),ISNUMBER(M2195),M2195&gt;0),(N2195-M2195)/M2195,"")</f>
        <v/>
      </c>
      <c r="Q2195" s="3">
        <f>IF(P2195="","",IF(P2195&lt;-0.02,"🔴 Bán phá giá sàn",IF(P2195&gt;0.05,"🔵 Bán cao hơn","🟢 Đúng giá sàn TMĐT")))</f>
        <v/>
      </c>
      <c r="R2195" s="3" t="n"/>
      <c r="S2195" s="4" t="n"/>
      <c r="T2195" s="4" t="n"/>
    </row>
    <row r="2196">
      <c r="A2196" s="3" t="n">
        <v>2195</v>
      </c>
      <c r="B2196" s="3" t="inlineStr">
        <is>
          <t>DL022</t>
        </is>
      </c>
      <c r="C2196" s="4" t="inlineStr">
        <is>
          <t>ĐL Đà Nẵng - Phú Vinh</t>
        </is>
      </c>
      <c r="D2196" s="3" t="inlineStr">
        <is>
          <t>Đà Nẵng</t>
        </is>
      </c>
      <c r="E2196" s="3" t="inlineStr">
        <is>
          <t>THÙY TRANG</t>
        </is>
      </c>
      <c r="F2196" s="3" t="inlineStr">
        <is>
          <t>Shopee, Tiktok</t>
        </is>
      </c>
      <c r="G219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6" s="3" t="inlineStr">
        <is>
          <t>KB-05X</t>
        </is>
      </c>
      <c r="I2196" s="4" t="inlineStr">
        <is>
          <t>Chân máy laser KB-05X</t>
        </is>
      </c>
      <c r="J2196" s="3" t="inlineStr">
        <is>
          <t>Cái</t>
        </is>
      </c>
      <c r="K2196" s="5" t="n">
        <v>1350000</v>
      </c>
      <c r="L2196" s="5" t="n">
        <v>1510000</v>
      </c>
      <c r="M2196" s="6" t="n">
        <v>1760000</v>
      </c>
      <c r="N2196" s="5" t="n"/>
      <c r="O2196" s="5">
        <f>IF(AND(ISNUMBER(N2196),ISNUMBER(M2196)),N2196-M2196,"")</f>
        <v/>
      </c>
      <c r="P2196" s="7">
        <f>IF(AND(ISNUMBER(N2196),ISNUMBER(M2196),M2196&gt;0),(N2196-M2196)/M2196,"")</f>
        <v/>
      </c>
      <c r="Q2196" s="3">
        <f>IF(P2196="","",IF(P2196&lt;-0.02,"🔴 Bán phá giá sàn",IF(P2196&gt;0.05,"🔵 Bán cao hơn","🟢 Đúng giá sàn TMĐT")))</f>
        <v/>
      </c>
      <c r="R2196" s="3" t="n"/>
      <c r="S2196" s="4" t="n"/>
      <c r="T2196" s="4" t="n"/>
    </row>
    <row r="2197">
      <c r="A2197" s="3" t="n">
        <v>2196</v>
      </c>
      <c r="B2197" s="3" t="inlineStr">
        <is>
          <t>DL022</t>
        </is>
      </c>
      <c r="C2197" s="4" t="inlineStr">
        <is>
          <t>ĐL Đà Nẵng - Phú Vinh</t>
        </is>
      </c>
      <c r="D2197" s="3" t="inlineStr">
        <is>
          <t>Đà Nẵng</t>
        </is>
      </c>
      <c r="E2197" s="3" t="inlineStr">
        <is>
          <t>THÙY TRANG</t>
        </is>
      </c>
      <c r="F2197" s="3" t="inlineStr">
        <is>
          <t>Shopee, Tiktok</t>
        </is>
      </c>
      <c r="G219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7" s="3" t="inlineStr">
        <is>
          <t>M1-110x5R</t>
        </is>
      </c>
      <c r="I2197" s="4" t="inlineStr">
        <is>
          <t>Chén mài Kingblue M1-110x5R (vàng)</t>
        </is>
      </c>
      <c r="J2197" s="3" t="inlineStr">
        <is>
          <t>Cái</t>
        </is>
      </c>
      <c r="K2197" s="5" t="n">
        <v>77000</v>
      </c>
      <c r="L2197" s="5" t="n">
        <v>91000</v>
      </c>
      <c r="M2197" s="6" t="n">
        <v>112000</v>
      </c>
      <c r="N2197" s="5" t="n"/>
      <c r="O2197" s="5">
        <f>IF(AND(ISNUMBER(N2197),ISNUMBER(M2197)),N2197-M2197,"")</f>
        <v/>
      </c>
      <c r="P2197" s="7">
        <f>IF(AND(ISNUMBER(N2197),ISNUMBER(M2197),M2197&gt;0),(N2197-M2197)/M2197,"")</f>
        <v/>
      </c>
      <c r="Q2197" s="3">
        <f>IF(P2197="","",IF(P2197&lt;-0.02,"🔴 Bán phá giá sàn",IF(P2197&gt;0.05,"🔵 Bán cao hơn","🟢 Đúng giá sàn TMĐT")))</f>
        <v/>
      </c>
      <c r="R2197" s="3" t="n"/>
      <c r="S2197" s="4" t="n"/>
      <c r="T2197" s="4" t="n"/>
    </row>
    <row r="2198">
      <c r="A2198" s="3" t="n">
        <v>2197</v>
      </c>
      <c r="B2198" s="3" t="inlineStr">
        <is>
          <t>DL022</t>
        </is>
      </c>
      <c r="C2198" s="4" t="inlineStr">
        <is>
          <t>ĐL Đà Nẵng - Phú Vinh</t>
        </is>
      </c>
      <c r="D2198" s="3" t="inlineStr">
        <is>
          <t>Đà Nẵng</t>
        </is>
      </c>
      <c r="E2198" s="3" t="inlineStr">
        <is>
          <t>THÙY TRANG</t>
        </is>
      </c>
      <c r="F2198" s="3" t="inlineStr">
        <is>
          <t>Shopee, Tiktok</t>
        </is>
      </c>
      <c r="G219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8" s="3" t="inlineStr">
        <is>
          <t>M1-125x5R</t>
        </is>
      </c>
      <c r="I2198" s="4" t="inlineStr">
        <is>
          <t>Chén mài Kingblue M1-125x5R (Vàng)</t>
        </is>
      </c>
      <c r="J2198" s="3" t="inlineStr">
        <is>
          <t>Cái</t>
        </is>
      </c>
      <c r="K2198" s="5" t="n">
        <v>110000</v>
      </c>
      <c r="L2198" s="5" t="n">
        <v>130000</v>
      </c>
      <c r="M2198" s="6" t="n">
        <v>160000</v>
      </c>
      <c r="N2198" s="5" t="n"/>
      <c r="O2198" s="5">
        <f>IF(AND(ISNUMBER(N2198),ISNUMBER(M2198)),N2198-M2198,"")</f>
        <v/>
      </c>
      <c r="P2198" s="7">
        <f>IF(AND(ISNUMBER(N2198),ISNUMBER(M2198),M2198&gt;0),(N2198-M2198)/M2198,"")</f>
        <v/>
      </c>
      <c r="Q2198" s="3">
        <f>IF(P2198="","",IF(P2198&lt;-0.02,"🔴 Bán phá giá sàn",IF(P2198&gt;0.05,"🔵 Bán cao hơn","🟢 Đúng giá sàn TMĐT")))</f>
        <v/>
      </c>
      <c r="R2198" s="3" t="n"/>
      <c r="S2198" s="4" t="n"/>
      <c r="T2198" s="4" t="n"/>
    </row>
    <row r="2199">
      <c r="A2199" s="3" t="n">
        <v>2198</v>
      </c>
      <c r="B2199" s="3" t="inlineStr">
        <is>
          <t>DL022</t>
        </is>
      </c>
      <c r="C2199" s="4" t="inlineStr">
        <is>
          <t>ĐL Đà Nẵng - Phú Vinh</t>
        </is>
      </c>
      <c r="D2199" s="3" t="inlineStr">
        <is>
          <t>Đà Nẵng</t>
        </is>
      </c>
      <c r="E2199" s="3" t="inlineStr">
        <is>
          <t>THÙY TRANG</t>
        </is>
      </c>
      <c r="F2199" s="3" t="inlineStr">
        <is>
          <t>Shopee, Tiktok</t>
        </is>
      </c>
      <c r="G219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199" s="3" t="inlineStr">
        <is>
          <t>M2-110x5R</t>
        </is>
      </c>
      <c r="I2199" s="4" t="inlineStr">
        <is>
          <t>Chén mài Kingblue M2-110x5R (xanh)</t>
        </is>
      </c>
      <c r="J2199" s="3" t="inlineStr">
        <is>
          <t>Cái</t>
        </is>
      </c>
      <c r="K2199" s="5" t="n">
        <v>92000</v>
      </c>
      <c r="L2199" s="5" t="n">
        <v>108000</v>
      </c>
      <c r="M2199" s="6" t="n">
        <v>133000</v>
      </c>
      <c r="N2199" s="5" t="n"/>
      <c r="O2199" s="5">
        <f>IF(AND(ISNUMBER(N2199),ISNUMBER(M2199)),N2199-M2199,"")</f>
        <v/>
      </c>
      <c r="P2199" s="7">
        <f>IF(AND(ISNUMBER(N2199),ISNUMBER(M2199),M2199&gt;0),(N2199-M2199)/M2199,"")</f>
        <v/>
      </c>
      <c r="Q2199" s="3">
        <f>IF(P2199="","",IF(P2199&lt;-0.02,"🔴 Bán phá giá sàn",IF(P2199&gt;0.05,"🔵 Bán cao hơn","🟢 Đúng giá sàn TMĐT")))</f>
        <v/>
      </c>
      <c r="R2199" s="3" t="n"/>
      <c r="S2199" s="4" t="n"/>
      <c r="T2199" s="4" t="n"/>
    </row>
    <row r="2200">
      <c r="A2200" s="3" t="n">
        <v>2199</v>
      </c>
      <c r="B2200" s="3" t="inlineStr">
        <is>
          <t>DL022</t>
        </is>
      </c>
      <c r="C2200" s="4" t="inlineStr">
        <is>
          <t>ĐL Đà Nẵng - Phú Vinh</t>
        </is>
      </c>
      <c r="D2200" s="3" t="inlineStr">
        <is>
          <t>Đà Nẵng</t>
        </is>
      </c>
      <c r="E2200" s="3" t="inlineStr">
        <is>
          <t>THÙY TRANG</t>
        </is>
      </c>
      <c r="F2200" s="3" t="inlineStr">
        <is>
          <t>Shopee, Tiktok</t>
        </is>
      </c>
      <c r="G220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0" s="3" t="inlineStr">
        <is>
          <t>MS-110x4R</t>
        </is>
      </c>
      <c r="I2200" s="4" t="inlineStr">
        <is>
          <t>Chén mài Kingblue MS-110x4R (đỏ)</t>
        </is>
      </c>
      <c r="J2200" s="3" t="inlineStr">
        <is>
          <t>Cái</t>
        </is>
      </c>
      <c r="K2200" s="5" t="n">
        <v>60000</v>
      </c>
      <c r="L2200" s="5" t="n">
        <v>71000</v>
      </c>
      <c r="M2200" s="6" t="n">
        <v>87000</v>
      </c>
      <c r="N2200" s="5" t="n"/>
      <c r="O2200" s="5">
        <f>IF(AND(ISNUMBER(N2200),ISNUMBER(M2200)),N2200-M2200,"")</f>
        <v/>
      </c>
      <c r="P2200" s="7">
        <f>IF(AND(ISNUMBER(N2200),ISNUMBER(M2200),M2200&gt;0),(N2200-M2200)/M2200,"")</f>
        <v/>
      </c>
      <c r="Q2200" s="3">
        <f>IF(P2200="","",IF(P2200&lt;-0.02,"🔴 Bán phá giá sàn",IF(P2200&gt;0.05,"🔵 Bán cao hơn","🟢 Đúng giá sàn TMĐT")))</f>
        <v/>
      </c>
      <c r="R2200" s="3" t="n"/>
      <c r="S2200" s="4" t="n"/>
      <c r="T2200" s="4" t="n"/>
    </row>
    <row r="2201">
      <c r="A2201" s="3" t="n">
        <v>2200</v>
      </c>
      <c r="B2201" s="3" t="inlineStr">
        <is>
          <t>DL022</t>
        </is>
      </c>
      <c r="C2201" s="4" t="inlineStr">
        <is>
          <t>ĐL Đà Nẵng - Phú Vinh</t>
        </is>
      </c>
      <c r="D2201" s="3" t="inlineStr">
        <is>
          <t>Đà Nẵng</t>
        </is>
      </c>
      <c r="E2201" s="3" t="inlineStr">
        <is>
          <t>THÙY TRANG</t>
        </is>
      </c>
      <c r="F2201" s="3" t="inlineStr">
        <is>
          <t>Shopee, Tiktok</t>
        </is>
      </c>
      <c r="G220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1" s="3" t="inlineStr">
        <is>
          <t>MS-125x4R</t>
        </is>
      </c>
      <c r="I2201" s="4" t="inlineStr">
        <is>
          <t>Chén mài Kingblue MS-125x4R (Đỏ)</t>
        </is>
      </c>
      <c r="J2201" s="3" t="inlineStr">
        <is>
          <t>Cái</t>
        </is>
      </c>
      <c r="K2201" s="5" t="n">
        <v>93000</v>
      </c>
      <c r="L2201" s="5" t="n">
        <v>110000</v>
      </c>
      <c r="M2201" s="6" t="n">
        <v>135000</v>
      </c>
      <c r="N2201" s="5" t="n"/>
      <c r="O2201" s="5">
        <f>IF(AND(ISNUMBER(N2201),ISNUMBER(M2201)),N2201-M2201,"")</f>
        <v/>
      </c>
      <c r="P2201" s="7">
        <f>IF(AND(ISNUMBER(N2201),ISNUMBER(M2201),M2201&gt;0),(N2201-M2201)/M2201,"")</f>
        <v/>
      </c>
      <c r="Q2201" s="3">
        <f>IF(P2201="","",IF(P2201&lt;-0.02,"🔴 Bán phá giá sàn",IF(P2201&gt;0.05,"🔵 Bán cao hơn","🟢 Đúng giá sàn TMĐT")))</f>
        <v/>
      </c>
      <c r="R2201" s="3" t="n"/>
      <c r="S2201" s="4" t="n"/>
      <c r="T2201" s="4" t="n"/>
    </row>
    <row r="2202">
      <c r="A2202" s="3" t="n">
        <v>2201</v>
      </c>
      <c r="B2202" s="3" t="inlineStr">
        <is>
          <t>DL022</t>
        </is>
      </c>
      <c r="C2202" s="4" t="inlineStr">
        <is>
          <t>ĐL Đà Nẵng - Phú Vinh</t>
        </is>
      </c>
      <c r="D2202" s="3" t="inlineStr">
        <is>
          <t>Đà Nẵng</t>
        </is>
      </c>
      <c r="E2202" s="3" t="inlineStr">
        <is>
          <t>THÙY TRANG</t>
        </is>
      </c>
      <c r="F2202" s="3" t="inlineStr">
        <is>
          <t>Shopee, Tiktok</t>
        </is>
      </c>
      <c r="G220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2" s="3" t="inlineStr">
        <is>
          <t>SDST-M22</t>
        </is>
      </c>
      <c r="I2202" s="4" t="inlineStr">
        <is>
          <t>Chuôi khoan rút lõi gài SDST-M22</t>
        </is>
      </c>
      <c r="J2202" s="3" t="inlineStr">
        <is>
          <t>Cái</t>
        </is>
      </c>
      <c r="K2202" s="5" t="n">
        <v>24000</v>
      </c>
      <c r="L2202" s="5" t="n">
        <v>30000</v>
      </c>
      <c r="M2202" s="6" t="n">
        <v>38000</v>
      </c>
      <c r="N2202" s="5" t="n"/>
      <c r="O2202" s="5">
        <f>IF(AND(ISNUMBER(N2202),ISNUMBER(M2202)),N2202-M2202,"")</f>
        <v/>
      </c>
      <c r="P2202" s="7">
        <f>IF(AND(ISNUMBER(N2202),ISNUMBER(M2202),M2202&gt;0),(N2202-M2202)/M2202,"")</f>
        <v/>
      </c>
      <c r="Q2202" s="3">
        <f>IF(P2202="","",IF(P2202&lt;-0.02,"🔴 Bán phá giá sàn",IF(P2202&gt;0.05,"🔵 Bán cao hơn","🟢 Đúng giá sàn TMĐT")))</f>
        <v/>
      </c>
      <c r="R2202" s="3" t="n"/>
      <c r="S2202" s="4" t="n"/>
      <c r="T2202" s="4" t="n"/>
    </row>
    <row r="2203">
      <c r="A2203" s="3" t="n">
        <v>2202</v>
      </c>
      <c r="B2203" s="3" t="inlineStr">
        <is>
          <t>DL022</t>
        </is>
      </c>
      <c r="C2203" s="4" t="inlineStr">
        <is>
          <t>ĐL Đà Nẵng - Phú Vinh</t>
        </is>
      </c>
      <c r="D2203" s="3" t="inlineStr">
        <is>
          <t>Đà Nẵng</t>
        </is>
      </c>
      <c r="E2203" s="3" t="inlineStr">
        <is>
          <t>THÙY TRANG</t>
        </is>
      </c>
      <c r="F2203" s="3" t="inlineStr">
        <is>
          <t>Shopee, Tiktok</t>
        </is>
      </c>
      <c r="G220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3" s="3" t="inlineStr">
        <is>
          <t>KH1-12</t>
        </is>
      </c>
      <c r="I2203" s="4" t="inlineStr">
        <is>
          <t>Cờ lê KH1-12</t>
        </is>
      </c>
      <c r="J2203" s="3" t="inlineStr">
        <is>
          <t>Cái</t>
        </is>
      </c>
      <c r="K2203" s="5" t="n">
        <v>26000</v>
      </c>
      <c r="L2203" s="5" t="n">
        <v>31000</v>
      </c>
      <c r="M2203" s="6" t="n">
        <v>38000</v>
      </c>
      <c r="N2203" s="5" t="n"/>
      <c r="O2203" s="5">
        <f>IF(AND(ISNUMBER(N2203),ISNUMBER(M2203)),N2203-M2203,"")</f>
        <v/>
      </c>
      <c r="P2203" s="7">
        <f>IF(AND(ISNUMBER(N2203),ISNUMBER(M2203),M2203&gt;0),(N2203-M2203)/M2203,"")</f>
        <v/>
      </c>
      <c r="Q2203" s="3">
        <f>IF(P2203="","",IF(P2203&lt;-0.02,"🔴 Bán phá giá sàn",IF(P2203&gt;0.05,"🔵 Bán cao hơn","🟢 Đúng giá sàn TMĐT")))</f>
        <v/>
      </c>
      <c r="R2203" s="3" t="n"/>
      <c r="S2203" s="4" t="n"/>
      <c r="T2203" s="4" t="n"/>
    </row>
    <row r="2204">
      <c r="A2204" s="3" t="n">
        <v>2203</v>
      </c>
      <c r="B2204" s="3" t="inlineStr">
        <is>
          <t>DL022</t>
        </is>
      </c>
      <c r="C2204" s="4" t="inlineStr">
        <is>
          <t>ĐL Đà Nẵng - Phú Vinh</t>
        </is>
      </c>
      <c r="D2204" s="3" t="inlineStr">
        <is>
          <t>Đà Nẵng</t>
        </is>
      </c>
      <c r="E2204" s="3" t="inlineStr">
        <is>
          <t>THÙY TRANG</t>
        </is>
      </c>
      <c r="F2204" s="3" t="inlineStr">
        <is>
          <t>Shopee, Tiktok</t>
        </is>
      </c>
      <c r="G220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4" s="3" t="inlineStr">
        <is>
          <t>KH1-14</t>
        </is>
      </c>
      <c r="I2204" s="4" t="inlineStr">
        <is>
          <t>Cờ lê KH1-14</t>
        </is>
      </c>
      <c r="J2204" s="3" t="inlineStr">
        <is>
          <t>Cái</t>
        </is>
      </c>
      <c r="K2204" s="5" t="n">
        <v>30000</v>
      </c>
      <c r="L2204" s="5" t="n">
        <v>36000</v>
      </c>
      <c r="M2204" s="6" t="n">
        <v>44000</v>
      </c>
      <c r="N2204" s="5" t="n"/>
      <c r="O2204" s="5">
        <f>IF(AND(ISNUMBER(N2204),ISNUMBER(M2204)),N2204-M2204,"")</f>
        <v/>
      </c>
      <c r="P2204" s="7">
        <f>IF(AND(ISNUMBER(N2204),ISNUMBER(M2204),M2204&gt;0),(N2204-M2204)/M2204,"")</f>
        <v/>
      </c>
      <c r="Q2204" s="3">
        <f>IF(P2204="","",IF(P2204&lt;-0.02,"🔴 Bán phá giá sàn",IF(P2204&gt;0.05,"🔵 Bán cao hơn","🟢 Đúng giá sàn TMĐT")))</f>
        <v/>
      </c>
      <c r="R2204" s="3" t="n"/>
      <c r="S2204" s="4" t="n"/>
      <c r="T2204" s="4" t="n"/>
    </row>
    <row r="2205">
      <c r="A2205" s="3" t="n">
        <v>2204</v>
      </c>
      <c r="B2205" s="3" t="inlineStr">
        <is>
          <t>DL022</t>
        </is>
      </c>
      <c r="C2205" s="4" t="inlineStr">
        <is>
          <t>ĐL Đà Nẵng - Phú Vinh</t>
        </is>
      </c>
      <c r="D2205" s="3" t="inlineStr">
        <is>
          <t>Đà Nẵng</t>
        </is>
      </c>
      <c r="E2205" s="3" t="inlineStr">
        <is>
          <t>THÙY TRANG</t>
        </is>
      </c>
      <c r="F2205" s="3" t="inlineStr">
        <is>
          <t>Shopee, Tiktok</t>
        </is>
      </c>
      <c r="G220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5" s="3" t="inlineStr">
        <is>
          <t>KH1-21</t>
        </is>
      </c>
      <c r="I2205" s="4" t="inlineStr">
        <is>
          <t>Cờ lê KH1-21</t>
        </is>
      </c>
      <c r="J2205" s="3" t="inlineStr">
        <is>
          <t>Cái</t>
        </is>
      </c>
      <c r="K2205" s="5" t="n">
        <v>57000</v>
      </c>
      <c r="L2205" s="5" t="n">
        <v>67000</v>
      </c>
      <c r="M2205" s="6" t="n">
        <v>83000</v>
      </c>
      <c r="N2205" s="5" t="n"/>
      <c r="O2205" s="5">
        <f>IF(AND(ISNUMBER(N2205),ISNUMBER(M2205)),N2205-M2205,"")</f>
        <v/>
      </c>
      <c r="P2205" s="7">
        <f>IF(AND(ISNUMBER(N2205),ISNUMBER(M2205),M2205&gt;0),(N2205-M2205)/M2205,"")</f>
        <v/>
      </c>
      <c r="Q2205" s="3">
        <f>IF(P2205="","",IF(P2205&lt;-0.02,"🔴 Bán phá giá sàn",IF(P2205&gt;0.05,"🔵 Bán cao hơn","🟢 Đúng giá sàn TMĐT")))</f>
        <v/>
      </c>
      <c r="R2205" s="3" t="n"/>
      <c r="S2205" s="4" t="n"/>
      <c r="T2205" s="4" t="n"/>
    </row>
    <row r="2206">
      <c r="A2206" s="3" t="n">
        <v>2205</v>
      </c>
      <c r="B2206" s="3" t="inlineStr">
        <is>
          <t>DL022</t>
        </is>
      </c>
      <c r="C2206" s="4" t="inlineStr">
        <is>
          <t>ĐL Đà Nẵng - Phú Vinh</t>
        </is>
      </c>
      <c r="D2206" s="3" t="inlineStr">
        <is>
          <t>Đà Nẵng</t>
        </is>
      </c>
      <c r="E2206" s="3" t="inlineStr">
        <is>
          <t>THÙY TRANG</t>
        </is>
      </c>
      <c r="F2206" s="3" t="inlineStr">
        <is>
          <t>Shopee, Tiktok</t>
        </is>
      </c>
      <c r="G220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6" s="3" t="inlineStr">
        <is>
          <t>KH1-22</t>
        </is>
      </c>
      <c r="I2206" s="4" t="inlineStr">
        <is>
          <t>Cờ lê KH1-22</t>
        </is>
      </c>
      <c r="J2206" s="3" t="inlineStr">
        <is>
          <t>Cái</t>
        </is>
      </c>
      <c r="K2206" s="5" t="n">
        <v>59000</v>
      </c>
      <c r="L2206" s="5" t="n">
        <v>70000</v>
      </c>
      <c r="M2206" s="6" t="n">
        <v>86000</v>
      </c>
      <c r="N2206" s="5" t="n"/>
      <c r="O2206" s="5">
        <f>IF(AND(ISNUMBER(N2206),ISNUMBER(M2206)),N2206-M2206,"")</f>
        <v/>
      </c>
      <c r="P2206" s="7">
        <f>IF(AND(ISNUMBER(N2206),ISNUMBER(M2206),M2206&gt;0),(N2206-M2206)/M2206,"")</f>
        <v/>
      </c>
      <c r="Q2206" s="3">
        <f>IF(P2206="","",IF(P2206&lt;-0.02,"🔴 Bán phá giá sàn",IF(P2206&gt;0.05,"🔵 Bán cao hơn","🟢 Đúng giá sàn TMĐT")))</f>
        <v/>
      </c>
      <c r="R2206" s="3" t="n"/>
      <c r="S2206" s="4" t="n"/>
      <c r="T2206" s="4" t="n"/>
    </row>
    <row r="2207">
      <c r="A2207" s="3" t="n">
        <v>2206</v>
      </c>
      <c r="B2207" s="3" t="inlineStr">
        <is>
          <t>DL022</t>
        </is>
      </c>
      <c r="C2207" s="4" t="inlineStr">
        <is>
          <t>ĐL Đà Nẵng - Phú Vinh</t>
        </is>
      </c>
      <c r="D2207" s="3" t="inlineStr">
        <is>
          <t>Đà Nẵng</t>
        </is>
      </c>
      <c r="E2207" s="3" t="inlineStr">
        <is>
          <t>THÙY TRANG</t>
        </is>
      </c>
      <c r="F2207" s="3" t="inlineStr">
        <is>
          <t>Shopee, Tiktok</t>
        </is>
      </c>
      <c r="G220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7" s="3" t="inlineStr">
        <is>
          <t>KH3-12</t>
        </is>
      </c>
      <c r="I2207" s="4" t="inlineStr">
        <is>
          <t>Cờ lê vòng miệng tự động ( càng cua đảo chiều) KH3-12</t>
        </is>
      </c>
      <c r="J2207" s="3" t="inlineStr">
        <is>
          <t>Cái</t>
        </is>
      </c>
      <c r="K2207" s="5" t="n">
        <v>70000</v>
      </c>
      <c r="L2207" s="5" t="n">
        <v>83000</v>
      </c>
      <c r="M2207" s="6" t="n">
        <v>102000</v>
      </c>
      <c r="N2207" s="5" t="n"/>
      <c r="O2207" s="5">
        <f>IF(AND(ISNUMBER(N2207),ISNUMBER(M2207)),N2207-M2207,"")</f>
        <v/>
      </c>
      <c r="P2207" s="7">
        <f>IF(AND(ISNUMBER(N2207),ISNUMBER(M2207),M2207&gt;0),(N2207-M2207)/M2207,"")</f>
        <v/>
      </c>
      <c r="Q2207" s="3">
        <f>IF(P2207="","",IF(P2207&lt;-0.02,"🔴 Bán phá giá sàn",IF(P2207&gt;0.05,"🔵 Bán cao hơn","🟢 Đúng giá sàn TMĐT")))</f>
        <v/>
      </c>
      <c r="R2207" s="3" t="n"/>
      <c r="S2207" s="4" t="n"/>
      <c r="T2207" s="4" t="n"/>
    </row>
    <row r="2208">
      <c r="A2208" s="3" t="n">
        <v>2207</v>
      </c>
      <c r="B2208" s="3" t="inlineStr">
        <is>
          <t>DL022</t>
        </is>
      </c>
      <c r="C2208" s="4" t="inlineStr">
        <is>
          <t>ĐL Đà Nẵng - Phú Vinh</t>
        </is>
      </c>
      <c r="D2208" s="3" t="inlineStr">
        <is>
          <t>Đà Nẵng</t>
        </is>
      </c>
      <c r="E2208" s="3" t="inlineStr">
        <is>
          <t>THÙY TRANG</t>
        </is>
      </c>
      <c r="F2208" s="3" t="inlineStr">
        <is>
          <t>Shopee, Tiktok</t>
        </is>
      </c>
      <c r="G220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8" s="3" t="inlineStr">
        <is>
          <t>KH3-14</t>
        </is>
      </c>
      <c r="I2208" s="4" t="inlineStr">
        <is>
          <t>Cờ lê vòng miệng tự động ( càng cua đảo chiều) KH3-14</t>
        </is>
      </c>
      <c r="J2208" s="3" t="inlineStr">
        <is>
          <t>Cái</t>
        </is>
      </c>
      <c r="K2208" s="5" t="n">
        <v>79000</v>
      </c>
      <c r="L2208" s="5" t="n">
        <v>93000</v>
      </c>
      <c r="M2208" s="6" t="n">
        <v>115000</v>
      </c>
      <c r="N2208" s="5" t="n"/>
      <c r="O2208" s="5">
        <f>IF(AND(ISNUMBER(N2208),ISNUMBER(M2208)),N2208-M2208,"")</f>
        <v/>
      </c>
      <c r="P2208" s="7">
        <f>IF(AND(ISNUMBER(N2208),ISNUMBER(M2208),M2208&gt;0),(N2208-M2208)/M2208,"")</f>
        <v/>
      </c>
      <c r="Q2208" s="3">
        <f>IF(P2208="","",IF(P2208&lt;-0.02,"🔴 Bán phá giá sàn",IF(P2208&gt;0.05,"🔵 Bán cao hơn","🟢 Đúng giá sàn TMĐT")))</f>
        <v/>
      </c>
      <c r="R2208" s="3" t="n"/>
      <c r="S2208" s="4" t="n"/>
      <c r="T2208" s="4" t="n"/>
    </row>
    <row r="2209">
      <c r="A2209" s="3" t="n">
        <v>2208</v>
      </c>
      <c r="B2209" s="3" t="inlineStr">
        <is>
          <t>DL022</t>
        </is>
      </c>
      <c r="C2209" s="4" t="inlineStr">
        <is>
          <t>ĐL Đà Nẵng - Phú Vinh</t>
        </is>
      </c>
      <c r="D2209" s="3" t="inlineStr">
        <is>
          <t>Đà Nẵng</t>
        </is>
      </c>
      <c r="E2209" s="3" t="inlineStr">
        <is>
          <t>THÙY TRANG</t>
        </is>
      </c>
      <c r="F2209" s="3" t="inlineStr">
        <is>
          <t>Shopee, Tiktok</t>
        </is>
      </c>
      <c r="G220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09" s="3" t="inlineStr">
        <is>
          <t>KH3-17</t>
        </is>
      </c>
      <c r="I2209" s="4" t="inlineStr">
        <is>
          <t>Cờ lê vòng miệng tự động ( càng cua đảo chiều) KH3-17</t>
        </is>
      </c>
      <c r="J2209" s="3" t="inlineStr">
        <is>
          <t>Cái</t>
        </is>
      </c>
      <c r="K2209" s="5" t="n">
        <v>97000</v>
      </c>
      <c r="L2209" s="5" t="n">
        <v>115000</v>
      </c>
      <c r="M2209" s="6" t="n">
        <v>141000</v>
      </c>
      <c r="N2209" s="5" t="n"/>
      <c r="O2209" s="5">
        <f>IF(AND(ISNUMBER(N2209),ISNUMBER(M2209)),N2209-M2209,"")</f>
        <v/>
      </c>
      <c r="P2209" s="7">
        <f>IF(AND(ISNUMBER(N2209),ISNUMBER(M2209),M2209&gt;0),(N2209-M2209)/M2209,"")</f>
        <v/>
      </c>
      <c r="Q2209" s="3">
        <f>IF(P2209="","",IF(P2209&lt;-0.02,"🔴 Bán phá giá sàn",IF(P2209&gt;0.05,"🔵 Bán cao hơn","🟢 Đúng giá sàn TMĐT")))</f>
        <v/>
      </c>
      <c r="R2209" s="3" t="n"/>
      <c r="S2209" s="4" t="n"/>
      <c r="T2209" s="4" t="n"/>
    </row>
    <row r="2210">
      <c r="A2210" s="3" t="n">
        <v>2209</v>
      </c>
      <c r="B2210" s="3" t="inlineStr">
        <is>
          <t>DL022</t>
        </is>
      </c>
      <c r="C2210" s="4" t="inlineStr">
        <is>
          <t>ĐL Đà Nẵng - Phú Vinh</t>
        </is>
      </c>
      <c r="D2210" s="3" t="inlineStr">
        <is>
          <t>Đà Nẵng</t>
        </is>
      </c>
      <c r="E2210" s="3" t="inlineStr">
        <is>
          <t>THÙY TRANG</t>
        </is>
      </c>
      <c r="F2210" s="3" t="inlineStr">
        <is>
          <t>Shopee, Tiktok</t>
        </is>
      </c>
      <c r="G221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0" s="3" t="inlineStr">
        <is>
          <t>KB-ST18</t>
        </is>
      </c>
      <c r="I2210" s="4" t="inlineStr">
        <is>
          <t>Công cụ đóng đinh bán tự động KB-ST18</t>
        </is>
      </c>
      <c r="J2210" s="3" t="inlineStr">
        <is>
          <t>Cái</t>
        </is>
      </c>
      <c r="K2210" s="5" t="n">
        <v>242000</v>
      </c>
      <c r="L2210" s="5" t="n">
        <v>286000</v>
      </c>
      <c r="M2210" s="6" t="n">
        <v>351000</v>
      </c>
      <c r="N2210" s="5" t="n"/>
      <c r="O2210" s="5">
        <f>IF(AND(ISNUMBER(N2210),ISNUMBER(M2210)),N2210-M2210,"")</f>
        <v/>
      </c>
      <c r="P2210" s="7">
        <f>IF(AND(ISNUMBER(N2210),ISNUMBER(M2210),M2210&gt;0),(N2210-M2210)/M2210,"")</f>
        <v/>
      </c>
      <c r="Q2210" s="3">
        <f>IF(P2210="","",IF(P2210&lt;-0.02,"🔴 Bán phá giá sàn",IF(P2210&gt;0.05,"🔵 Bán cao hơn","🟢 Đúng giá sàn TMĐT")))</f>
        <v/>
      </c>
      <c r="R2210" s="3" t="n"/>
      <c r="S2210" s="4" t="n"/>
      <c r="T2210" s="4" t="n"/>
    </row>
    <row r="2211">
      <c r="A2211" s="3" t="n">
        <v>2210</v>
      </c>
      <c r="B2211" s="3" t="inlineStr">
        <is>
          <t>DL022</t>
        </is>
      </c>
      <c r="C2211" s="4" t="inlineStr">
        <is>
          <t>ĐL Đà Nẵng - Phú Vinh</t>
        </is>
      </c>
      <c r="D2211" s="3" t="inlineStr">
        <is>
          <t>Đà Nẵng</t>
        </is>
      </c>
      <c r="E2211" s="3" t="inlineStr">
        <is>
          <t>THÙY TRANG</t>
        </is>
      </c>
      <c r="F2211" s="3" t="inlineStr">
        <is>
          <t>Shopee, Tiktok</t>
        </is>
      </c>
      <c r="G221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1" s="3" t="inlineStr">
        <is>
          <t>ES180i</t>
        </is>
      </c>
      <c r="I2211" s="4" t="inlineStr">
        <is>
          <t>Cưa gấp KingBlue ES180i</t>
        </is>
      </c>
      <c r="J2211" s="3" t="inlineStr">
        <is>
          <t>Cái</t>
        </is>
      </c>
      <c r="K2211" s="5" t="n">
        <v>139000</v>
      </c>
      <c r="L2211" s="5" t="n">
        <v>164000</v>
      </c>
      <c r="M2211" s="6" t="n">
        <v>202000</v>
      </c>
      <c r="N2211" s="5" t="n"/>
      <c r="O2211" s="5">
        <f>IF(AND(ISNUMBER(N2211),ISNUMBER(M2211)),N2211-M2211,"")</f>
        <v/>
      </c>
      <c r="P2211" s="7">
        <f>IF(AND(ISNUMBER(N2211),ISNUMBER(M2211),M2211&gt;0),(N2211-M2211)/M2211,"")</f>
        <v/>
      </c>
      <c r="Q2211" s="3">
        <f>IF(P2211="","",IF(P2211&lt;-0.02,"🔴 Bán phá giá sàn",IF(P2211&gt;0.05,"🔵 Bán cao hơn","🟢 Đúng giá sàn TMĐT")))</f>
        <v/>
      </c>
      <c r="R2211" s="3" t="n"/>
      <c r="S2211" s="4" t="n"/>
      <c r="T2211" s="4" t="n"/>
    </row>
    <row r="2212">
      <c r="A2212" s="3" t="n">
        <v>2211</v>
      </c>
      <c r="B2212" s="3" t="inlineStr">
        <is>
          <t>DL022</t>
        </is>
      </c>
      <c r="C2212" s="4" t="inlineStr">
        <is>
          <t>ĐL Đà Nẵng - Phú Vinh</t>
        </is>
      </c>
      <c r="D2212" s="3" t="inlineStr">
        <is>
          <t>Đà Nẵng</t>
        </is>
      </c>
      <c r="E2212" s="3" t="inlineStr">
        <is>
          <t>THÙY TRANG</t>
        </is>
      </c>
      <c r="F2212" s="3" t="inlineStr">
        <is>
          <t>Shopee, Tiktok</t>
        </is>
      </c>
      <c r="G221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2" s="3" t="inlineStr">
        <is>
          <t>KB-E350</t>
        </is>
      </c>
      <c r="I2212" s="4" t="inlineStr">
        <is>
          <t>Cưa KingBlue KB-E350</t>
        </is>
      </c>
      <c r="J2212" s="3" t="inlineStr">
        <is>
          <t>Cái</t>
        </is>
      </c>
      <c r="K2212" s="5" t="n">
        <v>242000</v>
      </c>
      <c r="L2212" s="5" t="n">
        <v>286000</v>
      </c>
      <c r="M2212" s="6" t="n">
        <v>351000</v>
      </c>
      <c r="N2212" s="5" t="n"/>
      <c r="O2212" s="5">
        <f>IF(AND(ISNUMBER(N2212),ISNUMBER(M2212)),N2212-M2212,"")</f>
        <v/>
      </c>
      <c r="P2212" s="7">
        <f>IF(AND(ISNUMBER(N2212),ISNUMBER(M2212),M2212&gt;0),(N2212-M2212)/M2212,"")</f>
        <v/>
      </c>
      <c r="Q2212" s="3">
        <f>IF(P2212="","",IF(P2212&lt;-0.02,"🔴 Bán phá giá sàn",IF(P2212&gt;0.05,"🔵 Bán cao hơn","🟢 Đúng giá sàn TMĐT")))</f>
        <v/>
      </c>
      <c r="R2212" s="3" t="n"/>
      <c r="S2212" s="4" t="n"/>
      <c r="T2212" s="4" t="n"/>
    </row>
    <row r="2213">
      <c r="A2213" s="3" t="n">
        <v>2212</v>
      </c>
      <c r="B2213" s="3" t="inlineStr">
        <is>
          <t>DL022</t>
        </is>
      </c>
      <c r="C2213" s="4" t="inlineStr">
        <is>
          <t>ĐL Đà Nẵng - Phú Vinh</t>
        </is>
      </c>
      <c r="D2213" s="3" t="inlineStr">
        <is>
          <t>Đà Nẵng</t>
        </is>
      </c>
      <c r="E2213" s="3" t="inlineStr">
        <is>
          <t>THÙY TRANG</t>
        </is>
      </c>
      <c r="F2213" s="3" t="inlineStr">
        <is>
          <t>Shopee, Tiktok</t>
        </is>
      </c>
      <c r="G221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3" s="3" t="inlineStr">
        <is>
          <t>D1-125x1.6</t>
        </is>
      </c>
      <c r="I2213" s="4" t="inlineStr">
        <is>
          <t>Đá cắt sắt, inox Kingblue D1-125x1.6 xanh</t>
        </is>
      </c>
      <c r="J2213" s="3" t="inlineStr">
        <is>
          <t>Cái</t>
        </is>
      </c>
      <c r="K2213" s="5" t="n">
        <v>8300</v>
      </c>
      <c r="L2213" s="5" t="n">
        <v>10400</v>
      </c>
      <c r="M2213" s="6" t="n">
        <v>13500</v>
      </c>
      <c r="N2213" s="5" t="n"/>
      <c r="O2213" s="5">
        <f>IF(AND(ISNUMBER(N2213),ISNUMBER(M2213)),N2213-M2213,"")</f>
        <v/>
      </c>
      <c r="P2213" s="7">
        <f>IF(AND(ISNUMBER(N2213),ISNUMBER(M2213),M2213&gt;0),(N2213-M2213)/M2213,"")</f>
        <v/>
      </c>
      <c r="Q2213" s="3">
        <f>IF(P2213="","",IF(P2213&lt;-0.02,"🔴 Bán phá giá sàn",IF(P2213&gt;0.05,"🔵 Bán cao hơn","🟢 Đúng giá sàn TMĐT")))</f>
        <v/>
      </c>
      <c r="R2213" s="3" t="n"/>
      <c r="S2213" s="4" t="n"/>
      <c r="T2213" s="4" t="n"/>
    </row>
    <row r="2214">
      <c r="A2214" s="3" t="n">
        <v>2213</v>
      </c>
      <c r="B2214" s="3" t="inlineStr">
        <is>
          <t>DL022</t>
        </is>
      </c>
      <c r="C2214" s="4" t="inlineStr">
        <is>
          <t>ĐL Đà Nẵng - Phú Vinh</t>
        </is>
      </c>
      <c r="D2214" s="3" t="inlineStr">
        <is>
          <t>Đà Nẵng</t>
        </is>
      </c>
      <c r="E2214" s="3" t="inlineStr">
        <is>
          <t>THÙY TRANG</t>
        </is>
      </c>
      <c r="F2214" s="3" t="inlineStr">
        <is>
          <t>Shopee, Tiktok</t>
        </is>
      </c>
      <c r="G221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4" s="3" t="inlineStr">
        <is>
          <t>D3-150x2.0x22mm</t>
        </is>
      </c>
      <c r="I2214" s="4" t="inlineStr">
        <is>
          <t>Đá cắt sắt, inox Kingblue D3-150x2.0x22mm</t>
        </is>
      </c>
      <c r="J2214" s="3" t="inlineStr">
        <is>
          <t>Cái</t>
        </is>
      </c>
      <c r="K2214" s="5" t="n">
        <v>269000</v>
      </c>
      <c r="L2214" s="5" t="n">
        <v>317000</v>
      </c>
      <c r="M2214" s="6" t="n">
        <v>390000</v>
      </c>
      <c r="N2214" s="5" t="n"/>
      <c r="O2214" s="5">
        <f>IF(AND(ISNUMBER(N2214),ISNUMBER(M2214)),N2214-M2214,"")</f>
        <v/>
      </c>
      <c r="P2214" s="7">
        <f>IF(AND(ISNUMBER(N2214),ISNUMBER(M2214),M2214&gt;0),(N2214-M2214)/M2214,"")</f>
        <v/>
      </c>
      <c r="Q2214" s="3">
        <f>IF(P2214="","",IF(P2214&lt;-0.02,"🔴 Bán phá giá sàn",IF(P2214&gt;0.05,"🔵 Bán cao hơn","🟢 Đúng giá sàn TMĐT")))</f>
        <v/>
      </c>
      <c r="R2214" s="3" t="n"/>
      <c r="S2214" s="4" t="n"/>
      <c r="T2214" s="4" t="n"/>
    </row>
    <row r="2215">
      <c r="A2215" s="3" t="n">
        <v>2214</v>
      </c>
      <c r="B2215" s="3" t="inlineStr">
        <is>
          <t>DL022</t>
        </is>
      </c>
      <c r="C2215" s="4" t="inlineStr">
        <is>
          <t>ĐL Đà Nẵng - Phú Vinh</t>
        </is>
      </c>
      <c r="D2215" s="3" t="inlineStr">
        <is>
          <t>Đà Nẵng</t>
        </is>
      </c>
      <c r="E2215" s="3" t="inlineStr">
        <is>
          <t>THÙY TRANG</t>
        </is>
      </c>
      <c r="F2215" s="3" t="inlineStr">
        <is>
          <t>Shopee, Tiktok</t>
        </is>
      </c>
      <c r="G221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5" s="3" t="inlineStr">
        <is>
          <t>D3-300x2.8</t>
        </is>
      </c>
      <c r="I2215" s="4" t="inlineStr">
        <is>
          <t>Đá cắt sắt, inox KingBlue D3-300x2.8 S</t>
        </is>
      </c>
      <c r="J2215" s="3" t="inlineStr">
        <is>
          <t>Viên</t>
        </is>
      </c>
      <c r="K2215" s="5" t="n">
        <v>38500</v>
      </c>
      <c r="L2215" s="5" t="n">
        <v>46000</v>
      </c>
      <c r="M2215" s="6" t="n">
        <v>56000</v>
      </c>
      <c r="N2215" s="5" t="n"/>
      <c r="O2215" s="5">
        <f>IF(AND(ISNUMBER(N2215),ISNUMBER(M2215)),N2215-M2215,"")</f>
        <v/>
      </c>
      <c r="P2215" s="7">
        <f>IF(AND(ISNUMBER(N2215),ISNUMBER(M2215),M2215&gt;0),(N2215-M2215)/M2215,"")</f>
        <v/>
      </c>
      <c r="Q2215" s="3">
        <f>IF(P2215="","",IF(P2215&lt;-0.02,"🔴 Bán phá giá sàn",IF(P2215&gt;0.05,"🔵 Bán cao hơn","🟢 Đúng giá sàn TMĐT")))</f>
        <v/>
      </c>
      <c r="R2215" s="3" t="n"/>
      <c r="S2215" s="4" t="n"/>
      <c r="T2215" s="4" t="n"/>
    </row>
    <row r="2216">
      <c r="A2216" s="3" t="n">
        <v>2215</v>
      </c>
      <c r="B2216" s="3" t="inlineStr">
        <is>
          <t>DL022</t>
        </is>
      </c>
      <c r="C2216" s="4" t="inlineStr">
        <is>
          <t>ĐL Đà Nẵng - Phú Vinh</t>
        </is>
      </c>
      <c r="D2216" s="3" t="inlineStr">
        <is>
          <t>Đà Nẵng</t>
        </is>
      </c>
      <c r="E2216" s="3" t="inlineStr">
        <is>
          <t>THÙY TRANG</t>
        </is>
      </c>
      <c r="F2216" s="3" t="inlineStr">
        <is>
          <t>Shopee, Tiktok</t>
        </is>
      </c>
      <c r="G221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6" s="3" t="inlineStr">
        <is>
          <t>D3-350x3.0</t>
        </is>
      </c>
      <c r="I2216" s="4" t="inlineStr">
        <is>
          <t>Đá cắt sắt, inox KingBlue D3-350x3.0 S</t>
        </is>
      </c>
      <c r="J2216" s="3" t="inlineStr">
        <is>
          <t>Viên</t>
        </is>
      </c>
      <c r="K2216" s="5" t="n">
        <v>45000</v>
      </c>
      <c r="L2216" s="5" t="n">
        <v>53000</v>
      </c>
      <c r="M2216" s="6" t="n">
        <v>65000</v>
      </c>
      <c r="N2216" s="5" t="n"/>
      <c r="O2216" s="5">
        <f>IF(AND(ISNUMBER(N2216),ISNUMBER(M2216)),N2216-M2216,"")</f>
        <v/>
      </c>
      <c r="P2216" s="7">
        <f>IF(AND(ISNUMBER(N2216),ISNUMBER(M2216),M2216&gt;0),(N2216-M2216)/M2216,"")</f>
        <v/>
      </c>
      <c r="Q2216" s="3">
        <f>IF(P2216="","",IF(P2216&lt;-0.02,"🔴 Bán phá giá sàn",IF(P2216&gt;0.05,"🔵 Bán cao hơn","🟢 Đúng giá sàn TMĐT")))</f>
        <v/>
      </c>
      <c r="R2216" s="3" t="n"/>
      <c r="S2216" s="4" t="n"/>
      <c r="T2216" s="4" t="n"/>
    </row>
    <row r="2217">
      <c r="A2217" s="3" t="n">
        <v>2216</v>
      </c>
      <c r="B2217" s="3" t="inlineStr">
        <is>
          <t>DL022</t>
        </is>
      </c>
      <c r="C2217" s="4" t="inlineStr">
        <is>
          <t>ĐL Đà Nẵng - Phú Vinh</t>
        </is>
      </c>
      <c r="D2217" s="3" t="inlineStr">
        <is>
          <t>Đà Nẵng</t>
        </is>
      </c>
      <c r="E2217" s="3" t="inlineStr">
        <is>
          <t>THÙY TRANG</t>
        </is>
      </c>
      <c r="F2217" s="3" t="inlineStr">
        <is>
          <t>Shopee, Tiktok</t>
        </is>
      </c>
      <c r="G221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7" s="3" t="inlineStr">
        <is>
          <t>D3-103x2.8</t>
        </is>
      </c>
      <c r="I2217" s="4" t="inlineStr">
        <is>
          <t>Đá mài sắt, inox KingBlue D3-103x2.8</t>
        </is>
      </c>
      <c r="J2217" s="3" t="inlineStr">
        <is>
          <t>Cái</t>
        </is>
      </c>
      <c r="K2217" s="5" t="n">
        <v>9100</v>
      </c>
      <c r="L2217" s="5" t="n">
        <v>11300</v>
      </c>
      <c r="M2217" s="6" t="n">
        <v>14500</v>
      </c>
      <c r="N2217" s="5" t="n"/>
      <c r="O2217" s="5">
        <f>IF(AND(ISNUMBER(N2217),ISNUMBER(M2217)),N2217-M2217,"")</f>
        <v/>
      </c>
      <c r="P2217" s="7">
        <f>IF(AND(ISNUMBER(N2217),ISNUMBER(M2217),M2217&gt;0),(N2217-M2217)/M2217,"")</f>
        <v/>
      </c>
      <c r="Q2217" s="3">
        <f>IF(P2217="","",IF(P2217&lt;-0.02,"🔴 Bán phá giá sàn",IF(P2217&gt;0.05,"🔵 Bán cao hơn","🟢 Đúng giá sàn TMĐT")))</f>
        <v/>
      </c>
      <c r="R2217" s="3" t="n"/>
      <c r="S2217" s="4" t="n"/>
      <c r="T2217" s="4" t="n"/>
    </row>
    <row r="2218">
      <c r="A2218" s="3" t="n">
        <v>2217</v>
      </c>
      <c r="B2218" s="3" t="inlineStr">
        <is>
          <t>DL022</t>
        </is>
      </c>
      <c r="C2218" s="4" t="inlineStr">
        <is>
          <t>ĐL Đà Nẵng - Phú Vinh</t>
        </is>
      </c>
      <c r="D2218" s="3" t="inlineStr">
        <is>
          <t>Đà Nẵng</t>
        </is>
      </c>
      <c r="E2218" s="3" t="inlineStr">
        <is>
          <t>THÙY TRANG</t>
        </is>
      </c>
      <c r="F2218" s="3" t="inlineStr">
        <is>
          <t>Shopee, Tiktok</t>
        </is>
      </c>
      <c r="G221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8" s="3" t="inlineStr">
        <is>
          <t>D3-125x6.0</t>
        </is>
      </c>
      <c r="I2218" s="4" t="inlineStr">
        <is>
          <t>Đá mài sắt, inox Kingblue D3-125x6.0</t>
        </is>
      </c>
      <c r="J2218" s="3" t="inlineStr">
        <is>
          <t>Cái</t>
        </is>
      </c>
      <c r="K2218" s="5" t="n">
        <v>20000</v>
      </c>
      <c r="L2218" s="5" t="n">
        <v>25000</v>
      </c>
      <c r="M2218" s="6" t="n">
        <v>32000</v>
      </c>
      <c r="N2218" s="5" t="n"/>
      <c r="O2218" s="5">
        <f>IF(AND(ISNUMBER(N2218),ISNUMBER(M2218)),N2218-M2218,"")</f>
        <v/>
      </c>
      <c r="P2218" s="7">
        <f>IF(AND(ISNUMBER(N2218),ISNUMBER(M2218),M2218&gt;0),(N2218-M2218)/M2218,"")</f>
        <v/>
      </c>
      <c r="Q2218" s="3">
        <f>IF(P2218="","",IF(P2218&lt;-0.02,"🔴 Bán phá giá sàn",IF(P2218&gt;0.05,"🔵 Bán cao hơn","🟢 Đúng giá sàn TMĐT")))</f>
        <v/>
      </c>
      <c r="R2218" s="3" t="n"/>
      <c r="S2218" s="4" t="n"/>
      <c r="T2218" s="4" t="n"/>
    </row>
    <row r="2219">
      <c r="A2219" s="3" t="n">
        <v>2218</v>
      </c>
      <c r="B2219" s="3" t="inlineStr">
        <is>
          <t>DL022</t>
        </is>
      </c>
      <c r="C2219" s="4" t="inlineStr">
        <is>
          <t>ĐL Đà Nẵng - Phú Vinh</t>
        </is>
      </c>
      <c r="D2219" s="3" t="inlineStr">
        <is>
          <t>Đà Nẵng</t>
        </is>
      </c>
      <c r="E2219" s="3" t="inlineStr">
        <is>
          <t>THÙY TRANG</t>
        </is>
      </c>
      <c r="F2219" s="3" t="inlineStr">
        <is>
          <t>Shopee, Tiktok</t>
        </is>
      </c>
      <c r="G221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19" s="3" t="inlineStr">
        <is>
          <t>KJH-01</t>
        </is>
      </c>
      <c r="I2219" s="4" t="inlineStr">
        <is>
          <t>Dao rọc giấy KJH-01</t>
        </is>
      </c>
      <c r="J2219" s="3" t="inlineStr">
        <is>
          <t>Cái</t>
        </is>
      </c>
      <c r="K2219" s="5" t="n">
        <v>21000</v>
      </c>
      <c r="L2219" s="5" t="n">
        <v>25000</v>
      </c>
      <c r="M2219" s="6" t="n">
        <v>31000</v>
      </c>
      <c r="N2219" s="5" t="n"/>
      <c r="O2219" s="5">
        <f>IF(AND(ISNUMBER(N2219),ISNUMBER(M2219)),N2219-M2219,"")</f>
        <v/>
      </c>
      <c r="P2219" s="7">
        <f>IF(AND(ISNUMBER(N2219),ISNUMBER(M2219),M2219&gt;0),(N2219-M2219)/M2219,"")</f>
        <v/>
      </c>
      <c r="Q2219" s="3">
        <f>IF(P2219="","",IF(P2219&lt;-0.02,"🔴 Bán phá giá sàn",IF(P2219&gt;0.05,"🔵 Bán cao hơn","🟢 Đúng giá sàn TMĐT")))</f>
        <v/>
      </c>
      <c r="R2219" s="3" t="n"/>
      <c r="S2219" s="4" t="n"/>
      <c r="T2219" s="4" t="n"/>
    </row>
    <row r="2220">
      <c r="A2220" s="3" t="n">
        <v>2219</v>
      </c>
      <c r="B2220" s="3" t="inlineStr">
        <is>
          <t>DL022</t>
        </is>
      </c>
      <c r="C2220" s="4" t="inlineStr">
        <is>
          <t>ĐL Đà Nẵng - Phú Vinh</t>
        </is>
      </c>
      <c r="D2220" s="3" t="inlineStr">
        <is>
          <t>Đà Nẵng</t>
        </is>
      </c>
      <c r="E2220" s="3" t="inlineStr">
        <is>
          <t>THÙY TRANG</t>
        </is>
      </c>
      <c r="F2220" s="3" t="inlineStr">
        <is>
          <t>Shopee, Tiktok</t>
        </is>
      </c>
      <c r="G222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0" s="3" t="inlineStr">
        <is>
          <t>CM07</t>
        </is>
      </c>
      <c r="I2220" s="4" t="inlineStr">
        <is>
          <t>Đầu chụp bulon KingBlue CM07</t>
        </is>
      </c>
      <c r="J2220" s="3" t="inlineStr">
        <is>
          <t>Hộp</t>
        </is>
      </c>
      <c r="K2220" s="5" t="n">
        <v>143000</v>
      </c>
      <c r="L2220" s="5" t="n">
        <v>180000</v>
      </c>
      <c r="M2220" s="6" t="n">
        <v>236000</v>
      </c>
      <c r="N2220" s="5" t="n"/>
      <c r="O2220" s="5">
        <f>IF(AND(ISNUMBER(N2220),ISNUMBER(M2220)),N2220-M2220,"")</f>
        <v/>
      </c>
      <c r="P2220" s="7">
        <f>IF(AND(ISNUMBER(N2220),ISNUMBER(M2220),M2220&gt;0),(N2220-M2220)/M2220,"")</f>
        <v/>
      </c>
      <c r="Q2220" s="3">
        <f>IF(P2220="","",IF(P2220&lt;-0.02,"🔴 Bán phá giá sàn",IF(P2220&gt;0.05,"🔵 Bán cao hơn","🟢 Đúng giá sàn TMĐT")))</f>
        <v/>
      </c>
      <c r="R2220" s="3" t="n"/>
      <c r="S2220" s="4" t="n"/>
      <c r="T2220" s="4" t="n"/>
    </row>
    <row r="2221">
      <c r="A2221" s="3" t="n">
        <v>2220</v>
      </c>
      <c r="B2221" s="3" t="inlineStr">
        <is>
          <t>DL022</t>
        </is>
      </c>
      <c r="C2221" s="4" t="inlineStr">
        <is>
          <t>ĐL Đà Nẵng - Phú Vinh</t>
        </is>
      </c>
      <c r="D2221" s="3" t="inlineStr">
        <is>
          <t>Đà Nẵng</t>
        </is>
      </c>
      <c r="E2221" s="3" t="inlineStr">
        <is>
          <t>THÙY TRANG</t>
        </is>
      </c>
      <c r="F2221" s="3" t="inlineStr">
        <is>
          <t>Shopee, Tiktok</t>
        </is>
      </c>
      <c r="G222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1" s="3" t="inlineStr">
        <is>
          <t>CM08</t>
        </is>
      </c>
      <c r="I2221" s="4" t="inlineStr">
        <is>
          <t>Đầu chụp bulon KingBlue CM08</t>
        </is>
      </c>
      <c r="J2221" s="3" t="inlineStr">
        <is>
          <t>Hộp</t>
        </is>
      </c>
      <c r="K2221" s="5" t="n">
        <v>154000</v>
      </c>
      <c r="L2221" s="5" t="n">
        <v>194000</v>
      </c>
      <c r="M2221" s="6" t="n">
        <v>254000</v>
      </c>
      <c r="N2221" s="5" t="n"/>
      <c r="O2221" s="5">
        <f>IF(AND(ISNUMBER(N2221),ISNUMBER(M2221)),N2221-M2221,"")</f>
        <v/>
      </c>
      <c r="P2221" s="7">
        <f>IF(AND(ISNUMBER(N2221),ISNUMBER(M2221),M2221&gt;0),(N2221-M2221)/M2221,"")</f>
        <v/>
      </c>
      <c r="Q2221" s="3">
        <f>IF(P2221="","",IF(P2221&lt;-0.02,"🔴 Bán phá giá sàn",IF(P2221&gt;0.05,"🔵 Bán cao hơn","🟢 Đúng giá sàn TMĐT")))</f>
        <v/>
      </c>
      <c r="R2221" s="3" t="n"/>
      <c r="S2221" s="4" t="n"/>
      <c r="T2221" s="4" t="n"/>
    </row>
    <row r="2222">
      <c r="A2222" s="3" t="n">
        <v>2221</v>
      </c>
      <c r="B2222" s="3" t="inlineStr">
        <is>
          <t>DL022</t>
        </is>
      </c>
      <c r="C2222" s="4" t="inlineStr">
        <is>
          <t>ĐL Đà Nẵng - Phú Vinh</t>
        </is>
      </c>
      <c r="D2222" s="3" t="inlineStr">
        <is>
          <t>Đà Nẵng</t>
        </is>
      </c>
      <c r="E2222" s="3" t="inlineStr">
        <is>
          <t>THÙY TRANG</t>
        </is>
      </c>
      <c r="F2222" s="3" t="inlineStr">
        <is>
          <t>Shopee, Tiktok</t>
        </is>
      </c>
      <c r="G222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2" s="3" t="inlineStr">
        <is>
          <t>CM10</t>
        </is>
      </c>
      <c r="I2222" s="4" t="inlineStr">
        <is>
          <t>Đầu chụp bulon KingBlue CM10</t>
        </is>
      </c>
      <c r="J2222" s="3" t="inlineStr">
        <is>
          <t>Hộp</t>
        </is>
      </c>
      <c r="K2222" s="5" t="n">
        <v>176000</v>
      </c>
      <c r="L2222" s="5" t="n">
        <v>222000</v>
      </c>
      <c r="M2222" s="6" t="n">
        <v>290000</v>
      </c>
      <c r="N2222" s="5" t="n"/>
      <c r="O2222" s="5">
        <f>IF(AND(ISNUMBER(N2222),ISNUMBER(M2222)),N2222-M2222,"")</f>
        <v/>
      </c>
      <c r="P2222" s="7">
        <f>IF(AND(ISNUMBER(N2222),ISNUMBER(M2222),M2222&gt;0),(N2222-M2222)/M2222,"")</f>
        <v/>
      </c>
      <c r="Q2222" s="3">
        <f>IF(P2222="","",IF(P2222&lt;-0.02,"🔴 Bán phá giá sàn",IF(P2222&gt;0.05,"🔵 Bán cao hơn","🟢 Đúng giá sàn TMĐT")))</f>
        <v/>
      </c>
      <c r="R2222" s="3" t="n"/>
      <c r="S2222" s="4" t="n"/>
      <c r="T2222" s="4" t="n"/>
    </row>
    <row r="2223">
      <c r="A2223" s="3" t="n">
        <v>2222</v>
      </c>
      <c r="B2223" s="3" t="inlineStr">
        <is>
          <t>DL022</t>
        </is>
      </c>
      <c r="C2223" s="4" t="inlineStr">
        <is>
          <t>ĐL Đà Nẵng - Phú Vinh</t>
        </is>
      </c>
      <c r="D2223" s="3" t="inlineStr">
        <is>
          <t>Đà Nẵng</t>
        </is>
      </c>
      <c r="E2223" s="3" t="inlineStr">
        <is>
          <t>THÙY TRANG</t>
        </is>
      </c>
      <c r="F2223" s="3" t="inlineStr">
        <is>
          <t>Shopee, Tiktok</t>
        </is>
      </c>
      <c r="G222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3" s="3" t="inlineStr">
        <is>
          <t>CM12</t>
        </is>
      </c>
      <c r="I2223" s="4" t="inlineStr">
        <is>
          <t>Đầu chụp bulon KingBlue CM12</t>
        </is>
      </c>
      <c r="J2223" s="3" t="inlineStr">
        <is>
          <t>Hộp</t>
        </is>
      </c>
      <c r="K2223" s="5" t="n">
        <v>99000</v>
      </c>
      <c r="L2223" s="5" t="n">
        <v>125000</v>
      </c>
      <c r="M2223" s="6" t="n">
        <v>163000</v>
      </c>
      <c r="N2223" s="5" t="n"/>
      <c r="O2223" s="5">
        <f>IF(AND(ISNUMBER(N2223),ISNUMBER(M2223)),N2223-M2223,"")</f>
        <v/>
      </c>
      <c r="P2223" s="7">
        <f>IF(AND(ISNUMBER(N2223),ISNUMBER(M2223),M2223&gt;0),(N2223-M2223)/M2223,"")</f>
        <v/>
      </c>
      <c r="Q2223" s="3">
        <f>IF(P2223="","",IF(P2223&lt;-0.02,"🔴 Bán phá giá sàn",IF(P2223&gt;0.05,"🔵 Bán cao hơn","🟢 Đúng giá sàn TMĐT")))</f>
        <v/>
      </c>
      <c r="R2223" s="3" t="n"/>
      <c r="S2223" s="4" t="n"/>
      <c r="T2223" s="4" t="n"/>
    </row>
    <row r="2224">
      <c r="A2224" s="3" t="n">
        <v>2223</v>
      </c>
      <c r="B2224" s="3" t="inlineStr">
        <is>
          <t>DL022</t>
        </is>
      </c>
      <c r="C2224" s="4" t="inlineStr">
        <is>
          <t>ĐL Đà Nẵng - Phú Vinh</t>
        </is>
      </c>
      <c r="D2224" s="3" t="inlineStr">
        <is>
          <t>Đà Nẵng</t>
        </is>
      </c>
      <c r="E2224" s="3" t="inlineStr">
        <is>
          <t>THÙY TRANG</t>
        </is>
      </c>
      <c r="F2224" s="3" t="inlineStr">
        <is>
          <t>Shopee, Tiktok</t>
        </is>
      </c>
      <c r="G222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4" s="3" t="inlineStr">
        <is>
          <t>CM13</t>
        </is>
      </c>
      <c r="I2224" s="4" t="inlineStr">
        <is>
          <t>Đầu chụp bulon KingBlue CM13</t>
        </is>
      </c>
      <c r="J2224" s="3" t="inlineStr">
        <is>
          <t>Hộp</t>
        </is>
      </c>
      <c r="K2224" s="5" t="n">
        <v>105000</v>
      </c>
      <c r="L2224" s="5" t="n">
        <v>132000</v>
      </c>
      <c r="M2224" s="6" t="n">
        <v>173000</v>
      </c>
      <c r="N2224" s="5" t="n"/>
      <c r="O2224" s="5">
        <f>IF(AND(ISNUMBER(N2224),ISNUMBER(M2224)),N2224-M2224,"")</f>
        <v/>
      </c>
      <c r="P2224" s="7">
        <f>IF(AND(ISNUMBER(N2224),ISNUMBER(M2224),M2224&gt;0),(N2224-M2224)/M2224,"")</f>
        <v/>
      </c>
      <c r="Q2224" s="3">
        <f>IF(P2224="","",IF(P2224&lt;-0.02,"🔴 Bán phá giá sàn",IF(P2224&gt;0.05,"🔵 Bán cao hơn","🟢 Đúng giá sàn TMĐT")))</f>
        <v/>
      </c>
      <c r="R2224" s="3" t="n"/>
      <c r="S2224" s="4" t="n"/>
      <c r="T2224" s="4" t="n"/>
    </row>
    <row r="2225">
      <c r="A2225" s="3" t="n">
        <v>2224</v>
      </c>
      <c r="B2225" s="3" t="inlineStr">
        <is>
          <t>DL022</t>
        </is>
      </c>
      <c r="C2225" s="4" t="inlineStr">
        <is>
          <t>ĐL Đà Nẵng - Phú Vinh</t>
        </is>
      </c>
      <c r="D2225" s="3" t="inlineStr">
        <is>
          <t>Đà Nẵng</t>
        </is>
      </c>
      <c r="E2225" s="3" t="inlineStr">
        <is>
          <t>THÙY TRANG</t>
        </is>
      </c>
      <c r="F2225" s="3" t="inlineStr">
        <is>
          <t>Shopee, Tiktok</t>
        </is>
      </c>
      <c r="G222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5" s="3" t="inlineStr">
        <is>
          <t>CM14</t>
        </is>
      </c>
      <c r="I2225" s="4" t="inlineStr">
        <is>
          <t>Đầu chụp bulon KingBlue CM14</t>
        </is>
      </c>
      <c r="J2225" s="3" t="inlineStr">
        <is>
          <t>Hộp</t>
        </is>
      </c>
      <c r="K2225" s="5" t="n">
        <v>105000</v>
      </c>
      <c r="L2225" s="5" t="n">
        <v>132000</v>
      </c>
      <c r="M2225" s="6" t="n">
        <v>173000</v>
      </c>
      <c r="N2225" s="5" t="n"/>
      <c r="O2225" s="5">
        <f>IF(AND(ISNUMBER(N2225),ISNUMBER(M2225)),N2225-M2225,"")</f>
        <v/>
      </c>
      <c r="P2225" s="7">
        <f>IF(AND(ISNUMBER(N2225),ISNUMBER(M2225),M2225&gt;0),(N2225-M2225)/M2225,"")</f>
        <v/>
      </c>
      <c r="Q2225" s="3">
        <f>IF(P2225="","",IF(P2225&lt;-0.02,"🔴 Bán phá giá sàn",IF(P2225&gt;0.05,"🔵 Bán cao hơn","🟢 Đúng giá sàn TMĐT")))</f>
        <v/>
      </c>
      <c r="R2225" s="3" t="n"/>
      <c r="S2225" s="4" t="n"/>
      <c r="T2225" s="4" t="n"/>
    </row>
    <row r="2226">
      <c r="A2226" s="3" t="n">
        <v>2225</v>
      </c>
      <c r="B2226" s="3" t="inlineStr">
        <is>
          <t>DL022</t>
        </is>
      </c>
      <c r="C2226" s="4" t="inlineStr">
        <is>
          <t>ĐL Đà Nẵng - Phú Vinh</t>
        </is>
      </c>
      <c r="D2226" s="3" t="inlineStr">
        <is>
          <t>Đà Nẵng</t>
        </is>
      </c>
      <c r="E2226" s="3" t="inlineStr">
        <is>
          <t>THÙY TRANG</t>
        </is>
      </c>
      <c r="F2226" s="3" t="inlineStr">
        <is>
          <t>Shopee, Tiktok</t>
        </is>
      </c>
      <c r="G222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6" s="3" t="inlineStr">
        <is>
          <t>CM17</t>
        </is>
      </c>
      <c r="I2226" s="4" t="inlineStr">
        <is>
          <t>Đầu chụp bulon KingBlue CM17</t>
        </is>
      </c>
      <c r="J2226" s="3" t="inlineStr">
        <is>
          <t>Hộp</t>
        </is>
      </c>
      <c r="K2226" s="5" t="n">
        <v>110000</v>
      </c>
      <c r="L2226" s="5" t="n">
        <v>139000</v>
      </c>
      <c r="M2226" s="6" t="n">
        <v>182000</v>
      </c>
      <c r="N2226" s="5" t="n"/>
      <c r="O2226" s="5">
        <f>IF(AND(ISNUMBER(N2226),ISNUMBER(M2226)),N2226-M2226,"")</f>
        <v/>
      </c>
      <c r="P2226" s="7">
        <f>IF(AND(ISNUMBER(N2226),ISNUMBER(M2226),M2226&gt;0),(N2226-M2226)/M2226,"")</f>
        <v/>
      </c>
      <c r="Q2226" s="3">
        <f>IF(P2226="","",IF(P2226&lt;-0.02,"🔴 Bán phá giá sàn",IF(P2226&gt;0.05,"🔵 Bán cao hơn","🟢 Đúng giá sàn TMĐT")))</f>
        <v/>
      </c>
      <c r="R2226" s="3" t="n"/>
      <c r="S2226" s="4" t="n"/>
      <c r="T2226" s="4" t="n"/>
    </row>
    <row r="2227">
      <c r="A2227" s="3" t="n">
        <v>2226</v>
      </c>
      <c r="B2227" s="3" t="inlineStr">
        <is>
          <t>DL022</t>
        </is>
      </c>
      <c r="C2227" s="4" t="inlineStr">
        <is>
          <t>ĐL Đà Nẵng - Phú Vinh</t>
        </is>
      </c>
      <c r="D2227" s="3" t="inlineStr">
        <is>
          <t>Đà Nẵng</t>
        </is>
      </c>
      <c r="E2227" s="3" t="inlineStr">
        <is>
          <t>THÙY TRANG</t>
        </is>
      </c>
      <c r="F2227" s="3" t="inlineStr">
        <is>
          <t>Shopee, Tiktok</t>
        </is>
      </c>
      <c r="G222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7" s="3" t="inlineStr">
        <is>
          <t>CM19</t>
        </is>
      </c>
      <c r="I2227" s="4" t="inlineStr">
        <is>
          <t>Đầu chụp bulon KingBlue CM19</t>
        </is>
      </c>
      <c r="J2227" s="3" t="inlineStr">
        <is>
          <t>Hộp</t>
        </is>
      </c>
      <c r="K2227" s="5" t="n">
        <v>86000</v>
      </c>
      <c r="L2227" s="5" t="n">
        <v>108000</v>
      </c>
      <c r="M2227" s="6" t="n">
        <v>142000</v>
      </c>
      <c r="N2227" s="5" t="n"/>
      <c r="O2227" s="5">
        <f>IF(AND(ISNUMBER(N2227),ISNUMBER(M2227)),N2227-M2227,"")</f>
        <v/>
      </c>
      <c r="P2227" s="7">
        <f>IF(AND(ISNUMBER(N2227),ISNUMBER(M2227),M2227&gt;0),(N2227-M2227)/M2227,"")</f>
        <v/>
      </c>
      <c r="Q2227" s="3">
        <f>IF(P2227="","",IF(P2227&lt;-0.02,"🔴 Bán phá giá sàn",IF(P2227&gt;0.05,"🔵 Bán cao hơn","🟢 Đúng giá sàn TMĐT")))</f>
        <v/>
      </c>
      <c r="R2227" s="3" t="n"/>
      <c r="S2227" s="4" t="n"/>
      <c r="T2227" s="4" t="n"/>
    </row>
    <row r="2228">
      <c r="A2228" s="3" t="n">
        <v>2227</v>
      </c>
      <c r="B2228" s="3" t="inlineStr">
        <is>
          <t>DL022</t>
        </is>
      </c>
      <c r="C2228" s="4" t="inlineStr">
        <is>
          <t>ĐL Đà Nẵng - Phú Vinh</t>
        </is>
      </c>
      <c r="D2228" s="3" t="inlineStr">
        <is>
          <t>Đà Nẵng</t>
        </is>
      </c>
      <c r="E2228" s="3" t="inlineStr">
        <is>
          <t>THÙY TRANG</t>
        </is>
      </c>
      <c r="F2228" s="3" t="inlineStr">
        <is>
          <t>Shopee, Tiktok</t>
        </is>
      </c>
      <c r="G222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8" s="3" t="inlineStr">
        <is>
          <t>K45M</t>
        </is>
      </c>
      <c r="I2228" s="4" t="inlineStr">
        <is>
          <t>Đầu khò gas K45M</t>
        </is>
      </c>
      <c r="J2228" s="3" t="inlineStr">
        <is>
          <t>Cái</t>
        </is>
      </c>
      <c r="K2228" s="5" t="n">
        <v>269000</v>
      </c>
      <c r="L2228" s="5" t="n">
        <v>317000</v>
      </c>
      <c r="M2228" s="6" t="n">
        <v>390000</v>
      </c>
      <c r="N2228" s="5" t="n"/>
      <c r="O2228" s="5">
        <f>IF(AND(ISNUMBER(N2228),ISNUMBER(M2228)),N2228-M2228,"")</f>
        <v/>
      </c>
      <c r="P2228" s="7">
        <f>IF(AND(ISNUMBER(N2228),ISNUMBER(M2228),M2228&gt;0),(N2228-M2228)/M2228,"")</f>
        <v/>
      </c>
      <c r="Q2228" s="3">
        <f>IF(P2228="","",IF(P2228&lt;-0.02,"🔴 Bán phá giá sàn",IF(P2228&gt;0.05,"🔵 Bán cao hơn","🟢 Đúng giá sàn TMĐT")))</f>
        <v/>
      </c>
      <c r="R2228" s="3" t="n"/>
      <c r="S2228" s="4" t="n"/>
      <c r="T2228" s="4" t="n"/>
    </row>
    <row r="2229">
      <c r="A2229" s="3" t="n">
        <v>2228</v>
      </c>
      <c r="B2229" s="3" t="inlineStr">
        <is>
          <t>DL022</t>
        </is>
      </c>
      <c r="C2229" s="4" t="inlineStr">
        <is>
          <t>ĐL Đà Nẵng - Phú Vinh</t>
        </is>
      </c>
      <c r="D2229" s="3" t="inlineStr">
        <is>
          <t>Đà Nẵng</t>
        </is>
      </c>
      <c r="E2229" s="3" t="inlineStr">
        <is>
          <t>THÙY TRANG</t>
        </is>
      </c>
      <c r="F2229" s="3" t="inlineStr">
        <is>
          <t>Shopee, Tiktok</t>
        </is>
      </c>
      <c r="G222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29" s="3" t="inlineStr">
        <is>
          <t>K49M</t>
        </is>
      </c>
      <c r="I2229" s="4" t="inlineStr">
        <is>
          <t>Đầu khò gas K49M</t>
        </is>
      </c>
      <c r="J2229" s="3" t="inlineStr">
        <is>
          <t>Cái</t>
        </is>
      </c>
      <c r="K2229" s="5" t="n">
        <v>269000</v>
      </c>
      <c r="L2229" s="5" t="n">
        <v>317000</v>
      </c>
      <c r="M2229" s="6" t="n">
        <v>390000</v>
      </c>
      <c r="N2229" s="5" t="n"/>
      <c r="O2229" s="5">
        <f>IF(AND(ISNUMBER(N2229),ISNUMBER(M2229)),N2229-M2229,"")</f>
        <v/>
      </c>
      <c r="P2229" s="7">
        <f>IF(AND(ISNUMBER(N2229),ISNUMBER(M2229),M2229&gt;0),(N2229-M2229)/M2229,"")</f>
        <v/>
      </c>
      <c r="Q2229" s="3">
        <f>IF(P2229="","",IF(P2229&lt;-0.02,"🔴 Bán phá giá sàn",IF(P2229&gt;0.05,"🔵 Bán cao hơn","🟢 Đúng giá sàn TMĐT")))</f>
        <v/>
      </c>
      <c r="R2229" s="3" t="n"/>
      <c r="S2229" s="4" t="n"/>
      <c r="T2229" s="4" t="n"/>
    </row>
    <row r="2230">
      <c r="A2230" s="3" t="n">
        <v>2229</v>
      </c>
      <c r="B2230" s="3" t="inlineStr">
        <is>
          <t>DL022</t>
        </is>
      </c>
      <c r="C2230" s="4" t="inlineStr">
        <is>
          <t>ĐL Đà Nẵng - Phú Vinh</t>
        </is>
      </c>
      <c r="D2230" s="3" t="inlineStr">
        <is>
          <t>Đà Nẵng</t>
        </is>
      </c>
      <c r="E2230" s="3" t="inlineStr">
        <is>
          <t>THÙY TRANG</t>
        </is>
      </c>
      <c r="F2230" s="3" t="inlineStr">
        <is>
          <t>Shopee, Tiktok</t>
        </is>
      </c>
      <c r="G223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0" s="3" t="inlineStr">
        <is>
          <t>T265E-T10</t>
        </is>
      </c>
      <c r="I2230" s="4" t="inlineStr">
        <is>
          <t>Đầu vít hoa thị KingBlue T265E-T10</t>
        </is>
      </c>
      <c r="J2230" s="3" t="inlineStr">
        <is>
          <t>Vỉ</t>
        </is>
      </c>
      <c r="K2230" s="5" t="n">
        <v>17000</v>
      </c>
      <c r="L2230" s="5" t="n">
        <v>22000</v>
      </c>
      <c r="M2230" s="6" t="n">
        <v>29000</v>
      </c>
      <c r="N2230" s="5" t="n"/>
      <c r="O2230" s="5">
        <f>IF(AND(ISNUMBER(N2230),ISNUMBER(M2230)),N2230-M2230,"")</f>
        <v/>
      </c>
      <c r="P2230" s="7">
        <f>IF(AND(ISNUMBER(N2230),ISNUMBER(M2230),M2230&gt;0),(N2230-M2230)/M2230,"")</f>
        <v/>
      </c>
      <c r="Q2230" s="3">
        <f>IF(P2230="","",IF(P2230&lt;-0.02,"🔴 Bán phá giá sàn",IF(P2230&gt;0.05,"🔵 Bán cao hơn","🟢 Đúng giá sàn TMĐT")))</f>
        <v/>
      </c>
      <c r="R2230" s="3" t="n"/>
      <c r="S2230" s="4" t="n"/>
      <c r="T2230" s="4" t="n"/>
    </row>
    <row r="2231">
      <c r="A2231" s="3" t="n">
        <v>2230</v>
      </c>
      <c r="B2231" s="3" t="inlineStr">
        <is>
          <t>DL022</t>
        </is>
      </c>
      <c r="C2231" s="4" t="inlineStr">
        <is>
          <t>ĐL Đà Nẵng - Phú Vinh</t>
        </is>
      </c>
      <c r="D2231" s="3" t="inlineStr">
        <is>
          <t>Đà Nẵng</t>
        </is>
      </c>
      <c r="E2231" s="3" t="inlineStr">
        <is>
          <t>THÙY TRANG</t>
        </is>
      </c>
      <c r="F2231" s="3" t="inlineStr">
        <is>
          <t>Shopee, Tiktok</t>
        </is>
      </c>
      <c r="G223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1" s="3" t="inlineStr">
        <is>
          <t>T265E-T15</t>
        </is>
      </c>
      <c r="I2231" s="4" t="inlineStr">
        <is>
          <t>Đầu vít hoa thị KingBlue T265E-T15</t>
        </is>
      </c>
      <c r="J2231" s="3" t="inlineStr">
        <is>
          <t>Vỉ</t>
        </is>
      </c>
      <c r="K2231" s="5" t="n">
        <v>17000</v>
      </c>
      <c r="L2231" s="5" t="n">
        <v>22000</v>
      </c>
      <c r="M2231" s="6" t="n">
        <v>29000</v>
      </c>
      <c r="N2231" s="5" t="n"/>
      <c r="O2231" s="5">
        <f>IF(AND(ISNUMBER(N2231),ISNUMBER(M2231)),N2231-M2231,"")</f>
        <v/>
      </c>
      <c r="P2231" s="7">
        <f>IF(AND(ISNUMBER(N2231),ISNUMBER(M2231),M2231&gt;0),(N2231-M2231)/M2231,"")</f>
        <v/>
      </c>
      <c r="Q2231" s="3">
        <f>IF(P2231="","",IF(P2231&lt;-0.02,"🔴 Bán phá giá sàn",IF(P2231&gt;0.05,"🔵 Bán cao hơn","🟢 Đúng giá sàn TMĐT")))</f>
        <v/>
      </c>
      <c r="R2231" s="3" t="n"/>
      <c r="S2231" s="4" t="n"/>
      <c r="T2231" s="4" t="n"/>
    </row>
    <row r="2232">
      <c r="A2232" s="3" t="n">
        <v>2231</v>
      </c>
      <c r="B2232" s="3" t="inlineStr">
        <is>
          <t>DL022</t>
        </is>
      </c>
      <c r="C2232" s="4" t="inlineStr">
        <is>
          <t>ĐL Đà Nẵng - Phú Vinh</t>
        </is>
      </c>
      <c r="D2232" s="3" t="inlineStr">
        <is>
          <t>Đà Nẵng</t>
        </is>
      </c>
      <c r="E2232" s="3" t="inlineStr">
        <is>
          <t>THÙY TRANG</t>
        </is>
      </c>
      <c r="F2232" s="3" t="inlineStr">
        <is>
          <t>Shopee, Tiktok</t>
        </is>
      </c>
      <c r="G223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2" s="3" t="inlineStr">
        <is>
          <t>T265E-T20</t>
        </is>
      </c>
      <c r="I2232" s="4" t="inlineStr">
        <is>
          <t>Đầu vít hoa thị KingBlue T265E-T20</t>
        </is>
      </c>
      <c r="J2232" s="3" t="inlineStr">
        <is>
          <t>Vỉ</t>
        </is>
      </c>
      <c r="K2232" s="5" t="n">
        <v>17000</v>
      </c>
      <c r="L2232" s="5" t="n">
        <v>22000</v>
      </c>
      <c r="M2232" s="6" t="n">
        <v>29000</v>
      </c>
      <c r="N2232" s="5" t="n"/>
      <c r="O2232" s="5">
        <f>IF(AND(ISNUMBER(N2232),ISNUMBER(M2232)),N2232-M2232,"")</f>
        <v/>
      </c>
      <c r="P2232" s="7">
        <f>IF(AND(ISNUMBER(N2232),ISNUMBER(M2232),M2232&gt;0),(N2232-M2232)/M2232,"")</f>
        <v/>
      </c>
      <c r="Q2232" s="3">
        <f>IF(P2232="","",IF(P2232&lt;-0.02,"🔴 Bán phá giá sàn",IF(P2232&gt;0.05,"🔵 Bán cao hơn","🟢 Đúng giá sàn TMĐT")))</f>
        <v/>
      </c>
      <c r="R2232" s="3" t="n"/>
      <c r="S2232" s="4" t="n"/>
      <c r="T2232" s="4" t="n"/>
    </row>
    <row r="2233">
      <c r="A2233" s="3" t="n">
        <v>2232</v>
      </c>
      <c r="B2233" s="3" t="inlineStr">
        <is>
          <t>DL022</t>
        </is>
      </c>
      <c r="C2233" s="4" t="inlineStr">
        <is>
          <t>ĐL Đà Nẵng - Phú Vinh</t>
        </is>
      </c>
      <c r="D2233" s="3" t="inlineStr">
        <is>
          <t>Đà Nẵng</t>
        </is>
      </c>
      <c r="E2233" s="3" t="inlineStr">
        <is>
          <t>THÙY TRANG</t>
        </is>
      </c>
      <c r="F2233" s="3" t="inlineStr">
        <is>
          <t>Shopee, Tiktok</t>
        </is>
      </c>
      <c r="G223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3" s="3" t="inlineStr">
        <is>
          <t>T265E-T25</t>
        </is>
      </c>
      <c r="I2233" s="4" t="inlineStr">
        <is>
          <t>Đầu vít hoa thị KingBlue T265E-T25</t>
        </is>
      </c>
      <c r="J2233" s="3" t="inlineStr">
        <is>
          <t>Vỉ</t>
        </is>
      </c>
      <c r="K2233" s="5" t="n">
        <v>17000</v>
      </c>
      <c r="L2233" s="5" t="n">
        <v>22000</v>
      </c>
      <c r="M2233" s="6" t="n">
        <v>29000</v>
      </c>
      <c r="N2233" s="5" t="n"/>
      <c r="O2233" s="5">
        <f>IF(AND(ISNUMBER(N2233),ISNUMBER(M2233)),N2233-M2233,"")</f>
        <v/>
      </c>
      <c r="P2233" s="7">
        <f>IF(AND(ISNUMBER(N2233),ISNUMBER(M2233),M2233&gt;0),(N2233-M2233)/M2233,"")</f>
        <v/>
      </c>
      <c r="Q2233" s="3">
        <f>IF(P2233="","",IF(P2233&lt;-0.02,"🔴 Bán phá giá sàn",IF(P2233&gt;0.05,"🔵 Bán cao hơn","🟢 Đúng giá sàn TMĐT")))</f>
        <v/>
      </c>
      <c r="R2233" s="3" t="n"/>
      <c r="S2233" s="4" t="n"/>
      <c r="T2233" s="4" t="n"/>
    </row>
    <row r="2234">
      <c r="A2234" s="3" t="n">
        <v>2233</v>
      </c>
      <c r="B2234" s="3" t="inlineStr">
        <is>
          <t>DL022</t>
        </is>
      </c>
      <c r="C2234" s="4" t="inlineStr">
        <is>
          <t>ĐL Đà Nẵng - Phú Vinh</t>
        </is>
      </c>
      <c r="D2234" s="3" t="inlineStr">
        <is>
          <t>Đà Nẵng</t>
        </is>
      </c>
      <c r="E2234" s="3" t="inlineStr">
        <is>
          <t>THÙY TRANG</t>
        </is>
      </c>
      <c r="F2234" s="3" t="inlineStr">
        <is>
          <t>Shopee, Tiktok</t>
        </is>
      </c>
      <c r="G223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4" s="3" t="inlineStr">
        <is>
          <t>T265E-T30</t>
        </is>
      </c>
      <c r="I2234" s="4" t="inlineStr">
        <is>
          <t>Đầu vít hoa thị KingBlue T265E-T30</t>
        </is>
      </c>
      <c r="J2234" s="3" t="inlineStr">
        <is>
          <t>Vỉ</t>
        </is>
      </c>
      <c r="K2234" s="5" t="n">
        <v>17000</v>
      </c>
      <c r="L2234" s="5" t="n">
        <v>22000</v>
      </c>
      <c r="M2234" s="6" t="n">
        <v>29000</v>
      </c>
      <c r="N2234" s="5" t="n"/>
      <c r="O2234" s="5">
        <f>IF(AND(ISNUMBER(N2234),ISNUMBER(M2234)),N2234-M2234,"")</f>
        <v/>
      </c>
      <c r="P2234" s="7">
        <f>IF(AND(ISNUMBER(N2234),ISNUMBER(M2234),M2234&gt;0),(N2234-M2234)/M2234,"")</f>
        <v/>
      </c>
      <c r="Q2234" s="3">
        <f>IF(P2234="","",IF(P2234&lt;-0.02,"🔴 Bán phá giá sàn",IF(P2234&gt;0.05,"🔵 Bán cao hơn","🟢 Đúng giá sàn TMĐT")))</f>
        <v/>
      </c>
      <c r="R2234" s="3" t="n"/>
      <c r="S2234" s="4" t="n"/>
      <c r="T2234" s="4" t="n"/>
    </row>
    <row r="2235">
      <c r="A2235" s="3" t="n">
        <v>2234</v>
      </c>
      <c r="B2235" s="3" t="inlineStr">
        <is>
          <t>DL022</t>
        </is>
      </c>
      <c r="C2235" s="4" t="inlineStr">
        <is>
          <t>ĐL Đà Nẵng - Phú Vinh</t>
        </is>
      </c>
      <c r="D2235" s="3" t="inlineStr">
        <is>
          <t>Đà Nẵng</t>
        </is>
      </c>
      <c r="E2235" s="3" t="inlineStr">
        <is>
          <t>THÙY TRANG</t>
        </is>
      </c>
      <c r="F2235" s="3" t="inlineStr">
        <is>
          <t>Shopee, Tiktok</t>
        </is>
      </c>
      <c r="G223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5" s="3" t="inlineStr">
        <is>
          <t>T265E-T50</t>
        </is>
      </c>
      <c r="I2235" s="4" t="inlineStr">
        <is>
          <t>Đầu vít hoa thị KingBlue T265E-T50</t>
        </is>
      </c>
      <c r="J2235" s="3" t="inlineStr">
        <is>
          <t>Vỉ</t>
        </is>
      </c>
      <c r="K2235" s="5" t="n">
        <v>41000</v>
      </c>
      <c r="L2235" s="5" t="n">
        <v>53000</v>
      </c>
      <c r="M2235" s="6" t="n">
        <v>70000</v>
      </c>
      <c r="N2235" s="5" t="n"/>
      <c r="O2235" s="5">
        <f>IF(AND(ISNUMBER(N2235),ISNUMBER(M2235)),N2235-M2235,"")</f>
        <v/>
      </c>
      <c r="P2235" s="7">
        <f>IF(AND(ISNUMBER(N2235),ISNUMBER(M2235),M2235&gt;0),(N2235-M2235)/M2235,"")</f>
        <v/>
      </c>
      <c r="Q2235" s="3">
        <f>IF(P2235="","",IF(P2235&lt;-0.02,"🔴 Bán phá giá sàn",IF(P2235&gt;0.05,"🔵 Bán cao hơn","🟢 Đúng giá sàn TMĐT")))</f>
        <v/>
      </c>
      <c r="R2235" s="3" t="n"/>
      <c r="S2235" s="4" t="n"/>
      <c r="T2235" s="4" t="n"/>
    </row>
    <row r="2236">
      <c r="A2236" s="3" t="n">
        <v>2235</v>
      </c>
      <c r="B2236" s="3" t="inlineStr">
        <is>
          <t>DL022</t>
        </is>
      </c>
      <c r="C2236" s="4" t="inlineStr">
        <is>
          <t>ĐL Đà Nẵng - Phú Vinh</t>
        </is>
      </c>
      <c r="D2236" s="3" t="inlineStr">
        <is>
          <t>Đà Nẵng</t>
        </is>
      </c>
      <c r="E2236" s="3" t="inlineStr">
        <is>
          <t>THÙY TRANG</t>
        </is>
      </c>
      <c r="F2236" s="3" t="inlineStr">
        <is>
          <t>Shopee, Tiktok</t>
        </is>
      </c>
      <c r="G223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6" s="3" t="inlineStr">
        <is>
          <t>L265E-H3</t>
        </is>
      </c>
      <c r="I2236" s="4" t="inlineStr">
        <is>
          <t>Đầu vít lục giác KingBlue L265E-H3</t>
        </is>
      </c>
      <c r="J2236" s="3" t="inlineStr">
        <is>
          <t>Vỉ</t>
        </is>
      </c>
      <c r="K2236" s="5" t="n">
        <v>17000</v>
      </c>
      <c r="L2236" s="5" t="n">
        <v>22000</v>
      </c>
      <c r="M2236" s="6" t="n">
        <v>29000</v>
      </c>
      <c r="N2236" s="5" t="n"/>
      <c r="O2236" s="5">
        <f>IF(AND(ISNUMBER(N2236),ISNUMBER(M2236)),N2236-M2236,"")</f>
        <v/>
      </c>
      <c r="P2236" s="7">
        <f>IF(AND(ISNUMBER(N2236),ISNUMBER(M2236),M2236&gt;0),(N2236-M2236)/M2236,"")</f>
        <v/>
      </c>
      <c r="Q2236" s="3">
        <f>IF(P2236="","",IF(P2236&lt;-0.02,"🔴 Bán phá giá sàn",IF(P2236&gt;0.05,"🔵 Bán cao hơn","🟢 Đúng giá sàn TMĐT")))</f>
        <v/>
      </c>
      <c r="R2236" s="3" t="n"/>
      <c r="S2236" s="4" t="n"/>
      <c r="T2236" s="4" t="n"/>
    </row>
    <row r="2237">
      <c r="A2237" s="3" t="n">
        <v>2236</v>
      </c>
      <c r="B2237" s="3" t="inlineStr">
        <is>
          <t>DL022</t>
        </is>
      </c>
      <c r="C2237" s="4" t="inlineStr">
        <is>
          <t>ĐL Đà Nẵng - Phú Vinh</t>
        </is>
      </c>
      <c r="D2237" s="3" t="inlineStr">
        <is>
          <t>Đà Nẵng</t>
        </is>
      </c>
      <c r="E2237" s="3" t="inlineStr">
        <is>
          <t>THÙY TRANG</t>
        </is>
      </c>
      <c r="F2237" s="3" t="inlineStr">
        <is>
          <t>Shopee, Tiktok</t>
        </is>
      </c>
      <c r="G223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7" s="3" t="inlineStr">
        <is>
          <t>L265E-H4</t>
        </is>
      </c>
      <c r="I2237" s="4" t="inlineStr">
        <is>
          <t>Đầu vít lục giác KingBlue L265E-H4</t>
        </is>
      </c>
      <c r="J2237" s="3" t="inlineStr">
        <is>
          <t>Vỉ</t>
        </is>
      </c>
      <c r="K2237" s="5" t="n">
        <v>17000</v>
      </c>
      <c r="L2237" s="5" t="n">
        <v>22000</v>
      </c>
      <c r="M2237" s="6" t="n">
        <v>29000</v>
      </c>
      <c r="N2237" s="5" t="n"/>
      <c r="O2237" s="5">
        <f>IF(AND(ISNUMBER(N2237),ISNUMBER(M2237)),N2237-M2237,"")</f>
        <v/>
      </c>
      <c r="P2237" s="7">
        <f>IF(AND(ISNUMBER(N2237),ISNUMBER(M2237),M2237&gt;0),(N2237-M2237)/M2237,"")</f>
        <v/>
      </c>
      <c r="Q2237" s="3">
        <f>IF(P2237="","",IF(P2237&lt;-0.02,"🔴 Bán phá giá sàn",IF(P2237&gt;0.05,"🔵 Bán cao hơn","🟢 Đúng giá sàn TMĐT")))</f>
        <v/>
      </c>
      <c r="R2237" s="3" t="n"/>
      <c r="S2237" s="4" t="n"/>
      <c r="T2237" s="4" t="n"/>
    </row>
    <row r="2238">
      <c r="A2238" s="3" t="n">
        <v>2237</v>
      </c>
      <c r="B2238" s="3" t="inlineStr">
        <is>
          <t>DL022</t>
        </is>
      </c>
      <c r="C2238" s="4" t="inlineStr">
        <is>
          <t>ĐL Đà Nẵng - Phú Vinh</t>
        </is>
      </c>
      <c r="D2238" s="3" t="inlineStr">
        <is>
          <t>Đà Nẵng</t>
        </is>
      </c>
      <c r="E2238" s="3" t="inlineStr">
        <is>
          <t>THÙY TRANG</t>
        </is>
      </c>
      <c r="F2238" s="3" t="inlineStr">
        <is>
          <t>Shopee, Tiktok</t>
        </is>
      </c>
      <c r="G223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8" s="3" t="inlineStr">
        <is>
          <t>L265E-H5</t>
        </is>
      </c>
      <c r="I2238" s="4" t="inlineStr">
        <is>
          <t>Đầu vít lục giác KingBlue L265E-H5</t>
        </is>
      </c>
      <c r="J2238" s="3" t="inlineStr">
        <is>
          <t>Vỉ</t>
        </is>
      </c>
      <c r="K2238" s="5" t="n">
        <v>17000</v>
      </c>
      <c r="L2238" s="5" t="n">
        <v>22000</v>
      </c>
      <c r="M2238" s="6" t="n">
        <v>29000</v>
      </c>
      <c r="N2238" s="5" t="n"/>
      <c r="O2238" s="5">
        <f>IF(AND(ISNUMBER(N2238),ISNUMBER(M2238)),N2238-M2238,"")</f>
        <v/>
      </c>
      <c r="P2238" s="7">
        <f>IF(AND(ISNUMBER(N2238),ISNUMBER(M2238),M2238&gt;0),(N2238-M2238)/M2238,"")</f>
        <v/>
      </c>
      <c r="Q2238" s="3">
        <f>IF(P2238="","",IF(P2238&lt;-0.02,"🔴 Bán phá giá sàn",IF(P2238&gt;0.05,"🔵 Bán cao hơn","🟢 Đúng giá sàn TMĐT")))</f>
        <v/>
      </c>
      <c r="R2238" s="3" t="n"/>
      <c r="S2238" s="4" t="n"/>
      <c r="T2238" s="4" t="n"/>
    </row>
    <row r="2239">
      <c r="A2239" s="3" t="n">
        <v>2238</v>
      </c>
      <c r="B2239" s="3" t="inlineStr">
        <is>
          <t>DL022</t>
        </is>
      </c>
      <c r="C2239" s="4" t="inlineStr">
        <is>
          <t>ĐL Đà Nẵng - Phú Vinh</t>
        </is>
      </c>
      <c r="D2239" s="3" t="inlineStr">
        <is>
          <t>Đà Nẵng</t>
        </is>
      </c>
      <c r="E2239" s="3" t="inlineStr">
        <is>
          <t>THÙY TRANG</t>
        </is>
      </c>
      <c r="F2239" s="3" t="inlineStr">
        <is>
          <t>Shopee, Tiktok</t>
        </is>
      </c>
      <c r="G223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39" s="3" t="inlineStr">
        <is>
          <t>L265E-H6</t>
        </is>
      </c>
      <c r="I2239" s="4" t="inlineStr">
        <is>
          <t>Đầu vít lục giác KingBlue L265E-H6</t>
        </is>
      </c>
      <c r="J2239" s="3" t="inlineStr">
        <is>
          <t>Vỉ</t>
        </is>
      </c>
      <c r="K2239" s="5" t="n">
        <v>17000</v>
      </c>
      <c r="L2239" s="5" t="n">
        <v>22000</v>
      </c>
      <c r="M2239" s="6" t="n">
        <v>29000</v>
      </c>
      <c r="N2239" s="5" t="n"/>
      <c r="O2239" s="5">
        <f>IF(AND(ISNUMBER(N2239),ISNUMBER(M2239)),N2239-M2239,"")</f>
        <v/>
      </c>
      <c r="P2239" s="7">
        <f>IF(AND(ISNUMBER(N2239),ISNUMBER(M2239),M2239&gt;0),(N2239-M2239)/M2239,"")</f>
        <v/>
      </c>
      <c r="Q2239" s="3">
        <f>IF(P2239="","",IF(P2239&lt;-0.02,"🔴 Bán phá giá sàn",IF(P2239&gt;0.05,"🔵 Bán cao hơn","🟢 Đúng giá sàn TMĐT")))</f>
        <v/>
      </c>
      <c r="R2239" s="3" t="n"/>
      <c r="S2239" s="4" t="n"/>
      <c r="T2239" s="4" t="n"/>
    </row>
    <row r="2240">
      <c r="A2240" s="3" t="n">
        <v>2239</v>
      </c>
      <c r="B2240" s="3" t="inlineStr">
        <is>
          <t>DL022</t>
        </is>
      </c>
      <c r="C2240" s="4" t="inlineStr">
        <is>
          <t>ĐL Đà Nẵng - Phú Vinh</t>
        </is>
      </c>
      <c r="D2240" s="3" t="inlineStr">
        <is>
          <t>Đà Nẵng</t>
        </is>
      </c>
      <c r="E2240" s="3" t="inlineStr">
        <is>
          <t>THÙY TRANG</t>
        </is>
      </c>
      <c r="F2240" s="3" t="inlineStr">
        <is>
          <t>Shopee, Tiktok</t>
        </is>
      </c>
      <c r="G224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0" s="3" t="inlineStr">
        <is>
          <t>L265E-H8</t>
        </is>
      </c>
      <c r="I2240" s="4" t="inlineStr">
        <is>
          <t>Đầu vít lục giác KingBlue L265E-H8</t>
        </is>
      </c>
      <c r="J2240" s="3" t="inlineStr">
        <is>
          <t>Vỉ</t>
        </is>
      </c>
      <c r="K2240" s="5" t="n">
        <v>41000</v>
      </c>
      <c r="L2240" s="5" t="n">
        <v>53000</v>
      </c>
      <c r="M2240" s="6" t="n">
        <v>70000</v>
      </c>
      <c r="N2240" s="5" t="n"/>
      <c r="O2240" s="5">
        <f>IF(AND(ISNUMBER(N2240),ISNUMBER(M2240)),N2240-M2240,"")</f>
        <v/>
      </c>
      <c r="P2240" s="7">
        <f>IF(AND(ISNUMBER(N2240),ISNUMBER(M2240),M2240&gt;0),(N2240-M2240)/M2240,"")</f>
        <v/>
      </c>
      <c r="Q2240" s="3">
        <f>IF(P2240="","",IF(P2240&lt;-0.02,"🔴 Bán phá giá sàn",IF(P2240&gt;0.05,"🔵 Bán cao hơn","🟢 Đúng giá sàn TMĐT")))</f>
        <v/>
      </c>
      <c r="R2240" s="3" t="n"/>
      <c r="S2240" s="4" t="n"/>
      <c r="T2240" s="4" t="n"/>
    </row>
    <row r="2241">
      <c r="A2241" s="3" t="n">
        <v>2240</v>
      </c>
      <c r="B2241" s="3" t="inlineStr">
        <is>
          <t>DL022</t>
        </is>
      </c>
      <c r="C2241" s="4" t="inlineStr">
        <is>
          <t>ĐL Đà Nẵng - Phú Vinh</t>
        </is>
      </c>
      <c r="D2241" s="3" t="inlineStr">
        <is>
          <t>Đà Nẵng</t>
        </is>
      </c>
      <c r="E2241" s="3" t="inlineStr">
        <is>
          <t>THÙY TRANG</t>
        </is>
      </c>
      <c r="F2241" s="3" t="inlineStr">
        <is>
          <t>Shopee, Tiktok</t>
        </is>
      </c>
      <c r="G224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1" s="3" t="inlineStr">
        <is>
          <t>V100E</t>
        </is>
      </c>
      <c r="I2241" s="4" t="inlineStr">
        <is>
          <t>Đầu vít lục giác  KingBlue V100E</t>
        </is>
      </c>
      <c r="J2241" s="3" t="inlineStr">
        <is>
          <t>Cái</t>
        </is>
      </c>
      <c r="K2241" s="5" t="n">
        <v>11000</v>
      </c>
      <c r="L2241" s="5" t="n">
        <v>14000</v>
      </c>
      <c r="M2241" s="6" t="n">
        <v>18000</v>
      </c>
      <c r="N2241" s="5" t="n"/>
      <c r="O2241" s="5">
        <f>IF(AND(ISNUMBER(N2241),ISNUMBER(M2241)),N2241-M2241,"")</f>
        <v/>
      </c>
      <c r="P2241" s="7">
        <f>IF(AND(ISNUMBER(N2241),ISNUMBER(M2241),M2241&gt;0),(N2241-M2241)/M2241,"")</f>
        <v/>
      </c>
      <c r="Q2241" s="3">
        <f>IF(P2241="","",IF(P2241&lt;-0.02,"🔴 Bán phá giá sàn",IF(P2241&gt;0.05,"🔵 Bán cao hơn","🟢 Đúng giá sàn TMĐT")))</f>
        <v/>
      </c>
      <c r="R2241" s="3" t="n"/>
      <c r="S2241" s="4" t="n"/>
      <c r="T2241" s="4" t="n"/>
    </row>
    <row r="2242">
      <c r="A2242" s="3" t="n">
        <v>2241</v>
      </c>
      <c r="B2242" s="3" t="inlineStr">
        <is>
          <t>DL022</t>
        </is>
      </c>
      <c r="C2242" s="4" t="inlineStr">
        <is>
          <t>ĐL Đà Nẵng - Phú Vinh</t>
        </is>
      </c>
      <c r="D2242" s="3" t="inlineStr">
        <is>
          <t>Đà Nẵng</t>
        </is>
      </c>
      <c r="E2242" s="3" t="inlineStr">
        <is>
          <t>THÙY TRANG</t>
        </is>
      </c>
      <c r="F2242" s="3" t="inlineStr">
        <is>
          <t>Shopee, Tiktok</t>
        </is>
      </c>
      <c r="G224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2" s="3" t="inlineStr">
        <is>
          <t>V65E</t>
        </is>
      </c>
      <c r="I2242" s="4" t="inlineStr">
        <is>
          <t>Đầu vít lục giác KingBlue V65E</t>
        </is>
      </c>
      <c r="J2242" s="3" t="inlineStr">
        <is>
          <t>Cái</t>
        </is>
      </c>
      <c r="K2242" s="5" t="n">
        <v>8000</v>
      </c>
      <c r="L2242" s="5" t="n">
        <v>10000</v>
      </c>
      <c r="M2242" s="6" t="n">
        <v>14000</v>
      </c>
      <c r="N2242" s="5" t="n"/>
      <c r="O2242" s="5">
        <f>IF(AND(ISNUMBER(N2242),ISNUMBER(M2242)),N2242-M2242,"")</f>
        <v/>
      </c>
      <c r="P2242" s="7">
        <f>IF(AND(ISNUMBER(N2242),ISNUMBER(M2242),M2242&gt;0),(N2242-M2242)/M2242,"")</f>
        <v/>
      </c>
      <c r="Q2242" s="3">
        <f>IF(P2242="","",IF(P2242&lt;-0.02,"🔴 Bán phá giá sàn",IF(P2242&gt;0.05,"🔵 Bán cao hơn","🟢 Đúng giá sàn TMĐT")))</f>
        <v/>
      </c>
      <c r="R2242" s="3" t="n"/>
      <c r="S2242" s="4" t="n"/>
      <c r="T2242" s="4" t="n"/>
    </row>
    <row r="2243">
      <c r="A2243" s="3" t="n">
        <v>2242</v>
      </c>
      <c r="B2243" s="3" t="inlineStr">
        <is>
          <t>DL022</t>
        </is>
      </c>
      <c r="C2243" s="4" t="inlineStr">
        <is>
          <t>ĐL Đà Nẵng - Phú Vinh</t>
        </is>
      </c>
      <c r="D2243" s="3" t="inlineStr">
        <is>
          <t>Đà Nẵng</t>
        </is>
      </c>
      <c r="E2243" s="3" t="inlineStr">
        <is>
          <t>THÙY TRANG</t>
        </is>
      </c>
      <c r="F2243" s="3" t="inlineStr">
        <is>
          <t>Shopee, Tiktok</t>
        </is>
      </c>
      <c r="G224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3" s="3" t="inlineStr">
        <is>
          <t>MINI20GKD</t>
        </is>
      </c>
      <c r="I2243" s="4" t="inlineStr">
        <is>
          <t>Đinh MINI20GKD</t>
        </is>
      </c>
      <c r="J2243" s="3" t="inlineStr">
        <is>
          <t>Cái</t>
        </is>
      </c>
      <c r="K2243" s="5" t="n">
        <v>269000</v>
      </c>
      <c r="L2243" s="5" t="n">
        <v>317000</v>
      </c>
      <c r="M2243" s="6" t="n">
        <v>390000</v>
      </c>
      <c r="N2243" s="5" t="n"/>
      <c r="O2243" s="5">
        <f>IF(AND(ISNUMBER(N2243),ISNUMBER(M2243)),N2243-M2243,"")</f>
        <v/>
      </c>
      <c r="P2243" s="7">
        <f>IF(AND(ISNUMBER(N2243),ISNUMBER(M2243),M2243&gt;0),(N2243-M2243)/M2243,"")</f>
        <v/>
      </c>
      <c r="Q2243" s="3">
        <f>IF(P2243="","",IF(P2243&lt;-0.02,"🔴 Bán phá giá sàn",IF(P2243&gt;0.05,"🔵 Bán cao hơn","🟢 Đúng giá sàn TMĐT")))</f>
        <v/>
      </c>
      <c r="R2243" s="3" t="n"/>
      <c r="S2243" s="4" t="n"/>
      <c r="T2243" s="4" t="n"/>
    </row>
    <row r="2244">
      <c r="A2244" s="3" t="n">
        <v>2243</v>
      </c>
      <c r="B2244" s="3" t="inlineStr">
        <is>
          <t>DL022</t>
        </is>
      </c>
      <c r="C2244" s="4" t="inlineStr">
        <is>
          <t>ĐL Đà Nẵng - Phú Vinh</t>
        </is>
      </c>
      <c r="D2244" s="3" t="inlineStr">
        <is>
          <t>Đà Nẵng</t>
        </is>
      </c>
      <c r="E2244" s="3" t="inlineStr">
        <is>
          <t>THÙY TRANG</t>
        </is>
      </c>
      <c r="F2244" s="3" t="inlineStr">
        <is>
          <t>Shopee, Tiktok</t>
        </is>
      </c>
      <c r="G224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4" s="3" t="inlineStr"/>
      <c r="I2244" s="4" t="inlineStr">
        <is>
          <t>Đinh MINIGJD</t>
        </is>
      </c>
      <c r="J2244" s="3" t="inlineStr">
        <is>
          <t>Cái</t>
        </is>
      </c>
      <c r="K2244" s="5" t="n">
        <v>269000</v>
      </c>
      <c r="L2244" s="5" t="n">
        <v>317000</v>
      </c>
      <c r="M2244" s="6" t="n">
        <v>390000</v>
      </c>
      <c r="N2244" s="5" t="n"/>
      <c r="O2244" s="5">
        <f>IF(AND(ISNUMBER(N2244),ISNUMBER(M2244)),N2244-M2244,"")</f>
        <v/>
      </c>
      <c r="P2244" s="7">
        <f>IF(AND(ISNUMBER(N2244),ISNUMBER(M2244),M2244&gt;0),(N2244-M2244)/M2244,"")</f>
        <v/>
      </c>
      <c r="Q2244" s="3">
        <f>IF(P2244="","",IF(P2244&lt;-0.02,"🔴 Bán phá giá sàn",IF(P2244&gt;0.05,"🔵 Bán cao hơn","🟢 Đúng giá sàn TMĐT")))</f>
        <v/>
      </c>
      <c r="R2244" s="3" t="n"/>
      <c r="S2244" s="4" t="n"/>
      <c r="T2244" s="4" t="n"/>
    </row>
    <row r="2245">
      <c r="A2245" s="3" t="n">
        <v>2244</v>
      </c>
      <c r="B2245" s="3" t="inlineStr">
        <is>
          <t>DL022</t>
        </is>
      </c>
      <c r="C2245" s="4" t="inlineStr">
        <is>
          <t>ĐL Đà Nẵng - Phú Vinh</t>
        </is>
      </c>
      <c r="D2245" s="3" t="inlineStr">
        <is>
          <t>Đà Nẵng</t>
        </is>
      </c>
      <c r="E2245" s="3" t="inlineStr">
        <is>
          <t>THÙY TRANG</t>
        </is>
      </c>
      <c r="F2245" s="3" t="inlineStr">
        <is>
          <t>Shopee, Tiktok</t>
        </is>
      </c>
      <c r="G224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5" s="3" t="inlineStr"/>
      <c r="I2245" s="4" t="inlineStr">
        <is>
          <t>Đinh MINISFD</t>
        </is>
      </c>
      <c r="J2245" s="3" t="inlineStr">
        <is>
          <t>Cái</t>
        </is>
      </c>
      <c r="K2245" s="5" t="n">
        <v>269000</v>
      </c>
      <c r="L2245" s="5" t="n">
        <v>317000</v>
      </c>
      <c r="M2245" s="6" t="n">
        <v>390000</v>
      </c>
      <c r="N2245" s="5" t="n"/>
      <c r="O2245" s="5">
        <f>IF(AND(ISNUMBER(N2245),ISNUMBER(M2245)),N2245-M2245,"")</f>
        <v/>
      </c>
      <c r="P2245" s="7">
        <f>IF(AND(ISNUMBER(N2245),ISNUMBER(M2245),M2245&gt;0),(N2245-M2245)/M2245,"")</f>
        <v/>
      </c>
      <c r="Q2245" s="3">
        <f>IF(P2245="","",IF(P2245&lt;-0.02,"🔴 Bán phá giá sàn",IF(P2245&gt;0.05,"🔵 Bán cao hơn","🟢 Đúng giá sàn TMĐT")))</f>
        <v/>
      </c>
      <c r="R2245" s="3" t="n"/>
      <c r="S2245" s="4" t="n"/>
      <c r="T2245" s="4" t="n"/>
    </row>
    <row r="2246">
      <c r="A2246" s="3" t="n">
        <v>2245</v>
      </c>
      <c r="B2246" s="3" t="inlineStr">
        <is>
          <t>DL022</t>
        </is>
      </c>
      <c r="C2246" s="4" t="inlineStr">
        <is>
          <t>ĐL Đà Nẵng - Phú Vinh</t>
        </is>
      </c>
      <c r="D2246" s="3" t="inlineStr">
        <is>
          <t>Đà Nẵng</t>
        </is>
      </c>
      <c r="E2246" s="3" t="inlineStr">
        <is>
          <t>THÙY TRANG</t>
        </is>
      </c>
      <c r="F2246" s="3" t="inlineStr">
        <is>
          <t>Shopee, Tiktok</t>
        </is>
      </c>
      <c r="G224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6" s="3" t="inlineStr">
        <is>
          <t>KIG-600</t>
        </is>
      </c>
      <c r="I2246" s="4" t="inlineStr">
        <is>
          <t>Đồng hồ kẹp dòng vạn năng KIG-600</t>
        </is>
      </c>
      <c r="J2246" s="3" t="inlineStr">
        <is>
          <t>Cái</t>
        </is>
      </c>
      <c r="K2246" s="5" t="n">
        <v>269000</v>
      </c>
      <c r="L2246" s="5" t="n">
        <v>317000</v>
      </c>
      <c r="M2246" s="6" t="n">
        <v>390000</v>
      </c>
      <c r="N2246" s="5" t="n"/>
      <c r="O2246" s="5">
        <f>IF(AND(ISNUMBER(N2246),ISNUMBER(M2246)),N2246-M2246,"")</f>
        <v/>
      </c>
      <c r="P2246" s="7">
        <f>IF(AND(ISNUMBER(N2246),ISNUMBER(M2246),M2246&gt;0),(N2246-M2246)/M2246,"")</f>
        <v/>
      </c>
      <c r="Q2246" s="3">
        <f>IF(P2246="","",IF(P2246&lt;-0.02,"🔴 Bán phá giá sàn",IF(P2246&gt;0.05,"🔵 Bán cao hơn","🟢 Đúng giá sàn TMĐT")))</f>
        <v/>
      </c>
      <c r="R2246" s="3" t="n"/>
      <c r="S2246" s="4" t="n"/>
      <c r="T2246" s="4" t="n"/>
    </row>
    <row r="2247">
      <c r="A2247" s="3" t="n">
        <v>2246</v>
      </c>
      <c r="B2247" s="3" t="inlineStr">
        <is>
          <t>DL022</t>
        </is>
      </c>
      <c r="C2247" s="4" t="inlineStr">
        <is>
          <t>ĐL Đà Nẵng - Phú Vinh</t>
        </is>
      </c>
      <c r="D2247" s="3" t="inlineStr">
        <is>
          <t>Đà Nẵng</t>
        </is>
      </c>
      <c r="E2247" s="3" t="inlineStr">
        <is>
          <t>THÙY TRANG</t>
        </is>
      </c>
      <c r="F2247" s="3" t="inlineStr">
        <is>
          <t>Shopee, Tiktok</t>
        </is>
      </c>
      <c r="G224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7" s="3" t="inlineStr">
        <is>
          <t>KIW-600</t>
        </is>
      </c>
      <c r="I2247" s="4" t="inlineStr">
        <is>
          <t>Đồng hồ vạn năng điện tử KIW-600</t>
        </is>
      </c>
      <c r="J2247" s="3" t="inlineStr">
        <is>
          <t>Cái</t>
        </is>
      </c>
      <c r="K2247" s="5" t="n">
        <v>269000</v>
      </c>
      <c r="L2247" s="5" t="n">
        <v>317000</v>
      </c>
      <c r="M2247" s="6" t="n">
        <v>390000</v>
      </c>
      <c r="N2247" s="5" t="n"/>
      <c r="O2247" s="5">
        <f>IF(AND(ISNUMBER(N2247),ISNUMBER(M2247)),N2247-M2247,"")</f>
        <v/>
      </c>
      <c r="P2247" s="7">
        <f>IF(AND(ISNUMBER(N2247),ISNUMBER(M2247),M2247&gt;0),(N2247-M2247)/M2247,"")</f>
        <v/>
      </c>
      <c r="Q2247" s="3">
        <f>IF(P2247="","",IF(P2247&lt;-0.02,"🔴 Bán phá giá sàn",IF(P2247&gt;0.05,"🔵 Bán cao hơn","🟢 Đúng giá sàn TMĐT")))</f>
        <v/>
      </c>
      <c r="R2247" s="3" t="n"/>
      <c r="S2247" s="4" t="n"/>
      <c r="T2247" s="4" t="n"/>
    </row>
    <row r="2248">
      <c r="A2248" s="3" t="n">
        <v>2247</v>
      </c>
      <c r="B2248" s="3" t="inlineStr">
        <is>
          <t>DL022</t>
        </is>
      </c>
      <c r="C2248" s="4" t="inlineStr">
        <is>
          <t>ĐL Đà Nẵng - Phú Vinh</t>
        </is>
      </c>
      <c r="D2248" s="3" t="inlineStr">
        <is>
          <t>Đà Nẵng</t>
        </is>
      </c>
      <c r="E2248" s="3" t="inlineStr">
        <is>
          <t>THÙY TRANG</t>
        </is>
      </c>
      <c r="F2248" s="3" t="inlineStr">
        <is>
          <t>Shopee, Tiktok</t>
        </is>
      </c>
      <c r="G224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8" s="3" t="inlineStr">
        <is>
          <t>KB-1301</t>
        </is>
      </c>
      <c r="I2248" s="4" t="inlineStr">
        <is>
          <t>Dụng cụ vát mép (ba via) ống đồng KingBlue, KB-1301</t>
        </is>
      </c>
      <c r="J2248" s="3" t="inlineStr">
        <is>
          <t>Cái</t>
        </is>
      </c>
      <c r="K2248" s="5" t="n">
        <v>135000</v>
      </c>
      <c r="L2248" s="5" t="n">
        <v>159000</v>
      </c>
      <c r="M2248" s="6" t="n">
        <v>196000</v>
      </c>
      <c r="N2248" s="5" t="n"/>
      <c r="O2248" s="5">
        <f>IF(AND(ISNUMBER(N2248),ISNUMBER(M2248)),N2248-M2248,"")</f>
        <v/>
      </c>
      <c r="P2248" s="7">
        <f>IF(AND(ISNUMBER(N2248),ISNUMBER(M2248),M2248&gt;0),(N2248-M2248)/M2248,"")</f>
        <v/>
      </c>
      <c r="Q2248" s="3">
        <f>IF(P2248="","",IF(P2248&lt;-0.02,"🔴 Bán phá giá sàn",IF(P2248&gt;0.05,"🔵 Bán cao hơn","🟢 Đúng giá sàn TMĐT")))</f>
        <v/>
      </c>
      <c r="R2248" s="3" t="n"/>
      <c r="S2248" s="4" t="n"/>
      <c r="T2248" s="4" t="n"/>
    </row>
    <row r="2249">
      <c r="A2249" s="3" t="n">
        <v>2248</v>
      </c>
      <c r="B2249" s="3" t="inlineStr">
        <is>
          <t>DL022</t>
        </is>
      </c>
      <c r="C2249" s="4" t="inlineStr">
        <is>
          <t>ĐL Đà Nẵng - Phú Vinh</t>
        </is>
      </c>
      <c r="D2249" s="3" t="inlineStr">
        <is>
          <t>Đà Nẵng</t>
        </is>
      </c>
      <c r="E2249" s="3" t="inlineStr">
        <is>
          <t>THÙY TRANG</t>
        </is>
      </c>
      <c r="F2249" s="3" t="inlineStr">
        <is>
          <t>Shopee, Tiktok</t>
        </is>
      </c>
      <c r="G224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49" s="3" t="inlineStr">
        <is>
          <t>HK1-50</t>
        </is>
      </c>
      <c r="I2249" s="4" t="inlineStr">
        <is>
          <t>Hít kính HK1-50</t>
        </is>
      </c>
      <c r="J2249" s="3" t="inlineStr">
        <is>
          <t>Cái</t>
        </is>
      </c>
      <c r="K2249" s="5" t="n">
        <v>182000</v>
      </c>
      <c r="L2249" s="5" t="n">
        <v>215000</v>
      </c>
      <c r="M2249" s="6" t="n">
        <v>264000</v>
      </c>
      <c r="N2249" s="5" t="n"/>
      <c r="O2249" s="5">
        <f>IF(AND(ISNUMBER(N2249),ISNUMBER(M2249)),N2249-M2249,"")</f>
        <v/>
      </c>
      <c r="P2249" s="7">
        <f>IF(AND(ISNUMBER(N2249),ISNUMBER(M2249),M2249&gt;0),(N2249-M2249)/M2249,"")</f>
        <v/>
      </c>
      <c r="Q2249" s="3">
        <f>IF(P2249="","",IF(P2249&lt;-0.02,"🔴 Bán phá giá sàn",IF(P2249&gt;0.05,"🔵 Bán cao hơn","🟢 Đúng giá sàn TMĐT")))</f>
        <v/>
      </c>
      <c r="R2249" s="3" t="n"/>
      <c r="S2249" s="4" t="n"/>
      <c r="T2249" s="4" t="n"/>
    </row>
    <row r="2250">
      <c r="A2250" s="3" t="n">
        <v>2249</v>
      </c>
      <c r="B2250" s="3" t="inlineStr">
        <is>
          <t>DL022</t>
        </is>
      </c>
      <c r="C2250" s="4" t="inlineStr">
        <is>
          <t>ĐL Đà Nẵng - Phú Vinh</t>
        </is>
      </c>
      <c r="D2250" s="3" t="inlineStr">
        <is>
          <t>Đà Nẵng</t>
        </is>
      </c>
      <c r="E2250" s="3" t="inlineStr">
        <is>
          <t>THÙY TRANG</t>
        </is>
      </c>
      <c r="F2250" s="3" t="inlineStr">
        <is>
          <t>Shopee, Tiktok</t>
        </is>
      </c>
      <c r="G225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0" s="3" t="inlineStr">
        <is>
          <t>QC3</t>
        </is>
      </c>
      <c r="I2250" s="4" t="inlineStr">
        <is>
          <t>Kéo cắt đa năng QC3</t>
        </is>
      </c>
      <c r="J2250" s="3" t="inlineStr">
        <is>
          <t>Cái</t>
        </is>
      </c>
      <c r="K2250" s="5" t="n">
        <v>80000</v>
      </c>
      <c r="L2250" s="5" t="n">
        <v>94000</v>
      </c>
      <c r="M2250" s="6" t="n">
        <v>116000</v>
      </c>
      <c r="N2250" s="5" t="n"/>
      <c r="O2250" s="5">
        <f>IF(AND(ISNUMBER(N2250),ISNUMBER(M2250)),N2250-M2250,"")</f>
        <v/>
      </c>
      <c r="P2250" s="7">
        <f>IF(AND(ISNUMBER(N2250),ISNUMBER(M2250),M2250&gt;0),(N2250-M2250)/M2250,"")</f>
        <v/>
      </c>
      <c r="Q2250" s="3">
        <f>IF(P2250="","",IF(P2250&lt;-0.02,"🔴 Bán phá giá sàn",IF(P2250&gt;0.05,"🔵 Bán cao hơn","🟢 Đúng giá sàn TMĐT")))</f>
        <v/>
      </c>
      <c r="R2250" s="3" t="n"/>
      <c r="S2250" s="4" t="n"/>
      <c r="T2250" s="4" t="n"/>
    </row>
    <row r="2251">
      <c r="A2251" s="3" t="n">
        <v>2250</v>
      </c>
      <c r="B2251" s="3" t="inlineStr">
        <is>
          <t>DL022</t>
        </is>
      </c>
      <c r="C2251" s="4" t="inlineStr">
        <is>
          <t>ĐL Đà Nẵng - Phú Vinh</t>
        </is>
      </c>
      <c r="D2251" s="3" t="inlineStr">
        <is>
          <t>Đà Nẵng</t>
        </is>
      </c>
      <c r="E2251" s="3" t="inlineStr">
        <is>
          <t>THÙY TRANG</t>
        </is>
      </c>
      <c r="F2251" s="3" t="inlineStr">
        <is>
          <t>Shopee, Tiktok</t>
        </is>
      </c>
      <c r="G225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1" s="3" t="inlineStr">
        <is>
          <t>KPQ-32</t>
        </is>
      </c>
      <c r="I2251" s="4" t="inlineStr">
        <is>
          <t>Kéo cắt góc nẹp điện KPQ-32</t>
        </is>
      </c>
      <c r="J2251" s="3" t="inlineStr">
        <is>
          <t>Cái</t>
        </is>
      </c>
      <c r="K2251" s="5" t="n">
        <v>163000</v>
      </c>
      <c r="L2251" s="5" t="n">
        <v>192000</v>
      </c>
      <c r="M2251" s="6" t="n">
        <v>236000</v>
      </c>
      <c r="N2251" s="5" t="n"/>
      <c r="O2251" s="5">
        <f>IF(AND(ISNUMBER(N2251),ISNUMBER(M2251)),N2251-M2251,"")</f>
        <v/>
      </c>
      <c r="P2251" s="7">
        <f>IF(AND(ISNUMBER(N2251),ISNUMBER(M2251),M2251&gt;0),(N2251-M2251)/M2251,"")</f>
        <v/>
      </c>
      <c r="Q2251" s="3">
        <f>IF(P2251="","",IF(P2251&lt;-0.02,"🔴 Bán phá giá sàn",IF(P2251&gt;0.05,"🔵 Bán cao hơn","🟢 Đúng giá sàn TMĐT")))</f>
        <v/>
      </c>
      <c r="R2251" s="3" t="n"/>
      <c r="S2251" s="4" t="n"/>
      <c r="T2251" s="4" t="n"/>
    </row>
    <row r="2252">
      <c r="A2252" s="3" t="n">
        <v>2251</v>
      </c>
      <c r="B2252" s="3" t="inlineStr">
        <is>
          <t>DL022</t>
        </is>
      </c>
      <c r="C2252" s="4" t="inlineStr">
        <is>
          <t>ĐL Đà Nẵng - Phú Vinh</t>
        </is>
      </c>
      <c r="D2252" s="3" t="inlineStr">
        <is>
          <t>Đà Nẵng</t>
        </is>
      </c>
      <c r="E2252" s="3" t="inlineStr">
        <is>
          <t>THÙY TRANG</t>
        </is>
      </c>
      <c r="F2252" s="3" t="inlineStr">
        <is>
          <t>Shopee, Tiktok</t>
        </is>
      </c>
      <c r="G225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2" s="3" t="inlineStr">
        <is>
          <t>KPC-042</t>
        </is>
      </c>
      <c r="I2252" s="4" t="inlineStr">
        <is>
          <t>Kéo cắt ống KPC-042 (NEW)</t>
        </is>
      </c>
      <c r="J2252" s="3" t="inlineStr">
        <is>
          <t>Cái</t>
        </is>
      </c>
      <c r="K2252" s="5" t="n">
        <v>102000</v>
      </c>
      <c r="L2252" s="5" t="n">
        <v>120000</v>
      </c>
      <c r="M2252" s="6" t="n">
        <v>148000</v>
      </c>
      <c r="N2252" s="5" t="n"/>
      <c r="O2252" s="5">
        <f>IF(AND(ISNUMBER(N2252),ISNUMBER(M2252)),N2252-M2252,"")</f>
        <v/>
      </c>
      <c r="P2252" s="7">
        <f>IF(AND(ISNUMBER(N2252),ISNUMBER(M2252),M2252&gt;0),(N2252-M2252)/M2252,"")</f>
        <v/>
      </c>
      <c r="Q2252" s="3">
        <f>IF(P2252="","",IF(P2252&lt;-0.02,"🔴 Bán phá giá sàn",IF(P2252&gt;0.05,"🔵 Bán cao hơn","🟢 Đúng giá sàn TMĐT")))</f>
        <v/>
      </c>
      <c r="R2252" s="3" t="n"/>
      <c r="S2252" s="4" t="n"/>
      <c r="T2252" s="4" t="n"/>
    </row>
    <row r="2253">
      <c r="A2253" s="3" t="n">
        <v>2252</v>
      </c>
      <c r="B2253" s="3" t="inlineStr">
        <is>
          <t>DL022</t>
        </is>
      </c>
      <c r="C2253" s="4" t="inlineStr">
        <is>
          <t>ĐL Đà Nẵng - Phú Vinh</t>
        </is>
      </c>
      <c r="D2253" s="3" t="inlineStr">
        <is>
          <t>Đà Nẵng</t>
        </is>
      </c>
      <c r="E2253" s="3" t="inlineStr">
        <is>
          <t>THÙY TRANG</t>
        </is>
      </c>
      <c r="F2253" s="3" t="inlineStr">
        <is>
          <t>Shopee, Tiktok</t>
        </is>
      </c>
      <c r="G225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3" s="3" t="inlineStr">
        <is>
          <t>KPC-132</t>
        </is>
      </c>
      <c r="I2253" s="4" t="inlineStr">
        <is>
          <t>Kéo cắt ống KPC-132</t>
        </is>
      </c>
      <c r="J2253" s="3" t="inlineStr">
        <is>
          <t>Cái</t>
        </is>
      </c>
      <c r="K2253" s="5" t="n">
        <v>101000</v>
      </c>
      <c r="L2253" s="5" t="n">
        <v>119000</v>
      </c>
      <c r="M2253" s="6" t="n">
        <v>147000</v>
      </c>
      <c r="N2253" s="5" t="n"/>
      <c r="O2253" s="5">
        <f>IF(AND(ISNUMBER(N2253),ISNUMBER(M2253)),N2253-M2253,"")</f>
        <v/>
      </c>
      <c r="P2253" s="7">
        <f>IF(AND(ISNUMBER(N2253),ISNUMBER(M2253),M2253&gt;0),(N2253-M2253)/M2253,"")</f>
        <v/>
      </c>
      <c r="Q2253" s="3">
        <f>IF(P2253="","",IF(P2253&lt;-0.02,"🔴 Bán phá giá sàn",IF(P2253&gt;0.05,"🔵 Bán cao hơn","🟢 Đúng giá sàn TMĐT")))</f>
        <v/>
      </c>
      <c r="R2253" s="3" t="n"/>
      <c r="S2253" s="4" t="n"/>
      <c r="T2253" s="4" t="n"/>
    </row>
    <row r="2254">
      <c r="A2254" s="3" t="n">
        <v>2253</v>
      </c>
      <c r="B2254" s="3" t="inlineStr">
        <is>
          <t>DL022</t>
        </is>
      </c>
      <c r="C2254" s="4" t="inlineStr">
        <is>
          <t>ĐL Đà Nẵng - Phú Vinh</t>
        </is>
      </c>
      <c r="D2254" s="3" t="inlineStr">
        <is>
          <t>Đà Nẵng</t>
        </is>
      </c>
      <c r="E2254" s="3" t="inlineStr">
        <is>
          <t>THÙY TRANG</t>
        </is>
      </c>
      <c r="F2254" s="3" t="inlineStr">
        <is>
          <t>Shopee, Tiktok</t>
        </is>
      </c>
      <c r="G225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4" s="3" t="inlineStr">
        <is>
          <t>KPC-142</t>
        </is>
      </c>
      <c r="I2254" s="4" t="inlineStr">
        <is>
          <t>Kéo cắt ống KPC-142 (NEW)</t>
        </is>
      </c>
      <c r="J2254" s="3" t="inlineStr">
        <is>
          <t>Cái</t>
        </is>
      </c>
      <c r="K2254" s="5" t="n">
        <v>269000</v>
      </c>
      <c r="L2254" s="5" t="n">
        <v>317000</v>
      </c>
      <c r="M2254" s="6" t="n">
        <v>390000</v>
      </c>
      <c r="N2254" s="5" t="n"/>
      <c r="O2254" s="5">
        <f>IF(AND(ISNUMBER(N2254),ISNUMBER(M2254)),N2254-M2254,"")</f>
        <v/>
      </c>
      <c r="P2254" s="7">
        <f>IF(AND(ISNUMBER(N2254),ISNUMBER(M2254),M2254&gt;0),(N2254-M2254)/M2254,"")</f>
        <v/>
      </c>
      <c r="Q2254" s="3">
        <f>IF(P2254="","",IF(P2254&lt;-0.02,"🔴 Bán phá giá sàn",IF(P2254&gt;0.05,"🔵 Bán cao hơn","🟢 Đúng giá sàn TMĐT")))</f>
        <v/>
      </c>
      <c r="R2254" s="3" t="n"/>
      <c r="S2254" s="4" t="n"/>
      <c r="T2254" s="4" t="n"/>
    </row>
    <row r="2255">
      <c r="A2255" s="3" t="n">
        <v>2254</v>
      </c>
      <c r="B2255" s="3" t="inlineStr">
        <is>
          <t>DL022</t>
        </is>
      </c>
      <c r="C2255" s="4" t="inlineStr">
        <is>
          <t>ĐL Đà Nẵng - Phú Vinh</t>
        </is>
      </c>
      <c r="D2255" s="3" t="inlineStr">
        <is>
          <t>Đà Nẵng</t>
        </is>
      </c>
      <c r="E2255" s="3" t="inlineStr">
        <is>
          <t>THÙY TRANG</t>
        </is>
      </c>
      <c r="F2255" s="3" t="inlineStr">
        <is>
          <t>Shopee, Tiktok</t>
        </is>
      </c>
      <c r="G225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5" s="3" t="inlineStr">
        <is>
          <t>KPC-164</t>
        </is>
      </c>
      <c r="I2255" s="4" t="inlineStr">
        <is>
          <t>Kéo cắt ống KPC-164</t>
        </is>
      </c>
      <c r="J2255" s="3" t="inlineStr">
        <is>
          <t>Cái</t>
        </is>
      </c>
      <c r="K2255" s="5" t="n">
        <v>262000</v>
      </c>
      <c r="L2255" s="5" t="n">
        <v>309000</v>
      </c>
      <c r="M2255" s="6" t="n">
        <v>380000</v>
      </c>
      <c r="N2255" s="5" t="n"/>
      <c r="O2255" s="5">
        <f>IF(AND(ISNUMBER(N2255),ISNUMBER(M2255)),N2255-M2255,"")</f>
        <v/>
      </c>
      <c r="P2255" s="7">
        <f>IF(AND(ISNUMBER(N2255),ISNUMBER(M2255),M2255&gt;0),(N2255-M2255)/M2255,"")</f>
        <v/>
      </c>
      <c r="Q2255" s="3">
        <f>IF(P2255="","",IF(P2255&lt;-0.02,"🔴 Bán phá giá sàn",IF(P2255&gt;0.05,"🔵 Bán cao hơn","🟢 Đúng giá sàn TMĐT")))</f>
        <v/>
      </c>
      <c r="R2255" s="3" t="n"/>
      <c r="S2255" s="4" t="n"/>
      <c r="T2255" s="4" t="n"/>
    </row>
    <row r="2256">
      <c r="A2256" s="3" t="n">
        <v>2255</v>
      </c>
      <c r="B2256" s="3" t="inlineStr">
        <is>
          <t>DL022</t>
        </is>
      </c>
      <c r="C2256" s="4" t="inlineStr">
        <is>
          <t>ĐL Đà Nẵng - Phú Vinh</t>
        </is>
      </c>
      <c r="D2256" s="3" t="inlineStr">
        <is>
          <t>Đà Nẵng</t>
        </is>
      </c>
      <c r="E2256" s="3" t="inlineStr">
        <is>
          <t>THÙY TRANG</t>
        </is>
      </c>
      <c r="F2256" s="3" t="inlineStr">
        <is>
          <t>Shopee, Tiktok</t>
        </is>
      </c>
      <c r="G225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6" s="3" t="inlineStr">
        <is>
          <t>KPC-242</t>
        </is>
      </c>
      <c r="I2256" s="4" t="inlineStr">
        <is>
          <t>Kéo cắt ống KPC-242</t>
        </is>
      </c>
      <c r="J2256" s="3" t="inlineStr">
        <is>
          <t>Cái</t>
        </is>
      </c>
      <c r="K2256" s="5" t="n">
        <v>172000</v>
      </c>
      <c r="L2256" s="5" t="n">
        <v>203000</v>
      </c>
      <c r="M2256" s="6" t="n">
        <v>249000</v>
      </c>
      <c r="N2256" s="5" t="n"/>
      <c r="O2256" s="5">
        <f>IF(AND(ISNUMBER(N2256),ISNUMBER(M2256)),N2256-M2256,"")</f>
        <v/>
      </c>
      <c r="P2256" s="7">
        <f>IF(AND(ISNUMBER(N2256),ISNUMBER(M2256),M2256&gt;0),(N2256-M2256)/M2256,"")</f>
        <v/>
      </c>
      <c r="Q2256" s="3">
        <f>IF(P2256="","",IF(P2256&lt;-0.02,"🔴 Bán phá giá sàn",IF(P2256&gt;0.05,"🔵 Bán cao hơn","🟢 Đúng giá sàn TMĐT")))</f>
        <v/>
      </c>
      <c r="R2256" s="3" t="n"/>
      <c r="S2256" s="4" t="n"/>
      <c r="T2256" s="4" t="n"/>
    </row>
    <row r="2257">
      <c r="A2257" s="3" t="n">
        <v>2256</v>
      </c>
      <c r="B2257" s="3" t="inlineStr">
        <is>
          <t>DL022</t>
        </is>
      </c>
      <c r="C2257" s="4" t="inlineStr">
        <is>
          <t>ĐL Đà Nẵng - Phú Vinh</t>
        </is>
      </c>
      <c r="D2257" s="3" t="inlineStr">
        <is>
          <t>Đà Nẵng</t>
        </is>
      </c>
      <c r="E2257" s="3" t="inlineStr">
        <is>
          <t>THÙY TRANG</t>
        </is>
      </c>
      <c r="F2257" s="3" t="inlineStr">
        <is>
          <t>Shopee, Tiktok</t>
        </is>
      </c>
      <c r="G225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7" s="3" t="inlineStr">
        <is>
          <t>KCT-250</t>
        </is>
      </c>
      <c r="I2257" s="4" t="inlineStr">
        <is>
          <t>Kéo cắt thạch cao (tole) KCT-250</t>
        </is>
      </c>
      <c r="J2257" s="3" t="inlineStr">
        <is>
          <t>Cái</t>
        </is>
      </c>
      <c r="K2257" s="5" t="n">
        <v>105000</v>
      </c>
      <c r="L2257" s="5" t="n">
        <v>124000</v>
      </c>
      <c r="M2257" s="6" t="n">
        <v>152000</v>
      </c>
      <c r="N2257" s="5" t="n"/>
      <c r="O2257" s="5">
        <f>IF(AND(ISNUMBER(N2257),ISNUMBER(M2257)),N2257-M2257,"")</f>
        <v/>
      </c>
      <c r="P2257" s="7">
        <f>IF(AND(ISNUMBER(N2257),ISNUMBER(M2257),M2257&gt;0),(N2257-M2257)/M2257,"")</f>
        <v/>
      </c>
      <c r="Q2257" s="3">
        <f>IF(P2257="","",IF(P2257&lt;-0.02,"🔴 Bán phá giá sàn",IF(P2257&gt;0.05,"🔵 Bán cao hơn","🟢 Đúng giá sàn TMĐT")))</f>
        <v/>
      </c>
      <c r="R2257" s="3" t="n"/>
      <c r="S2257" s="4" t="n"/>
      <c r="T2257" s="4" t="n"/>
    </row>
    <row r="2258">
      <c r="A2258" s="3" t="n">
        <v>2257</v>
      </c>
      <c r="B2258" s="3" t="inlineStr">
        <is>
          <t>DL022</t>
        </is>
      </c>
      <c r="C2258" s="4" t="inlineStr">
        <is>
          <t>ĐL Đà Nẵng - Phú Vinh</t>
        </is>
      </c>
      <c r="D2258" s="3" t="inlineStr">
        <is>
          <t>Đà Nẵng</t>
        </is>
      </c>
      <c r="E2258" s="3" t="inlineStr">
        <is>
          <t>THÙY TRANG</t>
        </is>
      </c>
      <c r="F2258" s="3" t="inlineStr">
        <is>
          <t>Shopee, Tiktok</t>
        </is>
      </c>
      <c r="G225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8" s="3" t="inlineStr">
        <is>
          <t>QC1</t>
        </is>
      </c>
      <c r="I2258" s="4" t="inlineStr">
        <is>
          <t>Kéo cắt trái cây QC1</t>
        </is>
      </c>
      <c r="J2258" s="3" t="inlineStr">
        <is>
          <t>Cái</t>
        </is>
      </c>
      <c r="K2258" s="5" t="n">
        <v>38000</v>
      </c>
      <c r="L2258" s="5" t="n">
        <v>45000</v>
      </c>
      <c r="M2258" s="6" t="n">
        <v>55000</v>
      </c>
      <c r="N2258" s="5" t="n"/>
      <c r="O2258" s="5">
        <f>IF(AND(ISNUMBER(N2258),ISNUMBER(M2258)),N2258-M2258,"")</f>
        <v/>
      </c>
      <c r="P2258" s="7">
        <f>IF(AND(ISNUMBER(N2258),ISNUMBER(M2258),M2258&gt;0),(N2258-M2258)/M2258,"")</f>
        <v/>
      </c>
      <c r="Q2258" s="3">
        <f>IF(P2258="","",IF(P2258&lt;-0.02,"🔴 Bán phá giá sàn",IF(P2258&gt;0.05,"🔵 Bán cao hơn","🟢 Đúng giá sàn TMĐT")))</f>
        <v/>
      </c>
      <c r="R2258" s="3" t="n"/>
      <c r="S2258" s="4" t="n"/>
      <c r="T2258" s="4" t="n"/>
    </row>
    <row r="2259">
      <c r="A2259" s="3" t="n">
        <v>2258</v>
      </c>
      <c r="B2259" s="3" t="inlineStr">
        <is>
          <t>DL022</t>
        </is>
      </c>
      <c r="C2259" s="4" t="inlineStr">
        <is>
          <t>ĐL Đà Nẵng - Phú Vinh</t>
        </is>
      </c>
      <c r="D2259" s="3" t="inlineStr">
        <is>
          <t>Đà Nẵng</t>
        </is>
      </c>
      <c r="E2259" s="3" t="inlineStr">
        <is>
          <t>THÙY TRANG</t>
        </is>
      </c>
      <c r="F2259" s="3" t="inlineStr">
        <is>
          <t>Shopee, Tiktok</t>
        </is>
      </c>
      <c r="G225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59" s="3" t="inlineStr">
        <is>
          <t>QC2</t>
        </is>
      </c>
      <c r="I2259" s="4" t="inlineStr">
        <is>
          <t>Kéo cắt trái cây QC2</t>
        </is>
      </c>
      <c r="J2259" s="3" t="inlineStr">
        <is>
          <t>Cái</t>
        </is>
      </c>
      <c r="K2259" s="5" t="n">
        <v>65000</v>
      </c>
      <c r="L2259" s="5" t="n">
        <v>77000</v>
      </c>
      <c r="M2259" s="6" t="n">
        <v>94000</v>
      </c>
      <c r="N2259" s="5" t="n"/>
      <c r="O2259" s="5">
        <f>IF(AND(ISNUMBER(N2259),ISNUMBER(M2259)),N2259-M2259,"")</f>
        <v/>
      </c>
      <c r="P2259" s="7">
        <f>IF(AND(ISNUMBER(N2259),ISNUMBER(M2259),M2259&gt;0),(N2259-M2259)/M2259,"")</f>
        <v/>
      </c>
      <c r="Q2259" s="3">
        <f>IF(P2259="","",IF(P2259&lt;-0.02,"🔴 Bán phá giá sàn",IF(P2259&gt;0.05,"🔵 Bán cao hơn","🟢 Đúng giá sàn TMĐT")))</f>
        <v/>
      </c>
      <c r="R2259" s="3" t="n"/>
      <c r="S2259" s="4" t="n"/>
      <c r="T2259" s="4" t="n"/>
    </row>
    <row r="2260">
      <c r="A2260" s="3" t="n">
        <v>2259</v>
      </c>
      <c r="B2260" s="3" t="inlineStr">
        <is>
          <t>DL022</t>
        </is>
      </c>
      <c r="C2260" s="4" t="inlineStr">
        <is>
          <t>ĐL Đà Nẵng - Phú Vinh</t>
        </is>
      </c>
      <c r="D2260" s="3" t="inlineStr">
        <is>
          <t>Đà Nẵng</t>
        </is>
      </c>
      <c r="E2260" s="3" t="inlineStr">
        <is>
          <t>THÙY TRANG</t>
        </is>
      </c>
      <c r="F2260" s="3" t="inlineStr">
        <is>
          <t>Shopee, Tiktok</t>
        </is>
      </c>
      <c r="G226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0" s="3" t="inlineStr">
        <is>
          <t>KB001-Q1</t>
        </is>
      </c>
      <c r="I2260" s="4" t="inlineStr">
        <is>
          <t>Kéo KB001-Q1</t>
        </is>
      </c>
      <c r="J2260" s="3" t="inlineStr">
        <is>
          <t>Cái</t>
        </is>
      </c>
      <c r="K2260" s="5" t="n">
        <v>79000</v>
      </c>
      <c r="L2260" s="5" t="n">
        <v>93000</v>
      </c>
      <c r="M2260" s="6" t="n">
        <v>115000</v>
      </c>
      <c r="N2260" s="5" t="n"/>
      <c r="O2260" s="5">
        <f>IF(AND(ISNUMBER(N2260),ISNUMBER(M2260)),N2260-M2260,"")</f>
        <v/>
      </c>
      <c r="P2260" s="7">
        <f>IF(AND(ISNUMBER(N2260),ISNUMBER(M2260),M2260&gt;0),(N2260-M2260)/M2260,"")</f>
        <v/>
      </c>
      <c r="Q2260" s="3">
        <f>IF(P2260="","",IF(P2260&lt;-0.02,"🔴 Bán phá giá sàn",IF(P2260&gt;0.05,"🔵 Bán cao hơn","🟢 Đúng giá sàn TMĐT")))</f>
        <v/>
      </c>
      <c r="R2260" s="3" t="n"/>
      <c r="S2260" s="4" t="n"/>
      <c r="T2260" s="4" t="n"/>
    </row>
    <row r="2261">
      <c r="A2261" s="3" t="n">
        <v>2260</v>
      </c>
      <c r="B2261" s="3" t="inlineStr">
        <is>
          <t>DL022</t>
        </is>
      </c>
      <c r="C2261" s="4" t="inlineStr">
        <is>
          <t>ĐL Đà Nẵng - Phú Vinh</t>
        </is>
      </c>
      <c r="D2261" s="3" t="inlineStr">
        <is>
          <t>Đà Nẵng</t>
        </is>
      </c>
      <c r="E2261" s="3" t="inlineStr">
        <is>
          <t>THÙY TRANG</t>
        </is>
      </c>
      <c r="F2261" s="3" t="inlineStr">
        <is>
          <t>Shopee, Tiktok</t>
        </is>
      </c>
      <c r="G226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1" s="3" t="inlineStr">
        <is>
          <t>KB003-Q2</t>
        </is>
      </c>
      <c r="I2261" s="4" t="inlineStr">
        <is>
          <t>Kéo KB003-Q2</t>
        </is>
      </c>
      <c r="J2261" s="3" t="inlineStr">
        <is>
          <t>Cái</t>
        </is>
      </c>
      <c r="K2261" s="5" t="n">
        <v>98000</v>
      </c>
      <c r="L2261" s="5" t="n">
        <v>116000</v>
      </c>
      <c r="M2261" s="6" t="n">
        <v>142000</v>
      </c>
      <c r="N2261" s="5" t="n"/>
      <c r="O2261" s="5">
        <f>IF(AND(ISNUMBER(N2261),ISNUMBER(M2261)),N2261-M2261,"")</f>
        <v/>
      </c>
      <c r="P2261" s="7">
        <f>IF(AND(ISNUMBER(N2261),ISNUMBER(M2261),M2261&gt;0),(N2261-M2261)/M2261,"")</f>
        <v/>
      </c>
      <c r="Q2261" s="3">
        <f>IF(P2261="","",IF(P2261&lt;-0.02,"🔴 Bán phá giá sàn",IF(P2261&gt;0.05,"🔵 Bán cao hơn","🟢 Đúng giá sàn TMĐT")))</f>
        <v/>
      </c>
      <c r="R2261" s="3" t="n"/>
      <c r="S2261" s="4" t="n"/>
      <c r="T2261" s="4" t="n"/>
    </row>
    <row r="2262">
      <c r="A2262" s="3" t="n">
        <v>2261</v>
      </c>
      <c r="B2262" s="3" t="inlineStr">
        <is>
          <t>DL022</t>
        </is>
      </c>
      <c r="C2262" s="4" t="inlineStr">
        <is>
          <t>ĐL Đà Nẵng - Phú Vinh</t>
        </is>
      </c>
      <c r="D2262" s="3" t="inlineStr">
        <is>
          <t>Đà Nẵng</t>
        </is>
      </c>
      <c r="E2262" s="3" t="inlineStr">
        <is>
          <t>THÙY TRANG</t>
        </is>
      </c>
      <c r="F2262" s="3" t="inlineStr">
        <is>
          <t>Shopee, Tiktok</t>
        </is>
      </c>
      <c r="G226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2" s="3" t="inlineStr">
        <is>
          <t>KB006-Q5</t>
        </is>
      </c>
      <c r="I2262" s="4" t="inlineStr">
        <is>
          <t>Kéo KB006-Q5</t>
        </is>
      </c>
      <c r="J2262" s="3" t="inlineStr">
        <is>
          <t>Cái</t>
        </is>
      </c>
      <c r="K2262" s="5" t="n">
        <v>128000</v>
      </c>
      <c r="L2262" s="5" t="n">
        <v>151000</v>
      </c>
      <c r="M2262" s="6" t="n">
        <v>186000</v>
      </c>
      <c r="N2262" s="5" t="n"/>
      <c r="O2262" s="5">
        <f>IF(AND(ISNUMBER(N2262),ISNUMBER(M2262)),N2262-M2262,"")</f>
        <v/>
      </c>
      <c r="P2262" s="7">
        <f>IF(AND(ISNUMBER(N2262),ISNUMBER(M2262),M2262&gt;0),(N2262-M2262)/M2262,"")</f>
        <v/>
      </c>
      <c r="Q2262" s="3">
        <f>IF(P2262="","",IF(P2262&lt;-0.02,"🔴 Bán phá giá sàn",IF(P2262&gt;0.05,"🔵 Bán cao hơn","🟢 Đúng giá sàn TMĐT")))</f>
        <v/>
      </c>
      <c r="R2262" s="3" t="n"/>
      <c r="S2262" s="4" t="n"/>
      <c r="T2262" s="4" t="n"/>
    </row>
    <row r="2263">
      <c r="A2263" s="3" t="n">
        <v>2262</v>
      </c>
      <c r="B2263" s="3" t="inlineStr">
        <is>
          <t>DL022</t>
        </is>
      </c>
      <c r="C2263" s="4" t="inlineStr">
        <is>
          <t>ĐL Đà Nẵng - Phú Vinh</t>
        </is>
      </c>
      <c r="D2263" s="3" t="inlineStr">
        <is>
          <t>Đà Nẵng</t>
        </is>
      </c>
      <c r="E2263" s="3" t="inlineStr">
        <is>
          <t>THÙY TRANG</t>
        </is>
      </c>
      <c r="F2263" s="3" t="inlineStr">
        <is>
          <t>Shopee, Tiktok</t>
        </is>
      </c>
      <c r="G226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3" s="3" t="inlineStr">
        <is>
          <t>KB006-Q6</t>
        </is>
      </c>
      <c r="I2263" s="4" t="inlineStr">
        <is>
          <t>Kéo KB006-Q6</t>
        </is>
      </c>
      <c r="J2263" s="3" t="inlineStr">
        <is>
          <t>Cái</t>
        </is>
      </c>
      <c r="K2263" s="5" t="n">
        <v>141000</v>
      </c>
      <c r="L2263" s="5" t="n">
        <v>167000</v>
      </c>
      <c r="M2263" s="6" t="n">
        <v>205000</v>
      </c>
      <c r="N2263" s="5" t="n"/>
      <c r="O2263" s="5">
        <f>IF(AND(ISNUMBER(N2263),ISNUMBER(M2263)),N2263-M2263,"")</f>
        <v/>
      </c>
      <c r="P2263" s="7">
        <f>IF(AND(ISNUMBER(N2263),ISNUMBER(M2263),M2263&gt;0),(N2263-M2263)/M2263,"")</f>
        <v/>
      </c>
      <c r="Q2263" s="3">
        <f>IF(P2263="","",IF(P2263&lt;-0.02,"🔴 Bán phá giá sàn",IF(P2263&gt;0.05,"🔵 Bán cao hơn","🟢 Đúng giá sàn TMĐT")))</f>
        <v/>
      </c>
      <c r="R2263" s="3" t="n"/>
      <c r="S2263" s="4" t="n"/>
      <c r="T2263" s="4" t="n"/>
    </row>
    <row r="2264">
      <c r="A2264" s="3" t="n">
        <v>2263</v>
      </c>
      <c r="B2264" s="3" t="inlineStr">
        <is>
          <t>DL022</t>
        </is>
      </c>
      <c r="C2264" s="4" t="inlineStr">
        <is>
          <t>ĐL Đà Nẵng - Phú Vinh</t>
        </is>
      </c>
      <c r="D2264" s="3" t="inlineStr">
        <is>
          <t>Đà Nẵng</t>
        </is>
      </c>
      <c r="E2264" s="3" t="inlineStr">
        <is>
          <t>THÙY TRANG</t>
        </is>
      </c>
      <c r="F2264" s="3" t="inlineStr">
        <is>
          <t>Shopee, Tiktok</t>
        </is>
      </c>
      <c r="G226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4" s="3" t="inlineStr">
        <is>
          <t>Q8</t>
        </is>
      </c>
      <c r="I2264" s="4" t="inlineStr">
        <is>
          <t>Kéo Q8</t>
        </is>
      </c>
      <c r="J2264" s="3" t="inlineStr">
        <is>
          <t>Cái</t>
        </is>
      </c>
      <c r="K2264" s="5" t="n">
        <v>145000</v>
      </c>
      <c r="L2264" s="5" t="n">
        <v>171000</v>
      </c>
      <c r="M2264" s="6" t="n">
        <v>210000</v>
      </c>
      <c r="N2264" s="5" t="n"/>
      <c r="O2264" s="5">
        <f>IF(AND(ISNUMBER(N2264),ISNUMBER(M2264)),N2264-M2264,"")</f>
        <v/>
      </c>
      <c r="P2264" s="7">
        <f>IF(AND(ISNUMBER(N2264),ISNUMBER(M2264),M2264&gt;0),(N2264-M2264)/M2264,"")</f>
        <v/>
      </c>
      <c r="Q2264" s="3">
        <f>IF(P2264="","",IF(P2264&lt;-0.02,"🔴 Bán phá giá sàn",IF(P2264&gt;0.05,"🔵 Bán cao hơn","🟢 Đúng giá sàn TMĐT")))</f>
        <v/>
      </c>
      <c r="R2264" s="3" t="n"/>
      <c r="S2264" s="4" t="n"/>
      <c r="T2264" s="4" t="n"/>
    </row>
    <row r="2265">
      <c r="A2265" s="3" t="n">
        <v>2264</v>
      </c>
      <c r="B2265" s="3" t="inlineStr">
        <is>
          <t>DL022</t>
        </is>
      </c>
      <c r="C2265" s="4" t="inlineStr">
        <is>
          <t>ĐL Đà Nẵng - Phú Vinh</t>
        </is>
      </c>
      <c r="D2265" s="3" t="inlineStr">
        <is>
          <t>Đà Nẵng</t>
        </is>
      </c>
      <c r="E2265" s="3" t="inlineStr">
        <is>
          <t>THÙY TRANG</t>
        </is>
      </c>
      <c r="F2265" s="3" t="inlineStr">
        <is>
          <t>Shopee, Tiktok</t>
        </is>
      </c>
      <c r="G226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5" s="3" t="inlineStr">
        <is>
          <t>Q9</t>
        </is>
      </c>
      <c r="I2265" s="4" t="inlineStr">
        <is>
          <t>Kéo Q9</t>
        </is>
      </c>
      <c r="J2265" s="3" t="inlineStr">
        <is>
          <t>Cái</t>
        </is>
      </c>
      <c r="K2265" s="5" t="n">
        <v>185000</v>
      </c>
      <c r="L2265" s="5" t="n">
        <v>218000</v>
      </c>
      <c r="M2265" s="6" t="n">
        <v>268000</v>
      </c>
      <c r="N2265" s="5" t="n"/>
      <c r="O2265" s="5">
        <f>IF(AND(ISNUMBER(N2265),ISNUMBER(M2265)),N2265-M2265,"")</f>
        <v/>
      </c>
      <c r="P2265" s="7">
        <f>IF(AND(ISNUMBER(N2265),ISNUMBER(M2265),M2265&gt;0),(N2265-M2265)/M2265,"")</f>
        <v/>
      </c>
      <c r="Q2265" s="3">
        <f>IF(P2265="","",IF(P2265&lt;-0.02,"🔴 Bán phá giá sàn",IF(P2265&gt;0.05,"🔵 Bán cao hơn","🟢 Đúng giá sàn TMĐT")))</f>
        <v/>
      </c>
      <c r="R2265" s="3" t="n"/>
      <c r="S2265" s="4" t="n"/>
      <c r="T2265" s="4" t="n"/>
    </row>
    <row r="2266">
      <c r="A2266" s="3" t="n">
        <v>2265</v>
      </c>
      <c r="B2266" s="3" t="inlineStr">
        <is>
          <t>DL022</t>
        </is>
      </c>
      <c r="C2266" s="4" t="inlineStr">
        <is>
          <t>ĐL Đà Nẵng - Phú Vinh</t>
        </is>
      </c>
      <c r="D2266" s="3" t="inlineStr">
        <is>
          <t>Đà Nẵng</t>
        </is>
      </c>
      <c r="E2266" s="3" t="inlineStr">
        <is>
          <t>THÙY TRANG</t>
        </is>
      </c>
      <c r="F2266" s="3" t="inlineStr">
        <is>
          <t>Shopee, Tiktok</t>
        </is>
      </c>
      <c r="G226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6" s="3" t="inlineStr">
        <is>
          <t>KBM2-06160</t>
        </is>
      </c>
      <c r="I2266" s="4" t="inlineStr">
        <is>
          <t>Khoan bê tông chuôi lục giác KBM2-06*160</t>
        </is>
      </c>
      <c r="J2266" s="3" t="inlineStr">
        <is>
          <t>Cái</t>
        </is>
      </c>
      <c r="K2266" s="5" t="n">
        <v>22000</v>
      </c>
      <c r="L2266" s="5" t="n">
        <v>27000</v>
      </c>
      <c r="M2266" s="6" t="n">
        <v>34000</v>
      </c>
      <c r="N2266" s="5" t="n"/>
      <c r="O2266" s="5">
        <f>IF(AND(ISNUMBER(N2266),ISNUMBER(M2266)),N2266-M2266,"")</f>
        <v/>
      </c>
      <c r="P2266" s="7">
        <f>IF(AND(ISNUMBER(N2266),ISNUMBER(M2266),M2266&gt;0),(N2266-M2266)/M2266,"")</f>
        <v/>
      </c>
      <c r="Q2266" s="3">
        <f>IF(P2266="","",IF(P2266&lt;-0.02,"🔴 Bán phá giá sàn",IF(P2266&gt;0.05,"🔵 Bán cao hơn","🟢 Đúng giá sàn TMĐT")))</f>
        <v/>
      </c>
      <c r="R2266" s="3" t="n"/>
      <c r="S2266" s="4" t="n"/>
      <c r="T2266" s="4" t="n"/>
    </row>
    <row r="2267">
      <c r="A2267" s="3" t="n">
        <v>2266</v>
      </c>
      <c r="B2267" s="3" t="inlineStr">
        <is>
          <t>DL022</t>
        </is>
      </c>
      <c r="C2267" s="4" t="inlineStr">
        <is>
          <t>ĐL Đà Nẵng - Phú Vinh</t>
        </is>
      </c>
      <c r="D2267" s="3" t="inlineStr">
        <is>
          <t>Đà Nẵng</t>
        </is>
      </c>
      <c r="E2267" s="3" t="inlineStr">
        <is>
          <t>THÙY TRANG</t>
        </is>
      </c>
      <c r="F2267" s="3" t="inlineStr">
        <is>
          <t>Shopee, Tiktok</t>
        </is>
      </c>
      <c r="G226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7" s="3" t="inlineStr">
        <is>
          <t>KBM2-08160</t>
        </is>
      </c>
      <c r="I2267" s="4" t="inlineStr">
        <is>
          <t>Khoan bê tông chuôi lục giác KBM2-08*160</t>
        </is>
      </c>
      <c r="J2267" s="3" t="inlineStr">
        <is>
          <t>Cái</t>
        </is>
      </c>
      <c r="K2267" s="5" t="n">
        <v>24000</v>
      </c>
      <c r="L2267" s="5" t="n">
        <v>29000</v>
      </c>
      <c r="M2267" s="6" t="n">
        <v>37000</v>
      </c>
      <c r="N2267" s="5" t="n"/>
      <c r="O2267" s="5">
        <f>IF(AND(ISNUMBER(N2267),ISNUMBER(M2267)),N2267-M2267,"")</f>
        <v/>
      </c>
      <c r="P2267" s="7">
        <f>IF(AND(ISNUMBER(N2267),ISNUMBER(M2267),M2267&gt;0),(N2267-M2267)/M2267,"")</f>
        <v/>
      </c>
      <c r="Q2267" s="3">
        <f>IF(P2267="","",IF(P2267&lt;-0.02,"🔴 Bán phá giá sàn",IF(P2267&gt;0.05,"🔵 Bán cao hơn","🟢 Đúng giá sàn TMĐT")))</f>
        <v/>
      </c>
      <c r="R2267" s="3" t="n"/>
      <c r="S2267" s="4" t="n"/>
      <c r="T2267" s="4" t="n"/>
    </row>
    <row r="2268">
      <c r="A2268" s="3" t="n">
        <v>2267</v>
      </c>
      <c r="B2268" s="3" t="inlineStr">
        <is>
          <t>DL022</t>
        </is>
      </c>
      <c r="C2268" s="4" t="inlineStr">
        <is>
          <t>ĐL Đà Nẵng - Phú Vinh</t>
        </is>
      </c>
      <c r="D2268" s="3" t="inlineStr">
        <is>
          <t>Đà Nẵng</t>
        </is>
      </c>
      <c r="E2268" s="3" t="inlineStr">
        <is>
          <t>THÙY TRANG</t>
        </is>
      </c>
      <c r="F2268" s="3" t="inlineStr">
        <is>
          <t>Shopee, Tiktok</t>
        </is>
      </c>
      <c r="G226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8" s="3" t="inlineStr">
        <is>
          <t>KBM2-10160</t>
        </is>
      </c>
      <c r="I2268" s="4" t="inlineStr">
        <is>
          <t>Khoan bê tông chuôi lục giác KBM2-10*160</t>
        </is>
      </c>
      <c r="J2268" s="3" t="inlineStr">
        <is>
          <t>Cái</t>
        </is>
      </c>
      <c r="K2268" s="5" t="n">
        <v>28000</v>
      </c>
      <c r="L2268" s="5" t="n">
        <v>34000</v>
      </c>
      <c r="M2268" s="6" t="n">
        <v>43000</v>
      </c>
      <c r="N2268" s="5" t="n"/>
      <c r="O2268" s="5">
        <f>IF(AND(ISNUMBER(N2268),ISNUMBER(M2268)),N2268-M2268,"")</f>
        <v/>
      </c>
      <c r="P2268" s="7">
        <f>IF(AND(ISNUMBER(N2268),ISNUMBER(M2268),M2268&gt;0),(N2268-M2268)/M2268,"")</f>
        <v/>
      </c>
      <c r="Q2268" s="3">
        <f>IF(P2268="","",IF(P2268&lt;-0.02,"🔴 Bán phá giá sàn",IF(P2268&gt;0.05,"🔵 Bán cao hơn","🟢 Đúng giá sàn TMĐT")))</f>
        <v/>
      </c>
      <c r="R2268" s="3" t="n"/>
      <c r="S2268" s="4" t="n"/>
      <c r="T2268" s="4" t="n"/>
    </row>
    <row r="2269">
      <c r="A2269" s="3" t="n">
        <v>2268</v>
      </c>
      <c r="B2269" s="3" t="inlineStr">
        <is>
          <t>DL022</t>
        </is>
      </c>
      <c r="C2269" s="4" t="inlineStr">
        <is>
          <t>ĐL Đà Nẵng - Phú Vinh</t>
        </is>
      </c>
      <c r="D2269" s="3" t="inlineStr">
        <is>
          <t>Đà Nẵng</t>
        </is>
      </c>
      <c r="E2269" s="3" t="inlineStr">
        <is>
          <t>THÙY TRANG</t>
        </is>
      </c>
      <c r="F2269" s="3" t="inlineStr">
        <is>
          <t>Shopee, Tiktok</t>
        </is>
      </c>
      <c r="G226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69" s="3" t="inlineStr">
        <is>
          <t>KBY3-020CO</t>
        </is>
      </c>
      <c r="I2269" s="4" t="inlineStr">
        <is>
          <t>Khoan inox chuôi lục KBY3-020CO</t>
        </is>
      </c>
      <c r="J2269" s="3" t="inlineStr">
        <is>
          <t>Vỉ</t>
        </is>
      </c>
      <c r="K2269" s="5" t="n">
        <v>28000</v>
      </c>
      <c r="L2269" s="5" t="n">
        <v>35000</v>
      </c>
      <c r="M2269" s="6" t="n">
        <v>45000</v>
      </c>
      <c r="N2269" s="5" t="n"/>
      <c r="O2269" s="5">
        <f>IF(AND(ISNUMBER(N2269),ISNUMBER(M2269)),N2269-M2269,"")</f>
        <v/>
      </c>
      <c r="P2269" s="7">
        <f>IF(AND(ISNUMBER(N2269),ISNUMBER(M2269),M2269&gt;0),(N2269-M2269)/M2269,"")</f>
        <v/>
      </c>
      <c r="Q2269" s="3">
        <f>IF(P2269="","",IF(P2269&lt;-0.02,"🔴 Bán phá giá sàn",IF(P2269&gt;0.05,"🔵 Bán cao hơn","🟢 Đúng giá sàn TMĐT")))</f>
        <v/>
      </c>
      <c r="R2269" s="3" t="n"/>
      <c r="S2269" s="4" t="n"/>
      <c r="T2269" s="4" t="n"/>
    </row>
    <row r="2270">
      <c r="A2270" s="3" t="n">
        <v>2269</v>
      </c>
      <c r="B2270" s="3" t="inlineStr">
        <is>
          <t>DL022</t>
        </is>
      </c>
      <c r="C2270" s="4" t="inlineStr">
        <is>
          <t>ĐL Đà Nẵng - Phú Vinh</t>
        </is>
      </c>
      <c r="D2270" s="3" t="inlineStr">
        <is>
          <t>Đà Nẵng</t>
        </is>
      </c>
      <c r="E2270" s="3" t="inlineStr">
        <is>
          <t>THÙY TRANG</t>
        </is>
      </c>
      <c r="F2270" s="3" t="inlineStr">
        <is>
          <t>Shopee, Tiktok</t>
        </is>
      </c>
      <c r="G227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0" s="3" t="inlineStr">
        <is>
          <t>KBY3-025CO</t>
        </is>
      </c>
      <c r="I2270" s="4" t="inlineStr">
        <is>
          <t>Khoan inox chuôi lục KBY3-025CO</t>
        </is>
      </c>
      <c r="J2270" s="3" t="inlineStr">
        <is>
          <t>Vỉ</t>
        </is>
      </c>
      <c r="K2270" s="5" t="n">
        <v>28000</v>
      </c>
      <c r="L2270" s="5" t="n">
        <v>35000</v>
      </c>
      <c r="M2270" s="6" t="n">
        <v>45000</v>
      </c>
      <c r="N2270" s="5" t="n"/>
      <c r="O2270" s="5">
        <f>IF(AND(ISNUMBER(N2270),ISNUMBER(M2270)),N2270-M2270,"")</f>
        <v/>
      </c>
      <c r="P2270" s="7">
        <f>IF(AND(ISNUMBER(N2270),ISNUMBER(M2270),M2270&gt;0),(N2270-M2270)/M2270,"")</f>
        <v/>
      </c>
      <c r="Q2270" s="3">
        <f>IF(P2270="","",IF(P2270&lt;-0.02,"🔴 Bán phá giá sàn",IF(P2270&gt;0.05,"🔵 Bán cao hơn","🟢 Đúng giá sàn TMĐT")))</f>
        <v/>
      </c>
      <c r="R2270" s="3" t="n"/>
      <c r="S2270" s="4" t="n"/>
      <c r="T2270" s="4" t="n"/>
    </row>
    <row r="2271">
      <c r="A2271" s="3" t="n">
        <v>2270</v>
      </c>
      <c r="B2271" s="3" t="inlineStr">
        <is>
          <t>DL022</t>
        </is>
      </c>
      <c r="C2271" s="4" t="inlineStr">
        <is>
          <t>ĐL Đà Nẵng - Phú Vinh</t>
        </is>
      </c>
      <c r="D2271" s="3" t="inlineStr">
        <is>
          <t>Đà Nẵng</t>
        </is>
      </c>
      <c r="E2271" s="3" t="inlineStr">
        <is>
          <t>THÙY TRANG</t>
        </is>
      </c>
      <c r="F2271" s="3" t="inlineStr">
        <is>
          <t>Shopee, Tiktok</t>
        </is>
      </c>
      <c r="G227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1" s="3" t="inlineStr">
        <is>
          <t>KBY3-030CO</t>
        </is>
      </c>
      <c r="I2271" s="4" t="inlineStr">
        <is>
          <t>Khoan inox chuôi lục KBY3-030CO</t>
        </is>
      </c>
      <c r="J2271" s="3" t="inlineStr">
        <is>
          <t>Vỉ</t>
        </is>
      </c>
      <c r="K2271" s="5" t="n">
        <v>31000</v>
      </c>
      <c r="L2271" s="5" t="n">
        <v>39000</v>
      </c>
      <c r="M2271" s="6" t="n">
        <v>50000</v>
      </c>
      <c r="N2271" s="5" t="n"/>
      <c r="O2271" s="5">
        <f>IF(AND(ISNUMBER(N2271),ISNUMBER(M2271)),N2271-M2271,"")</f>
        <v/>
      </c>
      <c r="P2271" s="7">
        <f>IF(AND(ISNUMBER(N2271),ISNUMBER(M2271),M2271&gt;0),(N2271-M2271)/M2271,"")</f>
        <v/>
      </c>
      <c r="Q2271" s="3">
        <f>IF(P2271="","",IF(P2271&lt;-0.02,"🔴 Bán phá giá sàn",IF(P2271&gt;0.05,"🔵 Bán cao hơn","🟢 Đúng giá sàn TMĐT")))</f>
        <v/>
      </c>
      <c r="R2271" s="3" t="n"/>
      <c r="S2271" s="4" t="n"/>
      <c r="T2271" s="4" t="n"/>
    </row>
    <row r="2272">
      <c r="A2272" s="3" t="n">
        <v>2271</v>
      </c>
      <c r="B2272" s="3" t="inlineStr">
        <is>
          <t>DL022</t>
        </is>
      </c>
      <c r="C2272" s="4" t="inlineStr">
        <is>
          <t>ĐL Đà Nẵng - Phú Vinh</t>
        </is>
      </c>
      <c r="D2272" s="3" t="inlineStr">
        <is>
          <t>Đà Nẵng</t>
        </is>
      </c>
      <c r="E2272" s="3" t="inlineStr">
        <is>
          <t>THÙY TRANG</t>
        </is>
      </c>
      <c r="F2272" s="3" t="inlineStr">
        <is>
          <t>Shopee, Tiktok</t>
        </is>
      </c>
      <c r="G227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2" s="3" t="inlineStr">
        <is>
          <t>KBY3-032CO</t>
        </is>
      </c>
      <c r="I2272" s="4" t="inlineStr">
        <is>
          <t>Khoan inox chuôi lục KBY3-032CO</t>
        </is>
      </c>
      <c r="J2272" s="3" t="inlineStr">
        <is>
          <t>Vỉ</t>
        </is>
      </c>
      <c r="K2272" s="5" t="n">
        <v>35000</v>
      </c>
      <c r="L2272" s="5" t="n">
        <v>43000</v>
      </c>
      <c r="M2272" s="6" t="n">
        <v>56000</v>
      </c>
      <c r="N2272" s="5" t="n"/>
      <c r="O2272" s="5">
        <f>IF(AND(ISNUMBER(N2272),ISNUMBER(M2272)),N2272-M2272,"")</f>
        <v/>
      </c>
      <c r="P2272" s="7">
        <f>IF(AND(ISNUMBER(N2272),ISNUMBER(M2272),M2272&gt;0),(N2272-M2272)/M2272,"")</f>
        <v/>
      </c>
      <c r="Q2272" s="3">
        <f>IF(P2272="","",IF(P2272&lt;-0.02,"🔴 Bán phá giá sàn",IF(P2272&gt;0.05,"🔵 Bán cao hơn","🟢 Đúng giá sàn TMĐT")))</f>
        <v/>
      </c>
      <c r="R2272" s="3" t="n"/>
      <c r="S2272" s="4" t="n"/>
      <c r="T2272" s="4" t="n"/>
    </row>
    <row r="2273">
      <c r="A2273" s="3" t="n">
        <v>2272</v>
      </c>
      <c r="B2273" s="3" t="inlineStr">
        <is>
          <t>DL022</t>
        </is>
      </c>
      <c r="C2273" s="4" t="inlineStr">
        <is>
          <t>ĐL Đà Nẵng - Phú Vinh</t>
        </is>
      </c>
      <c r="D2273" s="3" t="inlineStr">
        <is>
          <t>Đà Nẵng</t>
        </is>
      </c>
      <c r="E2273" s="3" t="inlineStr">
        <is>
          <t>THÙY TRANG</t>
        </is>
      </c>
      <c r="F2273" s="3" t="inlineStr">
        <is>
          <t>Shopee, Tiktok</t>
        </is>
      </c>
      <c r="G227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3" s="3" t="inlineStr">
        <is>
          <t>KBY3-035CO</t>
        </is>
      </c>
      <c r="I2273" s="4" t="inlineStr">
        <is>
          <t>Khoan inox chuôi lục KBY3-035CO</t>
        </is>
      </c>
      <c r="J2273" s="3" t="inlineStr">
        <is>
          <t>Vỉ</t>
        </is>
      </c>
      <c r="K2273" s="5" t="n">
        <v>36000</v>
      </c>
      <c r="L2273" s="5" t="n">
        <v>45000</v>
      </c>
      <c r="M2273" s="6" t="n">
        <v>58000</v>
      </c>
      <c r="N2273" s="5" t="n"/>
      <c r="O2273" s="5">
        <f>IF(AND(ISNUMBER(N2273),ISNUMBER(M2273)),N2273-M2273,"")</f>
        <v/>
      </c>
      <c r="P2273" s="7">
        <f>IF(AND(ISNUMBER(N2273),ISNUMBER(M2273),M2273&gt;0),(N2273-M2273)/M2273,"")</f>
        <v/>
      </c>
      <c r="Q2273" s="3">
        <f>IF(P2273="","",IF(P2273&lt;-0.02,"🔴 Bán phá giá sàn",IF(P2273&gt;0.05,"🔵 Bán cao hơn","🟢 Đúng giá sàn TMĐT")))</f>
        <v/>
      </c>
      <c r="R2273" s="3" t="n"/>
      <c r="S2273" s="4" t="n"/>
      <c r="T2273" s="4" t="n"/>
    </row>
    <row r="2274">
      <c r="A2274" s="3" t="n">
        <v>2273</v>
      </c>
      <c r="B2274" s="3" t="inlineStr">
        <is>
          <t>DL022</t>
        </is>
      </c>
      <c r="C2274" s="4" t="inlineStr">
        <is>
          <t>ĐL Đà Nẵng - Phú Vinh</t>
        </is>
      </c>
      <c r="D2274" s="3" t="inlineStr">
        <is>
          <t>Đà Nẵng</t>
        </is>
      </c>
      <c r="E2274" s="3" t="inlineStr">
        <is>
          <t>THÙY TRANG</t>
        </is>
      </c>
      <c r="F2274" s="3" t="inlineStr">
        <is>
          <t>Shopee, Tiktok</t>
        </is>
      </c>
      <c r="G227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4" s="3" t="inlineStr">
        <is>
          <t>KBY3-040CO</t>
        </is>
      </c>
      <c r="I2274" s="4" t="inlineStr">
        <is>
          <t>Khoan inox chuôi lục KBY3-040CO</t>
        </is>
      </c>
      <c r="J2274" s="3" t="inlineStr">
        <is>
          <t>Vỉ</t>
        </is>
      </c>
      <c r="K2274" s="5" t="n">
        <v>40000</v>
      </c>
      <c r="L2274" s="5" t="n">
        <v>50000</v>
      </c>
      <c r="M2274" s="6" t="n">
        <v>64000</v>
      </c>
      <c r="N2274" s="5" t="n"/>
      <c r="O2274" s="5">
        <f>IF(AND(ISNUMBER(N2274),ISNUMBER(M2274)),N2274-M2274,"")</f>
        <v/>
      </c>
      <c r="P2274" s="7">
        <f>IF(AND(ISNUMBER(N2274),ISNUMBER(M2274),M2274&gt;0),(N2274-M2274)/M2274,"")</f>
        <v/>
      </c>
      <c r="Q2274" s="3">
        <f>IF(P2274="","",IF(P2274&lt;-0.02,"🔴 Bán phá giá sàn",IF(P2274&gt;0.05,"🔵 Bán cao hơn","🟢 Đúng giá sàn TMĐT")))</f>
        <v/>
      </c>
      <c r="R2274" s="3" t="n"/>
      <c r="S2274" s="4" t="n"/>
      <c r="T2274" s="4" t="n"/>
    </row>
    <row r="2275">
      <c r="A2275" s="3" t="n">
        <v>2274</v>
      </c>
      <c r="B2275" s="3" t="inlineStr">
        <is>
          <t>DL022</t>
        </is>
      </c>
      <c r="C2275" s="4" t="inlineStr">
        <is>
          <t>ĐL Đà Nẵng - Phú Vinh</t>
        </is>
      </c>
      <c r="D2275" s="3" t="inlineStr">
        <is>
          <t>Đà Nẵng</t>
        </is>
      </c>
      <c r="E2275" s="3" t="inlineStr">
        <is>
          <t>THÙY TRANG</t>
        </is>
      </c>
      <c r="F2275" s="3" t="inlineStr">
        <is>
          <t>Shopee, Tiktok</t>
        </is>
      </c>
      <c r="G227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5" s="3" t="inlineStr">
        <is>
          <t>KBY3-042CO</t>
        </is>
      </c>
      <c r="I2275" s="4" t="inlineStr">
        <is>
          <t>Khoan inox chuôi lục KBY3-042CO</t>
        </is>
      </c>
      <c r="J2275" s="3" t="inlineStr">
        <is>
          <t>Vỉ</t>
        </is>
      </c>
      <c r="K2275" s="5" t="n">
        <v>45000</v>
      </c>
      <c r="L2275" s="5" t="n">
        <v>56000</v>
      </c>
      <c r="M2275" s="6" t="n">
        <v>72000</v>
      </c>
      <c r="N2275" s="5" t="n"/>
      <c r="O2275" s="5">
        <f>IF(AND(ISNUMBER(N2275),ISNUMBER(M2275)),N2275-M2275,"")</f>
        <v/>
      </c>
      <c r="P2275" s="7">
        <f>IF(AND(ISNUMBER(N2275),ISNUMBER(M2275),M2275&gt;0),(N2275-M2275)/M2275,"")</f>
        <v/>
      </c>
      <c r="Q2275" s="3">
        <f>IF(P2275="","",IF(P2275&lt;-0.02,"🔴 Bán phá giá sàn",IF(P2275&gt;0.05,"🔵 Bán cao hơn","🟢 Đúng giá sàn TMĐT")))</f>
        <v/>
      </c>
      <c r="R2275" s="3" t="n"/>
      <c r="S2275" s="4" t="n"/>
      <c r="T2275" s="4" t="n"/>
    </row>
    <row r="2276">
      <c r="A2276" s="3" t="n">
        <v>2275</v>
      </c>
      <c r="B2276" s="3" t="inlineStr">
        <is>
          <t>DL022</t>
        </is>
      </c>
      <c r="C2276" s="4" t="inlineStr">
        <is>
          <t>ĐL Đà Nẵng - Phú Vinh</t>
        </is>
      </c>
      <c r="D2276" s="3" t="inlineStr">
        <is>
          <t>Đà Nẵng</t>
        </is>
      </c>
      <c r="E2276" s="3" t="inlineStr">
        <is>
          <t>THÙY TRANG</t>
        </is>
      </c>
      <c r="F2276" s="3" t="inlineStr">
        <is>
          <t>Shopee, Tiktok</t>
        </is>
      </c>
      <c r="G227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6" s="3" t="inlineStr">
        <is>
          <t>KBY3-045CO</t>
        </is>
      </c>
      <c r="I2276" s="4" t="inlineStr">
        <is>
          <t>Khoan inox chuôi lục KBY3-045CO</t>
        </is>
      </c>
      <c r="J2276" s="3" t="inlineStr">
        <is>
          <t>Vỉ</t>
        </is>
      </c>
      <c r="K2276" s="5" t="n">
        <v>46000</v>
      </c>
      <c r="L2276" s="5" t="n">
        <v>57000</v>
      </c>
      <c r="M2276" s="6" t="n">
        <v>74000</v>
      </c>
      <c r="N2276" s="5" t="n"/>
      <c r="O2276" s="5">
        <f>IF(AND(ISNUMBER(N2276),ISNUMBER(M2276)),N2276-M2276,"")</f>
        <v/>
      </c>
      <c r="P2276" s="7">
        <f>IF(AND(ISNUMBER(N2276),ISNUMBER(M2276),M2276&gt;0),(N2276-M2276)/M2276,"")</f>
        <v/>
      </c>
      <c r="Q2276" s="3">
        <f>IF(P2276="","",IF(P2276&lt;-0.02,"🔴 Bán phá giá sàn",IF(P2276&gt;0.05,"🔵 Bán cao hơn","🟢 Đúng giá sàn TMĐT")))</f>
        <v/>
      </c>
      <c r="R2276" s="3" t="n"/>
      <c r="S2276" s="4" t="n"/>
      <c r="T2276" s="4" t="n"/>
    </row>
    <row r="2277">
      <c r="A2277" s="3" t="n">
        <v>2276</v>
      </c>
      <c r="B2277" s="3" t="inlineStr">
        <is>
          <t>DL022</t>
        </is>
      </c>
      <c r="C2277" s="4" t="inlineStr">
        <is>
          <t>ĐL Đà Nẵng - Phú Vinh</t>
        </is>
      </c>
      <c r="D2277" s="3" t="inlineStr">
        <is>
          <t>Đà Nẵng</t>
        </is>
      </c>
      <c r="E2277" s="3" t="inlineStr">
        <is>
          <t>THÙY TRANG</t>
        </is>
      </c>
      <c r="F2277" s="3" t="inlineStr">
        <is>
          <t>Shopee, Tiktok</t>
        </is>
      </c>
      <c r="G227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7" s="3" t="inlineStr">
        <is>
          <t>KBY3-050CO</t>
        </is>
      </c>
      <c r="I2277" s="4" t="inlineStr">
        <is>
          <t>Khoan inox chuôi lục KBY3-050CO</t>
        </is>
      </c>
      <c r="J2277" s="3" t="inlineStr">
        <is>
          <t>Vỉ</t>
        </is>
      </c>
      <c r="K2277" s="5" t="n">
        <v>53000</v>
      </c>
      <c r="L2277" s="5" t="n">
        <v>66000</v>
      </c>
      <c r="M2277" s="6" t="n">
        <v>85000</v>
      </c>
      <c r="N2277" s="5" t="n"/>
      <c r="O2277" s="5">
        <f>IF(AND(ISNUMBER(N2277),ISNUMBER(M2277)),N2277-M2277,"")</f>
        <v/>
      </c>
      <c r="P2277" s="7">
        <f>IF(AND(ISNUMBER(N2277),ISNUMBER(M2277),M2277&gt;0),(N2277-M2277)/M2277,"")</f>
        <v/>
      </c>
      <c r="Q2277" s="3">
        <f>IF(P2277="","",IF(P2277&lt;-0.02,"🔴 Bán phá giá sàn",IF(P2277&gt;0.05,"🔵 Bán cao hơn","🟢 Đúng giá sàn TMĐT")))</f>
        <v/>
      </c>
      <c r="R2277" s="3" t="n"/>
      <c r="S2277" s="4" t="n"/>
      <c r="T2277" s="4" t="n"/>
    </row>
    <row r="2278">
      <c r="A2278" s="3" t="n">
        <v>2277</v>
      </c>
      <c r="B2278" s="3" t="inlineStr">
        <is>
          <t>DL022</t>
        </is>
      </c>
      <c r="C2278" s="4" t="inlineStr">
        <is>
          <t>ĐL Đà Nẵng - Phú Vinh</t>
        </is>
      </c>
      <c r="D2278" s="3" t="inlineStr">
        <is>
          <t>Đà Nẵng</t>
        </is>
      </c>
      <c r="E2278" s="3" t="inlineStr">
        <is>
          <t>THÙY TRANG</t>
        </is>
      </c>
      <c r="F2278" s="3" t="inlineStr">
        <is>
          <t>Shopee, Tiktok</t>
        </is>
      </c>
      <c r="G227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8" s="3" t="inlineStr">
        <is>
          <t>KBY3-060CO</t>
        </is>
      </c>
      <c r="I2278" s="4" t="inlineStr">
        <is>
          <t>Khoan inox chuôi lục KBY3-060CO</t>
        </is>
      </c>
      <c r="J2278" s="3" t="inlineStr">
        <is>
          <t>Vỉ</t>
        </is>
      </c>
      <c r="K2278" s="5" t="n">
        <v>65000</v>
      </c>
      <c r="L2278" s="5" t="n">
        <v>81000</v>
      </c>
      <c r="M2278" s="6" t="n">
        <v>104000</v>
      </c>
      <c r="N2278" s="5" t="n"/>
      <c r="O2278" s="5">
        <f>IF(AND(ISNUMBER(N2278),ISNUMBER(M2278)),N2278-M2278,"")</f>
        <v/>
      </c>
      <c r="P2278" s="7">
        <f>IF(AND(ISNUMBER(N2278),ISNUMBER(M2278),M2278&gt;0),(N2278-M2278)/M2278,"")</f>
        <v/>
      </c>
      <c r="Q2278" s="3">
        <f>IF(P2278="","",IF(P2278&lt;-0.02,"🔴 Bán phá giá sàn",IF(P2278&gt;0.05,"🔵 Bán cao hơn","🟢 Đúng giá sàn TMĐT")))</f>
        <v/>
      </c>
      <c r="R2278" s="3" t="n"/>
      <c r="S2278" s="4" t="n"/>
      <c r="T2278" s="4" t="n"/>
    </row>
    <row r="2279">
      <c r="A2279" s="3" t="n">
        <v>2278</v>
      </c>
      <c r="B2279" s="3" t="inlineStr">
        <is>
          <t>DL022</t>
        </is>
      </c>
      <c r="C2279" s="4" t="inlineStr">
        <is>
          <t>ĐL Đà Nẵng - Phú Vinh</t>
        </is>
      </c>
      <c r="D2279" s="3" t="inlineStr">
        <is>
          <t>Đà Nẵng</t>
        </is>
      </c>
      <c r="E2279" s="3" t="inlineStr">
        <is>
          <t>THÙY TRANG</t>
        </is>
      </c>
      <c r="F2279" s="3" t="inlineStr">
        <is>
          <t>Shopee, Tiktok</t>
        </is>
      </c>
      <c r="G227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79" s="3" t="inlineStr">
        <is>
          <t>KBY3-070CO</t>
        </is>
      </c>
      <c r="I2279" s="4" t="inlineStr">
        <is>
          <t>Khoan inox chuôi lục KBY3-070CO</t>
        </is>
      </c>
      <c r="J2279" s="3" t="inlineStr">
        <is>
          <t>Cái</t>
        </is>
      </c>
      <c r="K2279" s="5" t="n">
        <v>45000</v>
      </c>
      <c r="L2279" s="5" t="n">
        <v>56000</v>
      </c>
      <c r="M2279" s="6" t="n">
        <v>72000</v>
      </c>
      <c r="N2279" s="5" t="n"/>
      <c r="O2279" s="5">
        <f>IF(AND(ISNUMBER(N2279),ISNUMBER(M2279)),N2279-M2279,"")</f>
        <v/>
      </c>
      <c r="P2279" s="7">
        <f>IF(AND(ISNUMBER(N2279),ISNUMBER(M2279),M2279&gt;0),(N2279-M2279)/M2279,"")</f>
        <v/>
      </c>
      <c r="Q2279" s="3">
        <f>IF(P2279="","",IF(P2279&lt;-0.02,"🔴 Bán phá giá sàn",IF(P2279&gt;0.05,"🔵 Bán cao hơn","🟢 Đúng giá sàn TMĐT")))</f>
        <v/>
      </c>
      <c r="R2279" s="3" t="n"/>
      <c r="S2279" s="4" t="n"/>
      <c r="T2279" s="4" t="n"/>
    </row>
    <row r="2280">
      <c r="A2280" s="3" t="n">
        <v>2279</v>
      </c>
      <c r="B2280" s="3" t="inlineStr">
        <is>
          <t>DL022</t>
        </is>
      </c>
      <c r="C2280" s="4" t="inlineStr">
        <is>
          <t>ĐL Đà Nẵng - Phú Vinh</t>
        </is>
      </c>
      <c r="D2280" s="3" t="inlineStr">
        <is>
          <t>Đà Nẵng</t>
        </is>
      </c>
      <c r="E2280" s="3" t="inlineStr">
        <is>
          <t>THÙY TRANG</t>
        </is>
      </c>
      <c r="F2280" s="3" t="inlineStr">
        <is>
          <t>Shopee, Tiktok</t>
        </is>
      </c>
      <c r="G228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0" s="3" t="inlineStr">
        <is>
          <t>KBY3-080CO</t>
        </is>
      </c>
      <c r="I2280" s="4" t="inlineStr">
        <is>
          <t>Khoan inox chuôi lục KBY3-080CO</t>
        </is>
      </c>
      <c r="J2280" s="3" t="inlineStr">
        <is>
          <t>Cái</t>
        </is>
      </c>
      <c r="K2280" s="5" t="n">
        <v>58000</v>
      </c>
      <c r="L2280" s="5" t="n">
        <v>72000</v>
      </c>
      <c r="M2280" s="6" t="n">
        <v>93000</v>
      </c>
      <c r="N2280" s="5" t="n"/>
      <c r="O2280" s="5">
        <f>IF(AND(ISNUMBER(N2280),ISNUMBER(M2280)),N2280-M2280,"")</f>
        <v/>
      </c>
      <c r="P2280" s="7">
        <f>IF(AND(ISNUMBER(N2280),ISNUMBER(M2280),M2280&gt;0),(N2280-M2280)/M2280,"")</f>
        <v/>
      </c>
      <c r="Q2280" s="3">
        <f>IF(P2280="","",IF(P2280&lt;-0.02,"🔴 Bán phá giá sàn",IF(P2280&gt;0.05,"🔵 Bán cao hơn","🟢 Đúng giá sàn TMĐT")))</f>
        <v/>
      </c>
      <c r="R2280" s="3" t="n"/>
      <c r="S2280" s="4" t="n"/>
      <c r="T2280" s="4" t="n"/>
    </row>
    <row r="2281">
      <c r="A2281" s="3" t="n">
        <v>2280</v>
      </c>
      <c r="B2281" s="3" t="inlineStr">
        <is>
          <t>DL022</t>
        </is>
      </c>
      <c r="C2281" s="4" t="inlineStr">
        <is>
          <t>ĐL Đà Nẵng - Phú Vinh</t>
        </is>
      </c>
      <c r="D2281" s="3" t="inlineStr">
        <is>
          <t>Đà Nẵng</t>
        </is>
      </c>
      <c r="E2281" s="3" t="inlineStr">
        <is>
          <t>THÙY TRANG</t>
        </is>
      </c>
      <c r="F2281" s="3" t="inlineStr">
        <is>
          <t>Shopee, Tiktok</t>
        </is>
      </c>
      <c r="G228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1" s="3" t="inlineStr">
        <is>
          <t>KBY3-090CO</t>
        </is>
      </c>
      <c r="I2281" s="4" t="inlineStr">
        <is>
          <t>Khoan inox chuôi lục KBY3-090CO</t>
        </is>
      </c>
      <c r="J2281" s="3" t="inlineStr">
        <is>
          <t>Cái</t>
        </is>
      </c>
      <c r="K2281" s="5" t="n">
        <v>73000</v>
      </c>
      <c r="L2281" s="5" t="n">
        <v>91000</v>
      </c>
      <c r="M2281" s="6" t="n">
        <v>117000</v>
      </c>
      <c r="N2281" s="5" t="n"/>
      <c r="O2281" s="5">
        <f>IF(AND(ISNUMBER(N2281),ISNUMBER(M2281)),N2281-M2281,"")</f>
        <v/>
      </c>
      <c r="P2281" s="7">
        <f>IF(AND(ISNUMBER(N2281),ISNUMBER(M2281),M2281&gt;0),(N2281-M2281)/M2281,"")</f>
        <v/>
      </c>
      <c r="Q2281" s="3">
        <f>IF(P2281="","",IF(P2281&lt;-0.02,"🔴 Bán phá giá sàn",IF(P2281&gt;0.05,"🔵 Bán cao hơn","🟢 Đúng giá sàn TMĐT")))</f>
        <v/>
      </c>
      <c r="R2281" s="3" t="n"/>
      <c r="S2281" s="4" t="n"/>
      <c r="T2281" s="4" t="n"/>
    </row>
    <row r="2282">
      <c r="A2282" s="3" t="n">
        <v>2281</v>
      </c>
      <c r="B2282" s="3" t="inlineStr">
        <is>
          <t>DL022</t>
        </is>
      </c>
      <c r="C2282" s="4" t="inlineStr">
        <is>
          <t>ĐL Đà Nẵng - Phú Vinh</t>
        </is>
      </c>
      <c r="D2282" s="3" t="inlineStr">
        <is>
          <t>Đà Nẵng</t>
        </is>
      </c>
      <c r="E2282" s="3" t="inlineStr">
        <is>
          <t>THÙY TRANG</t>
        </is>
      </c>
      <c r="F2282" s="3" t="inlineStr">
        <is>
          <t>Shopee, Tiktok</t>
        </is>
      </c>
      <c r="G228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2" s="3" t="inlineStr">
        <is>
          <t>KBY3-100CO</t>
        </is>
      </c>
      <c r="I2282" s="4" t="inlineStr">
        <is>
          <t>Khoan inox chuôi lục KBY3-100CO</t>
        </is>
      </c>
      <c r="J2282" s="3" t="inlineStr">
        <is>
          <t>Cái</t>
        </is>
      </c>
      <c r="K2282" s="5" t="n">
        <v>90000</v>
      </c>
      <c r="L2282" s="5" t="n">
        <v>112000</v>
      </c>
      <c r="M2282" s="6" t="n">
        <v>144000</v>
      </c>
      <c r="N2282" s="5" t="n"/>
      <c r="O2282" s="5">
        <f>IF(AND(ISNUMBER(N2282),ISNUMBER(M2282)),N2282-M2282,"")</f>
        <v/>
      </c>
      <c r="P2282" s="7">
        <f>IF(AND(ISNUMBER(N2282),ISNUMBER(M2282),M2282&gt;0),(N2282-M2282)/M2282,"")</f>
        <v/>
      </c>
      <c r="Q2282" s="3">
        <f>IF(P2282="","",IF(P2282&lt;-0.02,"🔴 Bán phá giá sàn",IF(P2282&gt;0.05,"🔵 Bán cao hơn","🟢 Đúng giá sàn TMĐT")))</f>
        <v/>
      </c>
      <c r="R2282" s="3" t="n"/>
      <c r="S2282" s="4" t="n"/>
      <c r="T2282" s="4" t="n"/>
    </row>
    <row r="2283">
      <c r="A2283" s="3" t="n">
        <v>2282</v>
      </c>
      <c r="B2283" s="3" t="inlineStr">
        <is>
          <t>DL022</t>
        </is>
      </c>
      <c r="C2283" s="4" t="inlineStr">
        <is>
          <t>ĐL Đà Nẵng - Phú Vinh</t>
        </is>
      </c>
      <c r="D2283" s="3" t="inlineStr">
        <is>
          <t>Đà Nẵng</t>
        </is>
      </c>
      <c r="E2283" s="3" t="inlineStr">
        <is>
          <t>THÙY TRANG</t>
        </is>
      </c>
      <c r="F2283" s="3" t="inlineStr">
        <is>
          <t>Shopee, Tiktok</t>
        </is>
      </c>
      <c r="G228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3" s="3" t="inlineStr">
        <is>
          <t>KBY2-015CO</t>
        </is>
      </c>
      <c r="I2283" s="4" t="inlineStr">
        <is>
          <t>Khoan inox KingBlue KBY2-015CO</t>
        </is>
      </c>
      <c r="J2283" s="3" t="inlineStr">
        <is>
          <t>Cái</t>
        </is>
      </c>
      <c r="K2283" s="5" t="n">
        <v>7000</v>
      </c>
      <c r="L2283" s="5" t="n">
        <v>9000</v>
      </c>
      <c r="M2283" s="6" t="n">
        <v>11000</v>
      </c>
      <c r="N2283" s="5" t="n"/>
      <c r="O2283" s="5">
        <f>IF(AND(ISNUMBER(N2283),ISNUMBER(M2283)),N2283-M2283,"")</f>
        <v/>
      </c>
      <c r="P2283" s="7">
        <f>IF(AND(ISNUMBER(N2283),ISNUMBER(M2283),M2283&gt;0),(N2283-M2283)/M2283,"")</f>
        <v/>
      </c>
      <c r="Q2283" s="3">
        <f>IF(P2283="","",IF(P2283&lt;-0.02,"🔴 Bán phá giá sàn",IF(P2283&gt;0.05,"🔵 Bán cao hơn","🟢 Đúng giá sàn TMĐT")))</f>
        <v/>
      </c>
      <c r="R2283" s="3" t="n"/>
      <c r="S2283" s="4" t="n"/>
      <c r="T2283" s="4" t="n"/>
    </row>
    <row r="2284">
      <c r="A2284" s="3" t="n">
        <v>2283</v>
      </c>
      <c r="B2284" s="3" t="inlineStr">
        <is>
          <t>DL022</t>
        </is>
      </c>
      <c r="C2284" s="4" t="inlineStr">
        <is>
          <t>ĐL Đà Nẵng - Phú Vinh</t>
        </is>
      </c>
      <c r="D2284" s="3" t="inlineStr">
        <is>
          <t>Đà Nẵng</t>
        </is>
      </c>
      <c r="E2284" s="3" t="inlineStr">
        <is>
          <t>THÙY TRANG</t>
        </is>
      </c>
      <c r="F2284" s="3" t="inlineStr">
        <is>
          <t>Shopee, Tiktok</t>
        </is>
      </c>
      <c r="G228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4" s="3" t="inlineStr">
        <is>
          <t>KBY2-020CO</t>
        </is>
      </c>
      <c r="I2284" s="4" t="inlineStr">
        <is>
          <t>Khoan inox KingBlue KBY2-020CO</t>
        </is>
      </c>
      <c r="J2284" s="3" t="inlineStr">
        <is>
          <t>Cái</t>
        </is>
      </c>
      <c r="K2284" s="5" t="n">
        <v>8000</v>
      </c>
      <c r="L2284" s="5" t="n">
        <v>10000</v>
      </c>
      <c r="M2284" s="6" t="n">
        <v>13000</v>
      </c>
      <c r="N2284" s="5" t="n"/>
      <c r="O2284" s="5">
        <f>IF(AND(ISNUMBER(N2284),ISNUMBER(M2284)),N2284-M2284,"")</f>
        <v/>
      </c>
      <c r="P2284" s="7">
        <f>IF(AND(ISNUMBER(N2284),ISNUMBER(M2284),M2284&gt;0),(N2284-M2284)/M2284,"")</f>
        <v/>
      </c>
      <c r="Q2284" s="3">
        <f>IF(P2284="","",IF(P2284&lt;-0.02,"🔴 Bán phá giá sàn",IF(P2284&gt;0.05,"🔵 Bán cao hơn","🟢 Đúng giá sàn TMĐT")))</f>
        <v/>
      </c>
      <c r="R2284" s="3" t="n"/>
      <c r="S2284" s="4" t="n"/>
      <c r="T2284" s="4" t="n"/>
    </row>
    <row r="2285">
      <c r="A2285" s="3" t="n">
        <v>2284</v>
      </c>
      <c r="B2285" s="3" t="inlineStr">
        <is>
          <t>DL022</t>
        </is>
      </c>
      <c r="C2285" s="4" t="inlineStr">
        <is>
          <t>ĐL Đà Nẵng - Phú Vinh</t>
        </is>
      </c>
      <c r="D2285" s="3" t="inlineStr">
        <is>
          <t>Đà Nẵng</t>
        </is>
      </c>
      <c r="E2285" s="3" t="inlineStr">
        <is>
          <t>THÙY TRANG</t>
        </is>
      </c>
      <c r="F2285" s="3" t="inlineStr">
        <is>
          <t>Shopee, Tiktok</t>
        </is>
      </c>
      <c r="G228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5" s="3" t="inlineStr">
        <is>
          <t>KBY2-030CO</t>
        </is>
      </c>
      <c r="I2285" s="4" t="inlineStr">
        <is>
          <t>Khoan inox KingBlue KBY2-030CO</t>
        </is>
      </c>
      <c r="J2285" s="3" t="inlineStr">
        <is>
          <t>Cái</t>
        </is>
      </c>
      <c r="K2285" s="5" t="n">
        <v>10000</v>
      </c>
      <c r="L2285" s="5" t="n">
        <v>12000</v>
      </c>
      <c r="M2285" s="6" t="n">
        <v>16000</v>
      </c>
      <c r="N2285" s="5" t="n"/>
      <c r="O2285" s="5">
        <f>IF(AND(ISNUMBER(N2285),ISNUMBER(M2285)),N2285-M2285,"")</f>
        <v/>
      </c>
      <c r="P2285" s="7">
        <f>IF(AND(ISNUMBER(N2285),ISNUMBER(M2285),M2285&gt;0),(N2285-M2285)/M2285,"")</f>
        <v/>
      </c>
      <c r="Q2285" s="3">
        <f>IF(P2285="","",IF(P2285&lt;-0.02,"🔴 Bán phá giá sàn",IF(P2285&gt;0.05,"🔵 Bán cao hơn","🟢 Đúng giá sàn TMĐT")))</f>
        <v/>
      </c>
      <c r="R2285" s="3" t="n"/>
      <c r="S2285" s="4" t="n"/>
      <c r="T2285" s="4" t="n"/>
    </row>
    <row r="2286">
      <c r="A2286" s="3" t="n">
        <v>2285</v>
      </c>
      <c r="B2286" s="3" t="inlineStr">
        <is>
          <t>DL022</t>
        </is>
      </c>
      <c r="C2286" s="4" t="inlineStr">
        <is>
          <t>ĐL Đà Nẵng - Phú Vinh</t>
        </is>
      </c>
      <c r="D2286" s="3" t="inlineStr">
        <is>
          <t>Đà Nẵng</t>
        </is>
      </c>
      <c r="E2286" s="3" t="inlineStr">
        <is>
          <t>THÙY TRANG</t>
        </is>
      </c>
      <c r="F2286" s="3" t="inlineStr">
        <is>
          <t>Shopee, Tiktok</t>
        </is>
      </c>
      <c r="G228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6" s="3" t="inlineStr">
        <is>
          <t>KBY2-040CO</t>
        </is>
      </c>
      <c r="I2286" s="4" t="inlineStr">
        <is>
          <t>Khoan inox KingBlue KBY2-040CO</t>
        </is>
      </c>
      <c r="J2286" s="3" t="inlineStr">
        <is>
          <t>Cái</t>
        </is>
      </c>
      <c r="K2286" s="5" t="n">
        <v>17000</v>
      </c>
      <c r="L2286" s="5" t="n">
        <v>21000</v>
      </c>
      <c r="M2286" s="6" t="n">
        <v>27000</v>
      </c>
      <c r="N2286" s="5" t="n"/>
      <c r="O2286" s="5">
        <f>IF(AND(ISNUMBER(N2286),ISNUMBER(M2286)),N2286-M2286,"")</f>
        <v/>
      </c>
      <c r="P2286" s="7">
        <f>IF(AND(ISNUMBER(N2286),ISNUMBER(M2286),M2286&gt;0),(N2286-M2286)/M2286,"")</f>
        <v/>
      </c>
      <c r="Q2286" s="3">
        <f>IF(P2286="","",IF(P2286&lt;-0.02,"🔴 Bán phá giá sàn",IF(P2286&gt;0.05,"🔵 Bán cao hơn","🟢 Đúng giá sàn TMĐT")))</f>
        <v/>
      </c>
      <c r="R2286" s="3" t="n"/>
      <c r="S2286" s="4" t="n"/>
      <c r="T2286" s="4" t="n"/>
    </row>
    <row r="2287">
      <c r="A2287" s="3" t="n">
        <v>2286</v>
      </c>
      <c r="B2287" s="3" t="inlineStr">
        <is>
          <t>DL022</t>
        </is>
      </c>
      <c r="C2287" s="4" t="inlineStr">
        <is>
          <t>ĐL Đà Nẵng - Phú Vinh</t>
        </is>
      </c>
      <c r="D2287" s="3" t="inlineStr">
        <is>
          <t>Đà Nẵng</t>
        </is>
      </c>
      <c r="E2287" s="3" t="inlineStr">
        <is>
          <t>THÙY TRANG</t>
        </is>
      </c>
      <c r="F2287" s="3" t="inlineStr">
        <is>
          <t>Shopee, Tiktok</t>
        </is>
      </c>
      <c r="G228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7" s="3" t="inlineStr">
        <is>
          <t>KBY2-050CO</t>
        </is>
      </c>
      <c r="I2287" s="4" t="inlineStr">
        <is>
          <t>Khoan inox KingBlue KBY2-050CO</t>
        </is>
      </c>
      <c r="J2287" s="3" t="inlineStr">
        <is>
          <t>Cái</t>
        </is>
      </c>
      <c r="K2287" s="5" t="n">
        <v>25000</v>
      </c>
      <c r="L2287" s="5" t="n">
        <v>31000</v>
      </c>
      <c r="M2287" s="6" t="n">
        <v>40000</v>
      </c>
      <c r="N2287" s="5" t="n"/>
      <c r="O2287" s="5">
        <f>IF(AND(ISNUMBER(N2287),ISNUMBER(M2287)),N2287-M2287,"")</f>
        <v/>
      </c>
      <c r="P2287" s="7">
        <f>IF(AND(ISNUMBER(N2287),ISNUMBER(M2287),M2287&gt;0),(N2287-M2287)/M2287,"")</f>
        <v/>
      </c>
      <c r="Q2287" s="3">
        <f>IF(P2287="","",IF(P2287&lt;-0.02,"🔴 Bán phá giá sàn",IF(P2287&gt;0.05,"🔵 Bán cao hơn","🟢 Đúng giá sàn TMĐT")))</f>
        <v/>
      </c>
      <c r="R2287" s="3" t="n"/>
      <c r="S2287" s="4" t="n"/>
      <c r="T2287" s="4" t="n"/>
    </row>
    <row r="2288">
      <c r="A2288" s="3" t="n">
        <v>2287</v>
      </c>
      <c r="B2288" s="3" t="inlineStr">
        <is>
          <t>DL022</t>
        </is>
      </c>
      <c r="C2288" s="4" t="inlineStr">
        <is>
          <t>ĐL Đà Nẵng - Phú Vinh</t>
        </is>
      </c>
      <c r="D2288" s="3" t="inlineStr">
        <is>
          <t>Đà Nẵng</t>
        </is>
      </c>
      <c r="E2288" s="3" t="inlineStr">
        <is>
          <t>THÙY TRANG</t>
        </is>
      </c>
      <c r="F2288" s="3" t="inlineStr">
        <is>
          <t>Shopee, Tiktok</t>
        </is>
      </c>
      <c r="G228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8" s="3" t="inlineStr">
        <is>
          <t>KBY2-060CO</t>
        </is>
      </c>
      <c r="I2288" s="4" t="inlineStr">
        <is>
          <t>Khoan inox KingBlue KBY2-060CO</t>
        </is>
      </c>
      <c r="J2288" s="3" t="inlineStr">
        <is>
          <t>Cái</t>
        </is>
      </c>
      <c r="K2288" s="5" t="n">
        <v>36000</v>
      </c>
      <c r="L2288" s="5" t="n">
        <v>45000</v>
      </c>
      <c r="M2288" s="6" t="n">
        <v>58000</v>
      </c>
      <c r="N2288" s="5" t="n"/>
      <c r="O2288" s="5">
        <f>IF(AND(ISNUMBER(N2288),ISNUMBER(M2288)),N2288-M2288,"")</f>
        <v/>
      </c>
      <c r="P2288" s="7">
        <f>IF(AND(ISNUMBER(N2288),ISNUMBER(M2288),M2288&gt;0),(N2288-M2288)/M2288,"")</f>
        <v/>
      </c>
      <c r="Q2288" s="3">
        <f>IF(P2288="","",IF(P2288&lt;-0.02,"🔴 Bán phá giá sàn",IF(P2288&gt;0.05,"🔵 Bán cao hơn","🟢 Đúng giá sàn TMĐT")))</f>
        <v/>
      </c>
      <c r="R2288" s="3" t="n"/>
      <c r="S2288" s="4" t="n"/>
      <c r="T2288" s="4" t="n"/>
    </row>
    <row r="2289">
      <c r="A2289" s="3" t="n">
        <v>2288</v>
      </c>
      <c r="B2289" s="3" t="inlineStr">
        <is>
          <t>DL022</t>
        </is>
      </c>
      <c r="C2289" s="4" t="inlineStr">
        <is>
          <t>ĐL Đà Nẵng - Phú Vinh</t>
        </is>
      </c>
      <c r="D2289" s="3" t="inlineStr">
        <is>
          <t>Đà Nẵng</t>
        </is>
      </c>
      <c r="E2289" s="3" t="inlineStr">
        <is>
          <t>THÙY TRANG</t>
        </is>
      </c>
      <c r="F2289" s="3" t="inlineStr">
        <is>
          <t>Shopee, Tiktok</t>
        </is>
      </c>
      <c r="G228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89" s="3" t="inlineStr">
        <is>
          <t>KBY2-080CO</t>
        </is>
      </c>
      <c r="I2289" s="4" t="inlineStr">
        <is>
          <t>Khoan inox KingBlue KBY2-080CO</t>
        </is>
      </c>
      <c r="J2289" s="3" t="inlineStr">
        <is>
          <t>Cái</t>
        </is>
      </c>
      <c r="K2289" s="5" t="n">
        <v>58000</v>
      </c>
      <c r="L2289" s="5" t="n">
        <v>72000</v>
      </c>
      <c r="M2289" s="6" t="n">
        <v>93000</v>
      </c>
      <c r="N2289" s="5" t="n"/>
      <c r="O2289" s="5">
        <f>IF(AND(ISNUMBER(N2289),ISNUMBER(M2289)),N2289-M2289,"")</f>
        <v/>
      </c>
      <c r="P2289" s="7">
        <f>IF(AND(ISNUMBER(N2289),ISNUMBER(M2289),M2289&gt;0),(N2289-M2289)/M2289,"")</f>
        <v/>
      </c>
      <c r="Q2289" s="3">
        <f>IF(P2289="","",IF(P2289&lt;-0.02,"🔴 Bán phá giá sàn",IF(P2289&gt;0.05,"🔵 Bán cao hơn","🟢 Đúng giá sàn TMĐT")))</f>
        <v/>
      </c>
      <c r="R2289" s="3" t="n"/>
      <c r="S2289" s="4" t="n"/>
      <c r="T2289" s="4" t="n"/>
    </row>
    <row r="2290">
      <c r="A2290" s="3" t="n">
        <v>2289</v>
      </c>
      <c r="B2290" s="3" t="inlineStr">
        <is>
          <t>DL022</t>
        </is>
      </c>
      <c r="C2290" s="4" t="inlineStr">
        <is>
          <t>ĐL Đà Nẵng - Phú Vinh</t>
        </is>
      </c>
      <c r="D2290" s="3" t="inlineStr">
        <is>
          <t>Đà Nẵng</t>
        </is>
      </c>
      <c r="E2290" s="3" t="inlineStr">
        <is>
          <t>THÙY TRANG</t>
        </is>
      </c>
      <c r="F2290" s="3" t="inlineStr">
        <is>
          <t>Shopee, Tiktok</t>
        </is>
      </c>
      <c r="G229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0" s="3" t="inlineStr">
        <is>
          <t>KBY2-090CO</t>
        </is>
      </c>
      <c r="I2290" s="4" t="inlineStr">
        <is>
          <t>Khoan inox KingBlue KBY2-090CO</t>
        </is>
      </c>
      <c r="J2290" s="3" t="inlineStr">
        <is>
          <t>Cái</t>
        </is>
      </c>
      <c r="K2290" s="5" t="n">
        <v>76000</v>
      </c>
      <c r="L2290" s="5" t="n">
        <v>94000</v>
      </c>
      <c r="M2290" s="6" t="n">
        <v>122000</v>
      </c>
      <c r="N2290" s="5" t="n"/>
      <c r="O2290" s="5">
        <f>IF(AND(ISNUMBER(N2290),ISNUMBER(M2290)),N2290-M2290,"")</f>
        <v/>
      </c>
      <c r="P2290" s="7">
        <f>IF(AND(ISNUMBER(N2290),ISNUMBER(M2290),M2290&gt;0),(N2290-M2290)/M2290,"")</f>
        <v/>
      </c>
      <c r="Q2290" s="3">
        <f>IF(P2290="","",IF(P2290&lt;-0.02,"🔴 Bán phá giá sàn",IF(P2290&gt;0.05,"🔵 Bán cao hơn","🟢 Đúng giá sàn TMĐT")))</f>
        <v/>
      </c>
      <c r="R2290" s="3" t="n"/>
      <c r="S2290" s="4" t="n"/>
      <c r="T2290" s="4" t="n"/>
    </row>
    <row r="2291">
      <c r="A2291" s="3" t="n">
        <v>2290</v>
      </c>
      <c r="B2291" s="3" t="inlineStr">
        <is>
          <t>DL022</t>
        </is>
      </c>
      <c r="C2291" s="4" t="inlineStr">
        <is>
          <t>ĐL Đà Nẵng - Phú Vinh</t>
        </is>
      </c>
      <c r="D2291" s="3" t="inlineStr">
        <is>
          <t>Đà Nẵng</t>
        </is>
      </c>
      <c r="E2291" s="3" t="inlineStr">
        <is>
          <t>THÙY TRANG</t>
        </is>
      </c>
      <c r="F2291" s="3" t="inlineStr">
        <is>
          <t>Shopee, Tiktok</t>
        </is>
      </c>
      <c r="G229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1" s="3" t="inlineStr">
        <is>
          <t>KBY2-100CO</t>
        </is>
      </c>
      <c r="I2291" s="4" t="inlineStr">
        <is>
          <t>Khoan inox KingBlue KBY2-100CO</t>
        </is>
      </c>
      <c r="J2291" s="3" t="inlineStr">
        <is>
          <t>Cái</t>
        </is>
      </c>
      <c r="K2291" s="5" t="n">
        <v>101000</v>
      </c>
      <c r="L2291" s="5" t="n">
        <v>125000</v>
      </c>
      <c r="M2291" s="6" t="n">
        <v>162000</v>
      </c>
      <c r="N2291" s="5" t="n"/>
      <c r="O2291" s="5">
        <f>IF(AND(ISNUMBER(N2291),ISNUMBER(M2291)),N2291-M2291,"")</f>
        <v/>
      </c>
      <c r="P2291" s="7">
        <f>IF(AND(ISNUMBER(N2291),ISNUMBER(M2291),M2291&gt;0),(N2291-M2291)/M2291,"")</f>
        <v/>
      </c>
      <c r="Q2291" s="3">
        <f>IF(P2291="","",IF(P2291&lt;-0.02,"🔴 Bán phá giá sàn",IF(P2291&gt;0.05,"🔵 Bán cao hơn","🟢 Đúng giá sàn TMĐT")))</f>
        <v/>
      </c>
      <c r="R2291" s="3" t="n"/>
      <c r="S2291" s="4" t="n"/>
      <c r="T2291" s="4" t="n"/>
    </row>
    <row r="2292">
      <c r="A2292" s="3" t="n">
        <v>2291</v>
      </c>
      <c r="B2292" s="3" t="inlineStr">
        <is>
          <t>DL022</t>
        </is>
      </c>
      <c r="C2292" s="4" t="inlineStr">
        <is>
          <t>ĐL Đà Nẵng - Phú Vinh</t>
        </is>
      </c>
      <c r="D2292" s="3" t="inlineStr">
        <is>
          <t>Đà Nẵng</t>
        </is>
      </c>
      <c r="E2292" s="3" t="inlineStr">
        <is>
          <t>THÙY TRANG</t>
        </is>
      </c>
      <c r="F2292" s="3" t="inlineStr">
        <is>
          <t>Shopee, Tiktok</t>
        </is>
      </c>
      <c r="G229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2" s="3" t="inlineStr">
        <is>
          <t>KBB-06MM</t>
        </is>
      </c>
      <c r="I2292" s="4" t="inlineStr">
        <is>
          <t>Khoan Kính KingBlue KBB-06MM</t>
        </is>
      </c>
      <c r="J2292" s="3" t="inlineStr">
        <is>
          <t>Cái</t>
        </is>
      </c>
      <c r="K2292" s="5" t="n">
        <v>269000</v>
      </c>
      <c r="L2292" s="5" t="n">
        <v>317000</v>
      </c>
      <c r="M2292" s="6" t="n">
        <v>390000</v>
      </c>
      <c r="N2292" s="5" t="n"/>
      <c r="O2292" s="5">
        <f>IF(AND(ISNUMBER(N2292),ISNUMBER(M2292)),N2292-M2292,"")</f>
        <v/>
      </c>
      <c r="P2292" s="7">
        <f>IF(AND(ISNUMBER(N2292),ISNUMBER(M2292),M2292&gt;0),(N2292-M2292)/M2292,"")</f>
        <v/>
      </c>
      <c r="Q2292" s="3">
        <f>IF(P2292="","",IF(P2292&lt;-0.02,"🔴 Bán phá giá sàn",IF(P2292&gt;0.05,"🔵 Bán cao hơn","🟢 Đúng giá sàn TMĐT")))</f>
        <v/>
      </c>
      <c r="R2292" s="3" t="n"/>
      <c r="S2292" s="4" t="n"/>
      <c r="T2292" s="4" t="n"/>
    </row>
    <row r="2293">
      <c r="A2293" s="3" t="n">
        <v>2292</v>
      </c>
      <c r="B2293" s="3" t="inlineStr">
        <is>
          <t>DL022</t>
        </is>
      </c>
      <c r="C2293" s="4" t="inlineStr">
        <is>
          <t>ĐL Đà Nẵng - Phú Vinh</t>
        </is>
      </c>
      <c r="D2293" s="3" t="inlineStr">
        <is>
          <t>Đà Nẵng</t>
        </is>
      </c>
      <c r="E2293" s="3" t="inlineStr">
        <is>
          <t>THÙY TRANG</t>
        </is>
      </c>
      <c r="F2293" s="3" t="inlineStr">
        <is>
          <t>Shopee, Tiktok</t>
        </is>
      </c>
      <c r="G229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3" s="3" t="inlineStr">
        <is>
          <t>KBB-08MM</t>
        </is>
      </c>
      <c r="I2293" s="4" t="inlineStr">
        <is>
          <t>Khoan Kính KingBlue KBB-08MM</t>
        </is>
      </c>
      <c r="J2293" s="3" t="inlineStr">
        <is>
          <t>Cái</t>
        </is>
      </c>
      <c r="K2293" s="5" t="n">
        <v>269000</v>
      </c>
      <c r="L2293" s="5" t="n">
        <v>317000</v>
      </c>
      <c r="M2293" s="6" t="n">
        <v>390000</v>
      </c>
      <c r="N2293" s="5" t="n"/>
      <c r="O2293" s="5">
        <f>IF(AND(ISNUMBER(N2293),ISNUMBER(M2293)),N2293-M2293,"")</f>
        <v/>
      </c>
      <c r="P2293" s="7">
        <f>IF(AND(ISNUMBER(N2293),ISNUMBER(M2293),M2293&gt;0),(N2293-M2293)/M2293,"")</f>
        <v/>
      </c>
      <c r="Q2293" s="3">
        <f>IF(P2293="","",IF(P2293&lt;-0.02,"🔴 Bán phá giá sàn",IF(P2293&gt;0.05,"🔵 Bán cao hơn","🟢 Đúng giá sàn TMĐT")))</f>
        <v/>
      </c>
      <c r="R2293" s="3" t="n"/>
      <c r="S2293" s="4" t="n"/>
      <c r="T2293" s="4" t="n"/>
    </row>
    <row r="2294">
      <c r="A2294" s="3" t="n">
        <v>2293</v>
      </c>
      <c r="B2294" s="3" t="inlineStr">
        <is>
          <t>DL022</t>
        </is>
      </c>
      <c r="C2294" s="4" t="inlineStr">
        <is>
          <t>ĐL Đà Nẵng - Phú Vinh</t>
        </is>
      </c>
      <c r="D2294" s="3" t="inlineStr">
        <is>
          <t>Đà Nẵng</t>
        </is>
      </c>
      <c r="E2294" s="3" t="inlineStr">
        <is>
          <t>THÙY TRANG</t>
        </is>
      </c>
      <c r="F2294" s="3" t="inlineStr">
        <is>
          <t>Shopee, Tiktok</t>
        </is>
      </c>
      <c r="G229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4" s="3" t="inlineStr">
        <is>
          <t>KBB-10MM</t>
        </is>
      </c>
      <c r="I2294" s="4" t="inlineStr">
        <is>
          <t>Khoan Kính KingBlue KBB-10MM</t>
        </is>
      </c>
      <c r="J2294" s="3" t="inlineStr">
        <is>
          <t>Cái</t>
        </is>
      </c>
      <c r="K2294" s="5" t="n">
        <v>269000</v>
      </c>
      <c r="L2294" s="5" t="n">
        <v>317000</v>
      </c>
      <c r="M2294" s="6" t="n">
        <v>390000</v>
      </c>
      <c r="N2294" s="5" t="n"/>
      <c r="O2294" s="5">
        <f>IF(AND(ISNUMBER(N2294),ISNUMBER(M2294)),N2294-M2294,"")</f>
        <v/>
      </c>
      <c r="P2294" s="7">
        <f>IF(AND(ISNUMBER(N2294),ISNUMBER(M2294),M2294&gt;0),(N2294-M2294)/M2294,"")</f>
        <v/>
      </c>
      <c r="Q2294" s="3">
        <f>IF(P2294="","",IF(P2294&lt;-0.02,"🔴 Bán phá giá sàn",IF(P2294&gt;0.05,"🔵 Bán cao hơn","🟢 Đúng giá sàn TMĐT")))</f>
        <v/>
      </c>
      <c r="R2294" s="3" t="n"/>
      <c r="S2294" s="4" t="n"/>
      <c r="T2294" s="4" t="n"/>
    </row>
    <row r="2295">
      <c r="A2295" s="3" t="n">
        <v>2294</v>
      </c>
      <c r="B2295" s="3" t="inlineStr">
        <is>
          <t>DL022</t>
        </is>
      </c>
      <c r="C2295" s="4" t="inlineStr">
        <is>
          <t>ĐL Đà Nẵng - Phú Vinh</t>
        </is>
      </c>
      <c r="D2295" s="3" t="inlineStr">
        <is>
          <t>Đà Nẵng</t>
        </is>
      </c>
      <c r="E2295" s="3" t="inlineStr">
        <is>
          <t>THÙY TRANG</t>
        </is>
      </c>
      <c r="F2295" s="3" t="inlineStr">
        <is>
          <t>Shopee, Tiktok</t>
        </is>
      </c>
      <c r="G229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5" s="3" t="inlineStr">
        <is>
          <t>KBB-12MM</t>
        </is>
      </c>
      <c r="I2295" s="4" t="inlineStr">
        <is>
          <t>Khoan Kính KingBlue KBB-12MM</t>
        </is>
      </c>
      <c r="J2295" s="3" t="inlineStr">
        <is>
          <t>Cái</t>
        </is>
      </c>
      <c r="K2295" s="5" t="n">
        <v>269000</v>
      </c>
      <c r="L2295" s="5" t="n">
        <v>317000</v>
      </c>
      <c r="M2295" s="6" t="n">
        <v>390000</v>
      </c>
      <c r="N2295" s="5" t="n"/>
      <c r="O2295" s="5">
        <f>IF(AND(ISNUMBER(N2295),ISNUMBER(M2295)),N2295-M2295,"")</f>
        <v/>
      </c>
      <c r="P2295" s="7">
        <f>IF(AND(ISNUMBER(N2295),ISNUMBER(M2295),M2295&gt;0),(N2295-M2295)/M2295,"")</f>
        <v/>
      </c>
      <c r="Q2295" s="3">
        <f>IF(P2295="","",IF(P2295&lt;-0.02,"🔴 Bán phá giá sàn",IF(P2295&gt;0.05,"🔵 Bán cao hơn","🟢 Đúng giá sàn TMĐT")))</f>
        <v/>
      </c>
      <c r="R2295" s="3" t="n"/>
      <c r="S2295" s="4" t="n"/>
      <c r="T2295" s="4" t="n"/>
    </row>
    <row r="2296">
      <c r="A2296" s="3" t="n">
        <v>2295</v>
      </c>
      <c r="B2296" s="3" t="inlineStr">
        <is>
          <t>DL022</t>
        </is>
      </c>
      <c r="C2296" s="4" t="inlineStr">
        <is>
          <t>ĐL Đà Nẵng - Phú Vinh</t>
        </is>
      </c>
      <c r="D2296" s="3" t="inlineStr">
        <is>
          <t>Đà Nẵng</t>
        </is>
      </c>
      <c r="E2296" s="3" t="inlineStr">
        <is>
          <t>THÙY TRANG</t>
        </is>
      </c>
      <c r="F2296" s="3" t="inlineStr">
        <is>
          <t>Shopee, Tiktok</t>
        </is>
      </c>
      <c r="G229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6" s="3" t="inlineStr">
        <is>
          <t>KBB-14MM</t>
        </is>
      </c>
      <c r="I2296" s="4" t="inlineStr">
        <is>
          <t>Khoan Kính KingBlue KBB-14MM</t>
        </is>
      </c>
      <c r="J2296" s="3" t="inlineStr">
        <is>
          <t>Cái</t>
        </is>
      </c>
      <c r="K2296" s="5" t="n">
        <v>269000</v>
      </c>
      <c r="L2296" s="5" t="n">
        <v>317000</v>
      </c>
      <c r="M2296" s="6" t="n">
        <v>390000</v>
      </c>
      <c r="N2296" s="5" t="n"/>
      <c r="O2296" s="5">
        <f>IF(AND(ISNUMBER(N2296),ISNUMBER(M2296)),N2296-M2296,"")</f>
        <v/>
      </c>
      <c r="P2296" s="7">
        <f>IF(AND(ISNUMBER(N2296),ISNUMBER(M2296),M2296&gt;0),(N2296-M2296)/M2296,"")</f>
        <v/>
      </c>
      <c r="Q2296" s="3">
        <f>IF(P2296="","",IF(P2296&lt;-0.02,"🔴 Bán phá giá sàn",IF(P2296&gt;0.05,"🔵 Bán cao hơn","🟢 Đúng giá sàn TMĐT")))</f>
        <v/>
      </c>
      <c r="R2296" s="3" t="n"/>
      <c r="S2296" s="4" t="n"/>
      <c r="T2296" s="4" t="n"/>
    </row>
    <row r="2297">
      <c r="A2297" s="3" t="n">
        <v>2296</v>
      </c>
      <c r="B2297" s="3" t="inlineStr">
        <is>
          <t>DL022</t>
        </is>
      </c>
      <c r="C2297" s="4" t="inlineStr">
        <is>
          <t>ĐL Đà Nẵng - Phú Vinh</t>
        </is>
      </c>
      <c r="D2297" s="3" t="inlineStr">
        <is>
          <t>Đà Nẵng</t>
        </is>
      </c>
      <c r="E2297" s="3" t="inlineStr">
        <is>
          <t>THÙY TRANG</t>
        </is>
      </c>
      <c r="F2297" s="3" t="inlineStr">
        <is>
          <t>Shopee, Tiktok</t>
        </is>
      </c>
      <c r="G229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7" s="3" t="inlineStr">
        <is>
          <t>KBB-16MM</t>
        </is>
      </c>
      <c r="I2297" s="4" t="inlineStr">
        <is>
          <t>Khoan Kính KingBlue KBB-16MM</t>
        </is>
      </c>
      <c r="J2297" s="3" t="inlineStr">
        <is>
          <t>Cái</t>
        </is>
      </c>
      <c r="K2297" s="5" t="n">
        <v>269000</v>
      </c>
      <c r="L2297" s="5" t="n">
        <v>317000</v>
      </c>
      <c r="M2297" s="6" t="n">
        <v>390000</v>
      </c>
      <c r="N2297" s="5" t="n"/>
      <c r="O2297" s="5">
        <f>IF(AND(ISNUMBER(N2297),ISNUMBER(M2297)),N2297-M2297,"")</f>
        <v/>
      </c>
      <c r="P2297" s="7">
        <f>IF(AND(ISNUMBER(N2297),ISNUMBER(M2297),M2297&gt;0),(N2297-M2297)/M2297,"")</f>
        <v/>
      </c>
      <c r="Q2297" s="3">
        <f>IF(P2297="","",IF(P2297&lt;-0.02,"🔴 Bán phá giá sàn",IF(P2297&gt;0.05,"🔵 Bán cao hơn","🟢 Đúng giá sàn TMĐT")))</f>
        <v/>
      </c>
      <c r="R2297" s="3" t="n"/>
      <c r="S2297" s="4" t="n"/>
      <c r="T2297" s="4" t="n"/>
    </row>
    <row r="2298">
      <c r="A2298" s="3" t="n">
        <v>2297</v>
      </c>
      <c r="B2298" s="3" t="inlineStr">
        <is>
          <t>DL022</t>
        </is>
      </c>
      <c r="C2298" s="4" t="inlineStr">
        <is>
          <t>ĐL Đà Nẵng - Phú Vinh</t>
        </is>
      </c>
      <c r="D2298" s="3" t="inlineStr">
        <is>
          <t>Đà Nẵng</t>
        </is>
      </c>
      <c r="E2298" s="3" t="inlineStr">
        <is>
          <t>THÙY TRANG</t>
        </is>
      </c>
      <c r="F2298" s="3" t="inlineStr">
        <is>
          <t>Shopee, Tiktok</t>
        </is>
      </c>
      <c r="G229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8" s="3" t="inlineStr">
        <is>
          <t>KBB-18MM</t>
        </is>
      </c>
      <c r="I2298" s="4" t="inlineStr">
        <is>
          <t>Khoan Kính KingBlue KBB-18MM</t>
        </is>
      </c>
      <c r="J2298" s="3" t="inlineStr">
        <is>
          <t>Cái</t>
        </is>
      </c>
      <c r="K2298" s="5" t="n">
        <v>269000</v>
      </c>
      <c r="L2298" s="5" t="n">
        <v>317000</v>
      </c>
      <c r="M2298" s="6" t="n">
        <v>390000</v>
      </c>
      <c r="N2298" s="5" t="n"/>
      <c r="O2298" s="5">
        <f>IF(AND(ISNUMBER(N2298),ISNUMBER(M2298)),N2298-M2298,"")</f>
        <v/>
      </c>
      <c r="P2298" s="7">
        <f>IF(AND(ISNUMBER(N2298),ISNUMBER(M2298),M2298&gt;0),(N2298-M2298)/M2298,"")</f>
        <v/>
      </c>
      <c r="Q2298" s="3">
        <f>IF(P2298="","",IF(P2298&lt;-0.02,"🔴 Bán phá giá sàn",IF(P2298&gt;0.05,"🔵 Bán cao hơn","🟢 Đúng giá sàn TMĐT")))</f>
        <v/>
      </c>
      <c r="R2298" s="3" t="n"/>
      <c r="S2298" s="4" t="n"/>
      <c r="T2298" s="4" t="n"/>
    </row>
    <row r="2299">
      <c r="A2299" s="3" t="n">
        <v>2298</v>
      </c>
      <c r="B2299" s="3" t="inlineStr">
        <is>
          <t>DL022</t>
        </is>
      </c>
      <c r="C2299" s="4" t="inlineStr">
        <is>
          <t>ĐL Đà Nẵng - Phú Vinh</t>
        </is>
      </c>
      <c r="D2299" s="3" t="inlineStr">
        <is>
          <t>Đà Nẵng</t>
        </is>
      </c>
      <c r="E2299" s="3" t="inlineStr">
        <is>
          <t>THÙY TRANG</t>
        </is>
      </c>
      <c r="F2299" s="3" t="inlineStr">
        <is>
          <t>Shopee, Tiktok</t>
        </is>
      </c>
      <c r="G229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299" s="3" t="inlineStr">
        <is>
          <t>KBB-20MM</t>
        </is>
      </c>
      <c r="I2299" s="4" t="inlineStr">
        <is>
          <t>Khoan Kính KingBlue KBB-20MM</t>
        </is>
      </c>
      <c r="J2299" s="3" t="inlineStr">
        <is>
          <t>Cái</t>
        </is>
      </c>
      <c r="K2299" s="5" t="n">
        <v>269000</v>
      </c>
      <c r="L2299" s="5" t="n">
        <v>317000</v>
      </c>
      <c r="M2299" s="6" t="n">
        <v>390000</v>
      </c>
      <c r="N2299" s="5" t="n"/>
      <c r="O2299" s="5">
        <f>IF(AND(ISNUMBER(N2299),ISNUMBER(M2299)),N2299-M2299,"")</f>
        <v/>
      </c>
      <c r="P2299" s="7">
        <f>IF(AND(ISNUMBER(N2299),ISNUMBER(M2299),M2299&gt;0),(N2299-M2299)/M2299,"")</f>
        <v/>
      </c>
      <c r="Q2299" s="3">
        <f>IF(P2299="","",IF(P2299&lt;-0.02,"🔴 Bán phá giá sàn",IF(P2299&gt;0.05,"🔵 Bán cao hơn","🟢 Đúng giá sàn TMĐT")))</f>
        <v/>
      </c>
      <c r="R2299" s="3" t="n"/>
      <c r="S2299" s="4" t="n"/>
      <c r="T2299" s="4" t="n"/>
    </row>
    <row r="2300">
      <c r="A2300" s="3" t="n">
        <v>2299</v>
      </c>
      <c r="B2300" s="3" t="inlineStr">
        <is>
          <t>DL022</t>
        </is>
      </c>
      <c r="C2300" s="4" t="inlineStr">
        <is>
          <t>ĐL Đà Nẵng - Phú Vinh</t>
        </is>
      </c>
      <c r="D2300" s="3" t="inlineStr">
        <is>
          <t>Đà Nẵng</t>
        </is>
      </c>
      <c r="E2300" s="3" t="inlineStr">
        <is>
          <t>THÙY TRANG</t>
        </is>
      </c>
      <c r="F2300" s="3" t="inlineStr">
        <is>
          <t>Shopee, Tiktok</t>
        </is>
      </c>
      <c r="G230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0" s="3" t="inlineStr">
        <is>
          <t>KBB-21MM</t>
        </is>
      </c>
      <c r="I2300" s="4" t="inlineStr">
        <is>
          <t>Khoan Kính KingBlue KBB-21MM</t>
        </is>
      </c>
      <c r="J2300" s="3" t="inlineStr">
        <is>
          <t>Cái</t>
        </is>
      </c>
      <c r="K2300" s="5" t="n">
        <v>269000</v>
      </c>
      <c r="L2300" s="5" t="n">
        <v>317000</v>
      </c>
      <c r="M2300" s="6" t="n">
        <v>390000</v>
      </c>
      <c r="N2300" s="5" t="n"/>
      <c r="O2300" s="5">
        <f>IF(AND(ISNUMBER(N2300),ISNUMBER(M2300)),N2300-M2300,"")</f>
        <v/>
      </c>
      <c r="P2300" s="7">
        <f>IF(AND(ISNUMBER(N2300),ISNUMBER(M2300),M2300&gt;0),(N2300-M2300)/M2300,"")</f>
        <v/>
      </c>
      <c r="Q2300" s="3">
        <f>IF(P2300="","",IF(P2300&lt;-0.02,"🔴 Bán phá giá sàn",IF(P2300&gt;0.05,"🔵 Bán cao hơn","🟢 Đúng giá sàn TMĐT")))</f>
        <v/>
      </c>
      <c r="R2300" s="3" t="n"/>
      <c r="S2300" s="4" t="n"/>
      <c r="T2300" s="4" t="n"/>
    </row>
    <row r="2301">
      <c r="A2301" s="3" t="n">
        <v>2300</v>
      </c>
      <c r="B2301" s="3" t="inlineStr">
        <is>
          <t>DL022</t>
        </is>
      </c>
      <c r="C2301" s="4" t="inlineStr">
        <is>
          <t>ĐL Đà Nẵng - Phú Vinh</t>
        </is>
      </c>
      <c r="D2301" s="3" t="inlineStr">
        <is>
          <t>Đà Nẵng</t>
        </is>
      </c>
      <c r="E2301" s="3" t="inlineStr">
        <is>
          <t>THÙY TRANG</t>
        </is>
      </c>
      <c r="F2301" s="3" t="inlineStr">
        <is>
          <t>Shopee, Tiktok</t>
        </is>
      </c>
      <c r="G230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1" s="3" t="inlineStr">
        <is>
          <t>KBB-22MM</t>
        </is>
      </c>
      <c r="I2301" s="4" t="inlineStr">
        <is>
          <t>Khoan Kính KingBlue KBB-22MM</t>
        </is>
      </c>
      <c r="J2301" s="3" t="inlineStr">
        <is>
          <t>Cái</t>
        </is>
      </c>
      <c r="K2301" s="5" t="n">
        <v>269000</v>
      </c>
      <c r="L2301" s="5" t="n">
        <v>317000</v>
      </c>
      <c r="M2301" s="6" t="n">
        <v>390000</v>
      </c>
      <c r="N2301" s="5" t="n"/>
      <c r="O2301" s="5">
        <f>IF(AND(ISNUMBER(N2301),ISNUMBER(M2301)),N2301-M2301,"")</f>
        <v/>
      </c>
      <c r="P2301" s="7">
        <f>IF(AND(ISNUMBER(N2301),ISNUMBER(M2301),M2301&gt;0),(N2301-M2301)/M2301,"")</f>
        <v/>
      </c>
      <c r="Q2301" s="3">
        <f>IF(P2301="","",IF(P2301&lt;-0.02,"🔴 Bán phá giá sàn",IF(P2301&gt;0.05,"🔵 Bán cao hơn","🟢 Đúng giá sàn TMĐT")))</f>
        <v/>
      </c>
      <c r="R2301" s="3" t="n"/>
      <c r="S2301" s="4" t="n"/>
      <c r="T2301" s="4" t="n"/>
    </row>
    <row r="2302">
      <c r="A2302" s="3" t="n">
        <v>2301</v>
      </c>
      <c r="B2302" s="3" t="inlineStr">
        <is>
          <t>DL022</t>
        </is>
      </c>
      <c r="C2302" s="4" t="inlineStr">
        <is>
          <t>ĐL Đà Nẵng - Phú Vinh</t>
        </is>
      </c>
      <c r="D2302" s="3" t="inlineStr">
        <is>
          <t>Đà Nẵng</t>
        </is>
      </c>
      <c r="E2302" s="3" t="inlineStr">
        <is>
          <t>THÙY TRANG</t>
        </is>
      </c>
      <c r="F2302" s="3" t="inlineStr">
        <is>
          <t>Shopee, Tiktok</t>
        </is>
      </c>
      <c r="G230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2" s="3" t="inlineStr">
        <is>
          <t>KBB-25MM</t>
        </is>
      </c>
      <c r="I2302" s="4" t="inlineStr">
        <is>
          <t>Khoan Kính KingBlue KBB-25MM</t>
        </is>
      </c>
      <c r="J2302" s="3" t="inlineStr">
        <is>
          <t>Cái</t>
        </is>
      </c>
      <c r="K2302" s="5" t="n">
        <v>269000</v>
      </c>
      <c r="L2302" s="5" t="n">
        <v>317000</v>
      </c>
      <c r="M2302" s="6" t="n">
        <v>390000</v>
      </c>
      <c r="N2302" s="5" t="n"/>
      <c r="O2302" s="5">
        <f>IF(AND(ISNUMBER(N2302),ISNUMBER(M2302)),N2302-M2302,"")</f>
        <v/>
      </c>
      <c r="P2302" s="7">
        <f>IF(AND(ISNUMBER(N2302),ISNUMBER(M2302),M2302&gt;0),(N2302-M2302)/M2302,"")</f>
        <v/>
      </c>
      <c r="Q2302" s="3">
        <f>IF(P2302="","",IF(P2302&lt;-0.02,"🔴 Bán phá giá sàn",IF(P2302&gt;0.05,"🔵 Bán cao hơn","🟢 Đúng giá sàn TMĐT")))</f>
        <v/>
      </c>
      <c r="R2302" s="3" t="n"/>
      <c r="S2302" s="4" t="n"/>
      <c r="T2302" s="4" t="n"/>
    </row>
    <row r="2303">
      <c r="A2303" s="3" t="n">
        <v>2302</v>
      </c>
      <c r="B2303" s="3" t="inlineStr">
        <is>
          <t>DL022</t>
        </is>
      </c>
      <c r="C2303" s="4" t="inlineStr">
        <is>
          <t>ĐL Đà Nẵng - Phú Vinh</t>
        </is>
      </c>
      <c r="D2303" s="3" t="inlineStr">
        <is>
          <t>Đà Nẵng</t>
        </is>
      </c>
      <c r="E2303" s="3" t="inlineStr">
        <is>
          <t>THÙY TRANG</t>
        </is>
      </c>
      <c r="F2303" s="3" t="inlineStr">
        <is>
          <t>Shopee, Tiktok</t>
        </is>
      </c>
      <c r="G230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3" s="3" t="inlineStr">
        <is>
          <t>KBB-27MM</t>
        </is>
      </c>
      <c r="I2303" s="4" t="inlineStr">
        <is>
          <t>Khoan Kính KingBlue KBB-27MM</t>
        </is>
      </c>
      <c r="J2303" s="3" t="inlineStr">
        <is>
          <t>Cái</t>
        </is>
      </c>
      <c r="K2303" s="5" t="n">
        <v>269000</v>
      </c>
      <c r="L2303" s="5" t="n">
        <v>317000</v>
      </c>
      <c r="M2303" s="6" t="n">
        <v>390000</v>
      </c>
      <c r="N2303" s="5" t="n"/>
      <c r="O2303" s="5">
        <f>IF(AND(ISNUMBER(N2303),ISNUMBER(M2303)),N2303-M2303,"")</f>
        <v/>
      </c>
      <c r="P2303" s="7">
        <f>IF(AND(ISNUMBER(N2303),ISNUMBER(M2303),M2303&gt;0),(N2303-M2303)/M2303,"")</f>
        <v/>
      </c>
      <c r="Q2303" s="3">
        <f>IF(P2303="","",IF(P2303&lt;-0.02,"🔴 Bán phá giá sàn",IF(P2303&gt;0.05,"🔵 Bán cao hơn","🟢 Đúng giá sàn TMĐT")))</f>
        <v/>
      </c>
      <c r="R2303" s="3" t="n"/>
      <c r="S2303" s="4" t="n"/>
      <c r="T2303" s="4" t="n"/>
    </row>
    <row r="2304">
      <c r="A2304" s="3" t="n">
        <v>2303</v>
      </c>
      <c r="B2304" s="3" t="inlineStr">
        <is>
          <t>DL022</t>
        </is>
      </c>
      <c r="C2304" s="4" t="inlineStr">
        <is>
          <t>ĐL Đà Nẵng - Phú Vinh</t>
        </is>
      </c>
      <c r="D2304" s="3" t="inlineStr">
        <is>
          <t>Đà Nẵng</t>
        </is>
      </c>
      <c r="E2304" s="3" t="inlineStr">
        <is>
          <t>THÙY TRANG</t>
        </is>
      </c>
      <c r="F2304" s="3" t="inlineStr">
        <is>
          <t>Shopee, Tiktok</t>
        </is>
      </c>
      <c r="G230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4" s="3" t="inlineStr">
        <is>
          <t>KBB-30MM</t>
        </is>
      </c>
      <c r="I2304" s="4" t="inlineStr">
        <is>
          <t>Khoan Kính KingBlue KBB-30MM</t>
        </is>
      </c>
      <c r="J2304" s="3" t="inlineStr">
        <is>
          <t>Cái</t>
        </is>
      </c>
      <c r="K2304" s="5" t="n">
        <v>269000</v>
      </c>
      <c r="L2304" s="5" t="n">
        <v>317000</v>
      </c>
      <c r="M2304" s="6" t="n">
        <v>390000</v>
      </c>
      <c r="N2304" s="5" t="n"/>
      <c r="O2304" s="5">
        <f>IF(AND(ISNUMBER(N2304),ISNUMBER(M2304)),N2304-M2304,"")</f>
        <v/>
      </c>
      <c r="P2304" s="7">
        <f>IF(AND(ISNUMBER(N2304),ISNUMBER(M2304),M2304&gt;0),(N2304-M2304)/M2304,"")</f>
        <v/>
      </c>
      <c r="Q2304" s="3">
        <f>IF(P2304="","",IF(P2304&lt;-0.02,"🔴 Bán phá giá sàn",IF(P2304&gt;0.05,"🔵 Bán cao hơn","🟢 Đúng giá sàn TMĐT")))</f>
        <v/>
      </c>
      <c r="R2304" s="3" t="n"/>
      <c r="S2304" s="4" t="n"/>
      <c r="T2304" s="4" t="n"/>
    </row>
    <row r="2305">
      <c r="A2305" s="3" t="n">
        <v>2304</v>
      </c>
      <c r="B2305" s="3" t="inlineStr">
        <is>
          <t>DL022</t>
        </is>
      </c>
      <c r="C2305" s="4" t="inlineStr">
        <is>
          <t>ĐL Đà Nẵng - Phú Vinh</t>
        </is>
      </c>
      <c r="D2305" s="3" t="inlineStr">
        <is>
          <t>Đà Nẵng</t>
        </is>
      </c>
      <c r="E2305" s="3" t="inlineStr">
        <is>
          <t>THÙY TRANG</t>
        </is>
      </c>
      <c r="F2305" s="3" t="inlineStr">
        <is>
          <t>Shopee, Tiktok</t>
        </is>
      </c>
      <c r="G230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5" s="3" t="inlineStr">
        <is>
          <t>KBB-32MM</t>
        </is>
      </c>
      <c r="I2305" s="4" t="inlineStr">
        <is>
          <t>Khoan Kính KingBlue KBB-32MM</t>
        </is>
      </c>
      <c r="J2305" s="3" t="inlineStr">
        <is>
          <t>Cái</t>
        </is>
      </c>
      <c r="K2305" s="5" t="n">
        <v>269000</v>
      </c>
      <c r="L2305" s="5" t="n">
        <v>317000</v>
      </c>
      <c r="M2305" s="6" t="n">
        <v>390000</v>
      </c>
      <c r="N2305" s="5" t="n"/>
      <c r="O2305" s="5">
        <f>IF(AND(ISNUMBER(N2305),ISNUMBER(M2305)),N2305-M2305,"")</f>
        <v/>
      </c>
      <c r="P2305" s="7">
        <f>IF(AND(ISNUMBER(N2305),ISNUMBER(M2305),M2305&gt;0),(N2305-M2305)/M2305,"")</f>
        <v/>
      </c>
      <c r="Q2305" s="3">
        <f>IF(P2305="","",IF(P2305&lt;-0.02,"🔴 Bán phá giá sàn",IF(P2305&gt;0.05,"🔵 Bán cao hơn","🟢 Đúng giá sàn TMĐT")))</f>
        <v/>
      </c>
      <c r="R2305" s="3" t="n"/>
      <c r="S2305" s="4" t="n"/>
      <c r="T2305" s="4" t="n"/>
    </row>
    <row r="2306">
      <c r="A2306" s="3" t="n">
        <v>2305</v>
      </c>
      <c r="B2306" s="3" t="inlineStr">
        <is>
          <t>DL022</t>
        </is>
      </c>
      <c r="C2306" s="4" t="inlineStr">
        <is>
          <t>ĐL Đà Nẵng - Phú Vinh</t>
        </is>
      </c>
      <c r="D2306" s="3" t="inlineStr">
        <is>
          <t>Đà Nẵng</t>
        </is>
      </c>
      <c r="E2306" s="3" t="inlineStr">
        <is>
          <t>THÙY TRANG</t>
        </is>
      </c>
      <c r="F2306" s="3" t="inlineStr">
        <is>
          <t>Shopee, Tiktok</t>
        </is>
      </c>
      <c r="G230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6" s="3" t="inlineStr">
        <is>
          <t>KBB-34MM</t>
        </is>
      </c>
      <c r="I2306" s="4" t="inlineStr">
        <is>
          <t>Khoan Kính KingBlue KBB-34MM</t>
        </is>
      </c>
      <c r="J2306" s="3" t="inlineStr">
        <is>
          <t>Cái</t>
        </is>
      </c>
      <c r="K2306" s="5" t="n">
        <v>269000</v>
      </c>
      <c r="L2306" s="5" t="n">
        <v>317000</v>
      </c>
      <c r="M2306" s="6" t="n">
        <v>390000</v>
      </c>
      <c r="N2306" s="5" t="n"/>
      <c r="O2306" s="5">
        <f>IF(AND(ISNUMBER(N2306),ISNUMBER(M2306)),N2306-M2306,"")</f>
        <v/>
      </c>
      <c r="P2306" s="7">
        <f>IF(AND(ISNUMBER(N2306),ISNUMBER(M2306),M2306&gt;0),(N2306-M2306)/M2306,"")</f>
        <v/>
      </c>
      <c r="Q2306" s="3">
        <f>IF(P2306="","",IF(P2306&lt;-0.02,"🔴 Bán phá giá sàn",IF(P2306&gt;0.05,"🔵 Bán cao hơn","🟢 Đúng giá sàn TMĐT")))</f>
        <v/>
      </c>
      <c r="R2306" s="3" t="n"/>
      <c r="S2306" s="4" t="n"/>
      <c r="T2306" s="4" t="n"/>
    </row>
    <row r="2307">
      <c r="A2307" s="3" t="n">
        <v>2306</v>
      </c>
      <c r="B2307" s="3" t="inlineStr">
        <is>
          <t>DL022</t>
        </is>
      </c>
      <c r="C2307" s="4" t="inlineStr">
        <is>
          <t>ĐL Đà Nẵng - Phú Vinh</t>
        </is>
      </c>
      <c r="D2307" s="3" t="inlineStr">
        <is>
          <t>Đà Nẵng</t>
        </is>
      </c>
      <c r="E2307" s="3" t="inlineStr">
        <is>
          <t>THÙY TRANG</t>
        </is>
      </c>
      <c r="F2307" s="3" t="inlineStr">
        <is>
          <t>Shopee, Tiktok</t>
        </is>
      </c>
      <c r="G230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7" s="3" t="inlineStr">
        <is>
          <t>KBB-35MM</t>
        </is>
      </c>
      <c r="I2307" s="4" t="inlineStr">
        <is>
          <t>Khoan Kính KingBlue KBB-35MM</t>
        </is>
      </c>
      <c r="J2307" s="3" t="inlineStr">
        <is>
          <t>Cái</t>
        </is>
      </c>
      <c r="K2307" s="5" t="n">
        <v>269000</v>
      </c>
      <c r="L2307" s="5" t="n">
        <v>317000</v>
      </c>
      <c r="M2307" s="6" t="n">
        <v>390000</v>
      </c>
      <c r="N2307" s="5" t="n"/>
      <c r="O2307" s="5">
        <f>IF(AND(ISNUMBER(N2307),ISNUMBER(M2307)),N2307-M2307,"")</f>
        <v/>
      </c>
      <c r="P2307" s="7">
        <f>IF(AND(ISNUMBER(N2307),ISNUMBER(M2307),M2307&gt;0),(N2307-M2307)/M2307,"")</f>
        <v/>
      </c>
      <c r="Q2307" s="3">
        <f>IF(P2307="","",IF(P2307&lt;-0.02,"🔴 Bán phá giá sàn",IF(P2307&gt;0.05,"🔵 Bán cao hơn","🟢 Đúng giá sàn TMĐT")))</f>
        <v/>
      </c>
      <c r="R2307" s="3" t="n"/>
      <c r="S2307" s="4" t="n"/>
      <c r="T2307" s="4" t="n"/>
    </row>
    <row r="2308">
      <c r="A2308" s="3" t="n">
        <v>2307</v>
      </c>
      <c r="B2308" s="3" t="inlineStr">
        <is>
          <t>DL022</t>
        </is>
      </c>
      <c r="C2308" s="4" t="inlineStr">
        <is>
          <t>ĐL Đà Nẵng - Phú Vinh</t>
        </is>
      </c>
      <c r="D2308" s="3" t="inlineStr">
        <is>
          <t>Đà Nẵng</t>
        </is>
      </c>
      <c r="E2308" s="3" t="inlineStr">
        <is>
          <t>THÙY TRANG</t>
        </is>
      </c>
      <c r="F2308" s="3" t="inlineStr">
        <is>
          <t>Shopee, Tiktok</t>
        </is>
      </c>
      <c r="G230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8" s="3" t="inlineStr">
        <is>
          <t>KBB-40MM</t>
        </is>
      </c>
      <c r="I2308" s="4" t="inlineStr">
        <is>
          <t>Khoan Kính KingBlue KBB-40MM</t>
        </is>
      </c>
      <c r="J2308" s="3" t="inlineStr">
        <is>
          <t>Cái</t>
        </is>
      </c>
      <c r="K2308" s="5" t="n">
        <v>269000</v>
      </c>
      <c r="L2308" s="5" t="n">
        <v>317000</v>
      </c>
      <c r="M2308" s="6" t="n">
        <v>390000</v>
      </c>
      <c r="N2308" s="5" t="n"/>
      <c r="O2308" s="5">
        <f>IF(AND(ISNUMBER(N2308),ISNUMBER(M2308)),N2308-M2308,"")</f>
        <v/>
      </c>
      <c r="P2308" s="7">
        <f>IF(AND(ISNUMBER(N2308),ISNUMBER(M2308),M2308&gt;0),(N2308-M2308)/M2308,"")</f>
        <v/>
      </c>
      <c r="Q2308" s="3">
        <f>IF(P2308="","",IF(P2308&lt;-0.02,"🔴 Bán phá giá sàn",IF(P2308&gt;0.05,"🔵 Bán cao hơn","🟢 Đúng giá sàn TMĐT")))</f>
        <v/>
      </c>
      <c r="R2308" s="3" t="n"/>
      <c r="S2308" s="4" t="n"/>
      <c r="T2308" s="4" t="n"/>
    </row>
    <row r="2309">
      <c r="A2309" s="3" t="n">
        <v>2308</v>
      </c>
      <c r="B2309" s="3" t="inlineStr">
        <is>
          <t>DL022</t>
        </is>
      </c>
      <c r="C2309" s="4" t="inlineStr">
        <is>
          <t>ĐL Đà Nẵng - Phú Vinh</t>
        </is>
      </c>
      <c r="D2309" s="3" t="inlineStr">
        <is>
          <t>Đà Nẵng</t>
        </is>
      </c>
      <c r="E2309" s="3" t="inlineStr">
        <is>
          <t>THÙY TRANG</t>
        </is>
      </c>
      <c r="F2309" s="3" t="inlineStr">
        <is>
          <t>Shopee, Tiktok</t>
        </is>
      </c>
      <c r="G230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09" s="3" t="inlineStr">
        <is>
          <t>KBB-42MM</t>
        </is>
      </c>
      <c r="I2309" s="4" t="inlineStr">
        <is>
          <t>Khoan Kính KingBlue KBB-42MM</t>
        </is>
      </c>
      <c r="J2309" s="3" t="inlineStr">
        <is>
          <t>Cái</t>
        </is>
      </c>
      <c r="K2309" s="5" t="n">
        <v>269000</v>
      </c>
      <c r="L2309" s="5" t="n">
        <v>317000</v>
      </c>
      <c r="M2309" s="6" t="n">
        <v>390000</v>
      </c>
      <c r="N2309" s="5" t="n"/>
      <c r="O2309" s="5">
        <f>IF(AND(ISNUMBER(N2309),ISNUMBER(M2309)),N2309-M2309,"")</f>
        <v/>
      </c>
      <c r="P2309" s="7">
        <f>IF(AND(ISNUMBER(N2309),ISNUMBER(M2309),M2309&gt;0),(N2309-M2309)/M2309,"")</f>
        <v/>
      </c>
      <c r="Q2309" s="3">
        <f>IF(P2309="","",IF(P2309&lt;-0.02,"🔴 Bán phá giá sàn",IF(P2309&gt;0.05,"🔵 Bán cao hơn","🟢 Đúng giá sàn TMĐT")))</f>
        <v/>
      </c>
      <c r="R2309" s="3" t="n"/>
      <c r="S2309" s="4" t="n"/>
      <c r="T2309" s="4" t="n"/>
    </row>
    <row r="2310">
      <c r="A2310" s="3" t="n">
        <v>2309</v>
      </c>
      <c r="B2310" s="3" t="inlineStr">
        <is>
          <t>DL022</t>
        </is>
      </c>
      <c r="C2310" s="4" t="inlineStr">
        <is>
          <t>ĐL Đà Nẵng - Phú Vinh</t>
        </is>
      </c>
      <c r="D2310" s="3" t="inlineStr">
        <is>
          <t>Đà Nẵng</t>
        </is>
      </c>
      <c r="E2310" s="3" t="inlineStr">
        <is>
          <t>THÙY TRANG</t>
        </is>
      </c>
      <c r="F2310" s="3" t="inlineStr">
        <is>
          <t>Shopee, Tiktok</t>
        </is>
      </c>
      <c r="G231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0" s="3" t="inlineStr">
        <is>
          <t>KBB-49MM</t>
        </is>
      </c>
      <c r="I2310" s="4" t="inlineStr">
        <is>
          <t>Khoan Kính KingBlue KBB-49MM</t>
        </is>
      </c>
      <c r="J2310" s="3" t="inlineStr">
        <is>
          <t>Cái</t>
        </is>
      </c>
      <c r="K2310" s="5" t="n">
        <v>269000</v>
      </c>
      <c r="L2310" s="5" t="n">
        <v>317000</v>
      </c>
      <c r="M2310" s="6" t="n">
        <v>390000</v>
      </c>
      <c r="N2310" s="5" t="n"/>
      <c r="O2310" s="5">
        <f>IF(AND(ISNUMBER(N2310),ISNUMBER(M2310)),N2310-M2310,"")</f>
        <v/>
      </c>
      <c r="P2310" s="7">
        <f>IF(AND(ISNUMBER(N2310),ISNUMBER(M2310),M2310&gt;0),(N2310-M2310)/M2310,"")</f>
        <v/>
      </c>
      <c r="Q2310" s="3">
        <f>IF(P2310="","",IF(P2310&lt;-0.02,"🔴 Bán phá giá sàn",IF(P2310&gt;0.05,"🔵 Bán cao hơn","🟢 Đúng giá sàn TMĐT")))</f>
        <v/>
      </c>
      <c r="R2310" s="3" t="n"/>
      <c r="S2310" s="4" t="n"/>
      <c r="T2310" s="4" t="n"/>
    </row>
    <row r="2311">
      <c r="A2311" s="3" t="n">
        <v>2310</v>
      </c>
      <c r="B2311" s="3" t="inlineStr">
        <is>
          <t>DL022</t>
        </is>
      </c>
      <c r="C2311" s="4" t="inlineStr">
        <is>
          <t>ĐL Đà Nẵng - Phú Vinh</t>
        </is>
      </c>
      <c r="D2311" s="3" t="inlineStr">
        <is>
          <t>Đà Nẵng</t>
        </is>
      </c>
      <c r="E2311" s="3" t="inlineStr">
        <is>
          <t>THÙY TRANG</t>
        </is>
      </c>
      <c r="F2311" s="3" t="inlineStr">
        <is>
          <t>Shopee, Tiktok</t>
        </is>
      </c>
      <c r="G231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1" s="3" t="inlineStr">
        <is>
          <t>KKB-06MM</t>
        </is>
      </c>
      <c r="I2311" s="4" t="inlineStr">
        <is>
          <t>Khoan Kính KingBlue KKB-06MM</t>
        </is>
      </c>
      <c r="J2311" s="3" t="inlineStr">
        <is>
          <t>Cái</t>
        </is>
      </c>
      <c r="K2311" s="5" t="n">
        <v>269000</v>
      </c>
      <c r="L2311" s="5" t="n">
        <v>317000</v>
      </c>
      <c r="M2311" s="6" t="n">
        <v>390000</v>
      </c>
      <c r="N2311" s="5" t="n"/>
      <c r="O2311" s="5">
        <f>IF(AND(ISNUMBER(N2311),ISNUMBER(M2311)),N2311-M2311,"")</f>
        <v/>
      </c>
      <c r="P2311" s="7">
        <f>IF(AND(ISNUMBER(N2311),ISNUMBER(M2311),M2311&gt;0),(N2311-M2311)/M2311,"")</f>
        <v/>
      </c>
      <c r="Q2311" s="3">
        <f>IF(P2311="","",IF(P2311&lt;-0.02,"🔴 Bán phá giá sàn",IF(P2311&gt;0.05,"🔵 Bán cao hơn","🟢 Đúng giá sàn TMĐT")))</f>
        <v/>
      </c>
      <c r="R2311" s="3" t="n"/>
      <c r="S2311" s="4" t="n"/>
      <c r="T2311" s="4" t="n"/>
    </row>
    <row r="2312">
      <c r="A2312" s="3" t="n">
        <v>2311</v>
      </c>
      <c r="B2312" s="3" t="inlineStr">
        <is>
          <t>DL022</t>
        </is>
      </c>
      <c r="C2312" s="4" t="inlineStr">
        <is>
          <t>ĐL Đà Nẵng - Phú Vinh</t>
        </is>
      </c>
      <c r="D2312" s="3" t="inlineStr">
        <is>
          <t>Đà Nẵng</t>
        </is>
      </c>
      <c r="E2312" s="3" t="inlineStr">
        <is>
          <t>THÙY TRANG</t>
        </is>
      </c>
      <c r="F2312" s="3" t="inlineStr">
        <is>
          <t>Shopee, Tiktok</t>
        </is>
      </c>
      <c r="G231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2" s="3" t="inlineStr">
        <is>
          <t>KKB-08MM</t>
        </is>
      </c>
      <c r="I2312" s="4" t="inlineStr">
        <is>
          <t>Khoan Kính KingBlue KKB-08MM</t>
        </is>
      </c>
      <c r="J2312" s="3" t="inlineStr">
        <is>
          <t>Cái</t>
        </is>
      </c>
      <c r="K2312" s="5" t="n">
        <v>269000</v>
      </c>
      <c r="L2312" s="5" t="n">
        <v>317000</v>
      </c>
      <c r="M2312" s="6" t="n">
        <v>390000</v>
      </c>
      <c r="N2312" s="5" t="n"/>
      <c r="O2312" s="5">
        <f>IF(AND(ISNUMBER(N2312),ISNUMBER(M2312)),N2312-M2312,"")</f>
        <v/>
      </c>
      <c r="P2312" s="7">
        <f>IF(AND(ISNUMBER(N2312),ISNUMBER(M2312),M2312&gt;0),(N2312-M2312)/M2312,"")</f>
        <v/>
      </c>
      <c r="Q2312" s="3">
        <f>IF(P2312="","",IF(P2312&lt;-0.02,"🔴 Bán phá giá sàn",IF(P2312&gt;0.05,"🔵 Bán cao hơn","🟢 Đúng giá sàn TMĐT")))</f>
        <v/>
      </c>
      <c r="R2312" s="3" t="n"/>
      <c r="S2312" s="4" t="n"/>
      <c r="T2312" s="4" t="n"/>
    </row>
    <row r="2313">
      <c r="A2313" s="3" t="n">
        <v>2312</v>
      </c>
      <c r="B2313" s="3" t="inlineStr">
        <is>
          <t>DL022</t>
        </is>
      </c>
      <c r="C2313" s="4" t="inlineStr">
        <is>
          <t>ĐL Đà Nẵng - Phú Vinh</t>
        </is>
      </c>
      <c r="D2313" s="3" t="inlineStr">
        <is>
          <t>Đà Nẵng</t>
        </is>
      </c>
      <c r="E2313" s="3" t="inlineStr">
        <is>
          <t>THÙY TRANG</t>
        </is>
      </c>
      <c r="F2313" s="3" t="inlineStr">
        <is>
          <t>Shopee, Tiktok</t>
        </is>
      </c>
      <c r="G231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3" s="3" t="inlineStr">
        <is>
          <t>KKB-10MM</t>
        </is>
      </c>
      <c r="I2313" s="4" t="inlineStr">
        <is>
          <t>Khoan Kính KingBlue KKB-10MM</t>
        </is>
      </c>
      <c r="J2313" s="3" t="inlineStr">
        <is>
          <t>Cái</t>
        </is>
      </c>
      <c r="K2313" s="5" t="n">
        <v>269000</v>
      </c>
      <c r="L2313" s="5" t="n">
        <v>317000</v>
      </c>
      <c r="M2313" s="6" t="n">
        <v>390000</v>
      </c>
      <c r="N2313" s="5" t="n"/>
      <c r="O2313" s="5">
        <f>IF(AND(ISNUMBER(N2313),ISNUMBER(M2313)),N2313-M2313,"")</f>
        <v/>
      </c>
      <c r="P2313" s="7">
        <f>IF(AND(ISNUMBER(N2313),ISNUMBER(M2313),M2313&gt;0),(N2313-M2313)/M2313,"")</f>
        <v/>
      </c>
      <c r="Q2313" s="3">
        <f>IF(P2313="","",IF(P2313&lt;-0.02,"🔴 Bán phá giá sàn",IF(P2313&gt;0.05,"🔵 Bán cao hơn","🟢 Đúng giá sàn TMĐT")))</f>
        <v/>
      </c>
      <c r="R2313" s="3" t="n"/>
      <c r="S2313" s="4" t="n"/>
      <c r="T2313" s="4" t="n"/>
    </row>
    <row r="2314">
      <c r="A2314" s="3" t="n">
        <v>2313</v>
      </c>
      <c r="B2314" s="3" t="inlineStr">
        <is>
          <t>DL022</t>
        </is>
      </c>
      <c r="C2314" s="4" t="inlineStr">
        <is>
          <t>ĐL Đà Nẵng - Phú Vinh</t>
        </is>
      </c>
      <c r="D2314" s="3" t="inlineStr">
        <is>
          <t>Đà Nẵng</t>
        </is>
      </c>
      <c r="E2314" s="3" t="inlineStr">
        <is>
          <t>THÙY TRANG</t>
        </is>
      </c>
      <c r="F2314" s="3" t="inlineStr">
        <is>
          <t>Shopee, Tiktok</t>
        </is>
      </c>
      <c r="G231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4" s="3" t="inlineStr">
        <is>
          <t>KKB-12MM</t>
        </is>
      </c>
      <c r="I2314" s="4" t="inlineStr">
        <is>
          <t>Khoan Kính KingBlue KKB-12MM</t>
        </is>
      </c>
      <c r="J2314" s="3" t="inlineStr">
        <is>
          <t>Cái</t>
        </is>
      </c>
      <c r="K2314" s="5" t="n">
        <v>269000</v>
      </c>
      <c r="L2314" s="5" t="n">
        <v>317000</v>
      </c>
      <c r="M2314" s="6" t="n">
        <v>390000</v>
      </c>
      <c r="N2314" s="5" t="n"/>
      <c r="O2314" s="5">
        <f>IF(AND(ISNUMBER(N2314),ISNUMBER(M2314)),N2314-M2314,"")</f>
        <v/>
      </c>
      <c r="P2314" s="7">
        <f>IF(AND(ISNUMBER(N2314),ISNUMBER(M2314),M2314&gt;0),(N2314-M2314)/M2314,"")</f>
        <v/>
      </c>
      <c r="Q2314" s="3">
        <f>IF(P2314="","",IF(P2314&lt;-0.02,"🔴 Bán phá giá sàn",IF(P2314&gt;0.05,"🔵 Bán cao hơn","🟢 Đúng giá sàn TMĐT")))</f>
        <v/>
      </c>
      <c r="R2314" s="3" t="n"/>
      <c r="S2314" s="4" t="n"/>
      <c r="T2314" s="4" t="n"/>
    </row>
    <row r="2315">
      <c r="A2315" s="3" t="n">
        <v>2314</v>
      </c>
      <c r="B2315" s="3" t="inlineStr">
        <is>
          <t>DL022</t>
        </is>
      </c>
      <c r="C2315" s="4" t="inlineStr">
        <is>
          <t>ĐL Đà Nẵng - Phú Vinh</t>
        </is>
      </c>
      <c r="D2315" s="3" t="inlineStr">
        <is>
          <t>Đà Nẵng</t>
        </is>
      </c>
      <c r="E2315" s="3" t="inlineStr">
        <is>
          <t>THÙY TRANG</t>
        </is>
      </c>
      <c r="F2315" s="3" t="inlineStr">
        <is>
          <t>Shopee, Tiktok</t>
        </is>
      </c>
      <c r="G231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5" s="3" t="inlineStr">
        <is>
          <t>KKB-14MM</t>
        </is>
      </c>
      <c r="I2315" s="4" t="inlineStr">
        <is>
          <t>Khoan Kính KingBlue KKB-14MM</t>
        </is>
      </c>
      <c r="J2315" s="3" t="inlineStr">
        <is>
          <t>Cái</t>
        </is>
      </c>
      <c r="K2315" s="5" t="n">
        <v>269000</v>
      </c>
      <c r="L2315" s="5" t="n">
        <v>317000</v>
      </c>
      <c r="M2315" s="6" t="n">
        <v>390000</v>
      </c>
      <c r="N2315" s="5" t="n"/>
      <c r="O2315" s="5">
        <f>IF(AND(ISNUMBER(N2315),ISNUMBER(M2315)),N2315-M2315,"")</f>
        <v/>
      </c>
      <c r="P2315" s="7">
        <f>IF(AND(ISNUMBER(N2315),ISNUMBER(M2315),M2315&gt;0),(N2315-M2315)/M2315,"")</f>
        <v/>
      </c>
      <c r="Q2315" s="3">
        <f>IF(P2315="","",IF(P2315&lt;-0.02,"🔴 Bán phá giá sàn",IF(P2315&gt;0.05,"🔵 Bán cao hơn","🟢 Đúng giá sàn TMĐT")))</f>
        <v/>
      </c>
      <c r="R2315" s="3" t="n"/>
      <c r="S2315" s="4" t="n"/>
      <c r="T2315" s="4" t="n"/>
    </row>
    <row r="2316">
      <c r="A2316" s="3" t="n">
        <v>2315</v>
      </c>
      <c r="B2316" s="3" t="inlineStr">
        <is>
          <t>DL022</t>
        </is>
      </c>
      <c r="C2316" s="4" t="inlineStr">
        <is>
          <t>ĐL Đà Nẵng - Phú Vinh</t>
        </is>
      </c>
      <c r="D2316" s="3" t="inlineStr">
        <is>
          <t>Đà Nẵng</t>
        </is>
      </c>
      <c r="E2316" s="3" t="inlineStr">
        <is>
          <t>THÙY TRANG</t>
        </is>
      </c>
      <c r="F2316" s="3" t="inlineStr">
        <is>
          <t>Shopee, Tiktok</t>
        </is>
      </c>
      <c r="G231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6" s="3" t="inlineStr">
        <is>
          <t>KKB-16MM</t>
        </is>
      </c>
      <c r="I2316" s="4" t="inlineStr">
        <is>
          <t>Khoan Kính KingBlue KKB-16MM</t>
        </is>
      </c>
      <c r="J2316" s="3" t="inlineStr">
        <is>
          <t>Cái</t>
        </is>
      </c>
      <c r="K2316" s="5" t="n">
        <v>269000</v>
      </c>
      <c r="L2316" s="5" t="n">
        <v>317000</v>
      </c>
      <c r="M2316" s="6" t="n">
        <v>390000</v>
      </c>
      <c r="N2316" s="5" t="n"/>
      <c r="O2316" s="5">
        <f>IF(AND(ISNUMBER(N2316),ISNUMBER(M2316)),N2316-M2316,"")</f>
        <v/>
      </c>
      <c r="P2316" s="7">
        <f>IF(AND(ISNUMBER(N2316),ISNUMBER(M2316),M2316&gt;0),(N2316-M2316)/M2316,"")</f>
        <v/>
      </c>
      <c r="Q2316" s="3">
        <f>IF(P2316="","",IF(P2316&lt;-0.02,"🔴 Bán phá giá sàn",IF(P2316&gt;0.05,"🔵 Bán cao hơn","🟢 Đúng giá sàn TMĐT")))</f>
        <v/>
      </c>
      <c r="R2316" s="3" t="n"/>
      <c r="S2316" s="4" t="n"/>
      <c r="T2316" s="4" t="n"/>
    </row>
    <row r="2317">
      <c r="A2317" s="3" t="n">
        <v>2316</v>
      </c>
      <c r="B2317" s="3" t="inlineStr">
        <is>
          <t>DL022</t>
        </is>
      </c>
      <c r="C2317" s="4" t="inlineStr">
        <is>
          <t>ĐL Đà Nẵng - Phú Vinh</t>
        </is>
      </c>
      <c r="D2317" s="3" t="inlineStr">
        <is>
          <t>Đà Nẵng</t>
        </is>
      </c>
      <c r="E2317" s="3" t="inlineStr">
        <is>
          <t>THÙY TRANG</t>
        </is>
      </c>
      <c r="F2317" s="3" t="inlineStr">
        <is>
          <t>Shopee, Tiktok</t>
        </is>
      </c>
      <c r="G231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7" s="3" t="inlineStr">
        <is>
          <t>KKB-17MM</t>
        </is>
      </c>
      <c r="I2317" s="4" t="inlineStr">
        <is>
          <t>Khoan Kính KingBlue KKB-17MM</t>
        </is>
      </c>
      <c r="J2317" s="3" t="inlineStr">
        <is>
          <t>Cái</t>
        </is>
      </c>
      <c r="K2317" s="5" t="n">
        <v>269000</v>
      </c>
      <c r="L2317" s="5" t="n">
        <v>317000</v>
      </c>
      <c r="M2317" s="6" t="n">
        <v>390000</v>
      </c>
      <c r="N2317" s="5" t="n"/>
      <c r="O2317" s="5">
        <f>IF(AND(ISNUMBER(N2317),ISNUMBER(M2317)),N2317-M2317,"")</f>
        <v/>
      </c>
      <c r="P2317" s="7">
        <f>IF(AND(ISNUMBER(N2317),ISNUMBER(M2317),M2317&gt;0),(N2317-M2317)/M2317,"")</f>
        <v/>
      </c>
      <c r="Q2317" s="3">
        <f>IF(P2317="","",IF(P2317&lt;-0.02,"🔴 Bán phá giá sàn",IF(P2317&gt;0.05,"🔵 Bán cao hơn","🟢 Đúng giá sàn TMĐT")))</f>
        <v/>
      </c>
      <c r="R2317" s="3" t="n"/>
      <c r="S2317" s="4" t="n"/>
      <c r="T2317" s="4" t="n"/>
    </row>
    <row r="2318">
      <c r="A2318" s="3" t="n">
        <v>2317</v>
      </c>
      <c r="B2318" s="3" t="inlineStr">
        <is>
          <t>DL022</t>
        </is>
      </c>
      <c r="C2318" s="4" t="inlineStr">
        <is>
          <t>ĐL Đà Nẵng - Phú Vinh</t>
        </is>
      </c>
      <c r="D2318" s="3" t="inlineStr">
        <is>
          <t>Đà Nẵng</t>
        </is>
      </c>
      <c r="E2318" s="3" t="inlineStr">
        <is>
          <t>THÙY TRANG</t>
        </is>
      </c>
      <c r="F2318" s="3" t="inlineStr">
        <is>
          <t>Shopee, Tiktok</t>
        </is>
      </c>
      <c r="G231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8" s="3" t="inlineStr">
        <is>
          <t>KKB-18MM</t>
        </is>
      </c>
      <c r="I2318" s="4" t="inlineStr">
        <is>
          <t>Khoan Kính KingBlue KKB-18MM</t>
        </is>
      </c>
      <c r="J2318" s="3" t="inlineStr">
        <is>
          <t>Cái</t>
        </is>
      </c>
      <c r="K2318" s="5" t="n">
        <v>269000</v>
      </c>
      <c r="L2318" s="5" t="n">
        <v>317000</v>
      </c>
      <c r="M2318" s="6" t="n">
        <v>390000</v>
      </c>
      <c r="N2318" s="5" t="n"/>
      <c r="O2318" s="5">
        <f>IF(AND(ISNUMBER(N2318),ISNUMBER(M2318)),N2318-M2318,"")</f>
        <v/>
      </c>
      <c r="P2318" s="7">
        <f>IF(AND(ISNUMBER(N2318),ISNUMBER(M2318),M2318&gt;0),(N2318-M2318)/M2318,"")</f>
        <v/>
      </c>
      <c r="Q2318" s="3">
        <f>IF(P2318="","",IF(P2318&lt;-0.02,"🔴 Bán phá giá sàn",IF(P2318&gt;0.05,"🔵 Bán cao hơn","🟢 Đúng giá sàn TMĐT")))</f>
        <v/>
      </c>
      <c r="R2318" s="3" t="n"/>
      <c r="S2318" s="4" t="n"/>
      <c r="T2318" s="4" t="n"/>
    </row>
    <row r="2319">
      <c r="A2319" s="3" t="n">
        <v>2318</v>
      </c>
      <c r="B2319" s="3" t="inlineStr">
        <is>
          <t>DL022</t>
        </is>
      </c>
      <c r="C2319" s="4" t="inlineStr">
        <is>
          <t>ĐL Đà Nẵng - Phú Vinh</t>
        </is>
      </c>
      <c r="D2319" s="3" t="inlineStr">
        <is>
          <t>Đà Nẵng</t>
        </is>
      </c>
      <c r="E2319" s="3" t="inlineStr">
        <is>
          <t>THÙY TRANG</t>
        </is>
      </c>
      <c r="F2319" s="3" t="inlineStr">
        <is>
          <t>Shopee, Tiktok</t>
        </is>
      </c>
      <c r="G231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19" s="3" t="inlineStr">
        <is>
          <t>KKB-20MM</t>
        </is>
      </c>
      <c r="I2319" s="4" t="inlineStr">
        <is>
          <t>Khoan Kính KingBlue KKB-20MM</t>
        </is>
      </c>
      <c r="J2319" s="3" t="inlineStr">
        <is>
          <t>Cái</t>
        </is>
      </c>
      <c r="K2319" s="5" t="n">
        <v>269000</v>
      </c>
      <c r="L2319" s="5" t="n">
        <v>317000</v>
      </c>
      <c r="M2319" s="6" t="n">
        <v>390000</v>
      </c>
      <c r="N2319" s="5" t="n"/>
      <c r="O2319" s="5">
        <f>IF(AND(ISNUMBER(N2319),ISNUMBER(M2319)),N2319-M2319,"")</f>
        <v/>
      </c>
      <c r="P2319" s="7">
        <f>IF(AND(ISNUMBER(N2319),ISNUMBER(M2319),M2319&gt;0),(N2319-M2319)/M2319,"")</f>
        <v/>
      </c>
      <c r="Q2319" s="3">
        <f>IF(P2319="","",IF(P2319&lt;-0.02,"🔴 Bán phá giá sàn",IF(P2319&gt;0.05,"🔵 Bán cao hơn","🟢 Đúng giá sàn TMĐT")))</f>
        <v/>
      </c>
      <c r="R2319" s="3" t="n"/>
      <c r="S2319" s="4" t="n"/>
      <c r="T2319" s="4" t="n"/>
    </row>
    <row r="2320">
      <c r="A2320" s="3" t="n">
        <v>2319</v>
      </c>
      <c r="B2320" s="3" t="inlineStr">
        <is>
          <t>DL022</t>
        </is>
      </c>
      <c r="C2320" s="4" t="inlineStr">
        <is>
          <t>ĐL Đà Nẵng - Phú Vinh</t>
        </is>
      </c>
      <c r="D2320" s="3" t="inlineStr">
        <is>
          <t>Đà Nẵng</t>
        </is>
      </c>
      <c r="E2320" s="3" t="inlineStr">
        <is>
          <t>THÙY TRANG</t>
        </is>
      </c>
      <c r="F2320" s="3" t="inlineStr">
        <is>
          <t>Shopee, Tiktok</t>
        </is>
      </c>
      <c r="G232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0" s="3" t="inlineStr">
        <is>
          <t>KKB-21MM</t>
        </is>
      </c>
      <c r="I2320" s="4" t="inlineStr">
        <is>
          <t>Khoan Kính KingBlue KKB-21MM</t>
        </is>
      </c>
      <c r="J2320" s="3" t="inlineStr">
        <is>
          <t>Cái</t>
        </is>
      </c>
      <c r="K2320" s="5" t="n">
        <v>269000</v>
      </c>
      <c r="L2320" s="5" t="n">
        <v>317000</v>
      </c>
      <c r="M2320" s="6" t="n">
        <v>390000</v>
      </c>
      <c r="N2320" s="5" t="n"/>
      <c r="O2320" s="5">
        <f>IF(AND(ISNUMBER(N2320),ISNUMBER(M2320)),N2320-M2320,"")</f>
        <v/>
      </c>
      <c r="P2320" s="7">
        <f>IF(AND(ISNUMBER(N2320),ISNUMBER(M2320),M2320&gt;0),(N2320-M2320)/M2320,"")</f>
        <v/>
      </c>
      <c r="Q2320" s="3">
        <f>IF(P2320="","",IF(P2320&lt;-0.02,"🔴 Bán phá giá sàn",IF(P2320&gt;0.05,"🔵 Bán cao hơn","🟢 Đúng giá sàn TMĐT")))</f>
        <v/>
      </c>
      <c r="R2320" s="3" t="n"/>
      <c r="S2320" s="4" t="n"/>
      <c r="T2320" s="4" t="n"/>
    </row>
    <row r="2321">
      <c r="A2321" s="3" t="n">
        <v>2320</v>
      </c>
      <c r="B2321" s="3" t="inlineStr">
        <is>
          <t>DL022</t>
        </is>
      </c>
      <c r="C2321" s="4" t="inlineStr">
        <is>
          <t>ĐL Đà Nẵng - Phú Vinh</t>
        </is>
      </c>
      <c r="D2321" s="3" t="inlineStr">
        <is>
          <t>Đà Nẵng</t>
        </is>
      </c>
      <c r="E2321" s="3" t="inlineStr">
        <is>
          <t>THÙY TRANG</t>
        </is>
      </c>
      <c r="F2321" s="3" t="inlineStr">
        <is>
          <t>Shopee, Tiktok</t>
        </is>
      </c>
      <c r="G232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1" s="3" t="inlineStr">
        <is>
          <t>KKB-22MM</t>
        </is>
      </c>
      <c r="I2321" s="4" t="inlineStr">
        <is>
          <t>Khoan Kính KingBlue KKB-22MM</t>
        </is>
      </c>
      <c r="J2321" s="3" t="inlineStr">
        <is>
          <t>Cái</t>
        </is>
      </c>
      <c r="K2321" s="5" t="n">
        <v>269000</v>
      </c>
      <c r="L2321" s="5" t="n">
        <v>317000</v>
      </c>
      <c r="M2321" s="6" t="n">
        <v>390000</v>
      </c>
      <c r="N2321" s="5" t="n"/>
      <c r="O2321" s="5">
        <f>IF(AND(ISNUMBER(N2321),ISNUMBER(M2321)),N2321-M2321,"")</f>
        <v/>
      </c>
      <c r="P2321" s="7">
        <f>IF(AND(ISNUMBER(N2321),ISNUMBER(M2321),M2321&gt;0),(N2321-M2321)/M2321,"")</f>
        <v/>
      </c>
      <c r="Q2321" s="3">
        <f>IF(P2321="","",IF(P2321&lt;-0.02,"🔴 Bán phá giá sàn",IF(P2321&gt;0.05,"🔵 Bán cao hơn","🟢 Đúng giá sàn TMĐT")))</f>
        <v/>
      </c>
      <c r="R2321" s="3" t="n"/>
      <c r="S2321" s="4" t="n"/>
      <c r="T2321" s="4" t="n"/>
    </row>
    <row r="2322">
      <c r="A2322" s="3" t="n">
        <v>2321</v>
      </c>
      <c r="B2322" s="3" t="inlineStr">
        <is>
          <t>DL022</t>
        </is>
      </c>
      <c r="C2322" s="4" t="inlineStr">
        <is>
          <t>ĐL Đà Nẵng - Phú Vinh</t>
        </is>
      </c>
      <c r="D2322" s="3" t="inlineStr">
        <is>
          <t>Đà Nẵng</t>
        </is>
      </c>
      <c r="E2322" s="3" t="inlineStr">
        <is>
          <t>THÙY TRANG</t>
        </is>
      </c>
      <c r="F2322" s="3" t="inlineStr">
        <is>
          <t>Shopee, Tiktok</t>
        </is>
      </c>
      <c r="G232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2" s="3" t="inlineStr">
        <is>
          <t>KKB-24MM</t>
        </is>
      </c>
      <c r="I2322" s="4" t="inlineStr">
        <is>
          <t>Khoan Kính KingBlue KKB-24MM</t>
        </is>
      </c>
      <c r="J2322" s="3" t="inlineStr">
        <is>
          <t>Cái</t>
        </is>
      </c>
      <c r="K2322" s="5" t="n">
        <v>269000</v>
      </c>
      <c r="L2322" s="5" t="n">
        <v>317000</v>
      </c>
      <c r="M2322" s="6" t="n">
        <v>390000</v>
      </c>
      <c r="N2322" s="5" t="n"/>
      <c r="O2322" s="5">
        <f>IF(AND(ISNUMBER(N2322),ISNUMBER(M2322)),N2322-M2322,"")</f>
        <v/>
      </c>
      <c r="P2322" s="7">
        <f>IF(AND(ISNUMBER(N2322),ISNUMBER(M2322),M2322&gt;0),(N2322-M2322)/M2322,"")</f>
        <v/>
      </c>
      <c r="Q2322" s="3">
        <f>IF(P2322="","",IF(P2322&lt;-0.02,"🔴 Bán phá giá sàn",IF(P2322&gt;0.05,"🔵 Bán cao hơn","🟢 Đúng giá sàn TMĐT")))</f>
        <v/>
      </c>
      <c r="R2322" s="3" t="n"/>
      <c r="S2322" s="4" t="n"/>
      <c r="T2322" s="4" t="n"/>
    </row>
    <row r="2323">
      <c r="A2323" s="3" t="n">
        <v>2322</v>
      </c>
      <c r="B2323" s="3" t="inlineStr">
        <is>
          <t>DL022</t>
        </is>
      </c>
      <c r="C2323" s="4" t="inlineStr">
        <is>
          <t>ĐL Đà Nẵng - Phú Vinh</t>
        </is>
      </c>
      <c r="D2323" s="3" t="inlineStr">
        <is>
          <t>Đà Nẵng</t>
        </is>
      </c>
      <c r="E2323" s="3" t="inlineStr">
        <is>
          <t>THÙY TRANG</t>
        </is>
      </c>
      <c r="F2323" s="3" t="inlineStr">
        <is>
          <t>Shopee, Tiktok</t>
        </is>
      </c>
      <c r="G232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3" s="3" t="inlineStr">
        <is>
          <t>KKB-25MM</t>
        </is>
      </c>
      <c r="I2323" s="4" t="inlineStr">
        <is>
          <t>Khoan Kính KingBlue KKB-25MM</t>
        </is>
      </c>
      <c r="J2323" s="3" t="inlineStr">
        <is>
          <t>Cái</t>
        </is>
      </c>
      <c r="K2323" s="5" t="n">
        <v>269000</v>
      </c>
      <c r="L2323" s="5" t="n">
        <v>317000</v>
      </c>
      <c r="M2323" s="6" t="n">
        <v>390000</v>
      </c>
      <c r="N2323" s="5" t="n"/>
      <c r="O2323" s="5">
        <f>IF(AND(ISNUMBER(N2323),ISNUMBER(M2323)),N2323-M2323,"")</f>
        <v/>
      </c>
      <c r="P2323" s="7">
        <f>IF(AND(ISNUMBER(N2323),ISNUMBER(M2323),M2323&gt;0),(N2323-M2323)/M2323,"")</f>
        <v/>
      </c>
      <c r="Q2323" s="3">
        <f>IF(P2323="","",IF(P2323&lt;-0.02,"🔴 Bán phá giá sàn",IF(P2323&gt;0.05,"🔵 Bán cao hơn","🟢 Đúng giá sàn TMĐT")))</f>
        <v/>
      </c>
      <c r="R2323" s="3" t="n"/>
      <c r="S2323" s="4" t="n"/>
      <c r="T2323" s="4" t="n"/>
    </row>
    <row r="2324">
      <c r="A2324" s="3" t="n">
        <v>2323</v>
      </c>
      <c r="B2324" s="3" t="inlineStr">
        <is>
          <t>DL022</t>
        </is>
      </c>
      <c r="C2324" s="4" t="inlineStr">
        <is>
          <t>ĐL Đà Nẵng - Phú Vinh</t>
        </is>
      </c>
      <c r="D2324" s="3" t="inlineStr">
        <is>
          <t>Đà Nẵng</t>
        </is>
      </c>
      <c r="E2324" s="3" t="inlineStr">
        <is>
          <t>THÙY TRANG</t>
        </is>
      </c>
      <c r="F2324" s="3" t="inlineStr">
        <is>
          <t>Shopee, Tiktok</t>
        </is>
      </c>
      <c r="G232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4" s="3" t="inlineStr">
        <is>
          <t>KKB-27MM</t>
        </is>
      </c>
      <c r="I2324" s="4" t="inlineStr">
        <is>
          <t>Khoan Kính KingBlue KKB-27MM</t>
        </is>
      </c>
      <c r="J2324" s="3" t="inlineStr">
        <is>
          <t>Cái</t>
        </is>
      </c>
      <c r="K2324" s="5" t="n">
        <v>269000</v>
      </c>
      <c r="L2324" s="5" t="n">
        <v>317000</v>
      </c>
      <c r="M2324" s="6" t="n">
        <v>390000</v>
      </c>
      <c r="N2324" s="5" t="n"/>
      <c r="O2324" s="5">
        <f>IF(AND(ISNUMBER(N2324),ISNUMBER(M2324)),N2324-M2324,"")</f>
        <v/>
      </c>
      <c r="P2324" s="7">
        <f>IF(AND(ISNUMBER(N2324),ISNUMBER(M2324),M2324&gt;0),(N2324-M2324)/M2324,"")</f>
        <v/>
      </c>
      <c r="Q2324" s="3">
        <f>IF(P2324="","",IF(P2324&lt;-0.02,"🔴 Bán phá giá sàn",IF(P2324&gt;0.05,"🔵 Bán cao hơn","🟢 Đúng giá sàn TMĐT")))</f>
        <v/>
      </c>
      <c r="R2324" s="3" t="n"/>
      <c r="S2324" s="4" t="n"/>
      <c r="T2324" s="4" t="n"/>
    </row>
    <row r="2325">
      <c r="A2325" s="3" t="n">
        <v>2324</v>
      </c>
      <c r="B2325" s="3" t="inlineStr">
        <is>
          <t>DL022</t>
        </is>
      </c>
      <c r="C2325" s="4" t="inlineStr">
        <is>
          <t>ĐL Đà Nẵng - Phú Vinh</t>
        </is>
      </c>
      <c r="D2325" s="3" t="inlineStr">
        <is>
          <t>Đà Nẵng</t>
        </is>
      </c>
      <c r="E2325" s="3" t="inlineStr">
        <is>
          <t>THÙY TRANG</t>
        </is>
      </c>
      <c r="F2325" s="3" t="inlineStr">
        <is>
          <t>Shopee, Tiktok</t>
        </is>
      </c>
      <c r="G232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5" s="3" t="inlineStr">
        <is>
          <t>KKB-28MM</t>
        </is>
      </c>
      <c r="I2325" s="4" t="inlineStr">
        <is>
          <t>Khoan Kính KingBlue KKB-28MM</t>
        </is>
      </c>
      <c r="J2325" s="3" t="inlineStr">
        <is>
          <t>Cái</t>
        </is>
      </c>
      <c r="K2325" s="5" t="n">
        <v>269000</v>
      </c>
      <c r="L2325" s="5" t="n">
        <v>317000</v>
      </c>
      <c r="M2325" s="6" t="n">
        <v>390000</v>
      </c>
      <c r="N2325" s="5" t="n"/>
      <c r="O2325" s="5">
        <f>IF(AND(ISNUMBER(N2325),ISNUMBER(M2325)),N2325-M2325,"")</f>
        <v/>
      </c>
      <c r="P2325" s="7">
        <f>IF(AND(ISNUMBER(N2325),ISNUMBER(M2325),M2325&gt;0),(N2325-M2325)/M2325,"")</f>
        <v/>
      </c>
      <c r="Q2325" s="3">
        <f>IF(P2325="","",IF(P2325&lt;-0.02,"🔴 Bán phá giá sàn",IF(P2325&gt;0.05,"🔵 Bán cao hơn","🟢 Đúng giá sàn TMĐT")))</f>
        <v/>
      </c>
      <c r="R2325" s="3" t="n"/>
      <c r="S2325" s="4" t="n"/>
      <c r="T2325" s="4" t="n"/>
    </row>
    <row r="2326">
      <c r="A2326" s="3" t="n">
        <v>2325</v>
      </c>
      <c r="B2326" s="3" t="inlineStr">
        <is>
          <t>DL022</t>
        </is>
      </c>
      <c r="C2326" s="4" t="inlineStr">
        <is>
          <t>ĐL Đà Nẵng - Phú Vinh</t>
        </is>
      </c>
      <c r="D2326" s="3" t="inlineStr">
        <is>
          <t>Đà Nẵng</t>
        </is>
      </c>
      <c r="E2326" s="3" t="inlineStr">
        <is>
          <t>THÙY TRANG</t>
        </is>
      </c>
      <c r="F2326" s="3" t="inlineStr">
        <is>
          <t>Shopee, Tiktok</t>
        </is>
      </c>
      <c r="G232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6" s="3" t="inlineStr">
        <is>
          <t>KKB-30MM</t>
        </is>
      </c>
      <c r="I2326" s="4" t="inlineStr">
        <is>
          <t>Khoan Kính KingBlue KKB-30MM</t>
        </is>
      </c>
      <c r="J2326" s="3" t="inlineStr">
        <is>
          <t>Cái</t>
        </is>
      </c>
      <c r="K2326" s="5" t="n">
        <v>269000</v>
      </c>
      <c r="L2326" s="5" t="n">
        <v>317000</v>
      </c>
      <c r="M2326" s="6" t="n">
        <v>390000</v>
      </c>
      <c r="N2326" s="5" t="n"/>
      <c r="O2326" s="5">
        <f>IF(AND(ISNUMBER(N2326),ISNUMBER(M2326)),N2326-M2326,"")</f>
        <v/>
      </c>
      <c r="P2326" s="7">
        <f>IF(AND(ISNUMBER(N2326),ISNUMBER(M2326),M2326&gt;0),(N2326-M2326)/M2326,"")</f>
        <v/>
      </c>
      <c r="Q2326" s="3">
        <f>IF(P2326="","",IF(P2326&lt;-0.02,"🔴 Bán phá giá sàn",IF(P2326&gt;0.05,"🔵 Bán cao hơn","🟢 Đúng giá sàn TMĐT")))</f>
        <v/>
      </c>
      <c r="R2326" s="3" t="n"/>
      <c r="S2326" s="4" t="n"/>
      <c r="T2326" s="4" t="n"/>
    </row>
    <row r="2327">
      <c r="A2327" s="3" t="n">
        <v>2326</v>
      </c>
      <c r="B2327" s="3" t="inlineStr">
        <is>
          <t>DL022</t>
        </is>
      </c>
      <c r="C2327" s="4" t="inlineStr">
        <is>
          <t>ĐL Đà Nẵng - Phú Vinh</t>
        </is>
      </c>
      <c r="D2327" s="3" t="inlineStr">
        <is>
          <t>Đà Nẵng</t>
        </is>
      </c>
      <c r="E2327" s="3" t="inlineStr">
        <is>
          <t>THÙY TRANG</t>
        </is>
      </c>
      <c r="F2327" s="3" t="inlineStr">
        <is>
          <t>Shopee, Tiktok</t>
        </is>
      </c>
      <c r="G232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7" s="3" t="inlineStr">
        <is>
          <t>KKB-32MM</t>
        </is>
      </c>
      <c r="I2327" s="4" t="inlineStr">
        <is>
          <t>Khoan Kính KingBlue KKB-32MM</t>
        </is>
      </c>
      <c r="J2327" s="3" t="inlineStr">
        <is>
          <t>Cái</t>
        </is>
      </c>
      <c r="K2327" s="5" t="n">
        <v>269000</v>
      </c>
      <c r="L2327" s="5" t="n">
        <v>317000</v>
      </c>
      <c r="M2327" s="6" t="n">
        <v>390000</v>
      </c>
      <c r="N2327" s="5" t="n"/>
      <c r="O2327" s="5">
        <f>IF(AND(ISNUMBER(N2327),ISNUMBER(M2327)),N2327-M2327,"")</f>
        <v/>
      </c>
      <c r="P2327" s="7">
        <f>IF(AND(ISNUMBER(N2327),ISNUMBER(M2327),M2327&gt;0),(N2327-M2327)/M2327,"")</f>
        <v/>
      </c>
      <c r="Q2327" s="3">
        <f>IF(P2327="","",IF(P2327&lt;-0.02,"🔴 Bán phá giá sàn",IF(P2327&gt;0.05,"🔵 Bán cao hơn","🟢 Đúng giá sàn TMĐT")))</f>
        <v/>
      </c>
      <c r="R2327" s="3" t="n"/>
      <c r="S2327" s="4" t="n"/>
      <c r="T2327" s="4" t="n"/>
    </row>
    <row r="2328">
      <c r="A2328" s="3" t="n">
        <v>2327</v>
      </c>
      <c r="B2328" s="3" t="inlineStr">
        <is>
          <t>DL022</t>
        </is>
      </c>
      <c r="C2328" s="4" t="inlineStr">
        <is>
          <t>ĐL Đà Nẵng - Phú Vinh</t>
        </is>
      </c>
      <c r="D2328" s="3" t="inlineStr">
        <is>
          <t>Đà Nẵng</t>
        </is>
      </c>
      <c r="E2328" s="3" t="inlineStr">
        <is>
          <t>THÙY TRANG</t>
        </is>
      </c>
      <c r="F2328" s="3" t="inlineStr">
        <is>
          <t>Shopee, Tiktok</t>
        </is>
      </c>
      <c r="G232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8" s="3" t="inlineStr">
        <is>
          <t>KKB-34MM</t>
        </is>
      </c>
      <c r="I2328" s="4" t="inlineStr">
        <is>
          <t>Khoan Kính KingBlue KKB-34MM</t>
        </is>
      </c>
      <c r="J2328" s="3" t="inlineStr">
        <is>
          <t>Cái</t>
        </is>
      </c>
      <c r="K2328" s="5" t="n">
        <v>269000</v>
      </c>
      <c r="L2328" s="5" t="n">
        <v>317000</v>
      </c>
      <c r="M2328" s="6" t="n">
        <v>390000</v>
      </c>
      <c r="N2328" s="5" t="n"/>
      <c r="O2328" s="5">
        <f>IF(AND(ISNUMBER(N2328),ISNUMBER(M2328)),N2328-M2328,"")</f>
        <v/>
      </c>
      <c r="P2328" s="7">
        <f>IF(AND(ISNUMBER(N2328),ISNUMBER(M2328),M2328&gt;0),(N2328-M2328)/M2328,"")</f>
        <v/>
      </c>
      <c r="Q2328" s="3">
        <f>IF(P2328="","",IF(P2328&lt;-0.02,"🔴 Bán phá giá sàn",IF(P2328&gt;0.05,"🔵 Bán cao hơn","🟢 Đúng giá sàn TMĐT")))</f>
        <v/>
      </c>
      <c r="R2328" s="3" t="n"/>
      <c r="S2328" s="4" t="n"/>
      <c r="T2328" s="4" t="n"/>
    </row>
    <row r="2329">
      <c r="A2329" s="3" t="n">
        <v>2328</v>
      </c>
      <c r="B2329" s="3" t="inlineStr">
        <is>
          <t>DL022</t>
        </is>
      </c>
      <c r="C2329" s="4" t="inlineStr">
        <is>
          <t>ĐL Đà Nẵng - Phú Vinh</t>
        </is>
      </c>
      <c r="D2329" s="3" t="inlineStr">
        <is>
          <t>Đà Nẵng</t>
        </is>
      </c>
      <c r="E2329" s="3" t="inlineStr">
        <is>
          <t>THÙY TRANG</t>
        </is>
      </c>
      <c r="F2329" s="3" t="inlineStr">
        <is>
          <t>Shopee, Tiktok</t>
        </is>
      </c>
      <c r="G232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29" s="3" t="inlineStr">
        <is>
          <t>KKB-35MM</t>
        </is>
      </c>
      <c r="I2329" s="4" t="inlineStr">
        <is>
          <t>Khoan Kính KingBlue KKB-35MM</t>
        </is>
      </c>
      <c r="J2329" s="3" t="inlineStr">
        <is>
          <t>Cái</t>
        </is>
      </c>
      <c r="K2329" s="5" t="n">
        <v>269000</v>
      </c>
      <c r="L2329" s="5" t="n">
        <v>317000</v>
      </c>
      <c r="M2329" s="6" t="n">
        <v>390000</v>
      </c>
      <c r="N2329" s="5" t="n"/>
      <c r="O2329" s="5">
        <f>IF(AND(ISNUMBER(N2329),ISNUMBER(M2329)),N2329-M2329,"")</f>
        <v/>
      </c>
      <c r="P2329" s="7">
        <f>IF(AND(ISNUMBER(N2329),ISNUMBER(M2329),M2329&gt;0),(N2329-M2329)/M2329,"")</f>
        <v/>
      </c>
      <c r="Q2329" s="3">
        <f>IF(P2329="","",IF(P2329&lt;-0.02,"🔴 Bán phá giá sàn",IF(P2329&gt;0.05,"🔵 Bán cao hơn","🟢 Đúng giá sàn TMĐT")))</f>
        <v/>
      </c>
      <c r="R2329" s="3" t="n"/>
      <c r="S2329" s="4" t="n"/>
      <c r="T2329" s="4" t="n"/>
    </row>
    <row r="2330">
      <c r="A2330" s="3" t="n">
        <v>2329</v>
      </c>
      <c r="B2330" s="3" t="inlineStr">
        <is>
          <t>DL022</t>
        </is>
      </c>
      <c r="C2330" s="4" t="inlineStr">
        <is>
          <t>ĐL Đà Nẵng - Phú Vinh</t>
        </is>
      </c>
      <c r="D2330" s="3" t="inlineStr">
        <is>
          <t>Đà Nẵng</t>
        </is>
      </c>
      <c r="E2330" s="3" t="inlineStr">
        <is>
          <t>THÙY TRANG</t>
        </is>
      </c>
      <c r="F2330" s="3" t="inlineStr">
        <is>
          <t>Shopee, Tiktok</t>
        </is>
      </c>
      <c r="G233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0" s="3" t="inlineStr">
        <is>
          <t>KKB-40MM</t>
        </is>
      </c>
      <c r="I2330" s="4" t="inlineStr">
        <is>
          <t>Khoan Kính KingBlue KKB-40MM</t>
        </is>
      </c>
      <c r="J2330" s="3" t="inlineStr">
        <is>
          <t>Cái</t>
        </is>
      </c>
      <c r="K2330" s="5" t="n">
        <v>269000</v>
      </c>
      <c r="L2330" s="5" t="n">
        <v>317000</v>
      </c>
      <c r="M2330" s="6" t="n">
        <v>390000</v>
      </c>
      <c r="N2330" s="5" t="n"/>
      <c r="O2330" s="5">
        <f>IF(AND(ISNUMBER(N2330),ISNUMBER(M2330)),N2330-M2330,"")</f>
        <v/>
      </c>
      <c r="P2330" s="7">
        <f>IF(AND(ISNUMBER(N2330),ISNUMBER(M2330),M2330&gt;0),(N2330-M2330)/M2330,"")</f>
        <v/>
      </c>
      <c r="Q2330" s="3">
        <f>IF(P2330="","",IF(P2330&lt;-0.02,"🔴 Bán phá giá sàn",IF(P2330&gt;0.05,"🔵 Bán cao hơn","🟢 Đúng giá sàn TMĐT")))</f>
        <v/>
      </c>
      <c r="R2330" s="3" t="n"/>
      <c r="S2330" s="4" t="n"/>
      <c r="T2330" s="4" t="n"/>
    </row>
    <row r="2331">
      <c r="A2331" s="3" t="n">
        <v>2330</v>
      </c>
      <c r="B2331" s="3" t="inlineStr">
        <is>
          <t>DL022</t>
        </is>
      </c>
      <c r="C2331" s="4" t="inlineStr">
        <is>
          <t>ĐL Đà Nẵng - Phú Vinh</t>
        </is>
      </c>
      <c r="D2331" s="3" t="inlineStr">
        <is>
          <t>Đà Nẵng</t>
        </is>
      </c>
      <c r="E2331" s="3" t="inlineStr">
        <is>
          <t>THÙY TRANG</t>
        </is>
      </c>
      <c r="F2331" s="3" t="inlineStr">
        <is>
          <t>Shopee, Tiktok</t>
        </is>
      </c>
      <c r="G233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1" s="3" t="inlineStr">
        <is>
          <t>KKB-42MM</t>
        </is>
      </c>
      <c r="I2331" s="4" t="inlineStr">
        <is>
          <t>Khoan Kính KingBlue KKB-42MM</t>
        </is>
      </c>
      <c r="J2331" s="3" t="inlineStr">
        <is>
          <t>Cái</t>
        </is>
      </c>
      <c r="K2331" s="5" t="n">
        <v>269000</v>
      </c>
      <c r="L2331" s="5" t="n">
        <v>317000</v>
      </c>
      <c r="M2331" s="6" t="n">
        <v>390000</v>
      </c>
      <c r="N2331" s="5" t="n"/>
      <c r="O2331" s="5">
        <f>IF(AND(ISNUMBER(N2331),ISNUMBER(M2331)),N2331-M2331,"")</f>
        <v/>
      </c>
      <c r="P2331" s="7">
        <f>IF(AND(ISNUMBER(N2331),ISNUMBER(M2331),M2331&gt;0),(N2331-M2331)/M2331,"")</f>
        <v/>
      </c>
      <c r="Q2331" s="3">
        <f>IF(P2331="","",IF(P2331&lt;-0.02,"🔴 Bán phá giá sàn",IF(P2331&gt;0.05,"🔵 Bán cao hơn","🟢 Đúng giá sàn TMĐT")))</f>
        <v/>
      </c>
      <c r="R2331" s="3" t="n"/>
      <c r="S2331" s="4" t="n"/>
      <c r="T2331" s="4" t="n"/>
    </row>
    <row r="2332">
      <c r="A2332" s="3" t="n">
        <v>2331</v>
      </c>
      <c r="B2332" s="3" t="inlineStr">
        <is>
          <t>DL022</t>
        </is>
      </c>
      <c r="C2332" s="4" t="inlineStr">
        <is>
          <t>ĐL Đà Nẵng - Phú Vinh</t>
        </is>
      </c>
      <c r="D2332" s="3" t="inlineStr">
        <is>
          <t>Đà Nẵng</t>
        </is>
      </c>
      <c r="E2332" s="3" t="inlineStr">
        <is>
          <t>THÙY TRANG</t>
        </is>
      </c>
      <c r="F2332" s="3" t="inlineStr">
        <is>
          <t>Shopee, Tiktok</t>
        </is>
      </c>
      <c r="G233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2" s="3" t="inlineStr">
        <is>
          <t>KKB-45MM</t>
        </is>
      </c>
      <c r="I2332" s="4" t="inlineStr">
        <is>
          <t>Khoan Kính KingBlue KKB-45MM</t>
        </is>
      </c>
      <c r="J2332" s="3" t="inlineStr">
        <is>
          <t>Cái</t>
        </is>
      </c>
      <c r="K2332" s="5" t="n">
        <v>269000</v>
      </c>
      <c r="L2332" s="5" t="n">
        <v>317000</v>
      </c>
      <c r="M2332" s="6" t="n">
        <v>390000</v>
      </c>
      <c r="N2332" s="5" t="n"/>
      <c r="O2332" s="5">
        <f>IF(AND(ISNUMBER(N2332),ISNUMBER(M2332)),N2332-M2332,"")</f>
        <v/>
      </c>
      <c r="P2332" s="7">
        <f>IF(AND(ISNUMBER(N2332),ISNUMBER(M2332),M2332&gt;0),(N2332-M2332)/M2332,"")</f>
        <v/>
      </c>
      <c r="Q2332" s="3">
        <f>IF(P2332="","",IF(P2332&lt;-0.02,"🔴 Bán phá giá sàn",IF(P2332&gt;0.05,"🔵 Bán cao hơn","🟢 Đúng giá sàn TMĐT")))</f>
        <v/>
      </c>
      <c r="R2332" s="3" t="n"/>
      <c r="S2332" s="4" t="n"/>
      <c r="T2332" s="4" t="n"/>
    </row>
    <row r="2333">
      <c r="A2333" s="3" t="n">
        <v>2332</v>
      </c>
      <c r="B2333" s="3" t="inlineStr">
        <is>
          <t>DL022</t>
        </is>
      </c>
      <c r="C2333" s="4" t="inlineStr">
        <is>
          <t>ĐL Đà Nẵng - Phú Vinh</t>
        </is>
      </c>
      <c r="D2333" s="3" t="inlineStr">
        <is>
          <t>Đà Nẵng</t>
        </is>
      </c>
      <c r="E2333" s="3" t="inlineStr">
        <is>
          <t>THÙY TRANG</t>
        </is>
      </c>
      <c r="F2333" s="3" t="inlineStr">
        <is>
          <t>Shopee, Tiktok</t>
        </is>
      </c>
      <c r="G233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3" s="3" t="inlineStr">
        <is>
          <t>KKB-49MM</t>
        </is>
      </c>
      <c r="I2333" s="4" t="inlineStr">
        <is>
          <t>Khoan Kính KingBlue KKB-49MM</t>
        </is>
      </c>
      <c r="J2333" s="3" t="inlineStr">
        <is>
          <t>Cái</t>
        </is>
      </c>
      <c r="K2333" s="5" t="n">
        <v>269000</v>
      </c>
      <c r="L2333" s="5" t="n">
        <v>317000</v>
      </c>
      <c r="M2333" s="6" t="n">
        <v>390000</v>
      </c>
      <c r="N2333" s="5" t="n"/>
      <c r="O2333" s="5">
        <f>IF(AND(ISNUMBER(N2333),ISNUMBER(M2333)),N2333-M2333,"")</f>
        <v/>
      </c>
      <c r="P2333" s="7">
        <f>IF(AND(ISNUMBER(N2333),ISNUMBER(M2333),M2333&gt;0),(N2333-M2333)/M2333,"")</f>
        <v/>
      </c>
      <c r="Q2333" s="3">
        <f>IF(P2333="","",IF(P2333&lt;-0.02,"🔴 Bán phá giá sàn",IF(P2333&gt;0.05,"🔵 Bán cao hơn","🟢 Đúng giá sàn TMĐT")))</f>
        <v/>
      </c>
      <c r="R2333" s="3" t="n"/>
      <c r="S2333" s="4" t="n"/>
      <c r="T2333" s="4" t="n"/>
    </row>
    <row r="2334">
      <c r="A2334" s="3" t="n">
        <v>2333</v>
      </c>
      <c r="B2334" s="3" t="inlineStr">
        <is>
          <t>DL022</t>
        </is>
      </c>
      <c r="C2334" s="4" t="inlineStr">
        <is>
          <t>ĐL Đà Nẵng - Phú Vinh</t>
        </is>
      </c>
      <c r="D2334" s="3" t="inlineStr">
        <is>
          <t>Đà Nẵng</t>
        </is>
      </c>
      <c r="E2334" s="3" t="inlineStr">
        <is>
          <t>THÙY TRANG</t>
        </is>
      </c>
      <c r="F2334" s="3" t="inlineStr">
        <is>
          <t>Shopee, Tiktok</t>
        </is>
      </c>
      <c r="G233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4" s="3" t="inlineStr">
        <is>
          <t>KKB-50MM</t>
        </is>
      </c>
      <c r="I2334" s="4" t="inlineStr">
        <is>
          <t>Khoan Kính KingBlue KKB-50MM</t>
        </is>
      </c>
      <c r="J2334" s="3" t="inlineStr">
        <is>
          <t>Cái</t>
        </is>
      </c>
      <c r="K2334" s="5" t="n">
        <v>269000</v>
      </c>
      <c r="L2334" s="5" t="n">
        <v>317000</v>
      </c>
      <c r="M2334" s="6" t="n">
        <v>390000</v>
      </c>
      <c r="N2334" s="5" t="n"/>
      <c r="O2334" s="5">
        <f>IF(AND(ISNUMBER(N2334),ISNUMBER(M2334)),N2334-M2334,"")</f>
        <v/>
      </c>
      <c r="P2334" s="7">
        <f>IF(AND(ISNUMBER(N2334),ISNUMBER(M2334),M2334&gt;0),(N2334-M2334)/M2334,"")</f>
        <v/>
      </c>
      <c r="Q2334" s="3">
        <f>IF(P2334="","",IF(P2334&lt;-0.02,"🔴 Bán phá giá sàn",IF(P2334&gt;0.05,"🔵 Bán cao hơn","🟢 Đúng giá sàn TMĐT")))</f>
        <v/>
      </c>
      <c r="R2334" s="3" t="n"/>
      <c r="S2334" s="4" t="n"/>
      <c r="T2334" s="4" t="n"/>
    </row>
    <row r="2335">
      <c r="A2335" s="3" t="n">
        <v>2334</v>
      </c>
      <c r="B2335" s="3" t="inlineStr">
        <is>
          <t>DL022</t>
        </is>
      </c>
      <c r="C2335" s="4" t="inlineStr">
        <is>
          <t>ĐL Đà Nẵng - Phú Vinh</t>
        </is>
      </c>
      <c r="D2335" s="3" t="inlineStr">
        <is>
          <t>Đà Nẵng</t>
        </is>
      </c>
      <c r="E2335" s="3" t="inlineStr">
        <is>
          <t>THÙY TRANG</t>
        </is>
      </c>
      <c r="F2335" s="3" t="inlineStr">
        <is>
          <t>Shopee, Tiktok</t>
        </is>
      </c>
      <c r="G233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5" s="3" t="inlineStr">
        <is>
          <t>KKB-55MM</t>
        </is>
      </c>
      <c r="I2335" s="4" t="inlineStr">
        <is>
          <t>Khoan Kính KingBlue KKB-55MM</t>
        </is>
      </c>
      <c r="J2335" s="3" t="inlineStr">
        <is>
          <t>Cái</t>
        </is>
      </c>
      <c r="K2335" s="5" t="n">
        <v>269000</v>
      </c>
      <c r="L2335" s="5" t="n">
        <v>317000</v>
      </c>
      <c r="M2335" s="6" t="n">
        <v>390000</v>
      </c>
      <c r="N2335" s="5" t="n"/>
      <c r="O2335" s="5">
        <f>IF(AND(ISNUMBER(N2335),ISNUMBER(M2335)),N2335-M2335,"")</f>
        <v/>
      </c>
      <c r="P2335" s="7">
        <f>IF(AND(ISNUMBER(N2335),ISNUMBER(M2335),M2335&gt;0),(N2335-M2335)/M2335,"")</f>
        <v/>
      </c>
      <c r="Q2335" s="3">
        <f>IF(P2335="","",IF(P2335&lt;-0.02,"🔴 Bán phá giá sàn",IF(P2335&gt;0.05,"🔵 Bán cao hơn","🟢 Đúng giá sàn TMĐT")))</f>
        <v/>
      </c>
      <c r="R2335" s="3" t="n"/>
      <c r="S2335" s="4" t="n"/>
      <c r="T2335" s="4" t="n"/>
    </row>
    <row r="2336">
      <c r="A2336" s="3" t="n">
        <v>2335</v>
      </c>
      <c r="B2336" s="3" t="inlineStr">
        <is>
          <t>DL022</t>
        </is>
      </c>
      <c r="C2336" s="4" t="inlineStr">
        <is>
          <t>ĐL Đà Nẵng - Phú Vinh</t>
        </is>
      </c>
      <c r="D2336" s="3" t="inlineStr">
        <is>
          <t>Đà Nẵng</t>
        </is>
      </c>
      <c r="E2336" s="3" t="inlineStr">
        <is>
          <t>THÙY TRANG</t>
        </is>
      </c>
      <c r="F2336" s="3" t="inlineStr">
        <is>
          <t>Shopee, Tiktok</t>
        </is>
      </c>
      <c r="G233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6" s="3" t="inlineStr">
        <is>
          <t>KKB-60MM</t>
        </is>
      </c>
      <c r="I2336" s="4" t="inlineStr">
        <is>
          <t>Khoan Kính KingBlue KKB-60MM</t>
        </is>
      </c>
      <c r="J2336" s="3" t="inlineStr">
        <is>
          <t>Cái</t>
        </is>
      </c>
      <c r="K2336" s="5" t="n">
        <v>269000</v>
      </c>
      <c r="L2336" s="5" t="n">
        <v>317000</v>
      </c>
      <c r="M2336" s="6" t="n">
        <v>390000</v>
      </c>
      <c r="N2336" s="5" t="n"/>
      <c r="O2336" s="5">
        <f>IF(AND(ISNUMBER(N2336),ISNUMBER(M2336)),N2336-M2336,"")</f>
        <v/>
      </c>
      <c r="P2336" s="7">
        <f>IF(AND(ISNUMBER(N2336),ISNUMBER(M2336),M2336&gt;0),(N2336-M2336)/M2336,"")</f>
        <v/>
      </c>
      <c r="Q2336" s="3">
        <f>IF(P2336="","",IF(P2336&lt;-0.02,"🔴 Bán phá giá sàn",IF(P2336&gt;0.05,"🔵 Bán cao hơn","🟢 Đúng giá sàn TMĐT")))</f>
        <v/>
      </c>
      <c r="R2336" s="3" t="n"/>
      <c r="S2336" s="4" t="n"/>
      <c r="T2336" s="4" t="n"/>
    </row>
    <row r="2337">
      <c r="A2337" s="3" t="n">
        <v>2336</v>
      </c>
      <c r="B2337" s="3" t="inlineStr">
        <is>
          <t>DL022</t>
        </is>
      </c>
      <c r="C2337" s="4" t="inlineStr">
        <is>
          <t>ĐL Đà Nẵng - Phú Vinh</t>
        </is>
      </c>
      <c r="D2337" s="3" t="inlineStr">
        <is>
          <t>Đà Nẵng</t>
        </is>
      </c>
      <c r="E2337" s="3" t="inlineStr">
        <is>
          <t>THÙY TRANG</t>
        </is>
      </c>
      <c r="F2337" s="3" t="inlineStr">
        <is>
          <t>Shopee, Tiktok</t>
        </is>
      </c>
      <c r="G233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7" s="3" t="inlineStr">
        <is>
          <t>KRLK-63250</t>
        </is>
      </c>
      <c r="I2337" s="4" t="inlineStr">
        <is>
          <t>Khoan rút lõi bê tông khô KRLK-63*250</t>
        </is>
      </c>
      <c r="J2337" s="3" t="inlineStr">
        <is>
          <t>Cái</t>
        </is>
      </c>
      <c r="K2337" s="5" t="n">
        <v>303000</v>
      </c>
      <c r="L2337" s="5" t="n">
        <v>364000</v>
      </c>
      <c r="M2337" s="6" t="n">
        <v>455000</v>
      </c>
      <c r="N2337" s="5" t="n"/>
      <c r="O2337" s="5">
        <f>IF(AND(ISNUMBER(N2337),ISNUMBER(M2337)),N2337-M2337,"")</f>
        <v/>
      </c>
      <c r="P2337" s="7">
        <f>IF(AND(ISNUMBER(N2337),ISNUMBER(M2337),M2337&gt;0),(N2337-M2337)/M2337,"")</f>
        <v/>
      </c>
      <c r="Q2337" s="3">
        <f>IF(P2337="","",IF(P2337&lt;-0.02,"🔴 Bán phá giá sàn",IF(P2337&gt;0.05,"🔵 Bán cao hơn","🟢 Đúng giá sàn TMĐT")))</f>
        <v/>
      </c>
      <c r="R2337" s="3" t="n"/>
      <c r="S2337" s="4" t="n"/>
      <c r="T2337" s="4" t="n"/>
    </row>
    <row r="2338">
      <c r="A2338" s="3" t="n">
        <v>2337</v>
      </c>
      <c r="B2338" s="3" t="inlineStr">
        <is>
          <t>DL022</t>
        </is>
      </c>
      <c r="C2338" s="4" t="inlineStr">
        <is>
          <t>ĐL Đà Nẵng - Phú Vinh</t>
        </is>
      </c>
      <c r="D2338" s="3" t="inlineStr">
        <is>
          <t>Đà Nẵng</t>
        </is>
      </c>
      <c r="E2338" s="3" t="inlineStr">
        <is>
          <t>THÙY TRANG</t>
        </is>
      </c>
      <c r="F2338" s="3" t="inlineStr">
        <is>
          <t>Shopee, Tiktok</t>
        </is>
      </c>
      <c r="G233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8" s="3" t="inlineStr">
        <is>
          <t>KRLK-36370</t>
        </is>
      </c>
      <c r="I2338" s="4" t="inlineStr">
        <is>
          <t>Khoan rút lõi bê tông nước + khô KRLK-36*370</t>
        </is>
      </c>
      <c r="J2338" s="3" t="inlineStr">
        <is>
          <t>Cái</t>
        </is>
      </c>
      <c r="K2338" s="5" t="n">
        <v>173000</v>
      </c>
      <c r="L2338" s="5" t="n">
        <v>208000</v>
      </c>
      <c r="M2338" s="6" t="n">
        <v>260000</v>
      </c>
      <c r="N2338" s="5" t="n"/>
      <c r="O2338" s="5">
        <f>IF(AND(ISNUMBER(N2338),ISNUMBER(M2338)),N2338-M2338,"")</f>
        <v/>
      </c>
      <c r="P2338" s="7">
        <f>IF(AND(ISNUMBER(N2338),ISNUMBER(M2338),M2338&gt;0),(N2338-M2338)/M2338,"")</f>
        <v/>
      </c>
      <c r="Q2338" s="3">
        <f>IF(P2338="","",IF(P2338&lt;-0.02,"🔴 Bán phá giá sàn",IF(P2338&gt;0.05,"🔵 Bán cao hơn","🟢 Đúng giá sàn TMĐT")))</f>
        <v/>
      </c>
      <c r="R2338" s="3" t="n"/>
      <c r="S2338" s="4" t="n"/>
      <c r="T2338" s="4" t="n"/>
    </row>
    <row r="2339">
      <c r="A2339" s="3" t="n">
        <v>2338</v>
      </c>
      <c r="B2339" s="3" t="inlineStr">
        <is>
          <t>DL022</t>
        </is>
      </c>
      <c r="C2339" s="4" t="inlineStr">
        <is>
          <t>ĐL Đà Nẵng - Phú Vinh</t>
        </is>
      </c>
      <c r="D2339" s="3" t="inlineStr">
        <is>
          <t>Đà Nẵng</t>
        </is>
      </c>
      <c r="E2339" s="3" t="inlineStr">
        <is>
          <t>THÙY TRANG</t>
        </is>
      </c>
      <c r="F2339" s="3" t="inlineStr">
        <is>
          <t>Shopee, Tiktok</t>
        </is>
      </c>
      <c r="G233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39" s="3" t="inlineStr">
        <is>
          <t>KRLK-44370</t>
        </is>
      </c>
      <c r="I2339" s="4" t="inlineStr">
        <is>
          <t>Khoan rút lõi bê tông nước + khô KRLK-44*370</t>
        </is>
      </c>
      <c r="J2339" s="3" t="inlineStr">
        <is>
          <t>Cái</t>
        </is>
      </c>
      <c r="K2339" s="5" t="n">
        <v>212000</v>
      </c>
      <c r="L2339" s="5" t="n">
        <v>254000</v>
      </c>
      <c r="M2339" s="6" t="n">
        <v>318000</v>
      </c>
      <c r="N2339" s="5" t="n"/>
      <c r="O2339" s="5">
        <f>IF(AND(ISNUMBER(N2339),ISNUMBER(M2339)),N2339-M2339,"")</f>
        <v/>
      </c>
      <c r="P2339" s="7">
        <f>IF(AND(ISNUMBER(N2339),ISNUMBER(M2339),M2339&gt;0),(N2339-M2339)/M2339,"")</f>
        <v/>
      </c>
      <c r="Q2339" s="3">
        <f>IF(P2339="","",IF(P2339&lt;-0.02,"🔴 Bán phá giá sàn",IF(P2339&gt;0.05,"🔵 Bán cao hơn","🟢 Đúng giá sàn TMĐT")))</f>
        <v/>
      </c>
      <c r="R2339" s="3" t="n"/>
      <c r="S2339" s="4" t="n"/>
      <c r="T2339" s="4" t="n"/>
    </row>
    <row r="2340">
      <c r="A2340" s="3" t="n">
        <v>2339</v>
      </c>
      <c r="B2340" s="3" t="inlineStr">
        <is>
          <t>DL022</t>
        </is>
      </c>
      <c r="C2340" s="4" t="inlineStr">
        <is>
          <t>ĐL Đà Nẵng - Phú Vinh</t>
        </is>
      </c>
      <c r="D2340" s="3" t="inlineStr">
        <is>
          <t>Đà Nẵng</t>
        </is>
      </c>
      <c r="E2340" s="3" t="inlineStr">
        <is>
          <t>THÙY TRANG</t>
        </is>
      </c>
      <c r="F2340" s="3" t="inlineStr">
        <is>
          <t>Shopee, Tiktok</t>
        </is>
      </c>
      <c r="G234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0" s="3" t="inlineStr">
        <is>
          <t>KRLK-51370</t>
        </is>
      </c>
      <c r="I2340" s="4" t="inlineStr">
        <is>
          <t>Khoan rút lõi bê tông nước + khô KRLK-51*370</t>
        </is>
      </c>
      <c r="J2340" s="3" t="inlineStr">
        <is>
          <t>Cái</t>
        </is>
      </c>
      <c r="K2340" s="5" t="n">
        <v>231000</v>
      </c>
      <c r="L2340" s="5" t="n">
        <v>277000</v>
      </c>
      <c r="M2340" s="6" t="n">
        <v>347000</v>
      </c>
      <c r="N2340" s="5" t="n"/>
      <c r="O2340" s="5">
        <f>IF(AND(ISNUMBER(N2340),ISNUMBER(M2340)),N2340-M2340,"")</f>
        <v/>
      </c>
      <c r="P2340" s="7">
        <f>IF(AND(ISNUMBER(N2340),ISNUMBER(M2340),M2340&gt;0),(N2340-M2340)/M2340,"")</f>
        <v/>
      </c>
      <c r="Q2340" s="3">
        <f>IF(P2340="","",IF(P2340&lt;-0.02,"🔴 Bán phá giá sàn",IF(P2340&gt;0.05,"🔵 Bán cao hơn","🟢 Đúng giá sàn TMĐT")))</f>
        <v/>
      </c>
      <c r="R2340" s="3" t="n"/>
      <c r="S2340" s="4" t="n"/>
      <c r="T2340" s="4" t="n"/>
    </row>
    <row r="2341">
      <c r="A2341" s="3" t="n">
        <v>2340</v>
      </c>
      <c r="B2341" s="3" t="inlineStr">
        <is>
          <t>DL022</t>
        </is>
      </c>
      <c r="C2341" s="4" t="inlineStr">
        <is>
          <t>ĐL Đà Nẵng - Phú Vinh</t>
        </is>
      </c>
      <c r="D2341" s="3" t="inlineStr">
        <is>
          <t>Đà Nẵng</t>
        </is>
      </c>
      <c r="E2341" s="3" t="inlineStr">
        <is>
          <t>THÙY TRANG</t>
        </is>
      </c>
      <c r="F2341" s="3" t="inlineStr">
        <is>
          <t>Shopee, Tiktok</t>
        </is>
      </c>
      <c r="G234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1" s="3" t="inlineStr">
        <is>
          <t>KRLK-63370</t>
        </is>
      </c>
      <c r="I2341" s="4" t="inlineStr">
        <is>
          <t>Khoan rút lõi bê tông nước + khô KRLK-63*370</t>
        </is>
      </c>
      <c r="J2341" s="3" t="inlineStr">
        <is>
          <t>Cái</t>
        </is>
      </c>
      <c r="K2341" s="5" t="n">
        <v>282000</v>
      </c>
      <c r="L2341" s="5" t="n">
        <v>338000</v>
      </c>
      <c r="M2341" s="6" t="n">
        <v>423000</v>
      </c>
      <c r="N2341" s="5" t="n"/>
      <c r="O2341" s="5">
        <f>IF(AND(ISNUMBER(N2341),ISNUMBER(M2341)),N2341-M2341,"")</f>
        <v/>
      </c>
      <c r="P2341" s="7">
        <f>IF(AND(ISNUMBER(N2341),ISNUMBER(M2341),M2341&gt;0),(N2341-M2341)/M2341,"")</f>
        <v/>
      </c>
      <c r="Q2341" s="3">
        <f>IF(P2341="","",IF(P2341&lt;-0.02,"🔴 Bán phá giá sàn",IF(P2341&gt;0.05,"🔵 Bán cao hơn","🟢 Đúng giá sàn TMĐT")))</f>
        <v/>
      </c>
      <c r="R2341" s="3" t="n"/>
      <c r="S2341" s="4" t="n"/>
      <c r="T2341" s="4" t="n"/>
    </row>
    <row r="2342">
      <c r="A2342" s="3" t="n">
        <v>2341</v>
      </c>
      <c r="B2342" s="3" t="inlineStr">
        <is>
          <t>DL022</t>
        </is>
      </c>
      <c r="C2342" s="4" t="inlineStr">
        <is>
          <t>ĐL Đà Nẵng - Phú Vinh</t>
        </is>
      </c>
      <c r="D2342" s="3" t="inlineStr">
        <is>
          <t>Đà Nẵng</t>
        </is>
      </c>
      <c r="E2342" s="3" t="inlineStr">
        <is>
          <t>THÙY TRANG</t>
        </is>
      </c>
      <c r="F2342" s="3" t="inlineStr">
        <is>
          <t>Shopee, Tiktok</t>
        </is>
      </c>
      <c r="G234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2" s="3" t="inlineStr">
        <is>
          <t>KRL-27370</t>
        </is>
      </c>
      <c r="I2342" s="4" t="inlineStr">
        <is>
          <t>Khoan rút lõi bê tông nước KRL-27*370</t>
        </is>
      </c>
      <c r="J2342" s="3" t="inlineStr">
        <is>
          <t>Cái</t>
        </is>
      </c>
      <c r="K2342" s="5" t="n">
        <v>186000</v>
      </c>
      <c r="L2342" s="5" t="n">
        <v>223000</v>
      </c>
      <c r="M2342" s="6" t="n">
        <v>279000</v>
      </c>
      <c r="N2342" s="5" t="n"/>
      <c r="O2342" s="5">
        <f>IF(AND(ISNUMBER(N2342),ISNUMBER(M2342)),N2342-M2342,"")</f>
        <v/>
      </c>
      <c r="P2342" s="7">
        <f>IF(AND(ISNUMBER(N2342),ISNUMBER(M2342),M2342&gt;0),(N2342-M2342)/M2342,"")</f>
        <v/>
      </c>
      <c r="Q2342" s="3">
        <f>IF(P2342="","",IF(P2342&lt;-0.02,"🔴 Bán phá giá sàn",IF(P2342&gt;0.05,"🔵 Bán cao hơn","🟢 Đúng giá sàn TMĐT")))</f>
        <v/>
      </c>
      <c r="R2342" s="3" t="n"/>
      <c r="S2342" s="4" t="n"/>
      <c r="T2342" s="4" t="n"/>
    </row>
    <row r="2343">
      <c r="A2343" s="3" t="n">
        <v>2342</v>
      </c>
      <c r="B2343" s="3" t="inlineStr">
        <is>
          <t>DL022</t>
        </is>
      </c>
      <c r="C2343" s="4" t="inlineStr">
        <is>
          <t>ĐL Đà Nẵng - Phú Vinh</t>
        </is>
      </c>
      <c r="D2343" s="3" t="inlineStr">
        <is>
          <t>Đà Nẵng</t>
        </is>
      </c>
      <c r="E2343" s="3" t="inlineStr">
        <is>
          <t>THÙY TRANG</t>
        </is>
      </c>
      <c r="F2343" s="3" t="inlineStr">
        <is>
          <t>Shopee, Tiktok</t>
        </is>
      </c>
      <c r="G234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3" s="3" t="inlineStr">
        <is>
          <t>KRL-32370</t>
        </is>
      </c>
      <c r="I2343" s="4" t="inlineStr">
        <is>
          <t>Khoan rút lõi bê tông nước KRL-32*370</t>
        </is>
      </c>
      <c r="J2343" s="3" t="inlineStr">
        <is>
          <t>Cái</t>
        </is>
      </c>
      <c r="K2343" s="5" t="n">
        <v>206000</v>
      </c>
      <c r="L2343" s="5" t="n">
        <v>247000</v>
      </c>
      <c r="M2343" s="6" t="n">
        <v>309000</v>
      </c>
      <c r="N2343" s="5" t="n"/>
      <c r="O2343" s="5">
        <f>IF(AND(ISNUMBER(N2343),ISNUMBER(M2343)),N2343-M2343,"")</f>
        <v/>
      </c>
      <c r="P2343" s="7">
        <f>IF(AND(ISNUMBER(N2343),ISNUMBER(M2343),M2343&gt;0),(N2343-M2343)/M2343,"")</f>
        <v/>
      </c>
      <c r="Q2343" s="3">
        <f>IF(P2343="","",IF(P2343&lt;-0.02,"🔴 Bán phá giá sàn",IF(P2343&gt;0.05,"🔵 Bán cao hơn","🟢 Đúng giá sàn TMĐT")))</f>
        <v/>
      </c>
      <c r="R2343" s="3" t="n"/>
      <c r="S2343" s="4" t="n"/>
      <c r="T2343" s="4" t="n"/>
    </row>
    <row r="2344">
      <c r="A2344" s="3" t="n">
        <v>2343</v>
      </c>
      <c r="B2344" s="3" t="inlineStr">
        <is>
          <t>DL022</t>
        </is>
      </c>
      <c r="C2344" s="4" t="inlineStr">
        <is>
          <t>ĐL Đà Nẵng - Phú Vinh</t>
        </is>
      </c>
      <c r="D2344" s="3" t="inlineStr">
        <is>
          <t>Đà Nẵng</t>
        </is>
      </c>
      <c r="E2344" s="3" t="inlineStr">
        <is>
          <t>THÙY TRANG</t>
        </is>
      </c>
      <c r="F2344" s="3" t="inlineStr">
        <is>
          <t>Shopee, Tiktok</t>
        </is>
      </c>
      <c r="G234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4" s="3" t="inlineStr">
        <is>
          <t>KRL-40370</t>
        </is>
      </c>
      <c r="I2344" s="4" t="inlineStr">
        <is>
          <t>Khoan rút lõi bê tông nước KRL-40*370</t>
        </is>
      </c>
      <c r="J2344" s="3" t="inlineStr">
        <is>
          <t>Cái</t>
        </is>
      </c>
      <c r="K2344" s="5" t="n">
        <v>251000</v>
      </c>
      <c r="L2344" s="5" t="n">
        <v>301000</v>
      </c>
      <c r="M2344" s="6" t="n">
        <v>377000</v>
      </c>
      <c r="N2344" s="5" t="n"/>
      <c r="O2344" s="5">
        <f>IF(AND(ISNUMBER(N2344),ISNUMBER(M2344)),N2344-M2344,"")</f>
        <v/>
      </c>
      <c r="P2344" s="7">
        <f>IF(AND(ISNUMBER(N2344),ISNUMBER(M2344),M2344&gt;0),(N2344-M2344)/M2344,"")</f>
        <v/>
      </c>
      <c r="Q2344" s="3">
        <f>IF(P2344="","",IF(P2344&lt;-0.02,"🔴 Bán phá giá sàn",IF(P2344&gt;0.05,"🔵 Bán cao hơn","🟢 Đúng giá sàn TMĐT")))</f>
        <v/>
      </c>
      <c r="R2344" s="3" t="n"/>
      <c r="S2344" s="4" t="n"/>
      <c r="T2344" s="4" t="n"/>
    </row>
    <row r="2345">
      <c r="A2345" s="3" t="n">
        <v>2344</v>
      </c>
      <c r="B2345" s="3" t="inlineStr">
        <is>
          <t>DL022</t>
        </is>
      </c>
      <c r="C2345" s="4" t="inlineStr">
        <is>
          <t>ĐL Đà Nẵng - Phú Vinh</t>
        </is>
      </c>
      <c r="D2345" s="3" t="inlineStr">
        <is>
          <t>Đà Nẵng</t>
        </is>
      </c>
      <c r="E2345" s="3" t="inlineStr">
        <is>
          <t>THÙY TRANG</t>
        </is>
      </c>
      <c r="F2345" s="3" t="inlineStr">
        <is>
          <t>Shopee, Tiktok</t>
        </is>
      </c>
      <c r="G234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5" s="3" t="inlineStr">
        <is>
          <t>KRL-44370</t>
        </is>
      </c>
      <c r="I2345" s="4" t="inlineStr">
        <is>
          <t>Khoan rút lõi bê tông nước KRL-44*370</t>
        </is>
      </c>
      <c r="J2345" s="3" t="inlineStr">
        <is>
          <t>Cái</t>
        </is>
      </c>
      <c r="K2345" s="5" t="n">
        <v>270000</v>
      </c>
      <c r="L2345" s="5" t="n">
        <v>324000</v>
      </c>
      <c r="M2345" s="6" t="n">
        <v>405000</v>
      </c>
      <c r="N2345" s="5" t="n"/>
      <c r="O2345" s="5">
        <f>IF(AND(ISNUMBER(N2345),ISNUMBER(M2345)),N2345-M2345,"")</f>
        <v/>
      </c>
      <c r="P2345" s="7">
        <f>IF(AND(ISNUMBER(N2345),ISNUMBER(M2345),M2345&gt;0),(N2345-M2345)/M2345,"")</f>
        <v/>
      </c>
      <c r="Q2345" s="3">
        <f>IF(P2345="","",IF(P2345&lt;-0.02,"🔴 Bán phá giá sàn",IF(P2345&gt;0.05,"🔵 Bán cao hơn","🟢 Đúng giá sàn TMĐT")))</f>
        <v/>
      </c>
      <c r="R2345" s="3" t="n"/>
      <c r="S2345" s="4" t="n"/>
      <c r="T2345" s="4" t="n"/>
    </row>
    <row r="2346">
      <c r="A2346" s="3" t="n">
        <v>2345</v>
      </c>
      <c r="B2346" s="3" t="inlineStr">
        <is>
          <t>DL022</t>
        </is>
      </c>
      <c r="C2346" s="4" t="inlineStr">
        <is>
          <t>ĐL Đà Nẵng - Phú Vinh</t>
        </is>
      </c>
      <c r="D2346" s="3" t="inlineStr">
        <is>
          <t>Đà Nẵng</t>
        </is>
      </c>
      <c r="E2346" s="3" t="inlineStr">
        <is>
          <t>THÙY TRANG</t>
        </is>
      </c>
      <c r="F2346" s="3" t="inlineStr">
        <is>
          <t>Shopee, Tiktok</t>
        </is>
      </c>
      <c r="G234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6" s="3" t="inlineStr">
        <is>
          <t>KRL-51370</t>
        </is>
      </c>
      <c r="I2346" s="4" t="inlineStr">
        <is>
          <t>Khoan rút lõi bê tông nước KRL-51*370</t>
        </is>
      </c>
      <c r="J2346" s="3" t="inlineStr">
        <is>
          <t>Cái</t>
        </is>
      </c>
      <c r="K2346" s="5" t="n">
        <v>282000</v>
      </c>
      <c r="L2346" s="5" t="n">
        <v>338000</v>
      </c>
      <c r="M2346" s="6" t="n">
        <v>423000</v>
      </c>
      <c r="N2346" s="5" t="n"/>
      <c r="O2346" s="5">
        <f>IF(AND(ISNUMBER(N2346),ISNUMBER(M2346)),N2346-M2346,"")</f>
        <v/>
      </c>
      <c r="P2346" s="7">
        <f>IF(AND(ISNUMBER(N2346),ISNUMBER(M2346),M2346&gt;0),(N2346-M2346)/M2346,"")</f>
        <v/>
      </c>
      <c r="Q2346" s="3">
        <f>IF(P2346="","",IF(P2346&lt;-0.02,"🔴 Bán phá giá sàn",IF(P2346&gt;0.05,"🔵 Bán cao hơn","🟢 Đúng giá sàn TMĐT")))</f>
        <v/>
      </c>
      <c r="R2346" s="3" t="n"/>
      <c r="S2346" s="4" t="n"/>
      <c r="T2346" s="4" t="n"/>
    </row>
    <row r="2347">
      <c r="A2347" s="3" t="n">
        <v>2346</v>
      </c>
      <c r="B2347" s="3" t="inlineStr">
        <is>
          <t>DL022</t>
        </is>
      </c>
      <c r="C2347" s="4" t="inlineStr">
        <is>
          <t>ĐL Đà Nẵng - Phú Vinh</t>
        </is>
      </c>
      <c r="D2347" s="3" t="inlineStr">
        <is>
          <t>Đà Nẵng</t>
        </is>
      </c>
      <c r="E2347" s="3" t="inlineStr">
        <is>
          <t>THÙY TRANG</t>
        </is>
      </c>
      <c r="F2347" s="3" t="inlineStr">
        <is>
          <t>Shopee, Tiktok</t>
        </is>
      </c>
      <c r="G234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7" s="3" t="inlineStr">
        <is>
          <t>KRL-96350</t>
        </is>
      </c>
      <c r="I2347" s="4" t="inlineStr">
        <is>
          <t>Khoan rút lõi bê tông nước KRL-96*350</t>
        </is>
      </c>
      <c r="J2347" s="3" t="inlineStr">
        <is>
          <t>Cái</t>
        </is>
      </c>
      <c r="K2347" s="5" t="n">
        <v>527000</v>
      </c>
      <c r="L2347" s="5" t="n">
        <v>633000</v>
      </c>
      <c r="M2347" s="6" t="n">
        <v>791000</v>
      </c>
      <c r="N2347" s="5" t="n"/>
      <c r="O2347" s="5">
        <f>IF(AND(ISNUMBER(N2347),ISNUMBER(M2347)),N2347-M2347,"")</f>
        <v/>
      </c>
      <c r="P2347" s="7">
        <f>IF(AND(ISNUMBER(N2347),ISNUMBER(M2347),M2347&gt;0),(N2347-M2347)/M2347,"")</f>
        <v/>
      </c>
      <c r="Q2347" s="3">
        <f>IF(P2347="","",IF(P2347&lt;-0.02,"🔴 Bán phá giá sàn",IF(P2347&gt;0.05,"🔵 Bán cao hơn","🟢 Đúng giá sàn TMĐT")))</f>
        <v/>
      </c>
      <c r="R2347" s="3" t="n"/>
      <c r="S2347" s="4" t="n"/>
      <c r="T2347" s="4" t="n"/>
    </row>
    <row r="2348">
      <c r="A2348" s="3" t="n">
        <v>2347</v>
      </c>
      <c r="B2348" s="3" t="inlineStr">
        <is>
          <t>DL022</t>
        </is>
      </c>
      <c r="C2348" s="4" t="inlineStr">
        <is>
          <t>ĐL Đà Nẵng - Phú Vinh</t>
        </is>
      </c>
      <c r="D2348" s="3" t="inlineStr">
        <is>
          <t>Đà Nẵng</t>
        </is>
      </c>
      <c r="E2348" s="3" t="inlineStr">
        <is>
          <t>THÙY TRANG</t>
        </is>
      </c>
      <c r="F2348" s="3" t="inlineStr">
        <is>
          <t>Shopee, Tiktok</t>
        </is>
      </c>
      <c r="G234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8" s="3" t="inlineStr">
        <is>
          <t>KND185</t>
        </is>
      </c>
      <c r="I2348" s="4" t="inlineStr">
        <is>
          <t>Kìm bấm Cos vuông KND185</t>
        </is>
      </c>
      <c r="J2348" s="3" t="inlineStr">
        <is>
          <t>Cái</t>
        </is>
      </c>
      <c r="K2348" s="5" t="n">
        <v>182000</v>
      </c>
      <c r="L2348" s="5" t="n">
        <v>215000</v>
      </c>
      <c r="M2348" s="6" t="n">
        <v>264000</v>
      </c>
      <c r="N2348" s="5" t="n"/>
      <c r="O2348" s="5">
        <f>IF(AND(ISNUMBER(N2348),ISNUMBER(M2348)),N2348-M2348,"")</f>
        <v/>
      </c>
      <c r="P2348" s="7">
        <f>IF(AND(ISNUMBER(N2348),ISNUMBER(M2348),M2348&gt;0),(N2348-M2348)/M2348,"")</f>
        <v/>
      </c>
      <c r="Q2348" s="3">
        <f>IF(P2348="","",IF(P2348&lt;-0.02,"🔴 Bán phá giá sàn",IF(P2348&gt;0.05,"🔵 Bán cao hơn","🟢 Đúng giá sàn TMĐT")))</f>
        <v/>
      </c>
      <c r="R2348" s="3" t="n"/>
      <c r="S2348" s="4" t="n"/>
      <c r="T2348" s="4" t="n"/>
    </row>
    <row r="2349">
      <c r="A2349" s="3" t="n">
        <v>2348</v>
      </c>
      <c r="B2349" s="3" t="inlineStr">
        <is>
          <t>DL022</t>
        </is>
      </c>
      <c r="C2349" s="4" t="inlineStr">
        <is>
          <t>ĐL Đà Nẵng - Phú Vinh</t>
        </is>
      </c>
      <c r="D2349" s="3" t="inlineStr">
        <is>
          <t>Đà Nẵng</t>
        </is>
      </c>
      <c r="E2349" s="3" t="inlineStr">
        <is>
          <t>THÙY TRANG</t>
        </is>
      </c>
      <c r="F2349" s="3" t="inlineStr">
        <is>
          <t>Shopee, Tiktok</t>
        </is>
      </c>
      <c r="G234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49" s="3" t="inlineStr">
        <is>
          <t>KND150</t>
        </is>
      </c>
      <c r="I2349" s="4" t="inlineStr">
        <is>
          <t>Kìm cắt chân mạch đa năng KND150</t>
        </is>
      </c>
      <c r="J2349" s="3" t="inlineStr">
        <is>
          <t>Cái</t>
        </is>
      </c>
      <c r="K2349" s="5" t="n">
        <v>64000</v>
      </c>
      <c r="L2349" s="5" t="n">
        <v>76000</v>
      </c>
      <c r="M2349" s="6" t="n">
        <v>93000</v>
      </c>
      <c r="N2349" s="5" t="n"/>
      <c r="O2349" s="5">
        <f>IF(AND(ISNUMBER(N2349),ISNUMBER(M2349)),N2349-M2349,"")</f>
        <v/>
      </c>
      <c r="P2349" s="7">
        <f>IF(AND(ISNUMBER(N2349),ISNUMBER(M2349),M2349&gt;0),(N2349-M2349)/M2349,"")</f>
        <v/>
      </c>
      <c r="Q2349" s="3">
        <f>IF(P2349="","",IF(P2349&lt;-0.02,"🔴 Bán phá giá sàn",IF(P2349&gt;0.05,"🔵 Bán cao hơn","🟢 Đúng giá sàn TMĐT")))</f>
        <v/>
      </c>
      <c r="R2349" s="3" t="n"/>
      <c r="S2349" s="4" t="n"/>
      <c r="T2349" s="4" t="n"/>
    </row>
    <row r="2350">
      <c r="A2350" s="3" t="n">
        <v>2349</v>
      </c>
      <c r="B2350" s="3" t="inlineStr">
        <is>
          <t>DL022</t>
        </is>
      </c>
      <c r="C2350" s="4" t="inlineStr">
        <is>
          <t>ĐL Đà Nẵng - Phú Vinh</t>
        </is>
      </c>
      <c r="D2350" s="3" t="inlineStr">
        <is>
          <t>Đà Nẵng</t>
        </is>
      </c>
      <c r="E2350" s="3" t="inlineStr">
        <is>
          <t>THÙY TRANG</t>
        </is>
      </c>
      <c r="F2350" s="3" t="inlineStr">
        <is>
          <t>Shopee, Tiktok</t>
        </is>
      </c>
      <c r="G235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0" s="3" t="inlineStr">
        <is>
          <t>KND200</t>
        </is>
      </c>
      <c r="I2350" s="4" t="inlineStr">
        <is>
          <t>Kìm cắt tuốt đa năng 5 in1 KND200</t>
        </is>
      </c>
      <c r="J2350" s="3" t="inlineStr">
        <is>
          <t>Cái</t>
        </is>
      </c>
      <c r="K2350" s="5" t="n">
        <v>72000</v>
      </c>
      <c r="L2350" s="5" t="n">
        <v>85000</v>
      </c>
      <c r="M2350" s="6" t="n">
        <v>104000</v>
      </c>
      <c r="N2350" s="5" t="n"/>
      <c r="O2350" s="5">
        <f>IF(AND(ISNUMBER(N2350),ISNUMBER(M2350)),N2350-M2350,"")</f>
        <v/>
      </c>
      <c r="P2350" s="7">
        <f>IF(AND(ISNUMBER(N2350),ISNUMBER(M2350),M2350&gt;0),(N2350-M2350)/M2350,"")</f>
        <v/>
      </c>
      <c r="Q2350" s="3">
        <f>IF(P2350="","",IF(P2350&lt;-0.02,"🔴 Bán phá giá sàn",IF(P2350&gt;0.05,"🔵 Bán cao hơn","🟢 Đúng giá sàn TMĐT")))</f>
        <v/>
      </c>
      <c r="R2350" s="3" t="n"/>
      <c r="S2350" s="4" t="n"/>
      <c r="T2350" s="4" t="n"/>
    </row>
    <row r="2351">
      <c r="A2351" s="3" t="n">
        <v>2350</v>
      </c>
      <c r="B2351" s="3" t="inlineStr">
        <is>
          <t>DL022</t>
        </is>
      </c>
      <c r="C2351" s="4" t="inlineStr">
        <is>
          <t>ĐL Đà Nẵng - Phú Vinh</t>
        </is>
      </c>
      <c r="D2351" s="3" t="inlineStr">
        <is>
          <t>Đà Nẵng</t>
        </is>
      </c>
      <c r="E2351" s="3" t="inlineStr">
        <is>
          <t>THÙY TRANG</t>
        </is>
      </c>
      <c r="F2351" s="3" t="inlineStr">
        <is>
          <t>Shopee, Tiktok</t>
        </is>
      </c>
      <c r="G235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1" s="3" t="inlineStr">
        <is>
          <t>KS2-250</t>
        </is>
      </c>
      <c r="I2351" s="4" t="inlineStr">
        <is>
          <t>Kìm chết KS2-250</t>
        </is>
      </c>
      <c r="J2351" s="3" t="inlineStr">
        <is>
          <t>Cái</t>
        </is>
      </c>
      <c r="K2351" s="5" t="n">
        <v>149000</v>
      </c>
      <c r="L2351" s="5" t="n">
        <v>176000</v>
      </c>
      <c r="M2351" s="6" t="n">
        <v>216000</v>
      </c>
      <c r="N2351" s="5" t="n"/>
      <c r="O2351" s="5">
        <f>IF(AND(ISNUMBER(N2351),ISNUMBER(M2351)),N2351-M2351,"")</f>
        <v/>
      </c>
      <c r="P2351" s="7">
        <f>IF(AND(ISNUMBER(N2351),ISNUMBER(M2351),M2351&gt;0),(N2351-M2351)/M2351,"")</f>
        <v/>
      </c>
      <c r="Q2351" s="3">
        <f>IF(P2351="","",IF(P2351&lt;-0.02,"🔴 Bán phá giá sàn",IF(P2351&gt;0.05,"🔵 Bán cao hơn","🟢 Đúng giá sàn TMĐT")))</f>
        <v/>
      </c>
      <c r="R2351" s="3" t="n"/>
      <c r="S2351" s="4" t="n"/>
      <c r="T2351" s="4" t="n"/>
    </row>
    <row r="2352">
      <c r="A2352" s="3" t="n">
        <v>2351</v>
      </c>
      <c r="B2352" s="3" t="inlineStr">
        <is>
          <t>DL022</t>
        </is>
      </c>
      <c r="C2352" s="4" t="inlineStr">
        <is>
          <t>ĐL Đà Nẵng - Phú Vinh</t>
        </is>
      </c>
      <c r="D2352" s="3" t="inlineStr">
        <is>
          <t>Đà Nẵng</t>
        </is>
      </c>
      <c r="E2352" s="3" t="inlineStr">
        <is>
          <t>THÙY TRANG</t>
        </is>
      </c>
      <c r="F2352" s="3" t="inlineStr">
        <is>
          <t>Shopee, Tiktok</t>
        </is>
      </c>
      <c r="G235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2" s="3" t="inlineStr">
        <is>
          <t>KS5-254</t>
        </is>
      </c>
      <c r="I2352" s="4" t="inlineStr">
        <is>
          <t>Kìm chết mỏ dẹt KS5-254</t>
        </is>
      </c>
      <c r="J2352" s="3" t="inlineStr">
        <is>
          <t>Cái</t>
        </is>
      </c>
      <c r="K2352" s="5" t="n">
        <v>176000</v>
      </c>
      <c r="L2352" s="5" t="n">
        <v>208000</v>
      </c>
      <c r="M2352" s="6" t="n">
        <v>255000</v>
      </c>
      <c r="N2352" s="5" t="n"/>
      <c r="O2352" s="5">
        <f>IF(AND(ISNUMBER(N2352),ISNUMBER(M2352)),N2352-M2352,"")</f>
        <v/>
      </c>
      <c r="P2352" s="7">
        <f>IF(AND(ISNUMBER(N2352),ISNUMBER(M2352),M2352&gt;0),(N2352-M2352)/M2352,"")</f>
        <v/>
      </c>
      <c r="Q2352" s="3">
        <f>IF(P2352="","",IF(P2352&lt;-0.02,"🔴 Bán phá giá sàn",IF(P2352&gt;0.05,"🔵 Bán cao hơn","🟢 Đúng giá sàn TMĐT")))</f>
        <v/>
      </c>
      <c r="R2352" s="3" t="n"/>
      <c r="S2352" s="4" t="n"/>
      <c r="T2352" s="4" t="n"/>
    </row>
    <row r="2353">
      <c r="A2353" s="3" t="n">
        <v>2352</v>
      </c>
      <c r="B2353" s="3" t="inlineStr">
        <is>
          <t>DL022</t>
        </is>
      </c>
      <c r="C2353" s="4" t="inlineStr">
        <is>
          <t>ĐL Đà Nẵng - Phú Vinh</t>
        </is>
      </c>
      <c r="D2353" s="3" t="inlineStr">
        <is>
          <t>Đà Nẵng</t>
        </is>
      </c>
      <c r="E2353" s="3" t="inlineStr">
        <is>
          <t>THÙY TRANG</t>
        </is>
      </c>
      <c r="F2353" s="3" t="inlineStr">
        <is>
          <t>Shopee, Tiktok</t>
        </is>
      </c>
      <c r="G235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3" s="3" t="inlineStr">
        <is>
          <t>KCL-750</t>
        </is>
      </c>
      <c r="I2353" s="4" t="inlineStr">
        <is>
          <t>Kìm cộng lực KCL-750</t>
        </is>
      </c>
      <c r="J2353" s="3" t="inlineStr">
        <is>
          <t>Cái</t>
        </is>
      </c>
      <c r="K2353" s="5" t="n">
        <v>622000</v>
      </c>
      <c r="L2353" s="5" t="n">
        <v>734000</v>
      </c>
      <c r="M2353" s="6" t="n">
        <v>902000</v>
      </c>
      <c r="N2353" s="5" t="n"/>
      <c r="O2353" s="5">
        <f>IF(AND(ISNUMBER(N2353),ISNUMBER(M2353)),N2353-M2353,"")</f>
        <v/>
      </c>
      <c r="P2353" s="7">
        <f>IF(AND(ISNUMBER(N2353),ISNUMBER(M2353),M2353&gt;0),(N2353-M2353)/M2353,"")</f>
        <v/>
      </c>
      <c r="Q2353" s="3">
        <f>IF(P2353="","",IF(P2353&lt;-0.02,"🔴 Bán phá giá sàn",IF(P2353&gt;0.05,"🔵 Bán cao hơn","🟢 Đúng giá sàn TMĐT")))</f>
        <v/>
      </c>
      <c r="R2353" s="3" t="n"/>
      <c r="S2353" s="4" t="n"/>
      <c r="T2353" s="4" t="n"/>
    </row>
    <row r="2354">
      <c r="A2354" s="3" t="n">
        <v>2353</v>
      </c>
      <c r="B2354" s="3" t="inlineStr">
        <is>
          <t>DL022</t>
        </is>
      </c>
      <c r="C2354" s="4" t="inlineStr">
        <is>
          <t>ĐL Đà Nẵng - Phú Vinh</t>
        </is>
      </c>
      <c r="D2354" s="3" t="inlineStr">
        <is>
          <t>Đà Nẵng</t>
        </is>
      </c>
      <c r="E2354" s="3" t="inlineStr">
        <is>
          <t>THÙY TRANG</t>
        </is>
      </c>
      <c r="F2354" s="3" t="inlineStr">
        <is>
          <t>Shopee, Tiktok</t>
        </is>
      </c>
      <c r="G235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4" s="3" t="inlineStr">
        <is>
          <t>KC1-06</t>
        </is>
      </c>
      <c r="I2354" s="4" t="inlineStr">
        <is>
          <t>Kìm điện KC1-06</t>
        </is>
      </c>
      <c r="J2354" s="3" t="inlineStr">
        <is>
          <t>Cái</t>
        </is>
      </c>
      <c r="K2354" s="5" t="n">
        <v>269000</v>
      </c>
      <c r="L2354" s="5" t="n">
        <v>317000</v>
      </c>
      <c r="M2354" s="6" t="n">
        <v>390000</v>
      </c>
      <c r="N2354" s="5" t="n"/>
      <c r="O2354" s="5">
        <f>IF(AND(ISNUMBER(N2354),ISNUMBER(M2354)),N2354-M2354,"")</f>
        <v/>
      </c>
      <c r="P2354" s="7">
        <f>IF(AND(ISNUMBER(N2354),ISNUMBER(M2354),M2354&gt;0),(N2354-M2354)/M2354,"")</f>
        <v/>
      </c>
      <c r="Q2354" s="3">
        <f>IF(P2354="","",IF(P2354&lt;-0.02,"🔴 Bán phá giá sàn",IF(P2354&gt;0.05,"🔵 Bán cao hơn","🟢 Đúng giá sàn TMĐT")))</f>
        <v/>
      </c>
      <c r="R2354" s="3" t="n"/>
      <c r="S2354" s="4" t="n"/>
      <c r="T2354" s="4" t="n"/>
    </row>
    <row r="2355">
      <c r="A2355" s="3" t="n">
        <v>2354</v>
      </c>
      <c r="B2355" s="3" t="inlineStr">
        <is>
          <t>DL022</t>
        </is>
      </c>
      <c r="C2355" s="4" t="inlineStr">
        <is>
          <t>ĐL Đà Nẵng - Phú Vinh</t>
        </is>
      </c>
      <c r="D2355" s="3" t="inlineStr">
        <is>
          <t>Đà Nẵng</t>
        </is>
      </c>
      <c r="E2355" s="3" t="inlineStr">
        <is>
          <t>THÙY TRANG</t>
        </is>
      </c>
      <c r="F2355" s="3" t="inlineStr">
        <is>
          <t>Shopee, Tiktok</t>
        </is>
      </c>
      <c r="G235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5" s="3" t="inlineStr">
        <is>
          <t>300-500A</t>
        </is>
      </c>
      <c r="I2355" s="4" t="inlineStr">
        <is>
          <t>Kìm hàn  KCH-300  (300-500A)</t>
        </is>
      </c>
      <c r="J2355" s="3" t="inlineStr">
        <is>
          <t>Cái</t>
        </is>
      </c>
      <c r="K2355" s="5" t="n">
        <v>269000</v>
      </c>
      <c r="L2355" s="5" t="n">
        <v>317000</v>
      </c>
      <c r="M2355" s="6" t="n">
        <v>390000</v>
      </c>
      <c r="N2355" s="5" t="n"/>
      <c r="O2355" s="5">
        <f>IF(AND(ISNUMBER(N2355),ISNUMBER(M2355)),N2355-M2355,"")</f>
        <v/>
      </c>
      <c r="P2355" s="7">
        <f>IF(AND(ISNUMBER(N2355),ISNUMBER(M2355),M2355&gt;0),(N2355-M2355)/M2355,"")</f>
        <v/>
      </c>
      <c r="Q2355" s="3">
        <f>IF(P2355="","",IF(P2355&lt;-0.02,"🔴 Bán phá giá sàn",IF(P2355&gt;0.05,"🔵 Bán cao hơn","🟢 Đúng giá sàn TMĐT")))</f>
        <v/>
      </c>
      <c r="R2355" s="3" t="n"/>
      <c r="S2355" s="4" t="n"/>
      <c r="T2355" s="4" t="n"/>
    </row>
    <row r="2356">
      <c r="A2356" s="3" t="n">
        <v>2355</v>
      </c>
      <c r="B2356" s="3" t="inlineStr">
        <is>
          <t>DL022</t>
        </is>
      </c>
      <c r="C2356" s="4" t="inlineStr">
        <is>
          <t>ĐL Đà Nẵng - Phú Vinh</t>
        </is>
      </c>
      <c r="D2356" s="3" t="inlineStr">
        <is>
          <t>Đà Nẵng</t>
        </is>
      </c>
      <c r="E2356" s="3" t="inlineStr">
        <is>
          <t>THÙY TRANG</t>
        </is>
      </c>
      <c r="F2356" s="3" t="inlineStr">
        <is>
          <t>Shopee, Tiktok</t>
        </is>
      </c>
      <c r="G235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6" s="3" t="inlineStr">
        <is>
          <t>800-1000A</t>
        </is>
      </c>
      <c r="I2356" s="4" t="inlineStr">
        <is>
          <t>Kìm hàn  KCH-800  (800-1000A)</t>
        </is>
      </c>
      <c r="J2356" s="3" t="inlineStr">
        <is>
          <t>Cái</t>
        </is>
      </c>
      <c r="K2356" s="5" t="n">
        <v>269000</v>
      </c>
      <c r="L2356" s="5" t="n">
        <v>317000</v>
      </c>
      <c r="M2356" s="6" t="n">
        <v>390000</v>
      </c>
      <c r="N2356" s="5" t="n"/>
      <c r="O2356" s="5">
        <f>IF(AND(ISNUMBER(N2356),ISNUMBER(M2356)),N2356-M2356,"")</f>
        <v/>
      </c>
      <c r="P2356" s="7">
        <f>IF(AND(ISNUMBER(N2356),ISNUMBER(M2356),M2356&gt;0),(N2356-M2356)/M2356,"")</f>
        <v/>
      </c>
      <c r="Q2356" s="3">
        <f>IF(P2356="","",IF(P2356&lt;-0.02,"🔴 Bán phá giá sàn",IF(P2356&gt;0.05,"🔵 Bán cao hơn","🟢 Đúng giá sàn TMĐT")))</f>
        <v/>
      </c>
      <c r="R2356" s="3" t="n"/>
      <c r="S2356" s="4" t="n"/>
      <c r="T2356" s="4" t="n"/>
    </row>
    <row r="2357">
      <c r="A2357" s="3" t="n">
        <v>2356</v>
      </c>
      <c r="B2357" s="3" t="inlineStr">
        <is>
          <t>DL022</t>
        </is>
      </c>
      <c r="C2357" s="4" t="inlineStr">
        <is>
          <t>ĐL Đà Nẵng - Phú Vinh</t>
        </is>
      </c>
      <c r="D2357" s="3" t="inlineStr">
        <is>
          <t>Đà Nẵng</t>
        </is>
      </c>
      <c r="E2357" s="3" t="inlineStr">
        <is>
          <t>THÙY TRANG</t>
        </is>
      </c>
      <c r="F2357" s="3" t="inlineStr">
        <is>
          <t>Shopee, Tiktok</t>
        </is>
      </c>
      <c r="G235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7" s="3" t="inlineStr">
        <is>
          <t>KC4-250</t>
        </is>
      </c>
      <c r="I2357" s="4" t="inlineStr">
        <is>
          <t>Kìm mỏ quạ KC4-250</t>
        </is>
      </c>
      <c r="J2357" s="3" t="inlineStr">
        <is>
          <t>Cái</t>
        </is>
      </c>
      <c r="K2357" s="5" t="n">
        <v>152000</v>
      </c>
      <c r="L2357" s="5" t="n">
        <v>179000</v>
      </c>
      <c r="M2357" s="6" t="n">
        <v>220000</v>
      </c>
      <c r="N2357" s="5" t="n"/>
      <c r="O2357" s="5">
        <f>IF(AND(ISNUMBER(N2357),ISNUMBER(M2357)),N2357-M2357,"")</f>
        <v/>
      </c>
      <c r="P2357" s="7">
        <f>IF(AND(ISNUMBER(N2357),ISNUMBER(M2357),M2357&gt;0),(N2357-M2357)/M2357,"")</f>
        <v/>
      </c>
      <c r="Q2357" s="3">
        <f>IF(P2357="","",IF(P2357&lt;-0.02,"🔴 Bán phá giá sàn",IF(P2357&gt;0.05,"🔵 Bán cao hơn","🟢 Đúng giá sàn TMĐT")))</f>
        <v/>
      </c>
      <c r="R2357" s="3" t="n"/>
      <c r="S2357" s="4" t="n"/>
      <c r="T2357" s="4" t="n"/>
    </row>
    <row r="2358">
      <c r="A2358" s="3" t="n">
        <v>2357</v>
      </c>
      <c r="B2358" s="3" t="inlineStr">
        <is>
          <t>DL022</t>
        </is>
      </c>
      <c r="C2358" s="4" t="inlineStr">
        <is>
          <t>ĐL Đà Nẵng - Phú Vinh</t>
        </is>
      </c>
      <c r="D2358" s="3" t="inlineStr">
        <is>
          <t>Đà Nẵng</t>
        </is>
      </c>
      <c r="E2358" s="3" t="inlineStr">
        <is>
          <t>THÙY TRANG</t>
        </is>
      </c>
      <c r="F2358" s="3" t="inlineStr">
        <is>
          <t>Shopee, Tiktok</t>
        </is>
      </c>
      <c r="G235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8" s="3" t="inlineStr">
        <is>
          <t>KC4-300</t>
        </is>
      </c>
      <c r="I2358" s="4" t="inlineStr">
        <is>
          <t>Kìm mỏ quạ KC4-300</t>
        </is>
      </c>
      <c r="J2358" s="3" t="inlineStr">
        <is>
          <t>Cái</t>
        </is>
      </c>
      <c r="K2358" s="5" t="n">
        <v>193000</v>
      </c>
      <c r="L2358" s="5" t="n">
        <v>228000</v>
      </c>
      <c r="M2358" s="6" t="n">
        <v>280000</v>
      </c>
      <c r="N2358" s="5" t="n"/>
      <c r="O2358" s="5">
        <f>IF(AND(ISNUMBER(N2358),ISNUMBER(M2358)),N2358-M2358,"")</f>
        <v/>
      </c>
      <c r="P2358" s="7">
        <f>IF(AND(ISNUMBER(N2358),ISNUMBER(M2358),M2358&gt;0),(N2358-M2358)/M2358,"")</f>
        <v/>
      </c>
      <c r="Q2358" s="3">
        <f>IF(P2358="","",IF(P2358&lt;-0.02,"🔴 Bán phá giá sàn",IF(P2358&gt;0.05,"🔵 Bán cao hơn","🟢 Đúng giá sàn TMĐT")))</f>
        <v/>
      </c>
      <c r="R2358" s="3" t="n"/>
      <c r="S2358" s="4" t="n"/>
      <c r="T2358" s="4" t="n"/>
    </row>
    <row r="2359">
      <c r="A2359" s="3" t="n">
        <v>2358</v>
      </c>
      <c r="B2359" s="3" t="inlineStr">
        <is>
          <t>DL022</t>
        </is>
      </c>
      <c r="C2359" s="4" t="inlineStr">
        <is>
          <t>ĐL Đà Nẵng - Phú Vinh</t>
        </is>
      </c>
      <c r="D2359" s="3" t="inlineStr">
        <is>
          <t>Đà Nẵng</t>
        </is>
      </c>
      <c r="E2359" s="3" t="inlineStr">
        <is>
          <t>THÙY TRANG</t>
        </is>
      </c>
      <c r="F2359" s="3" t="inlineStr">
        <is>
          <t>Shopee, Tiktok</t>
        </is>
      </c>
      <c r="G235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59" s="3" t="inlineStr">
        <is>
          <t>KC2-150</t>
        </is>
      </c>
      <c r="I2359" s="4" t="inlineStr">
        <is>
          <t>Kìm nhọn KC2-150</t>
        </is>
      </c>
      <c r="J2359" s="3" t="inlineStr">
        <is>
          <t>Cái</t>
        </is>
      </c>
      <c r="K2359" s="5" t="n">
        <v>91000</v>
      </c>
      <c r="L2359" s="5" t="n">
        <v>107000</v>
      </c>
      <c r="M2359" s="6" t="n">
        <v>132000</v>
      </c>
      <c r="N2359" s="5" t="n"/>
      <c r="O2359" s="5">
        <f>IF(AND(ISNUMBER(N2359),ISNUMBER(M2359)),N2359-M2359,"")</f>
        <v/>
      </c>
      <c r="P2359" s="7">
        <f>IF(AND(ISNUMBER(N2359),ISNUMBER(M2359),M2359&gt;0),(N2359-M2359)/M2359,"")</f>
        <v/>
      </c>
      <c r="Q2359" s="3">
        <f>IF(P2359="","",IF(P2359&lt;-0.02,"🔴 Bán phá giá sàn",IF(P2359&gt;0.05,"🔵 Bán cao hơn","🟢 Đúng giá sàn TMĐT")))</f>
        <v/>
      </c>
      <c r="R2359" s="3" t="n"/>
      <c r="S2359" s="4" t="n"/>
      <c r="T2359" s="4" t="n"/>
    </row>
    <row r="2360">
      <c r="A2360" s="3" t="n">
        <v>2359</v>
      </c>
      <c r="B2360" s="3" t="inlineStr">
        <is>
          <t>DL022</t>
        </is>
      </c>
      <c r="C2360" s="4" t="inlineStr">
        <is>
          <t>ĐL Đà Nẵng - Phú Vinh</t>
        </is>
      </c>
      <c r="D2360" s="3" t="inlineStr">
        <is>
          <t>Đà Nẵng</t>
        </is>
      </c>
      <c r="E2360" s="3" t="inlineStr">
        <is>
          <t>THÙY TRANG</t>
        </is>
      </c>
      <c r="F2360" s="3" t="inlineStr">
        <is>
          <t>Shopee, Tiktok</t>
        </is>
      </c>
      <c r="G236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0" s="3" t="inlineStr">
        <is>
          <t>KJ-103</t>
        </is>
      </c>
      <c r="I2360" s="4" t="inlineStr">
        <is>
          <t>Kìm rút đinh KJ-103</t>
        </is>
      </c>
      <c r="J2360" s="3" t="inlineStr">
        <is>
          <t>Cái</t>
        </is>
      </c>
      <c r="K2360" s="5" t="n">
        <v>94000</v>
      </c>
      <c r="L2360" s="5" t="n">
        <v>111000</v>
      </c>
      <c r="M2360" s="6" t="n">
        <v>136000</v>
      </c>
      <c r="N2360" s="5" t="n"/>
      <c r="O2360" s="5">
        <f>IF(AND(ISNUMBER(N2360),ISNUMBER(M2360)),N2360-M2360,"")</f>
        <v/>
      </c>
      <c r="P2360" s="7">
        <f>IF(AND(ISNUMBER(N2360),ISNUMBER(M2360),M2360&gt;0),(N2360-M2360)/M2360,"")</f>
        <v/>
      </c>
      <c r="Q2360" s="3">
        <f>IF(P2360="","",IF(P2360&lt;-0.02,"🔴 Bán phá giá sàn",IF(P2360&gt;0.05,"🔵 Bán cao hơn","🟢 Đúng giá sàn TMĐT")))</f>
        <v/>
      </c>
      <c r="R2360" s="3" t="n"/>
      <c r="S2360" s="4" t="n"/>
      <c r="T2360" s="4" t="n"/>
    </row>
    <row r="2361">
      <c r="A2361" s="3" t="n">
        <v>2360</v>
      </c>
      <c r="B2361" s="3" t="inlineStr">
        <is>
          <t>DL022</t>
        </is>
      </c>
      <c r="C2361" s="4" t="inlineStr">
        <is>
          <t>ĐL Đà Nẵng - Phú Vinh</t>
        </is>
      </c>
      <c r="D2361" s="3" t="inlineStr">
        <is>
          <t>Đà Nẵng</t>
        </is>
      </c>
      <c r="E2361" s="3" t="inlineStr">
        <is>
          <t>THÙY TRANG</t>
        </is>
      </c>
      <c r="F2361" s="3" t="inlineStr">
        <is>
          <t>Shopee, Tiktok</t>
        </is>
      </c>
      <c r="G236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1" s="3" t="inlineStr">
        <is>
          <t>KJ-105</t>
        </is>
      </c>
      <c r="I2361" s="4" t="inlineStr">
        <is>
          <t>Kìm rút đinh rút KJ-105</t>
        </is>
      </c>
      <c r="J2361" s="3" t="inlineStr">
        <is>
          <t>Cái</t>
        </is>
      </c>
      <c r="K2361" s="5" t="n">
        <v>154000</v>
      </c>
      <c r="L2361" s="5" t="n">
        <v>182000</v>
      </c>
      <c r="M2361" s="6" t="n">
        <v>223000</v>
      </c>
      <c r="N2361" s="5" t="n"/>
      <c r="O2361" s="5">
        <f>IF(AND(ISNUMBER(N2361),ISNUMBER(M2361)),N2361-M2361,"")</f>
        <v/>
      </c>
      <c r="P2361" s="7">
        <f>IF(AND(ISNUMBER(N2361),ISNUMBER(M2361),M2361&gt;0),(N2361-M2361)/M2361,"")</f>
        <v/>
      </c>
      <c r="Q2361" s="3">
        <f>IF(P2361="","",IF(P2361&lt;-0.02,"🔴 Bán phá giá sàn",IF(P2361&gt;0.05,"🔵 Bán cao hơn","🟢 Đúng giá sàn TMĐT")))</f>
        <v/>
      </c>
      <c r="R2361" s="3" t="n"/>
      <c r="S2361" s="4" t="n"/>
      <c r="T2361" s="4" t="n"/>
    </row>
    <row r="2362">
      <c r="A2362" s="3" t="n">
        <v>2361</v>
      </c>
      <c r="B2362" s="3" t="inlineStr">
        <is>
          <t>DL022</t>
        </is>
      </c>
      <c r="C2362" s="4" t="inlineStr">
        <is>
          <t>ĐL Đà Nẵng - Phú Vinh</t>
        </is>
      </c>
      <c r="D2362" s="3" t="inlineStr">
        <is>
          <t>Đà Nẵng</t>
        </is>
      </c>
      <c r="E2362" s="3" t="inlineStr">
        <is>
          <t>THÙY TRANG</t>
        </is>
      </c>
      <c r="F2362" s="3" t="inlineStr">
        <is>
          <t>Shopee, Tiktok</t>
        </is>
      </c>
      <c r="G236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2" s="3" t="inlineStr"/>
      <c r="I2362" s="4" t="inlineStr">
        <is>
          <t>Kìm thẳng phe ngoài KCB 180</t>
        </is>
      </c>
      <c r="J2362" s="3" t="inlineStr">
        <is>
          <t>Cái</t>
        </is>
      </c>
      <c r="K2362" s="5" t="n">
        <v>269000</v>
      </c>
      <c r="L2362" s="5" t="n">
        <v>317000</v>
      </c>
      <c r="M2362" s="6" t="n">
        <v>390000</v>
      </c>
      <c r="N2362" s="5" t="n"/>
      <c r="O2362" s="5">
        <f>IF(AND(ISNUMBER(N2362),ISNUMBER(M2362)),N2362-M2362,"")</f>
        <v/>
      </c>
      <c r="P2362" s="7">
        <f>IF(AND(ISNUMBER(N2362),ISNUMBER(M2362),M2362&gt;0),(N2362-M2362)/M2362,"")</f>
        <v/>
      </c>
      <c r="Q2362" s="3">
        <f>IF(P2362="","",IF(P2362&lt;-0.02,"🔴 Bán phá giá sàn",IF(P2362&gt;0.05,"🔵 Bán cao hơn","🟢 Đúng giá sàn TMĐT")))</f>
        <v/>
      </c>
      <c r="R2362" s="3" t="n"/>
      <c r="S2362" s="4" t="n"/>
      <c r="T2362" s="4" t="n"/>
    </row>
    <row r="2363">
      <c r="A2363" s="3" t="n">
        <v>2362</v>
      </c>
      <c r="B2363" s="3" t="inlineStr">
        <is>
          <t>DL022</t>
        </is>
      </c>
      <c r="C2363" s="4" t="inlineStr">
        <is>
          <t>ĐL Đà Nẵng - Phú Vinh</t>
        </is>
      </c>
      <c r="D2363" s="3" t="inlineStr">
        <is>
          <t>Đà Nẵng</t>
        </is>
      </c>
      <c r="E2363" s="3" t="inlineStr">
        <is>
          <t>THÙY TRANG</t>
        </is>
      </c>
      <c r="F2363" s="3" t="inlineStr">
        <is>
          <t>Shopee, Tiktok</t>
        </is>
      </c>
      <c r="G236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3" s="3" t="inlineStr">
        <is>
          <t>KND180</t>
        </is>
      </c>
      <c r="I2363" s="4" t="inlineStr">
        <is>
          <t>Kìm tuốt dây điện đa năng KND180</t>
        </is>
      </c>
      <c r="J2363" s="3" t="inlineStr">
        <is>
          <t>Cái</t>
        </is>
      </c>
      <c r="K2363" s="5" t="n">
        <v>127000</v>
      </c>
      <c r="L2363" s="5" t="n">
        <v>150000</v>
      </c>
      <c r="M2363" s="6" t="n">
        <v>184000</v>
      </c>
      <c r="N2363" s="5" t="n"/>
      <c r="O2363" s="5">
        <f>IF(AND(ISNUMBER(N2363),ISNUMBER(M2363)),N2363-M2363,"")</f>
        <v/>
      </c>
      <c r="P2363" s="7">
        <f>IF(AND(ISNUMBER(N2363),ISNUMBER(M2363),M2363&gt;0),(N2363-M2363)/M2363,"")</f>
        <v/>
      </c>
      <c r="Q2363" s="3">
        <f>IF(P2363="","",IF(P2363&lt;-0.02,"🔴 Bán phá giá sàn",IF(P2363&gt;0.05,"🔵 Bán cao hơn","🟢 Đúng giá sàn TMĐT")))</f>
        <v/>
      </c>
      <c r="R2363" s="3" t="n"/>
      <c r="S2363" s="4" t="n"/>
      <c r="T2363" s="4" t="n"/>
    </row>
    <row r="2364">
      <c r="A2364" s="3" t="n">
        <v>2363</v>
      </c>
      <c r="B2364" s="3" t="inlineStr">
        <is>
          <t>DL022</t>
        </is>
      </c>
      <c r="C2364" s="4" t="inlineStr">
        <is>
          <t>ĐL Đà Nẵng - Phú Vinh</t>
        </is>
      </c>
      <c r="D2364" s="3" t="inlineStr">
        <is>
          <t>Đà Nẵng</t>
        </is>
      </c>
      <c r="E2364" s="3" t="inlineStr">
        <is>
          <t>THÙY TRANG</t>
        </is>
      </c>
      <c r="F2364" s="3" t="inlineStr">
        <is>
          <t>Shopee, Tiktok</t>
        </is>
      </c>
      <c r="G236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4" s="3" t="inlineStr">
        <is>
          <t>KND205</t>
        </is>
      </c>
      <c r="I2364" s="4" t="inlineStr">
        <is>
          <t>Kìm tuốt dây điện đa năng KND205</t>
        </is>
      </c>
      <c r="J2364" s="3" t="inlineStr">
        <is>
          <t>Cái</t>
        </is>
      </c>
      <c r="K2364" s="5" t="n">
        <v>160000</v>
      </c>
      <c r="L2364" s="5" t="n">
        <v>189000</v>
      </c>
      <c r="M2364" s="6" t="n">
        <v>232000</v>
      </c>
      <c r="N2364" s="5" t="n"/>
      <c r="O2364" s="5">
        <f>IF(AND(ISNUMBER(N2364),ISNUMBER(M2364)),N2364-M2364,"")</f>
        <v/>
      </c>
      <c r="P2364" s="7">
        <f>IF(AND(ISNUMBER(N2364),ISNUMBER(M2364),M2364&gt;0),(N2364-M2364)/M2364,"")</f>
        <v/>
      </c>
      <c r="Q2364" s="3">
        <f>IF(P2364="","",IF(P2364&lt;-0.02,"🔴 Bán phá giá sàn",IF(P2364&gt;0.05,"🔵 Bán cao hơn","🟢 Đúng giá sàn TMĐT")))</f>
        <v/>
      </c>
      <c r="R2364" s="3" t="n"/>
      <c r="S2364" s="4" t="n"/>
      <c r="T2364" s="4" t="n"/>
    </row>
    <row r="2365">
      <c r="A2365" s="3" t="n">
        <v>2364</v>
      </c>
      <c r="B2365" s="3" t="inlineStr">
        <is>
          <t>DL022</t>
        </is>
      </c>
      <c r="C2365" s="4" t="inlineStr">
        <is>
          <t>ĐL Đà Nẵng - Phú Vinh</t>
        </is>
      </c>
      <c r="D2365" s="3" t="inlineStr">
        <is>
          <t>Đà Nẵng</t>
        </is>
      </c>
      <c r="E2365" s="3" t="inlineStr">
        <is>
          <t>THÙY TRANG</t>
        </is>
      </c>
      <c r="F2365" s="3" t="inlineStr">
        <is>
          <t>Shopee, Tiktok</t>
        </is>
      </c>
      <c r="G236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5" s="3" t="inlineStr">
        <is>
          <t>C1-125</t>
        </is>
      </c>
      <c r="I2365" s="4" t="inlineStr">
        <is>
          <t>Lưỡi cắt BlueBird C1-125 x1.8L</t>
        </is>
      </c>
      <c r="J2365" s="3" t="inlineStr">
        <is>
          <t>Cái</t>
        </is>
      </c>
      <c r="K2365" s="5" t="n">
        <v>269000</v>
      </c>
      <c r="L2365" s="5" t="n">
        <v>317000</v>
      </c>
      <c r="M2365" s="6" t="n">
        <v>390000</v>
      </c>
      <c r="N2365" s="5" t="n"/>
      <c r="O2365" s="5">
        <f>IF(AND(ISNUMBER(N2365),ISNUMBER(M2365)),N2365-M2365,"")</f>
        <v/>
      </c>
      <c r="P2365" s="7">
        <f>IF(AND(ISNUMBER(N2365),ISNUMBER(M2365),M2365&gt;0),(N2365-M2365)/M2365,"")</f>
        <v/>
      </c>
      <c r="Q2365" s="3">
        <f>IF(P2365="","",IF(P2365&lt;-0.02,"🔴 Bán phá giá sàn",IF(P2365&gt;0.05,"🔵 Bán cao hơn","🟢 Đúng giá sàn TMĐT")))</f>
        <v/>
      </c>
      <c r="R2365" s="3" t="n"/>
      <c r="S2365" s="4" t="n"/>
      <c r="T2365" s="4" t="n"/>
    </row>
    <row r="2366">
      <c r="A2366" s="3" t="n">
        <v>2365</v>
      </c>
      <c r="B2366" s="3" t="inlineStr">
        <is>
          <t>DL022</t>
        </is>
      </c>
      <c r="C2366" s="4" t="inlineStr">
        <is>
          <t>ĐL Đà Nẵng - Phú Vinh</t>
        </is>
      </c>
      <c r="D2366" s="3" t="inlineStr">
        <is>
          <t>Đà Nẵng</t>
        </is>
      </c>
      <c r="E2366" s="3" t="inlineStr">
        <is>
          <t>THÙY TRANG</t>
        </is>
      </c>
      <c r="F2366" s="3" t="inlineStr">
        <is>
          <t>Shopee, Tiktok</t>
        </is>
      </c>
      <c r="G236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6" s="3" t="inlineStr">
        <is>
          <t>VJ01</t>
        </is>
      </c>
      <c r="I2366" s="4" t="inlineStr">
        <is>
          <t>Lưỡi cắt gạch bàn VJ01</t>
        </is>
      </c>
      <c r="J2366" s="3" t="inlineStr">
        <is>
          <t>Cái</t>
        </is>
      </c>
      <c r="K2366" s="5" t="n">
        <v>80000</v>
      </c>
      <c r="L2366" s="5" t="n">
        <v>94000</v>
      </c>
      <c r="M2366" s="6" t="n">
        <v>116000</v>
      </c>
      <c r="N2366" s="5" t="n"/>
      <c r="O2366" s="5">
        <f>IF(AND(ISNUMBER(N2366),ISNUMBER(M2366)),N2366-M2366,"")</f>
        <v/>
      </c>
      <c r="P2366" s="7">
        <f>IF(AND(ISNUMBER(N2366),ISNUMBER(M2366),M2366&gt;0),(N2366-M2366)/M2366,"")</f>
        <v/>
      </c>
      <c r="Q2366" s="3">
        <f>IF(P2366="","",IF(P2366&lt;-0.02,"🔴 Bán phá giá sàn",IF(P2366&gt;0.05,"🔵 Bán cao hơn","🟢 Đúng giá sàn TMĐT")))</f>
        <v/>
      </c>
      <c r="R2366" s="3" t="n"/>
      <c r="S2366" s="4" t="n"/>
      <c r="T2366" s="4" t="n"/>
    </row>
    <row r="2367">
      <c r="A2367" s="3" t="n">
        <v>2366</v>
      </c>
      <c r="B2367" s="3" t="inlineStr">
        <is>
          <t>DL022</t>
        </is>
      </c>
      <c r="C2367" s="4" t="inlineStr">
        <is>
          <t>ĐL Đà Nẵng - Phú Vinh</t>
        </is>
      </c>
      <c r="D2367" s="3" t="inlineStr">
        <is>
          <t>Đà Nẵng</t>
        </is>
      </c>
      <c r="E2367" s="3" t="inlineStr">
        <is>
          <t>THÙY TRANG</t>
        </is>
      </c>
      <c r="F2367" s="3" t="inlineStr">
        <is>
          <t>Shopee, Tiktok</t>
        </is>
      </c>
      <c r="G236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7" s="3" t="inlineStr">
        <is>
          <t>VJ02</t>
        </is>
      </c>
      <c r="I2367" s="4" t="inlineStr">
        <is>
          <t>Lưỡi cắt gạch bàn VJ02</t>
        </is>
      </c>
      <c r="J2367" s="3" t="inlineStr">
        <is>
          <t>Cái</t>
        </is>
      </c>
      <c r="K2367" s="5" t="n">
        <v>101000</v>
      </c>
      <c r="L2367" s="5" t="n">
        <v>119000</v>
      </c>
      <c r="M2367" s="6" t="n">
        <v>147000</v>
      </c>
      <c r="N2367" s="5" t="n"/>
      <c r="O2367" s="5">
        <f>IF(AND(ISNUMBER(N2367),ISNUMBER(M2367)),N2367-M2367,"")</f>
        <v/>
      </c>
      <c r="P2367" s="7">
        <f>IF(AND(ISNUMBER(N2367),ISNUMBER(M2367),M2367&gt;0),(N2367-M2367)/M2367,"")</f>
        <v/>
      </c>
      <c r="Q2367" s="3">
        <f>IF(P2367="","",IF(P2367&lt;-0.02,"🔴 Bán phá giá sàn",IF(P2367&gt;0.05,"🔵 Bán cao hơn","🟢 Đúng giá sàn TMĐT")))</f>
        <v/>
      </c>
      <c r="R2367" s="3" t="n"/>
      <c r="S2367" s="4" t="n"/>
      <c r="T2367" s="4" t="n"/>
    </row>
    <row r="2368">
      <c r="A2368" s="3" t="n">
        <v>2367</v>
      </c>
      <c r="B2368" s="3" t="inlineStr">
        <is>
          <t>DL022</t>
        </is>
      </c>
      <c r="C2368" s="4" t="inlineStr">
        <is>
          <t>ĐL Đà Nẵng - Phú Vinh</t>
        </is>
      </c>
      <c r="D2368" s="3" t="inlineStr">
        <is>
          <t>Đà Nẵng</t>
        </is>
      </c>
      <c r="E2368" s="3" t="inlineStr">
        <is>
          <t>THÙY TRANG</t>
        </is>
      </c>
      <c r="F2368" s="3" t="inlineStr">
        <is>
          <t>Shopee, Tiktok</t>
        </is>
      </c>
      <c r="G236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8" s="3" t="inlineStr">
        <is>
          <t>E2-110X20</t>
        </is>
      </c>
      <c r="I2368" s="4" t="inlineStr">
        <is>
          <t>Lưỡi cắt KingBlue E2-110X20</t>
        </is>
      </c>
      <c r="J2368" s="3" t="inlineStr">
        <is>
          <t>Cái</t>
        </is>
      </c>
      <c r="K2368" s="5" t="n">
        <v>48000</v>
      </c>
      <c r="L2368" s="5" t="n">
        <v>57000</v>
      </c>
      <c r="M2368" s="6" t="n">
        <v>70000</v>
      </c>
      <c r="N2368" s="5" t="n"/>
      <c r="O2368" s="5">
        <f>IF(AND(ISNUMBER(N2368),ISNUMBER(M2368)),N2368-M2368,"")</f>
        <v/>
      </c>
      <c r="P2368" s="7">
        <f>IF(AND(ISNUMBER(N2368),ISNUMBER(M2368),M2368&gt;0),(N2368-M2368)/M2368,"")</f>
        <v/>
      </c>
      <c r="Q2368" s="3">
        <f>IF(P2368="","",IF(P2368&lt;-0.02,"🔴 Bán phá giá sàn",IF(P2368&gt;0.05,"🔵 Bán cao hơn","🟢 Đúng giá sàn TMĐT")))</f>
        <v/>
      </c>
      <c r="R2368" s="3" t="n"/>
      <c r="S2368" s="4" t="n"/>
      <c r="T2368" s="4" t="n"/>
    </row>
    <row r="2369">
      <c r="A2369" s="3" t="n">
        <v>2368</v>
      </c>
      <c r="B2369" s="3" t="inlineStr">
        <is>
          <t>DL022</t>
        </is>
      </c>
      <c r="C2369" s="4" t="inlineStr">
        <is>
          <t>ĐL Đà Nẵng - Phú Vinh</t>
        </is>
      </c>
      <c r="D2369" s="3" t="inlineStr">
        <is>
          <t>Đà Nẵng</t>
        </is>
      </c>
      <c r="E2369" s="3" t="inlineStr">
        <is>
          <t>THÙY TRANG</t>
        </is>
      </c>
      <c r="F2369" s="3" t="inlineStr">
        <is>
          <t>Shopee, Tiktok</t>
        </is>
      </c>
      <c r="G236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69" s="3" t="inlineStr">
        <is>
          <t>E3-105DN</t>
        </is>
      </c>
      <c r="I2369" s="4" t="inlineStr">
        <is>
          <t>Lưỡi cắt KingBlue E3-105DN</t>
        </is>
      </c>
      <c r="J2369" s="3" t="inlineStr">
        <is>
          <t>Cái</t>
        </is>
      </c>
      <c r="K2369" s="5" t="n">
        <v>70000</v>
      </c>
      <c r="L2369" s="5" t="n">
        <v>83000</v>
      </c>
      <c r="M2369" s="6" t="n">
        <v>102000</v>
      </c>
      <c r="N2369" s="5" t="n"/>
      <c r="O2369" s="5">
        <f>IF(AND(ISNUMBER(N2369),ISNUMBER(M2369)),N2369-M2369,"")</f>
        <v/>
      </c>
      <c r="P2369" s="7">
        <f>IF(AND(ISNUMBER(N2369),ISNUMBER(M2369),M2369&gt;0),(N2369-M2369)/M2369,"")</f>
        <v/>
      </c>
      <c r="Q2369" s="3">
        <f>IF(P2369="","",IF(P2369&lt;-0.02,"🔴 Bán phá giá sàn",IF(P2369&gt;0.05,"🔵 Bán cao hơn","🟢 Đúng giá sàn TMĐT")))</f>
        <v/>
      </c>
      <c r="R2369" s="3" t="n"/>
      <c r="S2369" s="4" t="n"/>
      <c r="T2369" s="4" t="n"/>
    </row>
    <row r="2370">
      <c r="A2370" s="3" t="n">
        <v>2369</v>
      </c>
      <c r="B2370" s="3" t="inlineStr">
        <is>
          <t>DL022</t>
        </is>
      </c>
      <c r="C2370" s="4" t="inlineStr">
        <is>
          <t>ĐL Đà Nẵng - Phú Vinh</t>
        </is>
      </c>
      <c r="D2370" s="3" t="inlineStr">
        <is>
          <t>Đà Nẵng</t>
        </is>
      </c>
      <c r="E2370" s="3" t="inlineStr">
        <is>
          <t>THÙY TRANG</t>
        </is>
      </c>
      <c r="F2370" s="3" t="inlineStr">
        <is>
          <t>Shopee, Tiktok</t>
        </is>
      </c>
      <c r="G237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0" s="3" t="inlineStr">
        <is>
          <t>E3-125DN</t>
        </is>
      </c>
      <c r="I2370" s="4" t="inlineStr">
        <is>
          <t>Lưỡi cắt KingBlue E3-125DN</t>
        </is>
      </c>
      <c r="J2370" s="3" t="inlineStr">
        <is>
          <t>Cái</t>
        </is>
      </c>
      <c r="K2370" s="5" t="n">
        <v>88000</v>
      </c>
      <c r="L2370" s="5" t="n">
        <v>104000</v>
      </c>
      <c r="M2370" s="6" t="n">
        <v>128000</v>
      </c>
      <c r="N2370" s="5" t="n"/>
      <c r="O2370" s="5">
        <f>IF(AND(ISNUMBER(N2370),ISNUMBER(M2370)),N2370-M2370,"")</f>
        <v/>
      </c>
      <c r="P2370" s="7">
        <f>IF(AND(ISNUMBER(N2370),ISNUMBER(M2370),M2370&gt;0),(N2370-M2370)/M2370,"")</f>
        <v/>
      </c>
      <c r="Q2370" s="3">
        <f>IF(P2370="","",IF(P2370&lt;-0.02,"🔴 Bán phá giá sàn",IF(P2370&gt;0.05,"🔵 Bán cao hơn","🟢 Đúng giá sàn TMĐT")))</f>
        <v/>
      </c>
      <c r="R2370" s="3" t="n"/>
      <c r="S2370" s="4" t="n"/>
      <c r="T2370" s="4" t="n"/>
    </row>
    <row r="2371">
      <c r="A2371" s="3" t="n">
        <v>2370</v>
      </c>
      <c r="B2371" s="3" t="inlineStr">
        <is>
          <t>DL022</t>
        </is>
      </c>
      <c r="C2371" s="4" t="inlineStr">
        <is>
          <t>ĐL Đà Nẵng - Phú Vinh</t>
        </is>
      </c>
      <c r="D2371" s="3" t="inlineStr">
        <is>
          <t>Đà Nẵng</t>
        </is>
      </c>
      <c r="E2371" s="3" t="inlineStr">
        <is>
          <t>THÙY TRANG</t>
        </is>
      </c>
      <c r="F2371" s="3" t="inlineStr">
        <is>
          <t>Shopee, Tiktok</t>
        </is>
      </c>
      <c r="G237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1" s="3" t="inlineStr">
        <is>
          <t>F1</t>
        </is>
      </c>
      <c r="I2371" s="4" t="inlineStr">
        <is>
          <t>Lưỡi cắt Kingblue F1 110DN (vàng)</t>
        </is>
      </c>
      <c r="J2371" s="3" t="inlineStr">
        <is>
          <t>Cái</t>
        </is>
      </c>
      <c r="K2371" s="5" t="n">
        <v>92000</v>
      </c>
      <c r="L2371" s="5" t="n">
        <v>108000</v>
      </c>
      <c r="M2371" s="6" t="n">
        <v>133000</v>
      </c>
      <c r="N2371" s="5" t="n"/>
      <c r="O2371" s="5">
        <f>IF(AND(ISNUMBER(N2371),ISNUMBER(M2371)),N2371-M2371,"")</f>
        <v/>
      </c>
      <c r="P2371" s="7">
        <f>IF(AND(ISNUMBER(N2371),ISNUMBER(M2371),M2371&gt;0),(N2371-M2371)/M2371,"")</f>
        <v/>
      </c>
      <c r="Q2371" s="3">
        <f>IF(P2371="","",IF(P2371&lt;-0.02,"🔴 Bán phá giá sàn",IF(P2371&gt;0.05,"🔵 Bán cao hơn","🟢 Đúng giá sàn TMĐT")))</f>
        <v/>
      </c>
      <c r="R2371" s="3" t="n"/>
      <c r="S2371" s="4" t="n"/>
      <c r="T2371" s="4" t="n"/>
    </row>
    <row r="2372">
      <c r="A2372" s="3" t="n">
        <v>2371</v>
      </c>
      <c r="B2372" s="3" t="inlineStr">
        <is>
          <t>DL022</t>
        </is>
      </c>
      <c r="C2372" s="4" t="inlineStr">
        <is>
          <t>ĐL Đà Nẵng - Phú Vinh</t>
        </is>
      </c>
      <c r="D2372" s="3" t="inlineStr">
        <is>
          <t>Đà Nẵng</t>
        </is>
      </c>
      <c r="E2372" s="3" t="inlineStr">
        <is>
          <t>THÙY TRANG</t>
        </is>
      </c>
      <c r="F2372" s="3" t="inlineStr">
        <is>
          <t>Shopee, Tiktok</t>
        </is>
      </c>
      <c r="G237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2" s="3" t="inlineStr">
        <is>
          <t>F1-125DN</t>
        </is>
      </c>
      <c r="I2372" s="4" t="inlineStr">
        <is>
          <t>Lưỡi cắt KingBlue F1-125DN (Vàng)</t>
        </is>
      </c>
      <c r="J2372" s="3" t="inlineStr">
        <is>
          <t>Cái</t>
        </is>
      </c>
      <c r="K2372" s="5" t="n">
        <v>107000</v>
      </c>
      <c r="L2372" s="5" t="n">
        <v>126000</v>
      </c>
      <c r="M2372" s="6" t="n">
        <v>155000</v>
      </c>
      <c r="N2372" s="5" t="n"/>
      <c r="O2372" s="5">
        <f>IF(AND(ISNUMBER(N2372),ISNUMBER(M2372)),N2372-M2372,"")</f>
        <v/>
      </c>
      <c r="P2372" s="7">
        <f>IF(AND(ISNUMBER(N2372),ISNUMBER(M2372),M2372&gt;0),(N2372-M2372)/M2372,"")</f>
        <v/>
      </c>
      <c r="Q2372" s="3">
        <f>IF(P2372="","",IF(P2372&lt;-0.02,"🔴 Bán phá giá sàn",IF(P2372&gt;0.05,"🔵 Bán cao hơn","🟢 Đúng giá sàn TMĐT")))</f>
        <v/>
      </c>
      <c r="R2372" s="3" t="n"/>
      <c r="S2372" s="4" t="n"/>
      <c r="T2372" s="4" t="n"/>
    </row>
    <row r="2373">
      <c r="A2373" s="3" t="n">
        <v>2372</v>
      </c>
      <c r="B2373" s="3" t="inlineStr">
        <is>
          <t>DL022</t>
        </is>
      </c>
      <c r="C2373" s="4" t="inlineStr">
        <is>
          <t>ĐL Đà Nẵng - Phú Vinh</t>
        </is>
      </c>
      <c r="D2373" s="3" t="inlineStr">
        <is>
          <t>Đà Nẵng</t>
        </is>
      </c>
      <c r="E2373" s="3" t="inlineStr">
        <is>
          <t>THÙY TRANG</t>
        </is>
      </c>
      <c r="F2373" s="3" t="inlineStr">
        <is>
          <t>Shopee, Tiktok</t>
        </is>
      </c>
      <c r="G237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3" s="3" t="inlineStr">
        <is>
          <t>F1</t>
        </is>
      </c>
      <c r="I2373" s="4" t="inlineStr">
        <is>
          <t>Lưỡi cắt Kingblue F1 150DN (vàng)</t>
        </is>
      </c>
      <c r="J2373" s="3" t="inlineStr">
        <is>
          <t>Cái</t>
        </is>
      </c>
      <c r="K2373" s="5" t="n">
        <v>92000</v>
      </c>
      <c r="L2373" s="5" t="n">
        <v>108000</v>
      </c>
      <c r="M2373" s="6" t="n">
        <v>133000</v>
      </c>
      <c r="N2373" s="5" t="n"/>
      <c r="O2373" s="5">
        <f>IF(AND(ISNUMBER(N2373),ISNUMBER(M2373)),N2373-M2373,"")</f>
        <v/>
      </c>
      <c r="P2373" s="7">
        <f>IF(AND(ISNUMBER(N2373),ISNUMBER(M2373),M2373&gt;0),(N2373-M2373)/M2373,"")</f>
        <v/>
      </c>
      <c r="Q2373" s="3">
        <f>IF(P2373="","",IF(P2373&lt;-0.02,"🔴 Bán phá giá sàn",IF(P2373&gt;0.05,"🔵 Bán cao hơn","🟢 Đúng giá sàn TMĐT")))</f>
        <v/>
      </c>
      <c r="R2373" s="3" t="n"/>
      <c r="S2373" s="4" t="n"/>
      <c r="T2373" s="4" t="n"/>
    </row>
    <row r="2374">
      <c r="A2374" s="3" t="n">
        <v>2373</v>
      </c>
      <c r="B2374" s="3" t="inlineStr">
        <is>
          <t>DL022</t>
        </is>
      </c>
      <c r="C2374" s="4" t="inlineStr">
        <is>
          <t>ĐL Đà Nẵng - Phú Vinh</t>
        </is>
      </c>
      <c r="D2374" s="3" t="inlineStr">
        <is>
          <t>Đà Nẵng</t>
        </is>
      </c>
      <c r="E2374" s="3" t="inlineStr">
        <is>
          <t>THÙY TRANG</t>
        </is>
      </c>
      <c r="F2374" s="3" t="inlineStr">
        <is>
          <t>Shopee, Tiktok</t>
        </is>
      </c>
      <c r="G237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4" s="3" t="inlineStr">
        <is>
          <t>G1-125R</t>
        </is>
      </c>
      <c r="I2374" s="4" t="inlineStr">
        <is>
          <t>Lưỡi cắt Kingblue G1-125R</t>
        </is>
      </c>
      <c r="J2374" s="3" t="inlineStr">
        <is>
          <t>Cái</t>
        </is>
      </c>
      <c r="K2374" s="5" t="n">
        <v>83000</v>
      </c>
      <c r="L2374" s="5" t="n">
        <v>98000</v>
      </c>
      <c r="M2374" s="6" t="n">
        <v>120000</v>
      </c>
      <c r="N2374" s="5" t="n"/>
      <c r="O2374" s="5">
        <f>IF(AND(ISNUMBER(N2374),ISNUMBER(M2374)),N2374-M2374,"")</f>
        <v/>
      </c>
      <c r="P2374" s="7">
        <f>IF(AND(ISNUMBER(N2374),ISNUMBER(M2374),M2374&gt;0),(N2374-M2374)/M2374,"")</f>
        <v/>
      </c>
      <c r="Q2374" s="3">
        <f>IF(P2374="","",IF(P2374&lt;-0.02,"🔴 Bán phá giá sàn",IF(P2374&gt;0.05,"🔵 Bán cao hơn","🟢 Đúng giá sàn TMĐT")))</f>
        <v/>
      </c>
      <c r="R2374" s="3" t="n"/>
      <c r="S2374" s="4" t="n"/>
      <c r="T2374" s="4" t="n"/>
    </row>
    <row r="2375">
      <c r="A2375" s="3" t="n">
        <v>2374</v>
      </c>
      <c r="B2375" s="3" t="inlineStr">
        <is>
          <t>DL022</t>
        </is>
      </c>
      <c r="C2375" s="4" t="inlineStr">
        <is>
          <t>ĐL Đà Nẵng - Phú Vinh</t>
        </is>
      </c>
      <c r="D2375" s="3" t="inlineStr">
        <is>
          <t>Đà Nẵng</t>
        </is>
      </c>
      <c r="E2375" s="3" t="inlineStr">
        <is>
          <t>THÙY TRANG</t>
        </is>
      </c>
      <c r="F2375" s="3" t="inlineStr">
        <is>
          <t>Shopee, Tiktok</t>
        </is>
      </c>
      <c r="G237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5" s="3" t="inlineStr">
        <is>
          <t>G1-133R</t>
        </is>
      </c>
      <c r="I2375" s="4" t="inlineStr">
        <is>
          <t>Lưỡi cắt Kingblue G1-133R</t>
        </is>
      </c>
      <c r="J2375" s="3" t="inlineStr">
        <is>
          <t>Cái</t>
        </is>
      </c>
      <c r="K2375" s="5" t="n">
        <v>92000</v>
      </c>
      <c r="L2375" s="5" t="n">
        <v>108000</v>
      </c>
      <c r="M2375" s="6" t="n">
        <v>133000</v>
      </c>
      <c r="N2375" s="5" t="n"/>
      <c r="O2375" s="5">
        <f>IF(AND(ISNUMBER(N2375),ISNUMBER(M2375)),N2375-M2375,"")</f>
        <v/>
      </c>
      <c r="P2375" s="7">
        <f>IF(AND(ISNUMBER(N2375),ISNUMBER(M2375),M2375&gt;0),(N2375-M2375)/M2375,"")</f>
        <v/>
      </c>
      <c r="Q2375" s="3">
        <f>IF(P2375="","",IF(P2375&lt;-0.02,"🔴 Bán phá giá sàn",IF(P2375&gt;0.05,"🔵 Bán cao hơn","🟢 Đúng giá sàn TMĐT")))</f>
        <v/>
      </c>
      <c r="R2375" s="3" t="n"/>
      <c r="S2375" s="4" t="n"/>
      <c r="T2375" s="4" t="n"/>
    </row>
    <row r="2376">
      <c r="A2376" s="3" t="n">
        <v>2375</v>
      </c>
      <c r="B2376" s="3" t="inlineStr">
        <is>
          <t>DL022</t>
        </is>
      </c>
      <c r="C2376" s="4" t="inlineStr">
        <is>
          <t>ĐL Đà Nẵng - Phú Vinh</t>
        </is>
      </c>
      <c r="D2376" s="3" t="inlineStr">
        <is>
          <t>Đà Nẵng</t>
        </is>
      </c>
      <c r="E2376" s="3" t="inlineStr">
        <is>
          <t>THÙY TRANG</t>
        </is>
      </c>
      <c r="F2376" s="3" t="inlineStr">
        <is>
          <t>Shopee, Tiktok</t>
        </is>
      </c>
      <c r="G237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6" s="3" t="inlineStr">
        <is>
          <t>G1-156R</t>
        </is>
      </c>
      <c r="I2376" s="4" t="inlineStr">
        <is>
          <t>Lưỡi cắt KingBlue G1-156R</t>
        </is>
      </c>
      <c r="J2376" s="3" t="inlineStr">
        <is>
          <t>Cái</t>
        </is>
      </c>
      <c r="K2376" s="5" t="n">
        <v>125000</v>
      </c>
      <c r="L2376" s="5" t="n">
        <v>147000</v>
      </c>
      <c r="M2376" s="6" t="n">
        <v>181000</v>
      </c>
      <c r="N2376" s="5" t="n"/>
      <c r="O2376" s="5">
        <f>IF(AND(ISNUMBER(N2376),ISNUMBER(M2376)),N2376-M2376,"")</f>
        <v/>
      </c>
      <c r="P2376" s="7">
        <f>IF(AND(ISNUMBER(N2376),ISNUMBER(M2376),M2376&gt;0),(N2376-M2376)/M2376,"")</f>
        <v/>
      </c>
      <c r="Q2376" s="3">
        <f>IF(P2376="","",IF(P2376&lt;-0.02,"🔴 Bán phá giá sàn",IF(P2376&gt;0.05,"🔵 Bán cao hơn","🟢 Đúng giá sàn TMĐT")))</f>
        <v/>
      </c>
      <c r="R2376" s="3" t="n"/>
      <c r="S2376" s="4" t="n"/>
      <c r="T2376" s="4" t="n"/>
    </row>
    <row r="2377">
      <c r="A2377" s="3" t="n">
        <v>2376</v>
      </c>
      <c r="B2377" s="3" t="inlineStr">
        <is>
          <t>DL022</t>
        </is>
      </c>
      <c r="C2377" s="4" t="inlineStr">
        <is>
          <t>ĐL Đà Nẵng - Phú Vinh</t>
        </is>
      </c>
      <c r="D2377" s="3" t="inlineStr">
        <is>
          <t>Đà Nẵng</t>
        </is>
      </c>
      <c r="E2377" s="3" t="inlineStr">
        <is>
          <t>THÙY TRANG</t>
        </is>
      </c>
      <c r="F2377" s="3" t="inlineStr">
        <is>
          <t>Shopee, Tiktok</t>
        </is>
      </c>
      <c r="G237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7" s="3" t="inlineStr">
        <is>
          <t>S4-105DN</t>
        </is>
      </c>
      <c r="I2377" s="4" t="inlineStr">
        <is>
          <t>Lưỡi cắt KingBlue S4-105DN</t>
        </is>
      </c>
      <c r="J2377" s="3" t="inlineStr">
        <is>
          <t>Cái</t>
        </is>
      </c>
      <c r="K2377" s="5" t="n">
        <v>125000</v>
      </c>
      <c r="L2377" s="5" t="n">
        <v>147000</v>
      </c>
      <c r="M2377" s="6" t="n">
        <v>181000</v>
      </c>
      <c r="N2377" s="5" t="n"/>
      <c r="O2377" s="5">
        <f>IF(AND(ISNUMBER(N2377),ISNUMBER(M2377)),N2377-M2377,"")</f>
        <v/>
      </c>
      <c r="P2377" s="7">
        <f>IF(AND(ISNUMBER(N2377),ISNUMBER(M2377),M2377&gt;0),(N2377-M2377)/M2377,"")</f>
        <v/>
      </c>
      <c r="Q2377" s="3">
        <f>IF(P2377="","",IF(P2377&lt;-0.02,"🔴 Bán phá giá sàn",IF(P2377&gt;0.05,"🔵 Bán cao hơn","🟢 Đúng giá sàn TMĐT")))</f>
        <v/>
      </c>
      <c r="R2377" s="3" t="n"/>
      <c r="S2377" s="4" t="n"/>
      <c r="T2377" s="4" t="n"/>
    </row>
    <row r="2378">
      <c r="A2378" s="3" t="n">
        <v>2377</v>
      </c>
      <c r="B2378" s="3" t="inlineStr">
        <is>
          <t>DL022</t>
        </is>
      </c>
      <c r="C2378" s="4" t="inlineStr">
        <is>
          <t>ĐL Đà Nẵng - Phú Vinh</t>
        </is>
      </c>
      <c r="D2378" s="3" t="inlineStr">
        <is>
          <t>Đà Nẵng</t>
        </is>
      </c>
      <c r="E2378" s="3" t="inlineStr">
        <is>
          <t>THÙY TRANG</t>
        </is>
      </c>
      <c r="F2378" s="3" t="inlineStr">
        <is>
          <t>Shopee, Tiktok</t>
        </is>
      </c>
      <c r="G237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8" s="3" t="inlineStr">
        <is>
          <t>T1-114L</t>
        </is>
      </c>
      <c r="I2378" s="4" t="inlineStr">
        <is>
          <t>Lưỡi cắt Kingblue T1-114L</t>
        </is>
      </c>
      <c r="J2378" s="3" t="inlineStr">
        <is>
          <t>Cái</t>
        </is>
      </c>
      <c r="K2378" s="5" t="n">
        <v>61000</v>
      </c>
      <c r="L2378" s="5" t="n">
        <v>72000</v>
      </c>
      <c r="M2378" s="6" t="n">
        <v>89000</v>
      </c>
      <c r="N2378" s="5" t="n"/>
      <c r="O2378" s="5">
        <f>IF(AND(ISNUMBER(N2378),ISNUMBER(M2378)),N2378-M2378,"")</f>
        <v/>
      </c>
      <c r="P2378" s="7">
        <f>IF(AND(ISNUMBER(N2378),ISNUMBER(M2378),M2378&gt;0),(N2378-M2378)/M2378,"")</f>
        <v/>
      </c>
      <c r="Q2378" s="3">
        <f>IF(P2378="","",IF(P2378&lt;-0.02,"🔴 Bán phá giá sàn",IF(P2378&gt;0.05,"🔵 Bán cao hơn","🟢 Đúng giá sàn TMĐT")))</f>
        <v/>
      </c>
      <c r="R2378" s="3" t="n"/>
      <c r="S2378" s="4" t="n"/>
      <c r="T2378" s="4" t="n"/>
    </row>
    <row r="2379">
      <c r="A2379" s="3" t="n">
        <v>2378</v>
      </c>
      <c r="B2379" s="3" t="inlineStr">
        <is>
          <t>DL022</t>
        </is>
      </c>
      <c r="C2379" s="4" t="inlineStr">
        <is>
          <t>ĐL Đà Nẵng - Phú Vinh</t>
        </is>
      </c>
      <c r="D2379" s="3" t="inlineStr">
        <is>
          <t>Đà Nẵng</t>
        </is>
      </c>
      <c r="E2379" s="3" t="inlineStr">
        <is>
          <t>THÙY TRANG</t>
        </is>
      </c>
      <c r="F2379" s="3" t="inlineStr">
        <is>
          <t>Shopee, Tiktok</t>
        </is>
      </c>
      <c r="G237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79" s="3" t="inlineStr">
        <is>
          <t>T1-114R</t>
        </is>
      </c>
      <c r="I2379" s="4" t="inlineStr">
        <is>
          <t>Lưỡi cắt Kingblue T1-114R</t>
        </is>
      </c>
      <c r="J2379" s="3" t="inlineStr">
        <is>
          <t>Cái</t>
        </is>
      </c>
      <c r="K2379" s="5" t="n">
        <v>61000</v>
      </c>
      <c r="L2379" s="5" t="n">
        <v>72000</v>
      </c>
      <c r="M2379" s="6" t="n">
        <v>89000</v>
      </c>
      <c r="N2379" s="5" t="n"/>
      <c r="O2379" s="5">
        <f>IF(AND(ISNUMBER(N2379),ISNUMBER(M2379)),N2379-M2379,"")</f>
        <v/>
      </c>
      <c r="P2379" s="7">
        <f>IF(AND(ISNUMBER(N2379),ISNUMBER(M2379),M2379&gt;0),(N2379-M2379)/M2379,"")</f>
        <v/>
      </c>
      <c r="Q2379" s="3">
        <f>IF(P2379="","",IF(P2379&lt;-0.02,"🔴 Bán phá giá sàn",IF(P2379&gt;0.05,"🔵 Bán cao hơn","🟢 Đúng giá sàn TMĐT")))</f>
        <v/>
      </c>
      <c r="R2379" s="3" t="n"/>
      <c r="S2379" s="4" t="n"/>
      <c r="T2379" s="4" t="n"/>
    </row>
    <row r="2380">
      <c r="A2380" s="3" t="n">
        <v>2379</v>
      </c>
      <c r="B2380" s="3" t="inlineStr">
        <is>
          <t>DL022</t>
        </is>
      </c>
      <c r="C2380" s="4" t="inlineStr">
        <is>
          <t>ĐL Đà Nẵng - Phú Vinh</t>
        </is>
      </c>
      <c r="D2380" s="3" t="inlineStr">
        <is>
          <t>Đà Nẵng</t>
        </is>
      </c>
      <c r="E2380" s="3" t="inlineStr">
        <is>
          <t>THÙY TRANG</t>
        </is>
      </c>
      <c r="F2380" s="3" t="inlineStr">
        <is>
          <t>Shopee, Tiktok</t>
        </is>
      </c>
      <c r="G238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0" s="3" t="inlineStr">
        <is>
          <t>T1-125L</t>
        </is>
      </c>
      <c r="I2380" s="4" t="inlineStr">
        <is>
          <t>Lưỡi cắt KingBlue T1-125L</t>
        </is>
      </c>
      <c r="J2380" s="3" t="inlineStr">
        <is>
          <t>Cái</t>
        </is>
      </c>
      <c r="K2380" s="5" t="n">
        <v>83000</v>
      </c>
      <c r="L2380" s="5" t="n">
        <v>98000</v>
      </c>
      <c r="M2380" s="6" t="n">
        <v>120000</v>
      </c>
      <c r="N2380" s="5" t="n"/>
      <c r="O2380" s="5">
        <f>IF(AND(ISNUMBER(N2380),ISNUMBER(M2380)),N2380-M2380,"")</f>
        <v/>
      </c>
      <c r="P2380" s="7">
        <f>IF(AND(ISNUMBER(N2380),ISNUMBER(M2380),M2380&gt;0),(N2380-M2380)/M2380,"")</f>
        <v/>
      </c>
      <c r="Q2380" s="3">
        <f>IF(P2380="","",IF(P2380&lt;-0.02,"🔴 Bán phá giá sàn",IF(P2380&gt;0.05,"🔵 Bán cao hơn","🟢 Đúng giá sàn TMĐT")))</f>
        <v/>
      </c>
      <c r="R2380" s="3" t="n"/>
      <c r="S2380" s="4" t="n"/>
      <c r="T2380" s="4" t="n"/>
    </row>
    <row r="2381">
      <c r="A2381" s="3" t="n">
        <v>2380</v>
      </c>
      <c r="B2381" s="3" t="inlineStr">
        <is>
          <t>DL022</t>
        </is>
      </c>
      <c r="C2381" s="4" t="inlineStr">
        <is>
          <t>ĐL Đà Nẵng - Phú Vinh</t>
        </is>
      </c>
      <c r="D2381" s="3" t="inlineStr">
        <is>
          <t>Đà Nẵng</t>
        </is>
      </c>
      <c r="E2381" s="3" t="inlineStr">
        <is>
          <t>THÙY TRANG</t>
        </is>
      </c>
      <c r="F2381" s="3" t="inlineStr">
        <is>
          <t>Shopee, Tiktok</t>
        </is>
      </c>
      <c r="G238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1" s="3" t="inlineStr">
        <is>
          <t>T1-125R</t>
        </is>
      </c>
      <c r="I2381" s="4" t="inlineStr">
        <is>
          <t>Lưỡi cắt Kingblue T1-125R</t>
        </is>
      </c>
      <c r="J2381" s="3" t="inlineStr">
        <is>
          <t>Cái</t>
        </is>
      </c>
      <c r="K2381" s="5" t="n">
        <v>83000</v>
      </c>
      <c r="L2381" s="5" t="n">
        <v>98000</v>
      </c>
      <c r="M2381" s="6" t="n">
        <v>120000</v>
      </c>
      <c r="N2381" s="5" t="n"/>
      <c r="O2381" s="5">
        <f>IF(AND(ISNUMBER(N2381),ISNUMBER(M2381)),N2381-M2381,"")</f>
        <v/>
      </c>
      <c r="P2381" s="7">
        <f>IF(AND(ISNUMBER(N2381),ISNUMBER(M2381),M2381&gt;0),(N2381-M2381)/M2381,"")</f>
        <v/>
      </c>
      <c r="Q2381" s="3">
        <f>IF(P2381="","",IF(P2381&lt;-0.02,"🔴 Bán phá giá sàn",IF(P2381&gt;0.05,"🔵 Bán cao hơn","🟢 Đúng giá sàn TMĐT")))</f>
        <v/>
      </c>
      <c r="R2381" s="3" t="n"/>
      <c r="S2381" s="4" t="n"/>
      <c r="T2381" s="4" t="n"/>
    </row>
    <row r="2382">
      <c r="A2382" s="3" t="n">
        <v>2381</v>
      </c>
      <c r="B2382" s="3" t="inlineStr">
        <is>
          <t>DL022</t>
        </is>
      </c>
      <c r="C2382" s="4" t="inlineStr">
        <is>
          <t>ĐL Đà Nẵng - Phú Vinh</t>
        </is>
      </c>
      <c r="D2382" s="3" t="inlineStr">
        <is>
          <t>Đà Nẵng</t>
        </is>
      </c>
      <c r="E2382" s="3" t="inlineStr">
        <is>
          <t>THÙY TRANG</t>
        </is>
      </c>
      <c r="F2382" s="3" t="inlineStr">
        <is>
          <t>Shopee, Tiktok</t>
        </is>
      </c>
      <c r="G238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2" s="3" t="inlineStr">
        <is>
          <t>T1-150L</t>
        </is>
      </c>
      <c r="I2382" s="4" t="inlineStr">
        <is>
          <t>Lưỡi cắt Kingblue T1-150L</t>
        </is>
      </c>
      <c r="J2382" s="3" t="inlineStr">
        <is>
          <t>Cái</t>
        </is>
      </c>
      <c r="K2382" s="5" t="n">
        <v>117000</v>
      </c>
      <c r="L2382" s="5" t="n">
        <v>138000</v>
      </c>
      <c r="M2382" s="6" t="n">
        <v>170000</v>
      </c>
      <c r="N2382" s="5" t="n"/>
      <c r="O2382" s="5">
        <f>IF(AND(ISNUMBER(N2382),ISNUMBER(M2382)),N2382-M2382,"")</f>
        <v/>
      </c>
      <c r="P2382" s="7">
        <f>IF(AND(ISNUMBER(N2382),ISNUMBER(M2382),M2382&gt;0),(N2382-M2382)/M2382,"")</f>
        <v/>
      </c>
      <c r="Q2382" s="3">
        <f>IF(P2382="","",IF(P2382&lt;-0.02,"🔴 Bán phá giá sàn",IF(P2382&gt;0.05,"🔵 Bán cao hơn","🟢 Đúng giá sàn TMĐT")))</f>
        <v/>
      </c>
      <c r="R2382" s="3" t="n"/>
      <c r="S2382" s="4" t="n"/>
      <c r="T2382" s="4" t="n"/>
    </row>
    <row r="2383">
      <c r="A2383" s="3" t="n">
        <v>2382</v>
      </c>
      <c r="B2383" s="3" t="inlineStr">
        <is>
          <t>DL022</t>
        </is>
      </c>
      <c r="C2383" s="4" t="inlineStr">
        <is>
          <t>ĐL Đà Nẵng - Phú Vinh</t>
        </is>
      </c>
      <c r="D2383" s="3" t="inlineStr">
        <is>
          <t>Đà Nẵng</t>
        </is>
      </c>
      <c r="E2383" s="3" t="inlineStr">
        <is>
          <t>THÙY TRANG</t>
        </is>
      </c>
      <c r="F2383" s="3" t="inlineStr">
        <is>
          <t>Shopee, Tiktok</t>
        </is>
      </c>
      <c r="G238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3" s="3" t="inlineStr">
        <is>
          <t>T1-150R</t>
        </is>
      </c>
      <c r="I2383" s="4" t="inlineStr">
        <is>
          <t>Lưỡi cắt Kingblue T1-150R</t>
        </is>
      </c>
      <c r="J2383" s="3" t="inlineStr">
        <is>
          <t>Cái</t>
        </is>
      </c>
      <c r="K2383" s="5" t="n">
        <v>117000</v>
      </c>
      <c r="L2383" s="5" t="n">
        <v>138000</v>
      </c>
      <c r="M2383" s="6" t="n">
        <v>170000</v>
      </c>
      <c r="N2383" s="5" t="n"/>
      <c r="O2383" s="5">
        <f>IF(AND(ISNUMBER(N2383),ISNUMBER(M2383)),N2383-M2383,"")</f>
        <v/>
      </c>
      <c r="P2383" s="7">
        <f>IF(AND(ISNUMBER(N2383),ISNUMBER(M2383),M2383&gt;0),(N2383-M2383)/M2383,"")</f>
        <v/>
      </c>
      <c r="Q2383" s="3">
        <f>IF(P2383="","",IF(P2383&lt;-0.02,"🔴 Bán phá giá sàn",IF(P2383&gt;0.05,"🔵 Bán cao hơn","🟢 Đúng giá sàn TMĐT")))</f>
        <v/>
      </c>
      <c r="R2383" s="3" t="n"/>
      <c r="S2383" s="4" t="n"/>
      <c r="T2383" s="4" t="n"/>
    </row>
    <row r="2384">
      <c r="A2384" s="3" t="n">
        <v>2383</v>
      </c>
      <c r="B2384" s="3" t="inlineStr">
        <is>
          <t>DL022</t>
        </is>
      </c>
      <c r="C2384" s="4" t="inlineStr">
        <is>
          <t>ĐL Đà Nẵng - Phú Vinh</t>
        </is>
      </c>
      <c r="D2384" s="3" t="inlineStr">
        <is>
          <t>Đà Nẵng</t>
        </is>
      </c>
      <c r="E2384" s="3" t="inlineStr">
        <is>
          <t>THÙY TRANG</t>
        </is>
      </c>
      <c r="F2384" s="3" t="inlineStr">
        <is>
          <t>Shopee, Tiktok</t>
        </is>
      </c>
      <c r="G238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4" s="3" t="inlineStr">
        <is>
          <t>T1-180R</t>
        </is>
      </c>
      <c r="I2384" s="4" t="inlineStr">
        <is>
          <t>Lưỡi cắt KingBlue T1-180R</t>
        </is>
      </c>
      <c r="J2384" s="3" t="inlineStr">
        <is>
          <t>Cái</t>
        </is>
      </c>
      <c r="K2384" s="5" t="n">
        <v>141000</v>
      </c>
      <c r="L2384" s="5" t="n">
        <v>167000</v>
      </c>
      <c r="M2384" s="6" t="n">
        <v>205000</v>
      </c>
      <c r="N2384" s="5" t="n"/>
      <c r="O2384" s="5">
        <f>IF(AND(ISNUMBER(N2384),ISNUMBER(M2384)),N2384-M2384,"")</f>
        <v/>
      </c>
      <c r="P2384" s="7">
        <f>IF(AND(ISNUMBER(N2384),ISNUMBER(M2384),M2384&gt;0),(N2384-M2384)/M2384,"")</f>
        <v/>
      </c>
      <c r="Q2384" s="3">
        <f>IF(P2384="","",IF(P2384&lt;-0.02,"🔴 Bán phá giá sàn",IF(P2384&gt;0.05,"🔵 Bán cao hơn","🟢 Đúng giá sàn TMĐT")))</f>
        <v/>
      </c>
      <c r="R2384" s="3" t="n"/>
      <c r="S2384" s="4" t="n"/>
      <c r="T2384" s="4" t="n"/>
    </row>
    <row r="2385">
      <c r="A2385" s="3" t="n">
        <v>2384</v>
      </c>
      <c r="B2385" s="3" t="inlineStr">
        <is>
          <t>DL022</t>
        </is>
      </c>
      <c r="C2385" s="4" t="inlineStr">
        <is>
          <t>ĐL Đà Nẵng - Phú Vinh</t>
        </is>
      </c>
      <c r="D2385" s="3" t="inlineStr">
        <is>
          <t>Đà Nẵng</t>
        </is>
      </c>
      <c r="E2385" s="3" t="inlineStr">
        <is>
          <t>THÙY TRANG</t>
        </is>
      </c>
      <c r="F2385" s="3" t="inlineStr">
        <is>
          <t>Shopee, Tiktok</t>
        </is>
      </c>
      <c r="G238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5" s="3" t="inlineStr">
        <is>
          <t>T1-300L</t>
        </is>
      </c>
      <c r="I2385" s="4" t="inlineStr">
        <is>
          <t>Lưỡi cắt Kingblue T1-300L</t>
        </is>
      </c>
      <c r="J2385" s="3" t="inlineStr">
        <is>
          <t>Cái</t>
        </is>
      </c>
      <c r="K2385" s="5" t="n">
        <v>428000</v>
      </c>
      <c r="L2385" s="5" t="n">
        <v>505000</v>
      </c>
      <c r="M2385" s="6" t="n">
        <v>621000</v>
      </c>
      <c r="N2385" s="5" t="n"/>
      <c r="O2385" s="5">
        <f>IF(AND(ISNUMBER(N2385),ISNUMBER(M2385)),N2385-M2385,"")</f>
        <v/>
      </c>
      <c r="P2385" s="7">
        <f>IF(AND(ISNUMBER(N2385),ISNUMBER(M2385),M2385&gt;0),(N2385-M2385)/M2385,"")</f>
        <v/>
      </c>
      <c r="Q2385" s="3">
        <f>IF(P2385="","",IF(P2385&lt;-0.02,"🔴 Bán phá giá sàn",IF(P2385&gt;0.05,"🔵 Bán cao hơn","🟢 Đúng giá sàn TMĐT")))</f>
        <v/>
      </c>
      <c r="R2385" s="3" t="n"/>
      <c r="S2385" s="4" t="n"/>
      <c r="T2385" s="4" t="n"/>
    </row>
    <row r="2386">
      <c r="A2386" s="3" t="n">
        <v>2385</v>
      </c>
      <c r="B2386" s="3" t="inlineStr">
        <is>
          <t>DL022</t>
        </is>
      </c>
      <c r="C2386" s="4" t="inlineStr">
        <is>
          <t>ĐL Đà Nẵng - Phú Vinh</t>
        </is>
      </c>
      <c r="D2386" s="3" t="inlineStr">
        <is>
          <t>Đà Nẵng</t>
        </is>
      </c>
      <c r="E2386" s="3" t="inlineStr">
        <is>
          <t>THÙY TRANG</t>
        </is>
      </c>
      <c r="F2386" s="3" t="inlineStr">
        <is>
          <t>Shopee, Tiktok</t>
        </is>
      </c>
      <c r="G238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6" s="3" t="inlineStr">
        <is>
          <t>T1-300R</t>
        </is>
      </c>
      <c r="I2386" s="4" t="inlineStr">
        <is>
          <t>Lưỡi cắt KingBlue T1-300R</t>
        </is>
      </c>
      <c r="J2386" s="3" t="inlineStr">
        <is>
          <t>Cái</t>
        </is>
      </c>
      <c r="K2386" s="5" t="n">
        <v>428000</v>
      </c>
      <c r="L2386" s="5" t="n">
        <v>505000</v>
      </c>
      <c r="M2386" s="6" t="n">
        <v>621000</v>
      </c>
      <c r="N2386" s="5" t="n"/>
      <c r="O2386" s="5">
        <f>IF(AND(ISNUMBER(N2386),ISNUMBER(M2386)),N2386-M2386,"")</f>
        <v/>
      </c>
      <c r="P2386" s="7">
        <f>IF(AND(ISNUMBER(N2386),ISNUMBER(M2386),M2386&gt;0),(N2386-M2386)/M2386,"")</f>
        <v/>
      </c>
      <c r="Q2386" s="3">
        <f>IF(P2386="","",IF(P2386&lt;-0.02,"🔴 Bán phá giá sàn",IF(P2386&gt;0.05,"🔵 Bán cao hơn","🟢 Đúng giá sàn TMĐT")))</f>
        <v/>
      </c>
      <c r="R2386" s="3" t="n"/>
      <c r="S2386" s="4" t="n"/>
      <c r="T2386" s="4" t="n"/>
    </row>
    <row r="2387">
      <c r="A2387" s="3" t="n">
        <v>2386</v>
      </c>
      <c r="B2387" s="3" t="inlineStr">
        <is>
          <t>DL022</t>
        </is>
      </c>
      <c r="C2387" s="4" t="inlineStr">
        <is>
          <t>ĐL Đà Nẵng - Phú Vinh</t>
        </is>
      </c>
      <c r="D2387" s="3" t="inlineStr">
        <is>
          <t>Đà Nẵng</t>
        </is>
      </c>
      <c r="E2387" s="3" t="inlineStr">
        <is>
          <t>THÙY TRANG</t>
        </is>
      </c>
      <c r="F2387" s="3" t="inlineStr">
        <is>
          <t>Shopee, Tiktok</t>
        </is>
      </c>
      <c r="G238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7" s="3" t="inlineStr">
        <is>
          <t>T1-350R</t>
        </is>
      </c>
      <c r="I2387" s="4" t="inlineStr">
        <is>
          <t>Lưỡi cắt KingBlue T1-350R</t>
        </is>
      </c>
      <c r="J2387" s="3" t="inlineStr">
        <is>
          <t>Cái</t>
        </is>
      </c>
      <c r="K2387" s="5" t="n">
        <v>649000</v>
      </c>
      <c r="L2387" s="5" t="n">
        <v>766000</v>
      </c>
      <c r="M2387" s="6" t="n">
        <v>941000</v>
      </c>
      <c r="N2387" s="5" t="n"/>
      <c r="O2387" s="5">
        <f>IF(AND(ISNUMBER(N2387),ISNUMBER(M2387)),N2387-M2387,"")</f>
        <v/>
      </c>
      <c r="P2387" s="7">
        <f>IF(AND(ISNUMBER(N2387),ISNUMBER(M2387),M2387&gt;0),(N2387-M2387)/M2387,"")</f>
        <v/>
      </c>
      <c r="Q2387" s="3">
        <f>IF(P2387="","",IF(P2387&lt;-0.02,"🔴 Bán phá giá sàn",IF(P2387&gt;0.05,"🔵 Bán cao hơn","🟢 Đúng giá sàn TMĐT")))</f>
        <v/>
      </c>
      <c r="R2387" s="3" t="n"/>
      <c r="S2387" s="4" t="n"/>
      <c r="T2387" s="4" t="n"/>
    </row>
    <row r="2388">
      <c r="A2388" s="3" t="n">
        <v>2387</v>
      </c>
      <c r="B2388" s="3" t="inlineStr">
        <is>
          <t>DL022</t>
        </is>
      </c>
      <c r="C2388" s="4" t="inlineStr">
        <is>
          <t>ĐL Đà Nẵng - Phú Vinh</t>
        </is>
      </c>
      <c r="D2388" s="3" t="inlineStr">
        <is>
          <t>Đà Nẵng</t>
        </is>
      </c>
      <c r="E2388" s="3" t="inlineStr">
        <is>
          <t>THÙY TRANG</t>
        </is>
      </c>
      <c r="F2388" s="3" t="inlineStr">
        <is>
          <t>Shopee, Tiktok</t>
        </is>
      </c>
      <c r="G238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8" s="3" t="inlineStr">
        <is>
          <t>T1-400R</t>
        </is>
      </c>
      <c r="I2388" s="4" t="inlineStr">
        <is>
          <t>Lưỡi cắt KingBlue T1-400R</t>
        </is>
      </c>
      <c r="J2388" s="3" t="inlineStr">
        <is>
          <t>Cái</t>
        </is>
      </c>
      <c r="K2388" s="5" t="n">
        <v>857000</v>
      </c>
      <c r="L2388" s="5" t="n">
        <v>1011000</v>
      </c>
      <c r="M2388" s="6" t="n">
        <v>1243000</v>
      </c>
      <c r="N2388" s="5" t="n"/>
      <c r="O2388" s="5">
        <f>IF(AND(ISNUMBER(N2388),ISNUMBER(M2388)),N2388-M2388,"")</f>
        <v/>
      </c>
      <c r="P2388" s="7">
        <f>IF(AND(ISNUMBER(N2388),ISNUMBER(M2388),M2388&gt;0),(N2388-M2388)/M2388,"")</f>
        <v/>
      </c>
      <c r="Q2388" s="3">
        <f>IF(P2388="","",IF(P2388&lt;-0.02,"🔴 Bán phá giá sàn",IF(P2388&gt;0.05,"🔵 Bán cao hơn","🟢 Đúng giá sàn TMĐT")))</f>
        <v/>
      </c>
      <c r="R2388" s="3" t="n"/>
      <c r="S2388" s="4" t="n"/>
      <c r="T2388" s="4" t="n"/>
    </row>
    <row r="2389">
      <c r="A2389" s="3" t="n">
        <v>2388</v>
      </c>
      <c r="B2389" s="3" t="inlineStr">
        <is>
          <t>DL022</t>
        </is>
      </c>
      <c r="C2389" s="4" t="inlineStr">
        <is>
          <t>ĐL Đà Nẵng - Phú Vinh</t>
        </is>
      </c>
      <c r="D2389" s="3" t="inlineStr">
        <is>
          <t>Đà Nẵng</t>
        </is>
      </c>
      <c r="E2389" s="3" t="inlineStr">
        <is>
          <t>THÙY TRANG</t>
        </is>
      </c>
      <c r="F2389" s="3" t="inlineStr">
        <is>
          <t>Shopee, Tiktok</t>
        </is>
      </c>
      <c r="G238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89" s="3" t="inlineStr">
        <is>
          <t>V1</t>
        </is>
      </c>
      <c r="I2389" s="4" t="inlineStr">
        <is>
          <t>Lưỡi cắt KingBlue V1 110ĐN</t>
        </is>
      </c>
      <c r="J2389" s="3" t="inlineStr">
        <is>
          <t>Cái</t>
        </is>
      </c>
      <c r="K2389" s="5" t="n">
        <v>59000</v>
      </c>
      <c r="L2389" s="5" t="n">
        <v>70000</v>
      </c>
      <c r="M2389" s="6" t="n">
        <v>86000</v>
      </c>
      <c r="N2389" s="5" t="n"/>
      <c r="O2389" s="5">
        <f>IF(AND(ISNUMBER(N2389),ISNUMBER(M2389)),N2389-M2389,"")</f>
        <v/>
      </c>
      <c r="P2389" s="7">
        <f>IF(AND(ISNUMBER(N2389),ISNUMBER(M2389),M2389&gt;0),(N2389-M2389)/M2389,"")</f>
        <v/>
      </c>
      <c r="Q2389" s="3">
        <f>IF(P2389="","",IF(P2389&lt;-0.02,"🔴 Bán phá giá sàn",IF(P2389&gt;0.05,"🔵 Bán cao hơn","🟢 Đúng giá sàn TMĐT")))</f>
        <v/>
      </c>
      <c r="R2389" s="3" t="n"/>
      <c r="S2389" s="4" t="n"/>
      <c r="T2389" s="4" t="n"/>
    </row>
    <row r="2390">
      <c r="A2390" s="3" t="n">
        <v>2389</v>
      </c>
      <c r="B2390" s="3" t="inlineStr">
        <is>
          <t>DL022</t>
        </is>
      </c>
      <c r="C2390" s="4" t="inlineStr">
        <is>
          <t>ĐL Đà Nẵng - Phú Vinh</t>
        </is>
      </c>
      <c r="D2390" s="3" t="inlineStr">
        <is>
          <t>Đà Nẵng</t>
        </is>
      </c>
      <c r="E2390" s="3" t="inlineStr">
        <is>
          <t>THÙY TRANG</t>
        </is>
      </c>
      <c r="F2390" s="3" t="inlineStr">
        <is>
          <t>Shopee, Tiktok</t>
        </is>
      </c>
      <c r="G239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0" s="3" t="inlineStr">
        <is>
          <t>V3-110DN</t>
        </is>
      </c>
      <c r="I2390" s="4" t="inlineStr">
        <is>
          <t>Lưỡi cắt KingBlue V3-110DN (NEW)</t>
        </is>
      </c>
      <c r="J2390" s="3" t="inlineStr">
        <is>
          <t>Cái</t>
        </is>
      </c>
      <c r="K2390" s="5" t="n">
        <v>269000</v>
      </c>
      <c r="L2390" s="5" t="n">
        <v>317000</v>
      </c>
      <c r="M2390" s="6" t="n">
        <v>390000</v>
      </c>
      <c r="N2390" s="5" t="n"/>
      <c r="O2390" s="5">
        <f>IF(AND(ISNUMBER(N2390),ISNUMBER(M2390)),N2390-M2390,"")</f>
        <v/>
      </c>
      <c r="P2390" s="7">
        <f>IF(AND(ISNUMBER(N2390),ISNUMBER(M2390),M2390&gt;0),(N2390-M2390)/M2390,"")</f>
        <v/>
      </c>
      <c r="Q2390" s="3">
        <f>IF(P2390="","",IF(P2390&lt;-0.02,"🔴 Bán phá giá sàn",IF(P2390&gt;0.05,"🔵 Bán cao hơn","🟢 Đúng giá sàn TMĐT")))</f>
        <v/>
      </c>
      <c r="R2390" s="3" t="n"/>
      <c r="S2390" s="4" t="n"/>
      <c r="T2390" s="4" t="n"/>
    </row>
    <row r="2391">
      <c r="A2391" s="3" t="n">
        <v>2390</v>
      </c>
      <c r="B2391" s="3" t="inlineStr">
        <is>
          <t>DL022</t>
        </is>
      </c>
      <c r="C2391" s="4" t="inlineStr">
        <is>
          <t>ĐL Đà Nẵng - Phú Vinh</t>
        </is>
      </c>
      <c r="D2391" s="3" t="inlineStr">
        <is>
          <t>Đà Nẵng</t>
        </is>
      </c>
      <c r="E2391" s="3" t="inlineStr">
        <is>
          <t>THÙY TRANG</t>
        </is>
      </c>
      <c r="F2391" s="3" t="inlineStr">
        <is>
          <t>Shopee, Tiktok</t>
        </is>
      </c>
      <c r="G239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1" s="3" t="inlineStr">
        <is>
          <t>V3-125ĐN</t>
        </is>
      </c>
      <c r="I2391" s="4" t="inlineStr">
        <is>
          <t>Lưỡi cắt KingBlue V3-125ĐN</t>
        </is>
      </c>
      <c r="J2391" s="3" t="inlineStr">
        <is>
          <t>Cái</t>
        </is>
      </c>
      <c r="K2391" s="5" t="n">
        <v>269000</v>
      </c>
      <c r="L2391" s="5" t="n">
        <v>317000</v>
      </c>
      <c r="M2391" s="6" t="n">
        <v>390000</v>
      </c>
      <c r="N2391" s="5" t="n"/>
      <c r="O2391" s="5">
        <f>IF(AND(ISNUMBER(N2391),ISNUMBER(M2391)),N2391-M2391,"")</f>
        <v/>
      </c>
      <c r="P2391" s="7">
        <f>IF(AND(ISNUMBER(N2391),ISNUMBER(M2391),M2391&gt;0),(N2391-M2391)/M2391,"")</f>
        <v/>
      </c>
      <c r="Q2391" s="3">
        <f>IF(P2391="","",IF(P2391&lt;-0.02,"🔴 Bán phá giá sàn",IF(P2391&gt;0.05,"🔵 Bán cao hơn","🟢 Đúng giá sàn TMĐT")))</f>
        <v/>
      </c>
      <c r="R2391" s="3" t="n"/>
      <c r="S2391" s="4" t="n"/>
      <c r="T2391" s="4" t="n"/>
    </row>
    <row r="2392">
      <c r="A2392" s="3" t="n">
        <v>2391</v>
      </c>
      <c r="B2392" s="3" t="inlineStr">
        <is>
          <t>DL022</t>
        </is>
      </c>
      <c r="C2392" s="4" t="inlineStr">
        <is>
          <t>ĐL Đà Nẵng - Phú Vinh</t>
        </is>
      </c>
      <c r="D2392" s="3" t="inlineStr">
        <is>
          <t>Đà Nẵng</t>
        </is>
      </c>
      <c r="E2392" s="3" t="inlineStr">
        <is>
          <t>THÙY TRANG</t>
        </is>
      </c>
      <c r="F2392" s="3" t="inlineStr">
        <is>
          <t>Shopee, Tiktok</t>
        </is>
      </c>
      <c r="G239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2" s="3" t="inlineStr"/>
      <c r="I2392" s="4" t="inlineStr">
        <is>
          <t>Lưỡi cắt Omg đa năng 110AA</t>
        </is>
      </c>
      <c r="J2392" s="3" t="inlineStr">
        <is>
          <t>Cái</t>
        </is>
      </c>
      <c r="K2392" s="5" t="n">
        <v>269000</v>
      </c>
      <c r="L2392" s="5" t="n">
        <v>317000</v>
      </c>
      <c r="M2392" s="6" t="n">
        <v>390000</v>
      </c>
      <c r="N2392" s="5" t="n"/>
      <c r="O2392" s="5">
        <f>IF(AND(ISNUMBER(N2392),ISNUMBER(M2392)),N2392-M2392,"")</f>
        <v/>
      </c>
      <c r="P2392" s="7">
        <f>IF(AND(ISNUMBER(N2392),ISNUMBER(M2392),M2392&gt;0),(N2392-M2392)/M2392,"")</f>
        <v/>
      </c>
      <c r="Q2392" s="3">
        <f>IF(P2392="","",IF(P2392&lt;-0.02,"🔴 Bán phá giá sàn",IF(P2392&gt;0.05,"🔵 Bán cao hơn","🟢 Đúng giá sàn TMĐT")))</f>
        <v/>
      </c>
      <c r="R2392" s="3" t="n"/>
      <c r="S2392" s="4" t="n"/>
      <c r="T2392" s="4" t="n"/>
    </row>
    <row r="2393">
      <c r="A2393" s="3" t="n">
        <v>2392</v>
      </c>
      <c r="B2393" s="3" t="inlineStr">
        <is>
          <t>DL022</t>
        </is>
      </c>
      <c r="C2393" s="4" t="inlineStr">
        <is>
          <t>ĐL Đà Nẵng - Phú Vinh</t>
        </is>
      </c>
      <c r="D2393" s="3" t="inlineStr">
        <is>
          <t>Đà Nẵng</t>
        </is>
      </c>
      <c r="E2393" s="3" t="inlineStr">
        <is>
          <t>THÙY TRANG</t>
        </is>
      </c>
      <c r="F2393" s="3" t="inlineStr">
        <is>
          <t>Shopee, Tiktok</t>
        </is>
      </c>
      <c r="G239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3" s="3" t="inlineStr"/>
      <c r="I2393" s="4" t="inlineStr">
        <is>
          <t>Lưỡi cắt Omg đa năng 110B</t>
        </is>
      </c>
      <c r="J2393" s="3" t="inlineStr">
        <is>
          <t>Cái</t>
        </is>
      </c>
      <c r="K2393" s="5" t="n">
        <v>269000</v>
      </c>
      <c r="L2393" s="5" t="n">
        <v>317000</v>
      </c>
      <c r="M2393" s="6" t="n">
        <v>390000</v>
      </c>
      <c r="N2393" s="5" t="n"/>
      <c r="O2393" s="5">
        <f>IF(AND(ISNUMBER(N2393),ISNUMBER(M2393)),N2393-M2393,"")</f>
        <v/>
      </c>
      <c r="P2393" s="7">
        <f>IF(AND(ISNUMBER(N2393),ISNUMBER(M2393),M2393&gt;0),(N2393-M2393)/M2393,"")</f>
        <v/>
      </c>
      <c r="Q2393" s="3">
        <f>IF(P2393="","",IF(P2393&lt;-0.02,"🔴 Bán phá giá sàn",IF(P2393&gt;0.05,"🔵 Bán cao hơn","🟢 Đúng giá sàn TMĐT")))</f>
        <v/>
      </c>
      <c r="R2393" s="3" t="n"/>
      <c r="S2393" s="4" t="n"/>
      <c r="T2393" s="4" t="n"/>
    </row>
    <row r="2394">
      <c r="A2394" s="3" t="n">
        <v>2393</v>
      </c>
      <c r="B2394" s="3" t="inlineStr">
        <is>
          <t>DL022</t>
        </is>
      </c>
      <c r="C2394" s="4" t="inlineStr">
        <is>
          <t>ĐL Đà Nẵng - Phú Vinh</t>
        </is>
      </c>
      <c r="D2394" s="3" t="inlineStr">
        <is>
          <t>Đà Nẵng</t>
        </is>
      </c>
      <c r="E2394" s="3" t="inlineStr">
        <is>
          <t>THÙY TRANG</t>
        </is>
      </c>
      <c r="F2394" s="3" t="inlineStr">
        <is>
          <t>Shopee, Tiktok</t>
        </is>
      </c>
      <c r="G239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4" s="3" t="inlineStr"/>
      <c r="I2394" s="4" t="inlineStr">
        <is>
          <t>Lưỡi cắt Omg đa năng 125A</t>
        </is>
      </c>
      <c r="J2394" s="3" t="inlineStr">
        <is>
          <t>Cái</t>
        </is>
      </c>
      <c r="K2394" s="5" t="n">
        <v>269000</v>
      </c>
      <c r="L2394" s="5" t="n">
        <v>317000</v>
      </c>
      <c r="M2394" s="6" t="n">
        <v>390000</v>
      </c>
      <c r="N2394" s="5" t="n"/>
      <c r="O2394" s="5">
        <f>IF(AND(ISNUMBER(N2394),ISNUMBER(M2394)),N2394-M2394,"")</f>
        <v/>
      </c>
      <c r="P2394" s="7">
        <f>IF(AND(ISNUMBER(N2394),ISNUMBER(M2394),M2394&gt;0),(N2394-M2394)/M2394,"")</f>
        <v/>
      </c>
      <c r="Q2394" s="3">
        <f>IF(P2394="","",IF(P2394&lt;-0.02,"🔴 Bán phá giá sàn",IF(P2394&gt;0.05,"🔵 Bán cao hơn","🟢 Đúng giá sàn TMĐT")))</f>
        <v/>
      </c>
      <c r="R2394" s="3" t="n"/>
      <c r="S2394" s="4" t="n"/>
      <c r="T2394" s="4" t="n"/>
    </row>
    <row r="2395">
      <c r="A2395" s="3" t="n">
        <v>2394</v>
      </c>
      <c r="B2395" s="3" t="inlineStr">
        <is>
          <t>DL022</t>
        </is>
      </c>
      <c r="C2395" s="4" t="inlineStr">
        <is>
          <t>ĐL Đà Nẵng - Phú Vinh</t>
        </is>
      </c>
      <c r="D2395" s="3" t="inlineStr">
        <is>
          <t>Đà Nẵng</t>
        </is>
      </c>
      <c r="E2395" s="3" t="inlineStr">
        <is>
          <t>THÙY TRANG</t>
        </is>
      </c>
      <c r="F2395" s="3" t="inlineStr">
        <is>
          <t>Shopee, Tiktok</t>
        </is>
      </c>
      <c r="G239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5" s="3" t="inlineStr">
        <is>
          <t>KB-LE350</t>
        </is>
      </c>
      <c r="I2395" s="4" t="inlineStr">
        <is>
          <t>Lưỡi Cưa KingBlue KB-LE350</t>
        </is>
      </c>
      <c r="J2395" s="3" t="inlineStr">
        <is>
          <t>Cái</t>
        </is>
      </c>
      <c r="K2395" s="5" t="n">
        <v>158000</v>
      </c>
      <c r="L2395" s="5" t="n">
        <v>186000</v>
      </c>
      <c r="M2395" s="6" t="n">
        <v>229000</v>
      </c>
      <c r="N2395" s="5" t="n"/>
      <c r="O2395" s="5">
        <f>IF(AND(ISNUMBER(N2395),ISNUMBER(M2395)),N2395-M2395,"")</f>
        <v/>
      </c>
      <c r="P2395" s="7">
        <f>IF(AND(ISNUMBER(N2395),ISNUMBER(M2395),M2395&gt;0),(N2395-M2395)/M2395,"")</f>
        <v/>
      </c>
      <c r="Q2395" s="3">
        <f>IF(P2395="","",IF(P2395&lt;-0.02,"🔴 Bán phá giá sàn",IF(P2395&gt;0.05,"🔵 Bán cao hơn","🟢 Đúng giá sàn TMĐT")))</f>
        <v/>
      </c>
      <c r="R2395" s="3" t="n"/>
      <c r="S2395" s="4" t="n"/>
      <c r="T2395" s="4" t="n"/>
    </row>
    <row r="2396">
      <c r="A2396" s="3" t="n">
        <v>2395</v>
      </c>
      <c r="B2396" s="3" t="inlineStr">
        <is>
          <t>DL022</t>
        </is>
      </c>
      <c r="C2396" s="4" t="inlineStr">
        <is>
          <t>ĐL Đà Nẵng - Phú Vinh</t>
        </is>
      </c>
      <c r="D2396" s="3" t="inlineStr">
        <is>
          <t>Đà Nẵng</t>
        </is>
      </c>
      <c r="E2396" s="3" t="inlineStr">
        <is>
          <t>THÙY TRANG</t>
        </is>
      </c>
      <c r="F2396" s="3" t="inlineStr">
        <is>
          <t>Shopee, Tiktok</t>
        </is>
      </c>
      <c r="G239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6" s="3" t="inlineStr">
        <is>
          <t>KB-LS330</t>
        </is>
      </c>
      <c r="I2396" s="4" t="inlineStr">
        <is>
          <t>Lưỡi Cưa KingBlue KB-LS330</t>
        </is>
      </c>
      <c r="J2396" s="3" t="inlineStr">
        <is>
          <t>Cái</t>
        </is>
      </c>
      <c r="K2396" s="5" t="n">
        <v>184000</v>
      </c>
      <c r="L2396" s="5" t="n">
        <v>217000</v>
      </c>
      <c r="M2396" s="6" t="n">
        <v>267000</v>
      </c>
      <c r="N2396" s="5" t="n"/>
      <c r="O2396" s="5">
        <f>IF(AND(ISNUMBER(N2396),ISNUMBER(M2396)),N2396-M2396,"")</f>
        <v/>
      </c>
      <c r="P2396" s="7">
        <f>IF(AND(ISNUMBER(N2396),ISNUMBER(M2396),M2396&gt;0),(N2396-M2396)/M2396,"")</f>
        <v/>
      </c>
      <c r="Q2396" s="3">
        <f>IF(P2396="","",IF(P2396&lt;-0.02,"🔴 Bán phá giá sàn",IF(P2396&gt;0.05,"🔵 Bán cao hơn","🟢 Đúng giá sàn TMĐT")))</f>
        <v/>
      </c>
      <c r="R2396" s="3" t="n"/>
      <c r="S2396" s="4" t="n"/>
      <c r="T2396" s="4" t="n"/>
    </row>
    <row r="2397">
      <c r="A2397" s="3" t="n">
        <v>2396</v>
      </c>
      <c r="B2397" s="3" t="inlineStr">
        <is>
          <t>DL022</t>
        </is>
      </c>
      <c r="C2397" s="4" t="inlineStr">
        <is>
          <t>ĐL Đà Nẵng - Phú Vinh</t>
        </is>
      </c>
      <c r="D2397" s="3" t="inlineStr">
        <is>
          <t>Đà Nẵng</t>
        </is>
      </c>
      <c r="E2397" s="3" t="inlineStr">
        <is>
          <t>THÙY TRANG</t>
        </is>
      </c>
      <c r="F2397" s="3" t="inlineStr">
        <is>
          <t>Shopee, Tiktok</t>
        </is>
      </c>
      <c r="G239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7" s="3" t="inlineStr">
        <is>
          <t>X1-150x40T</t>
        </is>
      </c>
      <c r="I2397" s="4" t="inlineStr">
        <is>
          <t>Lưỡi cưa Kingblue X1-150x40T (Cưa gỗ)-NEW</t>
        </is>
      </c>
      <c r="J2397" s="3" t="inlineStr">
        <is>
          <t>Cái</t>
        </is>
      </c>
      <c r="K2397" s="5" t="n">
        <v>135000</v>
      </c>
      <c r="L2397" s="5" t="n">
        <v>159000</v>
      </c>
      <c r="M2397" s="6" t="n">
        <v>196000</v>
      </c>
      <c r="N2397" s="5" t="n"/>
      <c r="O2397" s="5">
        <f>IF(AND(ISNUMBER(N2397),ISNUMBER(M2397)),N2397-M2397,"")</f>
        <v/>
      </c>
      <c r="P2397" s="7">
        <f>IF(AND(ISNUMBER(N2397),ISNUMBER(M2397),M2397&gt;0),(N2397-M2397)/M2397,"")</f>
        <v/>
      </c>
      <c r="Q2397" s="3">
        <f>IF(P2397="","",IF(P2397&lt;-0.02,"🔴 Bán phá giá sàn",IF(P2397&gt;0.05,"🔵 Bán cao hơn","🟢 Đúng giá sàn TMĐT")))</f>
        <v/>
      </c>
      <c r="R2397" s="3" t="n"/>
      <c r="S2397" s="4" t="n"/>
      <c r="T2397" s="4" t="n"/>
    </row>
    <row r="2398">
      <c r="A2398" s="3" t="n">
        <v>2397</v>
      </c>
      <c r="B2398" s="3" t="inlineStr">
        <is>
          <t>DL022</t>
        </is>
      </c>
      <c r="C2398" s="4" t="inlineStr">
        <is>
          <t>ĐL Đà Nẵng - Phú Vinh</t>
        </is>
      </c>
      <c r="D2398" s="3" t="inlineStr">
        <is>
          <t>Đà Nẵng</t>
        </is>
      </c>
      <c r="E2398" s="3" t="inlineStr">
        <is>
          <t>THÙY TRANG</t>
        </is>
      </c>
      <c r="F2398" s="3" t="inlineStr">
        <is>
          <t>Shopee, Tiktok</t>
        </is>
      </c>
      <c r="G239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8" s="3" t="inlineStr">
        <is>
          <t>X1-180x40T</t>
        </is>
      </c>
      <c r="I2398" s="4" t="inlineStr">
        <is>
          <t>Lưỡi cưa Kingblue X1-180x40T (Cưa gỗ)-NEW</t>
        </is>
      </c>
      <c r="J2398" s="3" t="inlineStr">
        <is>
          <t>Cái</t>
        </is>
      </c>
      <c r="K2398" s="5" t="n">
        <v>190000</v>
      </c>
      <c r="L2398" s="5" t="n">
        <v>224000</v>
      </c>
      <c r="M2398" s="6" t="n">
        <v>276000</v>
      </c>
      <c r="N2398" s="5" t="n"/>
      <c r="O2398" s="5">
        <f>IF(AND(ISNUMBER(N2398),ISNUMBER(M2398)),N2398-M2398,"")</f>
        <v/>
      </c>
      <c r="P2398" s="7">
        <f>IF(AND(ISNUMBER(N2398),ISNUMBER(M2398),M2398&gt;0),(N2398-M2398)/M2398,"")</f>
        <v/>
      </c>
      <c r="Q2398" s="3">
        <f>IF(P2398="","",IF(P2398&lt;-0.02,"🔴 Bán phá giá sàn",IF(P2398&gt;0.05,"🔵 Bán cao hơn","🟢 Đúng giá sàn TMĐT")))</f>
        <v/>
      </c>
      <c r="R2398" s="3" t="n"/>
      <c r="S2398" s="4" t="n"/>
      <c r="T2398" s="4" t="n"/>
    </row>
    <row r="2399">
      <c r="A2399" s="3" t="n">
        <v>2398</v>
      </c>
      <c r="B2399" s="3" t="inlineStr">
        <is>
          <t>DL022</t>
        </is>
      </c>
      <c r="C2399" s="4" t="inlineStr">
        <is>
          <t>ĐL Đà Nẵng - Phú Vinh</t>
        </is>
      </c>
      <c r="D2399" s="3" t="inlineStr">
        <is>
          <t>Đà Nẵng</t>
        </is>
      </c>
      <c r="E2399" s="3" t="inlineStr">
        <is>
          <t>THÙY TRANG</t>
        </is>
      </c>
      <c r="F2399" s="3" t="inlineStr">
        <is>
          <t>Shopee, Tiktok</t>
        </is>
      </c>
      <c r="G239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99" s="3" t="inlineStr">
        <is>
          <t>X1-250x40T</t>
        </is>
      </c>
      <c r="I2399" s="4" t="inlineStr">
        <is>
          <t>Lưỡi cưa Kingblue X1-250x40T (Cưa gỗ)-NEW</t>
        </is>
      </c>
      <c r="J2399" s="3" t="inlineStr">
        <is>
          <t>Cái</t>
        </is>
      </c>
      <c r="K2399" s="5" t="n">
        <v>407000</v>
      </c>
      <c r="L2399" s="5" t="n">
        <v>480000</v>
      </c>
      <c r="M2399" s="6" t="n">
        <v>590000</v>
      </c>
      <c r="N2399" s="5" t="n"/>
      <c r="O2399" s="5">
        <f>IF(AND(ISNUMBER(N2399),ISNUMBER(M2399)),N2399-M2399,"")</f>
        <v/>
      </c>
      <c r="P2399" s="7">
        <f>IF(AND(ISNUMBER(N2399),ISNUMBER(M2399),M2399&gt;0),(N2399-M2399)/M2399,"")</f>
        <v/>
      </c>
      <c r="Q2399" s="3">
        <f>IF(P2399="","",IF(P2399&lt;-0.02,"🔴 Bán phá giá sàn",IF(P2399&gt;0.05,"🔵 Bán cao hơn","🟢 Đúng giá sàn TMĐT")))</f>
        <v/>
      </c>
      <c r="R2399" s="3" t="n"/>
      <c r="S2399" s="4" t="n"/>
      <c r="T2399" s="4" t="n"/>
    </row>
    <row r="2400">
      <c r="A2400" s="3" t="n">
        <v>2399</v>
      </c>
      <c r="B2400" s="3" t="inlineStr">
        <is>
          <t>DL022</t>
        </is>
      </c>
      <c r="C2400" s="4" t="inlineStr">
        <is>
          <t>ĐL Đà Nẵng - Phú Vinh</t>
        </is>
      </c>
      <c r="D2400" s="3" t="inlineStr">
        <is>
          <t>Đà Nẵng</t>
        </is>
      </c>
      <c r="E2400" s="3" t="inlineStr">
        <is>
          <t>THÙY TRANG</t>
        </is>
      </c>
      <c r="F2400" s="3" t="inlineStr">
        <is>
          <t>Shopee, Tiktok</t>
        </is>
      </c>
      <c r="G240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0" s="3" t="inlineStr">
        <is>
          <t>X1-300x40T</t>
        </is>
      </c>
      <c r="I2400" s="4" t="inlineStr">
        <is>
          <t>Lưỡi cưa Kingblue X1-300x40T (Cưa gỗ)-NEW</t>
        </is>
      </c>
      <c r="J2400" s="3" t="inlineStr">
        <is>
          <t>Cái</t>
        </is>
      </c>
      <c r="K2400" s="5" t="n">
        <v>557000</v>
      </c>
      <c r="L2400" s="5" t="n">
        <v>657000</v>
      </c>
      <c r="M2400" s="6" t="n">
        <v>808000</v>
      </c>
      <c r="N2400" s="5" t="n"/>
      <c r="O2400" s="5">
        <f>IF(AND(ISNUMBER(N2400),ISNUMBER(M2400)),N2400-M2400,"")</f>
        <v/>
      </c>
      <c r="P2400" s="7">
        <f>IF(AND(ISNUMBER(N2400),ISNUMBER(M2400),M2400&gt;0),(N2400-M2400)/M2400,"")</f>
        <v/>
      </c>
      <c r="Q2400" s="3">
        <f>IF(P2400="","",IF(P2400&lt;-0.02,"🔴 Bán phá giá sàn",IF(P2400&gt;0.05,"🔵 Bán cao hơn","🟢 Đúng giá sàn TMĐT")))</f>
        <v/>
      </c>
      <c r="R2400" s="3" t="n"/>
      <c r="S2400" s="4" t="n"/>
      <c r="T2400" s="4" t="n"/>
    </row>
    <row r="2401">
      <c r="A2401" s="3" t="n">
        <v>2400</v>
      </c>
      <c r="B2401" s="3" t="inlineStr">
        <is>
          <t>DL022</t>
        </is>
      </c>
      <c r="C2401" s="4" t="inlineStr">
        <is>
          <t>ĐL Đà Nẵng - Phú Vinh</t>
        </is>
      </c>
      <c r="D2401" s="3" t="inlineStr">
        <is>
          <t>Đà Nẵng</t>
        </is>
      </c>
      <c r="E2401" s="3" t="inlineStr">
        <is>
          <t>THÙY TRANG</t>
        </is>
      </c>
      <c r="F2401" s="3" t="inlineStr">
        <is>
          <t>Shopee, Tiktok</t>
        </is>
      </c>
      <c r="G240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1" s="3" t="inlineStr">
        <is>
          <t>X1-350x40T</t>
        </is>
      </c>
      <c r="I2401" s="4" t="inlineStr">
        <is>
          <t>Lưỡi cưa KingBlue X1-350x40T (Cưa gỗ)-NEW</t>
        </is>
      </c>
      <c r="J2401" s="3" t="inlineStr">
        <is>
          <t>Cái</t>
        </is>
      </c>
      <c r="K2401" s="5" t="n">
        <v>627000</v>
      </c>
      <c r="L2401" s="5" t="n">
        <v>740000</v>
      </c>
      <c r="M2401" s="6" t="n">
        <v>909000</v>
      </c>
      <c r="N2401" s="5" t="n"/>
      <c r="O2401" s="5">
        <f>IF(AND(ISNUMBER(N2401),ISNUMBER(M2401)),N2401-M2401,"")</f>
        <v/>
      </c>
      <c r="P2401" s="7">
        <f>IF(AND(ISNUMBER(N2401),ISNUMBER(M2401),M2401&gt;0),(N2401-M2401)/M2401,"")</f>
        <v/>
      </c>
      <c r="Q2401" s="3">
        <f>IF(P2401="","",IF(P2401&lt;-0.02,"🔴 Bán phá giá sàn",IF(P2401&gt;0.05,"🔵 Bán cao hơn","🟢 Đúng giá sàn TMĐT")))</f>
        <v/>
      </c>
      <c r="R2401" s="3" t="n"/>
      <c r="S2401" s="4" t="n"/>
      <c r="T2401" s="4" t="n"/>
    </row>
    <row r="2402">
      <c r="A2402" s="3" t="n">
        <v>2401</v>
      </c>
      <c r="B2402" s="3" t="inlineStr">
        <is>
          <t>DL022</t>
        </is>
      </c>
      <c r="C2402" s="4" t="inlineStr">
        <is>
          <t>ĐL Đà Nẵng - Phú Vinh</t>
        </is>
      </c>
      <c r="D2402" s="3" t="inlineStr">
        <is>
          <t>Đà Nẵng</t>
        </is>
      </c>
      <c r="E2402" s="3" t="inlineStr">
        <is>
          <t>THÙY TRANG</t>
        </is>
      </c>
      <c r="F2402" s="3" t="inlineStr">
        <is>
          <t>Shopee, Tiktok</t>
        </is>
      </c>
      <c r="G240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2" s="3" t="inlineStr">
        <is>
          <t>XS-110x30T</t>
        </is>
      </c>
      <c r="I2402" s="4" t="inlineStr">
        <is>
          <t>Lưỡi cưa Kingblue XS-110x30T (Cưa gỗ)-NEW</t>
        </is>
      </c>
      <c r="J2402" s="3" t="inlineStr">
        <is>
          <t>Cái</t>
        </is>
      </c>
      <c r="K2402" s="5" t="n">
        <v>72000</v>
      </c>
      <c r="L2402" s="5" t="n">
        <v>85000</v>
      </c>
      <c r="M2402" s="6" t="n">
        <v>104000</v>
      </c>
      <c r="N2402" s="5" t="n"/>
      <c r="O2402" s="5">
        <f>IF(AND(ISNUMBER(N2402),ISNUMBER(M2402)),N2402-M2402,"")</f>
        <v/>
      </c>
      <c r="P2402" s="7">
        <f>IF(AND(ISNUMBER(N2402),ISNUMBER(M2402),M2402&gt;0),(N2402-M2402)/M2402,"")</f>
        <v/>
      </c>
      <c r="Q2402" s="3">
        <f>IF(P2402="","",IF(P2402&lt;-0.02,"🔴 Bán phá giá sàn",IF(P2402&gt;0.05,"🔵 Bán cao hơn","🟢 Đúng giá sàn TMĐT")))</f>
        <v/>
      </c>
      <c r="R2402" s="3" t="n"/>
      <c r="S2402" s="4" t="n"/>
      <c r="T2402" s="4" t="n"/>
    </row>
    <row r="2403">
      <c r="A2403" s="3" t="n">
        <v>2402</v>
      </c>
      <c r="B2403" s="3" t="inlineStr">
        <is>
          <t>DL022</t>
        </is>
      </c>
      <c r="C2403" s="4" t="inlineStr">
        <is>
          <t>ĐL Đà Nẵng - Phú Vinh</t>
        </is>
      </c>
      <c r="D2403" s="3" t="inlineStr">
        <is>
          <t>Đà Nẵng</t>
        </is>
      </c>
      <c r="E2403" s="3" t="inlineStr">
        <is>
          <t>THÙY TRANG</t>
        </is>
      </c>
      <c r="F2403" s="3" t="inlineStr">
        <is>
          <t>Shopee, Tiktok</t>
        </is>
      </c>
      <c r="G240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3" s="3" t="inlineStr">
        <is>
          <t>XS-125x40T</t>
        </is>
      </c>
      <c r="I2403" s="4" t="inlineStr">
        <is>
          <t>Lưỡi cưa Kingblue XS-125x40T (Cưa gỗ)</t>
        </is>
      </c>
      <c r="J2403" s="3" t="inlineStr">
        <is>
          <t>Cái</t>
        </is>
      </c>
      <c r="K2403" s="5" t="n">
        <v>77000</v>
      </c>
      <c r="L2403" s="5" t="n">
        <v>91000</v>
      </c>
      <c r="M2403" s="6" t="n">
        <v>112000</v>
      </c>
      <c r="N2403" s="5" t="n"/>
      <c r="O2403" s="5">
        <f>IF(AND(ISNUMBER(N2403),ISNUMBER(M2403)),N2403-M2403,"")</f>
        <v/>
      </c>
      <c r="P2403" s="7">
        <f>IF(AND(ISNUMBER(N2403),ISNUMBER(M2403),M2403&gt;0),(N2403-M2403)/M2403,"")</f>
        <v/>
      </c>
      <c r="Q2403" s="3">
        <f>IF(P2403="","",IF(P2403&lt;-0.02,"🔴 Bán phá giá sàn",IF(P2403&gt;0.05,"🔵 Bán cao hơn","🟢 Đúng giá sàn TMĐT")))</f>
        <v/>
      </c>
      <c r="R2403" s="3" t="n"/>
      <c r="S2403" s="4" t="n"/>
      <c r="T2403" s="4" t="n"/>
    </row>
    <row r="2404">
      <c r="A2404" s="3" t="n">
        <v>2403</v>
      </c>
      <c r="B2404" s="3" t="inlineStr">
        <is>
          <t>DL022</t>
        </is>
      </c>
      <c r="C2404" s="4" t="inlineStr">
        <is>
          <t>ĐL Đà Nẵng - Phú Vinh</t>
        </is>
      </c>
      <c r="D2404" s="3" t="inlineStr">
        <is>
          <t>Đà Nẵng</t>
        </is>
      </c>
      <c r="E2404" s="3" t="inlineStr">
        <is>
          <t>THÙY TRANG</t>
        </is>
      </c>
      <c r="F2404" s="3" t="inlineStr">
        <is>
          <t>Shopee, Tiktok</t>
        </is>
      </c>
      <c r="G240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4" s="3" t="inlineStr">
        <is>
          <t>Y1-254x120T</t>
        </is>
      </c>
      <c r="I2404" s="4" t="inlineStr">
        <is>
          <t>Lưỡi cưa KingBlue Y1-254x120T (Cưa nhôm)-NEW</t>
        </is>
      </c>
      <c r="J2404" s="3" t="inlineStr">
        <is>
          <t>Cái</t>
        </is>
      </c>
      <c r="K2404" s="5" t="n">
        <v>699000</v>
      </c>
      <c r="L2404" s="5" t="n">
        <v>825000</v>
      </c>
      <c r="M2404" s="6" t="n">
        <v>1014000</v>
      </c>
      <c r="N2404" s="5" t="n"/>
      <c r="O2404" s="5">
        <f>IF(AND(ISNUMBER(N2404),ISNUMBER(M2404)),N2404-M2404,"")</f>
        <v/>
      </c>
      <c r="P2404" s="7">
        <f>IF(AND(ISNUMBER(N2404),ISNUMBER(M2404),M2404&gt;0),(N2404-M2404)/M2404,"")</f>
        <v/>
      </c>
      <c r="Q2404" s="3">
        <f>IF(P2404="","",IF(P2404&lt;-0.02,"🔴 Bán phá giá sàn",IF(P2404&gt;0.05,"🔵 Bán cao hơn","🟢 Đúng giá sàn TMĐT")))</f>
        <v/>
      </c>
      <c r="R2404" s="3" t="n"/>
      <c r="S2404" s="4" t="n"/>
      <c r="T2404" s="4" t="n"/>
    </row>
    <row r="2405">
      <c r="A2405" s="3" t="n">
        <v>2404</v>
      </c>
      <c r="B2405" s="3" t="inlineStr">
        <is>
          <t>DL022</t>
        </is>
      </c>
      <c r="C2405" s="4" t="inlineStr">
        <is>
          <t>ĐL Đà Nẵng - Phú Vinh</t>
        </is>
      </c>
      <c r="D2405" s="3" t="inlineStr">
        <is>
          <t>Đà Nẵng</t>
        </is>
      </c>
      <c r="E2405" s="3" t="inlineStr">
        <is>
          <t>THÙY TRANG</t>
        </is>
      </c>
      <c r="F2405" s="3" t="inlineStr">
        <is>
          <t>Shopee, Tiktok</t>
        </is>
      </c>
      <c r="G240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5" s="3" t="inlineStr">
        <is>
          <t>KB-05XS</t>
        </is>
      </c>
      <c r="I2405" s="4" t="inlineStr">
        <is>
          <t>Máy cân bằng KB-05XS</t>
        </is>
      </c>
      <c r="J2405" s="3" t="inlineStr">
        <is>
          <t>Cái</t>
        </is>
      </c>
      <c r="K2405" s="5" t="n">
        <v>2090000</v>
      </c>
      <c r="L2405" s="5" t="n">
        <v>2340000</v>
      </c>
      <c r="M2405" s="6" t="n">
        <v>2720000</v>
      </c>
      <c r="N2405" s="5" t="n"/>
      <c r="O2405" s="5">
        <f>IF(AND(ISNUMBER(N2405),ISNUMBER(M2405)),N2405-M2405,"")</f>
        <v/>
      </c>
      <c r="P2405" s="7">
        <f>IF(AND(ISNUMBER(N2405),ISNUMBER(M2405),M2405&gt;0),(N2405-M2405)/M2405,"")</f>
        <v/>
      </c>
      <c r="Q2405" s="3">
        <f>IF(P2405="","",IF(P2405&lt;-0.02,"🔴 Bán phá giá sàn",IF(P2405&gt;0.05,"🔵 Bán cao hơn","🟢 Đúng giá sàn TMĐT")))</f>
        <v/>
      </c>
      <c r="R2405" s="3" t="n"/>
      <c r="S2405" s="4" t="n"/>
      <c r="T2405" s="4" t="n"/>
    </row>
    <row r="2406">
      <c r="A2406" s="3" t="n">
        <v>2405</v>
      </c>
      <c r="B2406" s="3" t="inlineStr">
        <is>
          <t>DL022</t>
        </is>
      </c>
      <c r="C2406" s="4" t="inlineStr">
        <is>
          <t>ĐL Đà Nẵng - Phú Vinh</t>
        </is>
      </c>
      <c r="D2406" s="3" t="inlineStr">
        <is>
          <t>Đà Nẵng</t>
        </is>
      </c>
      <c r="E2406" s="3" t="inlineStr">
        <is>
          <t>THÙY TRANG</t>
        </is>
      </c>
      <c r="F2406" s="3" t="inlineStr">
        <is>
          <t>Shopee, Tiktok</t>
        </is>
      </c>
      <c r="G240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6" s="3" t="inlineStr">
        <is>
          <t>KBA-U1200</t>
        </is>
      </c>
      <c r="I2406" s="4" t="inlineStr">
        <is>
          <t>Máy rửa xe KBA-U1200</t>
        </is>
      </c>
      <c r="J2406" s="3" t="inlineStr">
        <is>
          <t>Cái</t>
        </is>
      </c>
      <c r="K2406" s="5" t="n">
        <v>1100000</v>
      </c>
      <c r="L2406" s="5" t="n">
        <v>1230000</v>
      </c>
      <c r="M2406" s="6" t="n">
        <v>1430000</v>
      </c>
      <c r="N2406" s="5" t="n"/>
      <c r="O2406" s="5">
        <f>IF(AND(ISNUMBER(N2406),ISNUMBER(M2406)),N2406-M2406,"")</f>
        <v/>
      </c>
      <c r="P2406" s="7">
        <f>IF(AND(ISNUMBER(N2406),ISNUMBER(M2406),M2406&gt;0),(N2406-M2406)/M2406,"")</f>
        <v/>
      </c>
      <c r="Q2406" s="3">
        <f>IF(P2406="","",IF(P2406&lt;-0.02,"🔴 Bán phá giá sàn",IF(P2406&gt;0.05,"🔵 Bán cao hơn","🟢 Đúng giá sàn TMĐT")))</f>
        <v/>
      </c>
      <c r="R2406" s="3" t="n"/>
      <c r="S2406" s="4" t="n"/>
      <c r="T2406" s="4" t="n"/>
    </row>
    <row r="2407">
      <c r="A2407" s="3" t="n">
        <v>2406</v>
      </c>
      <c r="B2407" s="3" t="inlineStr">
        <is>
          <t>DL022</t>
        </is>
      </c>
      <c r="C2407" s="4" t="inlineStr">
        <is>
          <t>ĐL Đà Nẵng - Phú Vinh</t>
        </is>
      </c>
      <c r="D2407" s="3" t="inlineStr">
        <is>
          <t>Đà Nẵng</t>
        </is>
      </c>
      <c r="E2407" s="3" t="inlineStr">
        <is>
          <t>THÙY TRANG</t>
        </is>
      </c>
      <c r="F2407" s="3" t="inlineStr">
        <is>
          <t>Shopee, Tiktok</t>
        </is>
      </c>
      <c r="G240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7" s="3" t="inlineStr">
        <is>
          <t>KUC60</t>
        </is>
      </c>
      <c r="I2407" s="4" t="inlineStr">
        <is>
          <t>Mỏ hàn thiếc KUC60</t>
        </is>
      </c>
      <c r="J2407" s="3" t="inlineStr">
        <is>
          <t>Cái</t>
        </is>
      </c>
      <c r="K2407" s="5" t="n">
        <v>132000</v>
      </c>
      <c r="L2407" s="5" t="n">
        <v>156000</v>
      </c>
      <c r="M2407" s="6" t="n">
        <v>191000</v>
      </c>
      <c r="N2407" s="5" t="n"/>
      <c r="O2407" s="5">
        <f>IF(AND(ISNUMBER(N2407),ISNUMBER(M2407)),N2407-M2407,"")</f>
        <v/>
      </c>
      <c r="P2407" s="7">
        <f>IF(AND(ISNUMBER(N2407),ISNUMBER(M2407),M2407&gt;0),(N2407-M2407)/M2407,"")</f>
        <v/>
      </c>
      <c r="Q2407" s="3">
        <f>IF(P2407="","",IF(P2407&lt;-0.02,"🔴 Bán phá giá sàn",IF(P2407&gt;0.05,"🔵 Bán cao hơn","🟢 Đúng giá sàn TMĐT")))</f>
        <v/>
      </c>
      <c r="R2407" s="3" t="n"/>
      <c r="S2407" s="4" t="n"/>
      <c r="T2407" s="4" t="n"/>
    </row>
    <row r="2408">
      <c r="A2408" s="3" t="n">
        <v>2407</v>
      </c>
      <c r="B2408" s="3" t="inlineStr">
        <is>
          <t>DL022</t>
        </is>
      </c>
      <c r="C2408" s="4" t="inlineStr">
        <is>
          <t>ĐL Đà Nẵng - Phú Vinh</t>
        </is>
      </c>
      <c r="D2408" s="3" t="inlineStr">
        <is>
          <t>Đà Nẵng</t>
        </is>
      </c>
      <c r="E2408" s="3" t="inlineStr">
        <is>
          <t>THÙY TRANG</t>
        </is>
      </c>
      <c r="F2408" s="3" t="inlineStr">
        <is>
          <t>Shopee, Tiktok</t>
        </is>
      </c>
      <c r="G240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8" s="3" t="inlineStr">
        <is>
          <t>KUC80</t>
        </is>
      </c>
      <c r="I2408" s="4" t="inlineStr">
        <is>
          <t>Mỏ hàn thiếc KUC80</t>
        </is>
      </c>
      <c r="J2408" s="3" t="inlineStr">
        <is>
          <t>Cái</t>
        </is>
      </c>
      <c r="K2408" s="5" t="n">
        <v>154000</v>
      </c>
      <c r="L2408" s="5" t="n">
        <v>182000</v>
      </c>
      <c r="M2408" s="6" t="n">
        <v>223000</v>
      </c>
      <c r="N2408" s="5" t="n"/>
      <c r="O2408" s="5">
        <f>IF(AND(ISNUMBER(N2408),ISNUMBER(M2408)),N2408-M2408,"")</f>
        <v/>
      </c>
      <c r="P2408" s="7">
        <f>IF(AND(ISNUMBER(N2408),ISNUMBER(M2408),M2408&gt;0),(N2408-M2408)/M2408,"")</f>
        <v/>
      </c>
      <c r="Q2408" s="3">
        <f>IF(P2408="","",IF(P2408&lt;-0.02,"🔴 Bán phá giá sàn",IF(P2408&gt;0.05,"🔵 Bán cao hơn","🟢 Đúng giá sàn TMĐT")))</f>
        <v/>
      </c>
      <c r="R2408" s="3" t="n"/>
      <c r="S2408" s="4" t="n"/>
      <c r="T2408" s="4" t="n"/>
    </row>
    <row r="2409">
      <c r="A2409" s="3" t="n">
        <v>2408</v>
      </c>
      <c r="B2409" s="3" t="inlineStr">
        <is>
          <t>DL022</t>
        </is>
      </c>
      <c r="C2409" s="4" t="inlineStr">
        <is>
          <t>ĐL Đà Nẵng - Phú Vinh</t>
        </is>
      </c>
      <c r="D2409" s="3" t="inlineStr">
        <is>
          <t>Đà Nẵng</t>
        </is>
      </c>
      <c r="E2409" s="3" t="inlineStr">
        <is>
          <t>THÙY TRANG</t>
        </is>
      </c>
      <c r="F2409" s="3" t="inlineStr">
        <is>
          <t>Shopee, Tiktok</t>
        </is>
      </c>
      <c r="G240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09" s="3" t="inlineStr">
        <is>
          <t>KD3</t>
        </is>
      </c>
      <c r="I2409" s="4" t="inlineStr">
        <is>
          <t>Mỏ lết đa năng cán bọc KD3 200</t>
        </is>
      </c>
      <c r="J2409" s="3" t="inlineStr">
        <is>
          <t>Cái</t>
        </is>
      </c>
      <c r="K2409" s="5" t="n">
        <v>108000</v>
      </c>
      <c r="L2409" s="5" t="n">
        <v>128000</v>
      </c>
      <c r="M2409" s="6" t="n">
        <v>157000</v>
      </c>
      <c r="N2409" s="5" t="n"/>
      <c r="O2409" s="5">
        <f>IF(AND(ISNUMBER(N2409),ISNUMBER(M2409)),N2409-M2409,"")</f>
        <v/>
      </c>
      <c r="P2409" s="7">
        <f>IF(AND(ISNUMBER(N2409),ISNUMBER(M2409),M2409&gt;0),(N2409-M2409)/M2409,"")</f>
        <v/>
      </c>
      <c r="Q2409" s="3">
        <f>IF(P2409="","",IF(P2409&lt;-0.02,"🔴 Bán phá giá sàn",IF(P2409&gt;0.05,"🔵 Bán cao hơn","🟢 Đúng giá sàn TMĐT")))</f>
        <v/>
      </c>
      <c r="R2409" s="3" t="n"/>
      <c r="S2409" s="4" t="n"/>
      <c r="T2409" s="4" t="n"/>
    </row>
    <row r="2410">
      <c r="A2410" s="3" t="n">
        <v>2409</v>
      </c>
      <c r="B2410" s="3" t="inlineStr">
        <is>
          <t>DL022</t>
        </is>
      </c>
      <c r="C2410" s="4" t="inlineStr">
        <is>
          <t>ĐL Đà Nẵng - Phú Vinh</t>
        </is>
      </c>
      <c r="D2410" s="3" t="inlineStr">
        <is>
          <t>Đà Nẵng</t>
        </is>
      </c>
      <c r="E2410" s="3" t="inlineStr">
        <is>
          <t>THÙY TRANG</t>
        </is>
      </c>
      <c r="F2410" s="3" t="inlineStr">
        <is>
          <t>Shopee, Tiktok</t>
        </is>
      </c>
      <c r="G241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0" s="3" t="inlineStr">
        <is>
          <t>KD3</t>
        </is>
      </c>
      <c r="I2410" s="4" t="inlineStr">
        <is>
          <t>Mỏ lết đa năng cán bọc KD3 250</t>
        </is>
      </c>
      <c r="J2410" s="3" t="inlineStr">
        <is>
          <t>Cái</t>
        </is>
      </c>
      <c r="K2410" s="5" t="n">
        <v>108000</v>
      </c>
      <c r="L2410" s="5" t="n">
        <v>128000</v>
      </c>
      <c r="M2410" s="6" t="n">
        <v>157000</v>
      </c>
      <c r="N2410" s="5" t="n"/>
      <c r="O2410" s="5">
        <f>IF(AND(ISNUMBER(N2410),ISNUMBER(M2410)),N2410-M2410,"")</f>
        <v/>
      </c>
      <c r="P2410" s="7">
        <f>IF(AND(ISNUMBER(N2410),ISNUMBER(M2410),M2410&gt;0),(N2410-M2410)/M2410,"")</f>
        <v/>
      </c>
      <c r="Q2410" s="3">
        <f>IF(P2410="","",IF(P2410&lt;-0.02,"🔴 Bán phá giá sàn",IF(P2410&gt;0.05,"🔵 Bán cao hơn","🟢 Đúng giá sàn TMĐT")))</f>
        <v/>
      </c>
      <c r="R2410" s="3" t="n"/>
      <c r="S2410" s="4" t="n"/>
      <c r="T2410" s="4" t="n"/>
    </row>
    <row r="2411">
      <c r="A2411" s="3" t="n">
        <v>2410</v>
      </c>
      <c r="B2411" s="3" t="inlineStr">
        <is>
          <t>DL022</t>
        </is>
      </c>
      <c r="C2411" s="4" t="inlineStr">
        <is>
          <t>ĐL Đà Nẵng - Phú Vinh</t>
        </is>
      </c>
      <c r="D2411" s="3" t="inlineStr">
        <is>
          <t>Đà Nẵng</t>
        </is>
      </c>
      <c r="E2411" s="3" t="inlineStr">
        <is>
          <t>THÙY TRANG</t>
        </is>
      </c>
      <c r="F2411" s="3" t="inlineStr">
        <is>
          <t>Shopee, Tiktok</t>
        </is>
      </c>
      <c r="G241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1" s="3" t="inlineStr">
        <is>
          <t>KD3</t>
        </is>
      </c>
      <c r="I2411" s="4" t="inlineStr">
        <is>
          <t>Mỏ lết đa năng cán bọc KD3 300</t>
        </is>
      </c>
      <c r="J2411" s="3" t="inlineStr">
        <is>
          <t>Cái</t>
        </is>
      </c>
      <c r="K2411" s="5" t="n">
        <v>108000</v>
      </c>
      <c r="L2411" s="5" t="n">
        <v>128000</v>
      </c>
      <c r="M2411" s="6" t="n">
        <v>157000</v>
      </c>
      <c r="N2411" s="5" t="n"/>
      <c r="O2411" s="5">
        <f>IF(AND(ISNUMBER(N2411),ISNUMBER(M2411)),N2411-M2411,"")</f>
        <v/>
      </c>
      <c r="P2411" s="7">
        <f>IF(AND(ISNUMBER(N2411),ISNUMBER(M2411),M2411&gt;0),(N2411-M2411)/M2411,"")</f>
        <v/>
      </c>
      <c r="Q2411" s="3">
        <f>IF(P2411="","",IF(P2411&lt;-0.02,"🔴 Bán phá giá sàn",IF(P2411&gt;0.05,"🔵 Bán cao hơn","🟢 Đúng giá sàn TMĐT")))</f>
        <v/>
      </c>
      <c r="R2411" s="3" t="n"/>
      <c r="S2411" s="4" t="n"/>
      <c r="T2411" s="4" t="n"/>
    </row>
    <row r="2412">
      <c r="A2412" s="3" t="n">
        <v>2411</v>
      </c>
      <c r="B2412" s="3" t="inlineStr">
        <is>
          <t>DL022</t>
        </is>
      </c>
      <c r="C2412" s="4" t="inlineStr">
        <is>
          <t>ĐL Đà Nẵng - Phú Vinh</t>
        </is>
      </c>
      <c r="D2412" s="3" t="inlineStr">
        <is>
          <t>Đà Nẵng</t>
        </is>
      </c>
      <c r="E2412" s="3" t="inlineStr">
        <is>
          <t>THÙY TRANG</t>
        </is>
      </c>
      <c r="F2412" s="3" t="inlineStr">
        <is>
          <t>Shopee, Tiktok</t>
        </is>
      </c>
      <c r="G241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2" s="3" t="inlineStr">
        <is>
          <t>KD2-375</t>
        </is>
      </c>
      <c r="I2412" s="4" t="inlineStr">
        <is>
          <t>Mỏ lết KD2-375</t>
        </is>
      </c>
      <c r="J2412" s="3" t="inlineStr">
        <is>
          <t>Cái</t>
        </is>
      </c>
      <c r="K2412" s="5" t="n">
        <v>286000</v>
      </c>
      <c r="L2412" s="5" t="n">
        <v>338000</v>
      </c>
      <c r="M2412" s="6" t="n">
        <v>415000</v>
      </c>
      <c r="N2412" s="5" t="n"/>
      <c r="O2412" s="5">
        <f>IF(AND(ISNUMBER(N2412),ISNUMBER(M2412)),N2412-M2412,"")</f>
        <v/>
      </c>
      <c r="P2412" s="7">
        <f>IF(AND(ISNUMBER(N2412),ISNUMBER(M2412),M2412&gt;0),(N2412-M2412)/M2412,"")</f>
        <v/>
      </c>
      <c r="Q2412" s="3">
        <f>IF(P2412="","",IF(P2412&lt;-0.02,"🔴 Bán phá giá sàn",IF(P2412&gt;0.05,"🔵 Bán cao hơn","🟢 Đúng giá sàn TMĐT")))</f>
        <v/>
      </c>
      <c r="R2412" s="3" t="n"/>
      <c r="S2412" s="4" t="n"/>
      <c r="T2412" s="4" t="n"/>
    </row>
    <row r="2413">
      <c r="A2413" s="3" t="n">
        <v>2412</v>
      </c>
      <c r="B2413" s="3" t="inlineStr">
        <is>
          <t>DL022</t>
        </is>
      </c>
      <c r="C2413" s="4" t="inlineStr">
        <is>
          <t>ĐL Đà Nẵng - Phú Vinh</t>
        </is>
      </c>
      <c r="D2413" s="3" t="inlineStr">
        <is>
          <t>Đà Nẵng</t>
        </is>
      </c>
      <c r="E2413" s="3" t="inlineStr">
        <is>
          <t>THÙY TRANG</t>
        </is>
      </c>
      <c r="F2413" s="3" t="inlineStr">
        <is>
          <t>Shopee, Tiktok</t>
        </is>
      </c>
      <c r="G241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3" s="3" t="inlineStr">
        <is>
          <t>V100R</t>
        </is>
      </c>
      <c r="I2413" s="4" t="inlineStr">
        <is>
          <t>Mũi bắn vít chống trượt KingBlue V100R</t>
        </is>
      </c>
      <c r="J2413" s="3" t="inlineStr">
        <is>
          <t>Vỉ</t>
        </is>
      </c>
      <c r="K2413" s="5" t="n">
        <v>29000</v>
      </c>
      <c r="L2413" s="5" t="n">
        <v>37000</v>
      </c>
      <c r="M2413" s="6" t="n">
        <v>48000</v>
      </c>
      <c r="N2413" s="5" t="n"/>
      <c r="O2413" s="5">
        <f>IF(AND(ISNUMBER(N2413),ISNUMBER(M2413)),N2413-M2413,"")</f>
        <v/>
      </c>
      <c r="P2413" s="7">
        <f>IF(AND(ISNUMBER(N2413),ISNUMBER(M2413),M2413&gt;0),(N2413-M2413)/M2413,"")</f>
        <v/>
      </c>
      <c r="Q2413" s="3">
        <f>IF(P2413="","",IF(P2413&lt;-0.02,"🔴 Bán phá giá sàn",IF(P2413&gt;0.05,"🔵 Bán cao hơn","🟢 Đúng giá sàn TMĐT")))</f>
        <v/>
      </c>
      <c r="R2413" s="3" t="n"/>
      <c r="S2413" s="4" t="n"/>
      <c r="T2413" s="4" t="n"/>
    </row>
    <row r="2414">
      <c r="A2414" s="3" t="n">
        <v>2413</v>
      </c>
      <c r="B2414" s="3" t="inlineStr">
        <is>
          <t>DL022</t>
        </is>
      </c>
      <c r="C2414" s="4" t="inlineStr">
        <is>
          <t>ĐL Đà Nẵng - Phú Vinh</t>
        </is>
      </c>
      <c r="D2414" s="3" t="inlineStr">
        <is>
          <t>Đà Nẵng</t>
        </is>
      </c>
      <c r="E2414" s="3" t="inlineStr">
        <is>
          <t>THÙY TRANG</t>
        </is>
      </c>
      <c r="F2414" s="3" t="inlineStr">
        <is>
          <t>Shopee, Tiktok</t>
        </is>
      </c>
      <c r="G241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4" s="3" t="inlineStr">
        <is>
          <t>V150R</t>
        </is>
      </c>
      <c r="I2414" s="4" t="inlineStr">
        <is>
          <t>Mũi bắn vít chống trượt KingBlue V150R</t>
        </is>
      </c>
      <c r="J2414" s="3" t="inlineStr">
        <is>
          <t>Vỉ</t>
        </is>
      </c>
      <c r="K2414" s="5" t="n">
        <v>40000</v>
      </c>
      <c r="L2414" s="5" t="n">
        <v>50000</v>
      </c>
      <c r="M2414" s="6" t="n">
        <v>66000</v>
      </c>
      <c r="N2414" s="5" t="n"/>
      <c r="O2414" s="5">
        <f>IF(AND(ISNUMBER(N2414),ISNUMBER(M2414)),N2414-M2414,"")</f>
        <v/>
      </c>
      <c r="P2414" s="7">
        <f>IF(AND(ISNUMBER(N2414),ISNUMBER(M2414),M2414&gt;0),(N2414-M2414)/M2414,"")</f>
        <v/>
      </c>
      <c r="Q2414" s="3">
        <f>IF(P2414="","",IF(P2414&lt;-0.02,"🔴 Bán phá giá sàn",IF(P2414&gt;0.05,"🔵 Bán cao hơn","🟢 Đúng giá sàn TMĐT")))</f>
        <v/>
      </c>
      <c r="R2414" s="3" t="n"/>
      <c r="S2414" s="4" t="n"/>
      <c r="T2414" s="4" t="n"/>
    </row>
    <row r="2415">
      <c r="A2415" s="3" t="n">
        <v>2414</v>
      </c>
      <c r="B2415" s="3" t="inlineStr">
        <is>
          <t>DL022</t>
        </is>
      </c>
      <c r="C2415" s="4" t="inlineStr">
        <is>
          <t>ĐL Đà Nẵng - Phú Vinh</t>
        </is>
      </c>
      <c r="D2415" s="3" t="inlineStr">
        <is>
          <t>Đà Nẵng</t>
        </is>
      </c>
      <c r="E2415" s="3" t="inlineStr">
        <is>
          <t>THÙY TRANG</t>
        </is>
      </c>
      <c r="F2415" s="3" t="inlineStr">
        <is>
          <t>Shopee, Tiktok</t>
        </is>
      </c>
      <c r="G241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5" s="3" t="inlineStr">
        <is>
          <t>V65R</t>
        </is>
      </c>
      <c r="I2415" s="4" t="inlineStr">
        <is>
          <t>Mũi bắn vít chống trượt KingBlue V65R</t>
        </is>
      </c>
      <c r="J2415" s="3" t="inlineStr">
        <is>
          <t>Vỉ</t>
        </is>
      </c>
      <c r="K2415" s="5" t="n">
        <v>20000</v>
      </c>
      <c r="L2415" s="5" t="n">
        <v>25000</v>
      </c>
      <c r="M2415" s="6" t="n">
        <v>33000</v>
      </c>
      <c r="N2415" s="5" t="n"/>
      <c r="O2415" s="5">
        <f>IF(AND(ISNUMBER(N2415),ISNUMBER(M2415)),N2415-M2415,"")</f>
        <v/>
      </c>
      <c r="P2415" s="7">
        <f>IF(AND(ISNUMBER(N2415),ISNUMBER(M2415),M2415&gt;0),(N2415-M2415)/M2415,"")</f>
        <v/>
      </c>
      <c r="Q2415" s="3">
        <f>IF(P2415="","",IF(P2415&lt;-0.02,"🔴 Bán phá giá sàn",IF(P2415&gt;0.05,"🔵 Bán cao hơn","🟢 Đúng giá sàn TMĐT")))</f>
        <v/>
      </c>
      <c r="R2415" s="3" t="n"/>
      <c r="S2415" s="4" t="n"/>
      <c r="T2415" s="4" t="n"/>
    </row>
    <row r="2416">
      <c r="A2416" s="3" t="n">
        <v>2415</v>
      </c>
      <c r="B2416" s="3" t="inlineStr">
        <is>
          <t>DL022</t>
        </is>
      </c>
      <c r="C2416" s="4" t="inlineStr">
        <is>
          <t>ĐL Đà Nẵng - Phú Vinh</t>
        </is>
      </c>
      <c r="D2416" s="3" t="inlineStr">
        <is>
          <t>Đà Nẵng</t>
        </is>
      </c>
      <c r="E2416" s="3" t="inlineStr">
        <is>
          <t>THÙY TRANG</t>
        </is>
      </c>
      <c r="F2416" s="3" t="inlineStr">
        <is>
          <t>Shopee, Tiktok</t>
        </is>
      </c>
      <c r="G241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6" s="3" t="inlineStr">
        <is>
          <t>V100S</t>
        </is>
      </c>
      <c r="I2416" s="4" t="inlineStr">
        <is>
          <t>Mũi bắn vít PH2 V100S</t>
        </is>
      </c>
      <c r="J2416" s="3" t="inlineStr">
        <is>
          <t>Vỉ</t>
        </is>
      </c>
      <c r="K2416" s="5" t="n">
        <v>44000</v>
      </c>
      <c r="L2416" s="5" t="n">
        <v>56000</v>
      </c>
      <c r="M2416" s="6" t="n">
        <v>73000</v>
      </c>
      <c r="N2416" s="5" t="n"/>
      <c r="O2416" s="5">
        <f>IF(AND(ISNUMBER(N2416),ISNUMBER(M2416)),N2416-M2416,"")</f>
        <v/>
      </c>
      <c r="P2416" s="7">
        <f>IF(AND(ISNUMBER(N2416),ISNUMBER(M2416),M2416&gt;0),(N2416-M2416)/M2416,"")</f>
        <v/>
      </c>
      <c r="Q2416" s="3">
        <f>IF(P2416="","",IF(P2416&lt;-0.02,"🔴 Bán phá giá sàn",IF(P2416&gt;0.05,"🔵 Bán cao hơn","🟢 Đúng giá sàn TMĐT")))</f>
        <v/>
      </c>
      <c r="R2416" s="3" t="n"/>
      <c r="S2416" s="4" t="n"/>
      <c r="T2416" s="4" t="n"/>
    </row>
    <row r="2417">
      <c r="A2417" s="3" t="n">
        <v>2416</v>
      </c>
      <c r="B2417" s="3" t="inlineStr">
        <is>
          <t>DL022</t>
        </is>
      </c>
      <c r="C2417" s="4" t="inlineStr">
        <is>
          <t>ĐL Đà Nẵng - Phú Vinh</t>
        </is>
      </c>
      <c r="D2417" s="3" t="inlineStr">
        <is>
          <t>Đà Nẵng</t>
        </is>
      </c>
      <c r="E2417" s="3" t="inlineStr">
        <is>
          <t>THÙY TRANG</t>
        </is>
      </c>
      <c r="F2417" s="3" t="inlineStr">
        <is>
          <t>Shopee, Tiktok</t>
        </is>
      </c>
      <c r="G241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7" s="3" t="inlineStr">
        <is>
          <t>V150S</t>
        </is>
      </c>
      <c r="I2417" s="4" t="inlineStr">
        <is>
          <t>Mũi bắn vít PH2 V150S</t>
        </is>
      </c>
      <c r="J2417" s="3" t="inlineStr">
        <is>
          <t>Vỉ</t>
        </is>
      </c>
      <c r="K2417" s="5" t="n">
        <v>54000</v>
      </c>
      <c r="L2417" s="5" t="n">
        <v>68000</v>
      </c>
      <c r="M2417" s="6" t="n">
        <v>89000</v>
      </c>
      <c r="N2417" s="5" t="n"/>
      <c r="O2417" s="5">
        <f>IF(AND(ISNUMBER(N2417),ISNUMBER(M2417)),N2417-M2417,"")</f>
        <v/>
      </c>
      <c r="P2417" s="7">
        <f>IF(AND(ISNUMBER(N2417),ISNUMBER(M2417),M2417&gt;0),(N2417-M2417)/M2417,"")</f>
        <v/>
      </c>
      <c r="Q2417" s="3">
        <f>IF(P2417="","",IF(P2417&lt;-0.02,"🔴 Bán phá giá sàn",IF(P2417&gt;0.05,"🔵 Bán cao hơn","🟢 Đúng giá sàn TMĐT")))</f>
        <v/>
      </c>
      <c r="R2417" s="3" t="n"/>
      <c r="S2417" s="4" t="n"/>
      <c r="T2417" s="4" t="n"/>
    </row>
    <row r="2418">
      <c r="A2418" s="3" t="n">
        <v>2417</v>
      </c>
      <c r="B2418" s="3" t="inlineStr">
        <is>
          <t>DL022</t>
        </is>
      </c>
      <c r="C2418" s="4" t="inlineStr">
        <is>
          <t>ĐL Đà Nẵng - Phú Vinh</t>
        </is>
      </c>
      <c r="D2418" s="3" t="inlineStr">
        <is>
          <t>Đà Nẵng</t>
        </is>
      </c>
      <c r="E2418" s="3" t="inlineStr">
        <is>
          <t>THÙY TRANG</t>
        </is>
      </c>
      <c r="F2418" s="3" t="inlineStr">
        <is>
          <t>Shopee, Tiktok</t>
        </is>
      </c>
      <c r="G241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8" s="3" t="inlineStr">
        <is>
          <t>V65S</t>
        </is>
      </c>
      <c r="I2418" s="4" t="inlineStr">
        <is>
          <t>Mũi bắn vít PH2 V65S</t>
        </is>
      </c>
      <c r="J2418" s="3" t="inlineStr">
        <is>
          <t>Vỉ</t>
        </is>
      </c>
      <c r="K2418" s="5" t="n">
        <v>30000</v>
      </c>
      <c r="L2418" s="5" t="n">
        <v>38000</v>
      </c>
      <c r="M2418" s="6" t="n">
        <v>50000</v>
      </c>
      <c r="N2418" s="5" t="n"/>
      <c r="O2418" s="5">
        <f>IF(AND(ISNUMBER(N2418),ISNUMBER(M2418)),N2418-M2418,"")</f>
        <v/>
      </c>
      <c r="P2418" s="7">
        <f>IF(AND(ISNUMBER(N2418),ISNUMBER(M2418),M2418&gt;0),(N2418-M2418)/M2418,"")</f>
        <v/>
      </c>
      <c r="Q2418" s="3">
        <f>IF(P2418="","",IF(P2418&lt;-0.02,"🔴 Bán phá giá sàn",IF(P2418&gt;0.05,"🔵 Bán cao hơn","🟢 Đúng giá sàn TMĐT")))</f>
        <v/>
      </c>
      <c r="R2418" s="3" t="n"/>
      <c r="S2418" s="4" t="n"/>
      <c r="T2418" s="4" t="n"/>
    </row>
    <row r="2419">
      <c r="A2419" s="3" t="n">
        <v>2418</v>
      </c>
      <c r="B2419" s="3" t="inlineStr">
        <is>
          <t>DL022</t>
        </is>
      </c>
      <c r="C2419" s="4" t="inlineStr">
        <is>
          <t>ĐL Đà Nẵng - Phú Vinh</t>
        </is>
      </c>
      <c r="D2419" s="3" t="inlineStr">
        <is>
          <t>Đà Nẵng</t>
        </is>
      </c>
      <c r="E2419" s="3" t="inlineStr">
        <is>
          <t>THÙY TRANG</t>
        </is>
      </c>
      <c r="F2419" s="3" t="inlineStr">
        <is>
          <t>Shopee, Tiktok</t>
        </is>
      </c>
      <c r="G241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19" s="3" t="inlineStr"/>
      <c r="I2419" s="4" t="inlineStr">
        <is>
          <t>Mũi định tâm</t>
        </is>
      </c>
      <c r="J2419" s="3" t="inlineStr">
        <is>
          <t>Cái</t>
        </is>
      </c>
      <c r="K2419" s="5" t="n">
        <v>269000</v>
      </c>
      <c r="L2419" s="5" t="n">
        <v>317000</v>
      </c>
      <c r="M2419" s="6" t="n">
        <v>390000</v>
      </c>
      <c r="N2419" s="5" t="n"/>
      <c r="O2419" s="5">
        <f>IF(AND(ISNUMBER(N2419),ISNUMBER(M2419)),N2419-M2419,"")</f>
        <v/>
      </c>
      <c r="P2419" s="7">
        <f>IF(AND(ISNUMBER(N2419),ISNUMBER(M2419),M2419&gt;0),(N2419-M2419)/M2419,"")</f>
        <v/>
      </c>
      <c r="Q2419" s="3">
        <f>IF(P2419="","",IF(P2419&lt;-0.02,"🔴 Bán phá giá sàn",IF(P2419&gt;0.05,"🔵 Bán cao hơn","🟢 Đúng giá sàn TMĐT")))</f>
        <v/>
      </c>
      <c r="R2419" s="3" t="n"/>
      <c r="S2419" s="4" t="n"/>
      <c r="T2419" s="4" t="n"/>
    </row>
    <row r="2420">
      <c r="A2420" s="3" t="n">
        <v>2419</v>
      </c>
      <c r="B2420" s="3" t="inlineStr">
        <is>
          <t>DL022</t>
        </is>
      </c>
      <c r="C2420" s="4" t="inlineStr">
        <is>
          <t>ĐL Đà Nẵng - Phú Vinh</t>
        </is>
      </c>
      <c r="D2420" s="3" t="inlineStr">
        <is>
          <t>Đà Nẵng</t>
        </is>
      </c>
      <c r="E2420" s="3" t="inlineStr">
        <is>
          <t>THÙY TRANG</t>
        </is>
      </c>
      <c r="F2420" s="3" t="inlineStr">
        <is>
          <t>Shopee, Tiktok</t>
        </is>
      </c>
      <c r="G242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0" s="3" t="inlineStr"/>
      <c r="I2420" s="4" t="inlineStr">
        <is>
          <t>Mũi đục bê tông KBVd-14*250*22</t>
        </is>
      </c>
      <c r="J2420" s="3" t="inlineStr">
        <is>
          <t>Cái</t>
        </is>
      </c>
      <c r="K2420" s="5" t="n">
        <v>269000</v>
      </c>
      <c r="L2420" s="5" t="n">
        <v>317000</v>
      </c>
      <c r="M2420" s="6" t="n">
        <v>390000</v>
      </c>
      <c r="N2420" s="5" t="n"/>
      <c r="O2420" s="5">
        <f>IF(AND(ISNUMBER(N2420),ISNUMBER(M2420)),N2420-M2420,"")</f>
        <v/>
      </c>
      <c r="P2420" s="7">
        <f>IF(AND(ISNUMBER(N2420),ISNUMBER(M2420),M2420&gt;0),(N2420-M2420)/M2420,"")</f>
        <v/>
      </c>
      <c r="Q2420" s="3">
        <f>IF(P2420="","",IF(P2420&lt;-0.02,"🔴 Bán phá giá sàn",IF(P2420&gt;0.05,"🔵 Bán cao hơn","🟢 Đúng giá sàn TMĐT")))</f>
        <v/>
      </c>
      <c r="R2420" s="3" t="n"/>
      <c r="S2420" s="4" t="n"/>
      <c r="T2420" s="4" t="n"/>
    </row>
    <row r="2421">
      <c r="A2421" s="3" t="n">
        <v>2420</v>
      </c>
      <c r="B2421" s="3" t="inlineStr">
        <is>
          <t>DL022</t>
        </is>
      </c>
      <c r="C2421" s="4" t="inlineStr">
        <is>
          <t>ĐL Đà Nẵng - Phú Vinh</t>
        </is>
      </c>
      <c r="D2421" s="3" t="inlineStr">
        <is>
          <t>Đà Nẵng</t>
        </is>
      </c>
      <c r="E2421" s="3" t="inlineStr">
        <is>
          <t>THÙY TRANG</t>
        </is>
      </c>
      <c r="F2421" s="3" t="inlineStr">
        <is>
          <t>Shopee, Tiktok</t>
        </is>
      </c>
      <c r="G242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1" s="3" t="inlineStr"/>
      <c r="I2421" s="4" t="inlineStr">
        <is>
          <t>Mũi đục bê tông KBVd-17*280*25</t>
        </is>
      </c>
      <c r="J2421" s="3" t="inlineStr">
        <is>
          <t>Cái</t>
        </is>
      </c>
      <c r="K2421" s="5" t="n">
        <v>269000</v>
      </c>
      <c r="L2421" s="5" t="n">
        <v>317000</v>
      </c>
      <c r="M2421" s="6" t="n">
        <v>390000</v>
      </c>
      <c r="N2421" s="5" t="n"/>
      <c r="O2421" s="5">
        <f>IF(AND(ISNUMBER(N2421),ISNUMBER(M2421)),N2421-M2421,"")</f>
        <v/>
      </c>
      <c r="P2421" s="7">
        <f>IF(AND(ISNUMBER(N2421),ISNUMBER(M2421),M2421&gt;0),(N2421-M2421)/M2421,"")</f>
        <v/>
      </c>
      <c r="Q2421" s="3">
        <f>IF(P2421="","",IF(P2421&lt;-0.02,"🔴 Bán phá giá sàn",IF(P2421&gt;0.05,"🔵 Bán cao hơn","🟢 Đúng giá sàn TMĐT")))</f>
        <v/>
      </c>
      <c r="R2421" s="3" t="n"/>
      <c r="S2421" s="4" t="n"/>
      <c r="T2421" s="4" t="n"/>
    </row>
    <row r="2422">
      <c r="A2422" s="3" t="n">
        <v>2421</v>
      </c>
      <c r="B2422" s="3" t="inlineStr">
        <is>
          <t>DL022</t>
        </is>
      </c>
      <c r="C2422" s="4" t="inlineStr">
        <is>
          <t>ĐL Đà Nẵng - Phú Vinh</t>
        </is>
      </c>
      <c r="D2422" s="3" t="inlineStr">
        <is>
          <t>Đà Nẵng</t>
        </is>
      </c>
      <c r="E2422" s="3" t="inlineStr">
        <is>
          <t>THÙY TRANG</t>
        </is>
      </c>
      <c r="F2422" s="3" t="inlineStr">
        <is>
          <t>Shopee, Tiktok</t>
        </is>
      </c>
      <c r="G242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2" s="3" t="inlineStr"/>
      <c r="I2422" s="4" t="inlineStr">
        <is>
          <t>Mũi đục bê tông KBVn-14*250</t>
        </is>
      </c>
      <c r="J2422" s="3" t="inlineStr">
        <is>
          <t>Cái</t>
        </is>
      </c>
      <c r="K2422" s="5" t="n">
        <v>269000</v>
      </c>
      <c r="L2422" s="5" t="n">
        <v>317000</v>
      </c>
      <c r="M2422" s="6" t="n">
        <v>390000</v>
      </c>
      <c r="N2422" s="5" t="n"/>
      <c r="O2422" s="5">
        <f>IF(AND(ISNUMBER(N2422),ISNUMBER(M2422)),N2422-M2422,"")</f>
        <v/>
      </c>
      <c r="P2422" s="7">
        <f>IF(AND(ISNUMBER(N2422),ISNUMBER(M2422),M2422&gt;0),(N2422-M2422)/M2422,"")</f>
        <v/>
      </c>
      <c r="Q2422" s="3">
        <f>IF(P2422="","",IF(P2422&lt;-0.02,"🔴 Bán phá giá sàn",IF(P2422&gt;0.05,"🔵 Bán cao hơn","🟢 Đúng giá sàn TMĐT")))</f>
        <v/>
      </c>
      <c r="R2422" s="3" t="n"/>
      <c r="S2422" s="4" t="n"/>
      <c r="T2422" s="4" t="n"/>
    </row>
    <row r="2423">
      <c r="A2423" s="3" t="n">
        <v>2422</v>
      </c>
      <c r="B2423" s="3" t="inlineStr">
        <is>
          <t>DL022</t>
        </is>
      </c>
      <c r="C2423" s="4" t="inlineStr">
        <is>
          <t>ĐL Đà Nẵng - Phú Vinh</t>
        </is>
      </c>
      <c r="D2423" s="3" t="inlineStr">
        <is>
          <t>Đà Nẵng</t>
        </is>
      </c>
      <c r="E2423" s="3" t="inlineStr">
        <is>
          <t>THÙY TRANG</t>
        </is>
      </c>
      <c r="F2423" s="3" t="inlineStr">
        <is>
          <t>Shopee, Tiktok</t>
        </is>
      </c>
      <c r="G242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3" s="3" t="inlineStr"/>
      <c r="I2423" s="4" t="inlineStr">
        <is>
          <t>Mũi đục bê tông KBVn-17*280</t>
        </is>
      </c>
      <c r="J2423" s="3" t="inlineStr">
        <is>
          <t>Cái</t>
        </is>
      </c>
      <c r="K2423" s="5" t="n">
        <v>269000</v>
      </c>
      <c r="L2423" s="5" t="n">
        <v>317000</v>
      </c>
      <c r="M2423" s="6" t="n">
        <v>390000</v>
      </c>
      <c r="N2423" s="5" t="n"/>
      <c r="O2423" s="5">
        <f>IF(AND(ISNUMBER(N2423),ISNUMBER(M2423)),N2423-M2423,"")</f>
        <v/>
      </c>
      <c r="P2423" s="7">
        <f>IF(AND(ISNUMBER(N2423),ISNUMBER(M2423),M2423&gt;0),(N2423-M2423)/M2423,"")</f>
        <v/>
      </c>
      <c r="Q2423" s="3">
        <f>IF(P2423="","",IF(P2423&lt;-0.02,"🔴 Bán phá giá sàn",IF(P2423&gt;0.05,"🔵 Bán cao hơn","🟢 Đúng giá sàn TMĐT")))</f>
        <v/>
      </c>
      <c r="R2423" s="3" t="n"/>
      <c r="S2423" s="4" t="n"/>
      <c r="T2423" s="4" t="n"/>
    </row>
    <row r="2424">
      <c r="A2424" s="3" t="n">
        <v>2423</v>
      </c>
      <c r="B2424" s="3" t="inlineStr">
        <is>
          <t>DL022</t>
        </is>
      </c>
      <c r="C2424" s="4" t="inlineStr">
        <is>
          <t>ĐL Đà Nẵng - Phú Vinh</t>
        </is>
      </c>
      <c r="D2424" s="3" t="inlineStr">
        <is>
          <t>Đà Nẵng</t>
        </is>
      </c>
      <c r="E2424" s="3" t="inlineStr">
        <is>
          <t>THÙY TRANG</t>
        </is>
      </c>
      <c r="F2424" s="3" t="inlineStr">
        <is>
          <t>Shopee, Tiktok</t>
        </is>
      </c>
      <c r="G242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4" s="3" t="inlineStr"/>
      <c r="I2424" s="4" t="inlineStr">
        <is>
          <t>Mũi đục bê tông KBVn 30*420</t>
        </is>
      </c>
      <c r="J2424" s="3" t="inlineStr">
        <is>
          <t>Cái</t>
        </is>
      </c>
      <c r="K2424" s="5" t="n">
        <v>269000</v>
      </c>
      <c r="L2424" s="5" t="n">
        <v>317000</v>
      </c>
      <c r="M2424" s="6" t="n">
        <v>390000</v>
      </c>
      <c r="N2424" s="5" t="n"/>
      <c r="O2424" s="5">
        <f>IF(AND(ISNUMBER(N2424),ISNUMBER(M2424)),N2424-M2424,"")</f>
        <v/>
      </c>
      <c r="P2424" s="7">
        <f>IF(AND(ISNUMBER(N2424),ISNUMBER(M2424),M2424&gt;0),(N2424-M2424)/M2424,"")</f>
        <v/>
      </c>
      <c r="Q2424" s="3">
        <f>IF(P2424="","",IF(P2424&lt;-0.02,"🔴 Bán phá giá sàn",IF(P2424&gt;0.05,"🔵 Bán cao hơn","🟢 Đúng giá sàn TMĐT")))</f>
        <v/>
      </c>
      <c r="R2424" s="3" t="n"/>
      <c r="S2424" s="4" t="n"/>
      <c r="T2424" s="4" t="n"/>
    </row>
    <row r="2425">
      <c r="A2425" s="3" t="n">
        <v>2424</v>
      </c>
      <c r="B2425" s="3" t="inlineStr">
        <is>
          <t>DL022</t>
        </is>
      </c>
      <c r="C2425" s="4" t="inlineStr">
        <is>
          <t>ĐL Đà Nẵng - Phú Vinh</t>
        </is>
      </c>
      <c r="D2425" s="3" t="inlineStr">
        <is>
          <t>Đà Nẵng</t>
        </is>
      </c>
      <c r="E2425" s="3" t="inlineStr">
        <is>
          <t>THÙY TRANG</t>
        </is>
      </c>
      <c r="F2425" s="3" t="inlineStr">
        <is>
          <t>Shopee, Tiktok</t>
        </is>
      </c>
      <c r="G242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5" s="3" t="inlineStr">
        <is>
          <t>KBL4-06160</t>
        </is>
      </c>
      <c r="I2425" s="4" t="inlineStr">
        <is>
          <t>Mũi khoan bê tông 4 cạnh KBL4-06*160</t>
        </is>
      </c>
      <c r="J2425" s="3" t="inlineStr">
        <is>
          <t>Cái</t>
        </is>
      </c>
      <c r="K2425" s="5" t="n">
        <v>24000</v>
      </c>
      <c r="L2425" s="5" t="n">
        <v>29000</v>
      </c>
      <c r="M2425" s="6" t="n">
        <v>37000</v>
      </c>
      <c r="N2425" s="5" t="n"/>
      <c r="O2425" s="5">
        <f>IF(AND(ISNUMBER(N2425),ISNUMBER(M2425)),N2425-M2425,"")</f>
        <v/>
      </c>
      <c r="P2425" s="7">
        <f>IF(AND(ISNUMBER(N2425),ISNUMBER(M2425),M2425&gt;0),(N2425-M2425)/M2425,"")</f>
        <v/>
      </c>
      <c r="Q2425" s="3">
        <f>IF(P2425="","",IF(P2425&lt;-0.02,"🔴 Bán phá giá sàn",IF(P2425&gt;0.05,"🔵 Bán cao hơn","🟢 Đúng giá sàn TMĐT")))</f>
        <v/>
      </c>
      <c r="R2425" s="3" t="n"/>
      <c r="S2425" s="4" t="n"/>
      <c r="T2425" s="4" t="n"/>
    </row>
    <row r="2426">
      <c r="A2426" s="3" t="n">
        <v>2425</v>
      </c>
      <c r="B2426" s="3" t="inlineStr">
        <is>
          <t>DL022</t>
        </is>
      </c>
      <c r="C2426" s="4" t="inlineStr">
        <is>
          <t>ĐL Đà Nẵng - Phú Vinh</t>
        </is>
      </c>
      <c r="D2426" s="3" t="inlineStr">
        <is>
          <t>Đà Nẵng</t>
        </is>
      </c>
      <c r="E2426" s="3" t="inlineStr">
        <is>
          <t>THÙY TRANG</t>
        </is>
      </c>
      <c r="F2426" s="3" t="inlineStr">
        <is>
          <t>Shopee, Tiktok</t>
        </is>
      </c>
      <c r="G242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6" s="3" t="inlineStr">
        <is>
          <t>KBL4-08160</t>
        </is>
      </c>
      <c r="I2426" s="4" t="inlineStr">
        <is>
          <t>Mũi khoan bê tông 4 cạnh KBL4-08*160</t>
        </is>
      </c>
      <c r="J2426" s="3" t="inlineStr">
        <is>
          <t>Cái</t>
        </is>
      </c>
      <c r="K2426" s="5" t="n">
        <v>27000</v>
      </c>
      <c r="L2426" s="5" t="n">
        <v>33000</v>
      </c>
      <c r="M2426" s="6" t="n">
        <v>42000</v>
      </c>
      <c r="N2426" s="5" t="n"/>
      <c r="O2426" s="5">
        <f>IF(AND(ISNUMBER(N2426),ISNUMBER(M2426)),N2426-M2426,"")</f>
        <v/>
      </c>
      <c r="P2426" s="7">
        <f>IF(AND(ISNUMBER(N2426),ISNUMBER(M2426),M2426&gt;0),(N2426-M2426)/M2426,"")</f>
        <v/>
      </c>
      <c r="Q2426" s="3">
        <f>IF(P2426="","",IF(P2426&lt;-0.02,"🔴 Bán phá giá sàn",IF(P2426&gt;0.05,"🔵 Bán cao hơn","🟢 Đúng giá sàn TMĐT")))</f>
        <v/>
      </c>
      <c r="R2426" s="3" t="n"/>
      <c r="S2426" s="4" t="n"/>
      <c r="T2426" s="4" t="n"/>
    </row>
    <row r="2427">
      <c r="A2427" s="3" t="n">
        <v>2426</v>
      </c>
      <c r="B2427" s="3" t="inlineStr">
        <is>
          <t>DL022</t>
        </is>
      </c>
      <c r="C2427" s="4" t="inlineStr">
        <is>
          <t>ĐL Đà Nẵng - Phú Vinh</t>
        </is>
      </c>
      <c r="D2427" s="3" t="inlineStr">
        <is>
          <t>Đà Nẵng</t>
        </is>
      </c>
      <c r="E2427" s="3" t="inlineStr">
        <is>
          <t>THÙY TRANG</t>
        </is>
      </c>
      <c r="F2427" s="3" t="inlineStr">
        <is>
          <t>Shopee, Tiktok</t>
        </is>
      </c>
      <c r="G242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7" s="3" t="inlineStr">
        <is>
          <t>KBL4-10160</t>
        </is>
      </c>
      <c r="I2427" s="4" t="inlineStr">
        <is>
          <t>Mũi khoan bê tông 4 cạnh KBL4-10*160</t>
        </is>
      </c>
      <c r="J2427" s="3" t="inlineStr">
        <is>
          <t>Cái</t>
        </is>
      </c>
      <c r="K2427" s="5" t="n">
        <v>30000</v>
      </c>
      <c r="L2427" s="5" t="n">
        <v>37000</v>
      </c>
      <c r="M2427" s="6" t="n">
        <v>47000</v>
      </c>
      <c r="N2427" s="5" t="n"/>
      <c r="O2427" s="5">
        <f>IF(AND(ISNUMBER(N2427),ISNUMBER(M2427)),N2427-M2427,"")</f>
        <v/>
      </c>
      <c r="P2427" s="7">
        <f>IF(AND(ISNUMBER(N2427),ISNUMBER(M2427),M2427&gt;0),(N2427-M2427)/M2427,"")</f>
        <v/>
      </c>
      <c r="Q2427" s="3">
        <f>IF(P2427="","",IF(P2427&lt;-0.02,"🔴 Bán phá giá sàn",IF(P2427&gt;0.05,"🔵 Bán cao hơn","🟢 Đúng giá sàn TMĐT")))</f>
        <v/>
      </c>
      <c r="R2427" s="3" t="n"/>
      <c r="S2427" s="4" t="n"/>
      <c r="T2427" s="4" t="n"/>
    </row>
    <row r="2428">
      <c r="A2428" s="3" t="n">
        <v>2427</v>
      </c>
      <c r="B2428" s="3" t="inlineStr">
        <is>
          <t>DL022</t>
        </is>
      </c>
      <c r="C2428" s="4" t="inlineStr">
        <is>
          <t>ĐL Đà Nẵng - Phú Vinh</t>
        </is>
      </c>
      <c r="D2428" s="3" t="inlineStr">
        <is>
          <t>Đà Nẵng</t>
        </is>
      </c>
      <c r="E2428" s="3" t="inlineStr">
        <is>
          <t>THÙY TRANG</t>
        </is>
      </c>
      <c r="F2428" s="3" t="inlineStr">
        <is>
          <t>Shopee, Tiktok</t>
        </is>
      </c>
      <c r="G242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8" s="3" t="inlineStr">
        <is>
          <t>KBL4-12160</t>
        </is>
      </c>
      <c r="I2428" s="4" t="inlineStr">
        <is>
          <t>Mũi khoan bê tông 4 cạnh KBL4-12*160</t>
        </is>
      </c>
      <c r="J2428" s="3" t="inlineStr">
        <is>
          <t>Cái</t>
        </is>
      </c>
      <c r="K2428" s="5" t="n">
        <v>33000</v>
      </c>
      <c r="L2428" s="5" t="n">
        <v>40000</v>
      </c>
      <c r="M2428" s="6" t="n">
        <v>51000</v>
      </c>
      <c r="N2428" s="5" t="n"/>
      <c r="O2428" s="5">
        <f>IF(AND(ISNUMBER(N2428),ISNUMBER(M2428)),N2428-M2428,"")</f>
        <v/>
      </c>
      <c r="P2428" s="7">
        <f>IF(AND(ISNUMBER(N2428),ISNUMBER(M2428),M2428&gt;0),(N2428-M2428)/M2428,"")</f>
        <v/>
      </c>
      <c r="Q2428" s="3">
        <f>IF(P2428="","",IF(P2428&lt;-0.02,"🔴 Bán phá giá sàn",IF(P2428&gt;0.05,"🔵 Bán cao hơn","🟢 Đúng giá sàn TMĐT")))</f>
        <v/>
      </c>
      <c r="R2428" s="3" t="n"/>
      <c r="S2428" s="4" t="n"/>
      <c r="T2428" s="4" t="n"/>
    </row>
    <row r="2429">
      <c r="A2429" s="3" t="n">
        <v>2428</v>
      </c>
      <c r="B2429" s="3" t="inlineStr">
        <is>
          <t>DL022</t>
        </is>
      </c>
      <c r="C2429" s="4" t="inlineStr">
        <is>
          <t>ĐL Đà Nẵng - Phú Vinh</t>
        </is>
      </c>
      <c r="D2429" s="3" t="inlineStr">
        <is>
          <t>Đà Nẵng</t>
        </is>
      </c>
      <c r="E2429" s="3" t="inlineStr">
        <is>
          <t>THÙY TRANG</t>
        </is>
      </c>
      <c r="F2429" s="3" t="inlineStr">
        <is>
          <t>Shopee, Tiktok</t>
        </is>
      </c>
      <c r="G242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29" s="3" t="inlineStr">
        <is>
          <t>KBL2-06110</t>
        </is>
      </c>
      <c r="I2429" s="4" t="inlineStr">
        <is>
          <t>Mũi khoan bê tông gài 2 cạnh KBL2-06*110</t>
        </is>
      </c>
      <c r="J2429" s="3" t="inlineStr">
        <is>
          <t>Cái</t>
        </is>
      </c>
      <c r="K2429" s="5" t="n">
        <v>20000</v>
      </c>
      <c r="L2429" s="5" t="n">
        <v>24000</v>
      </c>
      <c r="M2429" s="6" t="n">
        <v>31000</v>
      </c>
      <c r="N2429" s="5" t="n"/>
      <c r="O2429" s="5">
        <f>IF(AND(ISNUMBER(N2429),ISNUMBER(M2429)),N2429-M2429,"")</f>
        <v/>
      </c>
      <c r="P2429" s="7">
        <f>IF(AND(ISNUMBER(N2429),ISNUMBER(M2429),M2429&gt;0),(N2429-M2429)/M2429,"")</f>
        <v/>
      </c>
      <c r="Q2429" s="3">
        <f>IF(P2429="","",IF(P2429&lt;-0.02,"🔴 Bán phá giá sàn",IF(P2429&gt;0.05,"🔵 Bán cao hơn","🟢 Đúng giá sàn TMĐT")))</f>
        <v/>
      </c>
      <c r="R2429" s="3" t="n"/>
      <c r="S2429" s="4" t="n"/>
      <c r="T2429" s="4" t="n"/>
    </row>
    <row r="2430">
      <c r="A2430" s="3" t="n">
        <v>2429</v>
      </c>
      <c r="B2430" s="3" t="inlineStr">
        <is>
          <t>DL022</t>
        </is>
      </c>
      <c r="C2430" s="4" t="inlineStr">
        <is>
          <t>ĐL Đà Nẵng - Phú Vinh</t>
        </is>
      </c>
      <c r="D2430" s="3" t="inlineStr">
        <is>
          <t>Đà Nẵng</t>
        </is>
      </c>
      <c r="E2430" s="3" t="inlineStr">
        <is>
          <t>THÙY TRANG</t>
        </is>
      </c>
      <c r="F2430" s="3" t="inlineStr">
        <is>
          <t>Shopee, Tiktok</t>
        </is>
      </c>
      <c r="G243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0" s="3" t="inlineStr">
        <is>
          <t>KBL2-06160</t>
        </is>
      </c>
      <c r="I2430" s="4" t="inlineStr">
        <is>
          <t>Mũi khoan bê tông gài 2 cạnh KBL2-06*160</t>
        </is>
      </c>
      <c r="J2430" s="3" t="inlineStr">
        <is>
          <t>Cái</t>
        </is>
      </c>
      <c r="K2430" s="5" t="n">
        <v>23000</v>
      </c>
      <c r="L2430" s="5" t="n">
        <v>28000</v>
      </c>
      <c r="M2430" s="6" t="n">
        <v>36000</v>
      </c>
      <c r="N2430" s="5" t="n"/>
      <c r="O2430" s="5">
        <f>IF(AND(ISNUMBER(N2430),ISNUMBER(M2430)),N2430-M2430,"")</f>
        <v/>
      </c>
      <c r="P2430" s="7">
        <f>IF(AND(ISNUMBER(N2430),ISNUMBER(M2430),M2430&gt;0),(N2430-M2430)/M2430,"")</f>
        <v/>
      </c>
      <c r="Q2430" s="3">
        <f>IF(P2430="","",IF(P2430&lt;-0.02,"🔴 Bán phá giá sàn",IF(P2430&gt;0.05,"🔵 Bán cao hơn","🟢 Đúng giá sàn TMĐT")))</f>
        <v/>
      </c>
      <c r="R2430" s="3" t="n"/>
      <c r="S2430" s="4" t="n"/>
      <c r="T2430" s="4" t="n"/>
    </row>
    <row r="2431">
      <c r="A2431" s="3" t="n">
        <v>2430</v>
      </c>
      <c r="B2431" s="3" t="inlineStr">
        <is>
          <t>DL022</t>
        </is>
      </c>
      <c r="C2431" s="4" t="inlineStr">
        <is>
          <t>ĐL Đà Nẵng - Phú Vinh</t>
        </is>
      </c>
      <c r="D2431" s="3" t="inlineStr">
        <is>
          <t>Đà Nẵng</t>
        </is>
      </c>
      <c r="E2431" s="3" t="inlineStr">
        <is>
          <t>THÙY TRANG</t>
        </is>
      </c>
      <c r="F2431" s="3" t="inlineStr">
        <is>
          <t>Shopee, Tiktok</t>
        </is>
      </c>
      <c r="G243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1" s="3" t="inlineStr">
        <is>
          <t>KBL2-08110</t>
        </is>
      </c>
      <c r="I2431" s="4" t="inlineStr">
        <is>
          <t>Mũi khoan bê tông gài 2 cạnh KBL2-08*110</t>
        </is>
      </c>
      <c r="J2431" s="3" t="inlineStr">
        <is>
          <t>Cái</t>
        </is>
      </c>
      <c r="K2431" s="5" t="n">
        <v>22000</v>
      </c>
      <c r="L2431" s="5" t="n">
        <v>27000</v>
      </c>
      <c r="M2431" s="6" t="n">
        <v>34000</v>
      </c>
      <c r="N2431" s="5" t="n"/>
      <c r="O2431" s="5">
        <f>IF(AND(ISNUMBER(N2431),ISNUMBER(M2431)),N2431-M2431,"")</f>
        <v/>
      </c>
      <c r="P2431" s="7">
        <f>IF(AND(ISNUMBER(N2431),ISNUMBER(M2431),M2431&gt;0),(N2431-M2431)/M2431,"")</f>
        <v/>
      </c>
      <c r="Q2431" s="3">
        <f>IF(P2431="","",IF(P2431&lt;-0.02,"🔴 Bán phá giá sàn",IF(P2431&gt;0.05,"🔵 Bán cao hơn","🟢 Đúng giá sàn TMĐT")))</f>
        <v/>
      </c>
      <c r="R2431" s="3" t="n"/>
      <c r="S2431" s="4" t="n"/>
      <c r="T2431" s="4" t="n"/>
    </row>
    <row r="2432">
      <c r="A2432" s="3" t="n">
        <v>2431</v>
      </c>
      <c r="B2432" s="3" t="inlineStr">
        <is>
          <t>DL022</t>
        </is>
      </c>
      <c r="C2432" s="4" t="inlineStr">
        <is>
          <t>ĐL Đà Nẵng - Phú Vinh</t>
        </is>
      </c>
      <c r="D2432" s="3" t="inlineStr">
        <is>
          <t>Đà Nẵng</t>
        </is>
      </c>
      <c r="E2432" s="3" t="inlineStr">
        <is>
          <t>THÙY TRANG</t>
        </is>
      </c>
      <c r="F2432" s="3" t="inlineStr">
        <is>
          <t>Shopee, Tiktok</t>
        </is>
      </c>
      <c r="G243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2" s="3" t="inlineStr">
        <is>
          <t>KBL2-08160</t>
        </is>
      </c>
      <c r="I2432" s="4" t="inlineStr">
        <is>
          <t>Mũi khoan bê tông gài 2 cạnh KBL2-08*160</t>
        </is>
      </c>
      <c r="J2432" s="3" t="inlineStr">
        <is>
          <t>Cái</t>
        </is>
      </c>
      <c r="K2432" s="5" t="n">
        <v>25000</v>
      </c>
      <c r="L2432" s="5" t="n">
        <v>31000</v>
      </c>
      <c r="M2432" s="6" t="n">
        <v>39000</v>
      </c>
      <c r="N2432" s="5" t="n"/>
      <c r="O2432" s="5">
        <f>IF(AND(ISNUMBER(N2432),ISNUMBER(M2432)),N2432-M2432,"")</f>
        <v/>
      </c>
      <c r="P2432" s="7">
        <f>IF(AND(ISNUMBER(N2432),ISNUMBER(M2432),M2432&gt;0),(N2432-M2432)/M2432,"")</f>
        <v/>
      </c>
      <c r="Q2432" s="3">
        <f>IF(P2432="","",IF(P2432&lt;-0.02,"🔴 Bán phá giá sàn",IF(P2432&gt;0.05,"🔵 Bán cao hơn","🟢 Đúng giá sàn TMĐT")))</f>
        <v/>
      </c>
      <c r="R2432" s="3" t="n"/>
      <c r="S2432" s="4" t="n"/>
      <c r="T2432" s="4" t="n"/>
    </row>
    <row r="2433">
      <c r="A2433" s="3" t="n">
        <v>2432</v>
      </c>
      <c r="B2433" s="3" t="inlineStr">
        <is>
          <t>DL022</t>
        </is>
      </c>
      <c r="C2433" s="4" t="inlineStr">
        <is>
          <t>ĐL Đà Nẵng - Phú Vinh</t>
        </is>
      </c>
      <c r="D2433" s="3" t="inlineStr">
        <is>
          <t>Đà Nẵng</t>
        </is>
      </c>
      <c r="E2433" s="3" t="inlineStr">
        <is>
          <t>THÙY TRANG</t>
        </is>
      </c>
      <c r="F2433" s="3" t="inlineStr">
        <is>
          <t>Shopee, Tiktok</t>
        </is>
      </c>
      <c r="G243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3" s="3" t="inlineStr">
        <is>
          <t>KBL2-08210</t>
        </is>
      </c>
      <c r="I2433" s="4" t="inlineStr">
        <is>
          <t>Mũi khoan bê tông gài 2 cạnh KBL2-08*210</t>
        </is>
      </c>
      <c r="J2433" s="3" t="inlineStr">
        <is>
          <t>Cái</t>
        </is>
      </c>
      <c r="K2433" s="5" t="n">
        <v>28000</v>
      </c>
      <c r="L2433" s="5" t="n">
        <v>34000</v>
      </c>
      <c r="M2433" s="6" t="n">
        <v>43000</v>
      </c>
      <c r="N2433" s="5" t="n"/>
      <c r="O2433" s="5">
        <f>IF(AND(ISNUMBER(N2433),ISNUMBER(M2433)),N2433-M2433,"")</f>
        <v/>
      </c>
      <c r="P2433" s="7">
        <f>IF(AND(ISNUMBER(N2433),ISNUMBER(M2433),M2433&gt;0),(N2433-M2433)/M2433,"")</f>
        <v/>
      </c>
      <c r="Q2433" s="3">
        <f>IF(P2433="","",IF(P2433&lt;-0.02,"🔴 Bán phá giá sàn",IF(P2433&gt;0.05,"🔵 Bán cao hơn","🟢 Đúng giá sàn TMĐT")))</f>
        <v/>
      </c>
      <c r="R2433" s="3" t="n"/>
      <c r="S2433" s="4" t="n"/>
      <c r="T2433" s="4" t="n"/>
    </row>
    <row r="2434">
      <c r="A2434" s="3" t="n">
        <v>2433</v>
      </c>
      <c r="B2434" s="3" t="inlineStr">
        <is>
          <t>DL022</t>
        </is>
      </c>
      <c r="C2434" s="4" t="inlineStr">
        <is>
          <t>ĐL Đà Nẵng - Phú Vinh</t>
        </is>
      </c>
      <c r="D2434" s="3" t="inlineStr">
        <is>
          <t>Đà Nẵng</t>
        </is>
      </c>
      <c r="E2434" s="3" t="inlineStr">
        <is>
          <t>THÙY TRANG</t>
        </is>
      </c>
      <c r="F2434" s="3" t="inlineStr">
        <is>
          <t>Shopee, Tiktok</t>
        </is>
      </c>
      <c r="G243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4" s="3" t="inlineStr">
        <is>
          <t>KBL2-08260</t>
        </is>
      </c>
      <c r="I2434" s="4" t="inlineStr">
        <is>
          <t>Mũi khoan bê tông gài 2 cạnh KBL2-08*260</t>
        </is>
      </c>
      <c r="J2434" s="3" t="inlineStr">
        <is>
          <t>Cái</t>
        </is>
      </c>
      <c r="K2434" s="5" t="n">
        <v>33000</v>
      </c>
      <c r="L2434" s="5" t="n">
        <v>40000</v>
      </c>
      <c r="M2434" s="6" t="n">
        <v>51000</v>
      </c>
      <c r="N2434" s="5" t="n"/>
      <c r="O2434" s="5">
        <f>IF(AND(ISNUMBER(N2434),ISNUMBER(M2434)),N2434-M2434,"")</f>
        <v/>
      </c>
      <c r="P2434" s="7">
        <f>IF(AND(ISNUMBER(N2434),ISNUMBER(M2434),M2434&gt;0),(N2434-M2434)/M2434,"")</f>
        <v/>
      </c>
      <c r="Q2434" s="3">
        <f>IF(P2434="","",IF(P2434&lt;-0.02,"🔴 Bán phá giá sàn",IF(P2434&gt;0.05,"🔵 Bán cao hơn","🟢 Đúng giá sàn TMĐT")))</f>
        <v/>
      </c>
      <c r="R2434" s="3" t="n"/>
      <c r="S2434" s="4" t="n"/>
      <c r="T2434" s="4" t="n"/>
    </row>
    <row r="2435">
      <c r="A2435" s="3" t="n">
        <v>2434</v>
      </c>
      <c r="B2435" s="3" t="inlineStr">
        <is>
          <t>DL022</t>
        </is>
      </c>
      <c r="C2435" s="4" t="inlineStr">
        <is>
          <t>ĐL Đà Nẵng - Phú Vinh</t>
        </is>
      </c>
      <c r="D2435" s="3" t="inlineStr">
        <is>
          <t>Đà Nẵng</t>
        </is>
      </c>
      <c r="E2435" s="3" t="inlineStr">
        <is>
          <t>THÙY TRANG</t>
        </is>
      </c>
      <c r="F2435" s="3" t="inlineStr">
        <is>
          <t>Shopee, Tiktok</t>
        </is>
      </c>
      <c r="G243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5" s="3" t="inlineStr">
        <is>
          <t>KBL2-10160</t>
        </is>
      </c>
      <c r="I2435" s="4" t="inlineStr">
        <is>
          <t>Mũi khoan bê tông gài 2 cạnh KBL2-10*160</t>
        </is>
      </c>
      <c r="J2435" s="3" t="inlineStr">
        <is>
          <t>Cái</t>
        </is>
      </c>
      <c r="K2435" s="5" t="n">
        <v>25000</v>
      </c>
      <c r="L2435" s="5" t="n">
        <v>31000</v>
      </c>
      <c r="M2435" s="6" t="n">
        <v>39000</v>
      </c>
      <c r="N2435" s="5" t="n"/>
      <c r="O2435" s="5">
        <f>IF(AND(ISNUMBER(N2435),ISNUMBER(M2435)),N2435-M2435,"")</f>
        <v/>
      </c>
      <c r="P2435" s="7">
        <f>IF(AND(ISNUMBER(N2435),ISNUMBER(M2435),M2435&gt;0),(N2435-M2435)/M2435,"")</f>
        <v/>
      </c>
      <c r="Q2435" s="3">
        <f>IF(P2435="","",IF(P2435&lt;-0.02,"🔴 Bán phá giá sàn",IF(P2435&gt;0.05,"🔵 Bán cao hơn","🟢 Đúng giá sàn TMĐT")))</f>
        <v/>
      </c>
      <c r="R2435" s="3" t="n"/>
      <c r="S2435" s="4" t="n"/>
      <c r="T2435" s="4" t="n"/>
    </row>
    <row r="2436">
      <c r="A2436" s="3" t="n">
        <v>2435</v>
      </c>
      <c r="B2436" s="3" t="inlineStr">
        <is>
          <t>DL022</t>
        </is>
      </c>
      <c r="C2436" s="4" t="inlineStr">
        <is>
          <t>ĐL Đà Nẵng - Phú Vinh</t>
        </is>
      </c>
      <c r="D2436" s="3" t="inlineStr">
        <is>
          <t>Đà Nẵng</t>
        </is>
      </c>
      <c r="E2436" s="3" t="inlineStr">
        <is>
          <t>THÙY TRANG</t>
        </is>
      </c>
      <c r="F2436" s="3" t="inlineStr">
        <is>
          <t>Shopee, Tiktok</t>
        </is>
      </c>
      <c r="G243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6" s="3" t="inlineStr">
        <is>
          <t>KBL2-10210</t>
        </is>
      </c>
      <c r="I2436" s="4" t="inlineStr">
        <is>
          <t>Mũi khoan bê tông gài 2 cạnh KBL2-10*210</t>
        </is>
      </c>
      <c r="J2436" s="3" t="inlineStr">
        <is>
          <t>Cái</t>
        </is>
      </c>
      <c r="K2436" s="5" t="n">
        <v>30000</v>
      </c>
      <c r="L2436" s="5" t="n">
        <v>37000</v>
      </c>
      <c r="M2436" s="6" t="n">
        <v>47000</v>
      </c>
      <c r="N2436" s="5" t="n"/>
      <c r="O2436" s="5">
        <f>IF(AND(ISNUMBER(N2436),ISNUMBER(M2436)),N2436-M2436,"")</f>
        <v/>
      </c>
      <c r="P2436" s="7">
        <f>IF(AND(ISNUMBER(N2436),ISNUMBER(M2436),M2436&gt;0),(N2436-M2436)/M2436,"")</f>
        <v/>
      </c>
      <c r="Q2436" s="3">
        <f>IF(P2436="","",IF(P2436&lt;-0.02,"🔴 Bán phá giá sàn",IF(P2436&gt;0.05,"🔵 Bán cao hơn","🟢 Đúng giá sàn TMĐT")))</f>
        <v/>
      </c>
      <c r="R2436" s="3" t="n"/>
      <c r="S2436" s="4" t="n"/>
      <c r="T2436" s="4" t="n"/>
    </row>
    <row r="2437">
      <c r="A2437" s="3" t="n">
        <v>2436</v>
      </c>
      <c r="B2437" s="3" t="inlineStr">
        <is>
          <t>DL022</t>
        </is>
      </c>
      <c r="C2437" s="4" t="inlineStr">
        <is>
          <t>ĐL Đà Nẵng - Phú Vinh</t>
        </is>
      </c>
      <c r="D2437" s="3" t="inlineStr">
        <is>
          <t>Đà Nẵng</t>
        </is>
      </c>
      <c r="E2437" s="3" t="inlineStr">
        <is>
          <t>THÙY TRANG</t>
        </is>
      </c>
      <c r="F2437" s="3" t="inlineStr">
        <is>
          <t>Shopee, Tiktok</t>
        </is>
      </c>
      <c r="G243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7" s="3" t="inlineStr">
        <is>
          <t>KBL2-10260</t>
        </is>
      </c>
      <c r="I2437" s="4" t="inlineStr">
        <is>
          <t>Mũi khoan bê tông gài 2 cạnh KBL2-10*260</t>
        </is>
      </c>
      <c r="J2437" s="3" t="inlineStr">
        <is>
          <t>Cái</t>
        </is>
      </c>
      <c r="K2437" s="5" t="n">
        <v>36000</v>
      </c>
      <c r="L2437" s="5" t="n">
        <v>44000</v>
      </c>
      <c r="M2437" s="6" t="n">
        <v>56000</v>
      </c>
      <c r="N2437" s="5" t="n"/>
      <c r="O2437" s="5">
        <f>IF(AND(ISNUMBER(N2437),ISNUMBER(M2437)),N2437-M2437,"")</f>
        <v/>
      </c>
      <c r="P2437" s="7">
        <f>IF(AND(ISNUMBER(N2437),ISNUMBER(M2437),M2437&gt;0),(N2437-M2437)/M2437,"")</f>
        <v/>
      </c>
      <c r="Q2437" s="3">
        <f>IF(P2437="","",IF(P2437&lt;-0.02,"🔴 Bán phá giá sàn",IF(P2437&gt;0.05,"🔵 Bán cao hơn","🟢 Đúng giá sàn TMĐT")))</f>
        <v/>
      </c>
      <c r="R2437" s="3" t="n"/>
      <c r="S2437" s="4" t="n"/>
      <c r="T2437" s="4" t="n"/>
    </row>
    <row r="2438">
      <c r="A2438" s="3" t="n">
        <v>2437</v>
      </c>
      <c r="B2438" s="3" t="inlineStr">
        <is>
          <t>DL022</t>
        </is>
      </c>
      <c r="C2438" s="4" t="inlineStr">
        <is>
          <t>ĐL Đà Nẵng - Phú Vinh</t>
        </is>
      </c>
      <c r="D2438" s="3" t="inlineStr">
        <is>
          <t>Đà Nẵng</t>
        </is>
      </c>
      <c r="E2438" s="3" t="inlineStr">
        <is>
          <t>THÙY TRANG</t>
        </is>
      </c>
      <c r="F2438" s="3" t="inlineStr">
        <is>
          <t>Shopee, Tiktok</t>
        </is>
      </c>
      <c r="G243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8" s="3" t="inlineStr">
        <is>
          <t>KBL2-12160</t>
        </is>
      </c>
      <c r="I2438" s="4" t="inlineStr">
        <is>
          <t>Mũi khoan bê tông gài 2 cạnh KBL2-12*160</t>
        </is>
      </c>
      <c r="J2438" s="3" t="inlineStr">
        <is>
          <t>Cái</t>
        </is>
      </c>
      <c r="K2438" s="5" t="n">
        <v>28000</v>
      </c>
      <c r="L2438" s="5" t="n">
        <v>34000</v>
      </c>
      <c r="M2438" s="6" t="n">
        <v>43000</v>
      </c>
      <c r="N2438" s="5" t="n"/>
      <c r="O2438" s="5">
        <f>IF(AND(ISNUMBER(N2438),ISNUMBER(M2438)),N2438-M2438,"")</f>
        <v/>
      </c>
      <c r="P2438" s="7">
        <f>IF(AND(ISNUMBER(N2438),ISNUMBER(M2438),M2438&gt;0),(N2438-M2438)/M2438,"")</f>
        <v/>
      </c>
      <c r="Q2438" s="3">
        <f>IF(P2438="","",IF(P2438&lt;-0.02,"🔴 Bán phá giá sàn",IF(P2438&gt;0.05,"🔵 Bán cao hơn","🟢 Đúng giá sàn TMĐT")))</f>
        <v/>
      </c>
      <c r="R2438" s="3" t="n"/>
      <c r="S2438" s="4" t="n"/>
      <c r="T2438" s="4" t="n"/>
    </row>
    <row r="2439">
      <c r="A2439" s="3" t="n">
        <v>2438</v>
      </c>
      <c r="B2439" s="3" t="inlineStr">
        <is>
          <t>DL022</t>
        </is>
      </c>
      <c r="C2439" s="4" t="inlineStr">
        <is>
          <t>ĐL Đà Nẵng - Phú Vinh</t>
        </is>
      </c>
      <c r="D2439" s="3" t="inlineStr">
        <is>
          <t>Đà Nẵng</t>
        </is>
      </c>
      <c r="E2439" s="3" t="inlineStr">
        <is>
          <t>THÙY TRANG</t>
        </is>
      </c>
      <c r="F2439" s="3" t="inlineStr">
        <is>
          <t>Shopee, Tiktok</t>
        </is>
      </c>
      <c r="G243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39" s="3" t="inlineStr">
        <is>
          <t>KBL2-12210</t>
        </is>
      </c>
      <c r="I2439" s="4" t="inlineStr">
        <is>
          <t>Mũi khoan bê tông gài 2 cạnh KBL2-12*210</t>
        </is>
      </c>
      <c r="J2439" s="3" t="inlineStr">
        <is>
          <t>Cái</t>
        </is>
      </c>
      <c r="K2439" s="5" t="n">
        <v>33000</v>
      </c>
      <c r="L2439" s="5" t="n">
        <v>40000</v>
      </c>
      <c r="M2439" s="6" t="n">
        <v>51000</v>
      </c>
      <c r="N2439" s="5" t="n"/>
      <c r="O2439" s="5">
        <f>IF(AND(ISNUMBER(N2439),ISNUMBER(M2439)),N2439-M2439,"")</f>
        <v/>
      </c>
      <c r="P2439" s="7">
        <f>IF(AND(ISNUMBER(N2439),ISNUMBER(M2439),M2439&gt;0),(N2439-M2439)/M2439,"")</f>
        <v/>
      </c>
      <c r="Q2439" s="3">
        <f>IF(P2439="","",IF(P2439&lt;-0.02,"🔴 Bán phá giá sàn",IF(P2439&gt;0.05,"🔵 Bán cao hơn","🟢 Đúng giá sàn TMĐT")))</f>
        <v/>
      </c>
      <c r="R2439" s="3" t="n"/>
      <c r="S2439" s="4" t="n"/>
      <c r="T2439" s="4" t="n"/>
    </row>
    <row r="2440">
      <c r="A2440" s="3" t="n">
        <v>2439</v>
      </c>
      <c r="B2440" s="3" t="inlineStr">
        <is>
          <t>DL022</t>
        </is>
      </c>
      <c r="C2440" s="4" t="inlineStr">
        <is>
          <t>ĐL Đà Nẵng - Phú Vinh</t>
        </is>
      </c>
      <c r="D2440" s="3" t="inlineStr">
        <is>
          <t>Đà Nẵng</t>
        </is>
      </c>
      <c r="E2440" s="3" t="inlineStr">
        <is>
          <t>THÙY TRANG</t>
        </is>
      </c>
      <c r="F2440" s="3" t="inlineStr">
        <is>
          <t>Shopee, Tiktok</t>
        </is>
      </c>
      <c r="G244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0" s="3" t="inlineStr">
        <is>
          <t>KBL2-12260</t>
        </is>
      </c>
      <c r="I2440" s="4" t="inlineStr">
        <is>
          <t>Mũi khoan bê tông gài 2 cạnh KBL2-12*260</t>
        </is>
      </c>
      <c r="J2440" s="3" t="inlineStr">
        <is>
          <t>Cái</t>
        </is>
      </c>
      <c r="K2440" s="5" t="n">
        <v>41000</v>
      </c>
      <c r="L2440" s="5" t="n">
        <v>50000</v>
      </c>
      <c r="M2440" s="6" t="n">
        <v>64000</v>
      </c>
      <c r="N2440" s="5" t="n"/>
      <c r="O2440" s="5">
        <f>IF(AND(ISNUMBER(N2440),ISNUMBER(M2440)),N2440-M2440,"")</f>
        <v/>
      </c>
      <c r="P2440" s="7">
        <f>IF(AND(ISNUMBER(N2440),ISNUMBER(M2440),M2440&gt;0),(N2440-M2440)/M2440,"")</f>
        <v/>
      </c>
      <c r="Q2440" s="3">
        <f>IF(P2440="","",IF(P2440&lt;-0.02,"🔴 Bán phá giá sàn",IF(P2440&gt;0.05,"🔵 Bán cao hơn","🟢 Đúng giá sàn TMĐT")))</f>
        <v/>
      </c>
      <c r="R2440" s="3" t="n"/>
      <c r="S2440" s="4" t="n"/>
      <c r="T2440" s="4" t="n"/>
    </row>
    <row r="2441">
      <c r="A2441" s="3" t="n">
        <v>2440</v>
      </c>
      <c r="B2441" s="3" t="inlineStr">
        <is>
          <t>DL022</t>
        </is>
      </c>
      <c r="C2441" s="4" t="inlineStr">
        <is>
          <t>ĐL Đà Nẵng - Phú Vinh</t>
        </is>
      </c>
      <c r="D2441" s="3" t="inlineStr">
        <is>
          <t>Đà Nẵng</t>
        </is>
      </c>
      <c r="E2441" s="3" t="inlineStr">
        <is>
          <t>THÙY TRANG</t>
        </is>
      </c>
      <c r="F2441" s="3" t="inlineStr">
        <is>
          <t>Shopee, Tiktok</t>
        </is>
      </c>
      <c r="G244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1" s="3" t="inlineStr">
        <is>
          <t>KBL2-14160</t>
        </is>
      </c>
      <c r="I2441" s="4" t="inlineStr">
        <is>
          <t>Mũi khoan bê tông gài 2 cạnh KBL2-14*160</t>
        </is>
      </c>
      <c r="J2441" s="3" t="inlineStr">
        <is>
          <t>Cái</t>
        </is>
      </c>
      <c r="K2441" s="5" t="n">
        <v>42000</v>
      </c>
      <c r="L2441" s="5" t="n">
        <v>51000</v>
      </c>
      <c r="M2441" s="6" t="n">
        <v>65000</v>
      </c>
      <c r="N2441" s="5" t="n"/>
      <c r="O2441" s="5">
        <f>IF(AND(ISNUMBER(N2441),ISNUMBER(M2441)),N2441-M2441,"")</f>
        <v/>
      </c>
      <c r="P2441" s="7">
        <f>IF(AND(ISNUMBER(N2441),ISNUMBER(M2441),M2441&gt;0),(N2441-M2441)/M2441,"")</f>
        <v/>
      </c>
      <c r="Q2441" s="3">
        <f>IF(P2441="","",IF(P2441&lt;-0.02,"🔴 Bán phá giá sàn",IF(P2441&gt;0.05,"🔵 Bán cao hơn","🟢 Đúng giá sàn TMĐT")))</f>
        <v/>
      </c>
      <c r="R2441" s="3" t="n"/>
      <c r="S2441" s="4" t="n"/>
      <c r="T2441" s="4" t="n"/>
    </row>
    <row r="2442">
      <c r="A2442" s="3" t="n">
        <v>2441</v>
      </c>
      <c r="B2442" s="3" t="inlineStr">
        <is>
          <t>DL022</t>
        </is>
      </c>
      <c r="C2442" s="4" t="inlineStr">
        <is>
          <t>ĐL Đà Nẵng - Phú Vinh</t>
        </is>
      </c>
      <c r="D2442" s="3" t="inlineStr">
        <is>
          <t>Đà Nẵng</t>
        </is>
      </c>
      <c r="E2442" s="3" t="inlineStr">
        <is>
          <t>THÙY TRANG</t>
        </is>
      </c>
      <c r="F2442" s="3" t="inlineStr">
        <is>
          <t>Shopee, Tiktok</t>
        </is>
      </c>
      <c r="G244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2" s="3" t="inlineStr">
        <is>
          <t>KBL2-14210</t>
        </is>
      </c>
      <c r="I2442" s="4" t="inlineStr">
        <is>
          <t>Mũi khoan bê tông gài 2 cạnh KBL2-14*210</t>
        </is>
      </c>
      <c r="J2442" s="3" t="inlineStr">
        <is>
          <t>Cái</t>
        </is>
      </c>
      <c r="K2442" s="5" t="n">
        <v>42000</v>
      </c>
      <c r="L2442" s="5" t="n">
        <v>51000</v>
      </c>
      <c r="M2442" s="6" t="n">
        <v>65000</v>
      </c>
      <c r="N2442" s="5" t="n"/>
      <c r="O2442" s="5">
        <f>IF(AND(ISNUMBER(N2442),ISNUMBER(M2442)),N2442-M2442,"")</f>
        <v/>
      </c>
      <c r="P2442" s="7">
        <f>IF(AND(ISNUMBER(N2442),ISNUMBER(M2442),M2442&gt;0),(N2442-M2442)/M2442,"")</f>
        <v/>
      </c>
      <c r="Q2442" s="3">
        <f>IF(P2442="","",IF(P2442&lt;-0.02,"🔴 Bán phá giá sàn",IF(P2442&gt;0.05,"🔵 Bán cao hơn","🟢 Đúng giá sàn TMĐT")))</f>
        <v/>
      </c>
      <c r="R2442" s="3" t="n"/>
      <c r="S2442" s="4" t="n"/>
      <c r="T2442" s="4" t="n"/>
    </row>
    <row r="2443">
      <c r="A2443" s="3" t="n">
        <v>2442</v>
      </c>
      <c r="B2443" s="3" t="inlineStr">
        <is>
          <t>DL022</t>
        </is>
      </c>
      <c r="C2443" s="4" t="inlineStr">
        <is>
          <t>ĐL Đà Nẵng - Phú Vinh</t>
        </is>
      </c>
      <c r="D2443" s="3" t="inlineStr">
        <is>
          <t>Đà Nẵng</t>
        </is>
      </c>
      <c r="E2443" s="3" t="inlineStr">
        <is>
          <t>THÙY TRANG</t>
        </is>
      </c>
      <c r="F2443" s="3" t="inlineStr">
        <is>
          <t>Shopee, Tiktok</t>
        </is>
      </c>
      <c r="G244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3" s="3" t="inlineStr">
        <is>
          <t>KBL2-14260</t>
        </is>
      </c>
      <c r="I2443" s="4" t="inlineStr">
        <is>
          <t>Mũi khoan bê tông gài 2 cạnh KBL2-14*260</t>
        </is>
      </c>
      <c r="J2443" s="3" t="inlineStr">
        <is>
          <t>Cái</t>
        </is>
      </c>
      <c r="K2443" s="5" t="n">
        <v>45000</v>
      </c>
      <c r="L2443" s="5" t="n">
        <v>55000</v>
      </c>
      <c r="M2443" s="6" t="n">
        <v>70000</v>
      </c>
      <c r="N2443" s="5" t="n"/>
      <c r="O2443" s="5">
        <f>IF(AND(ISNUMBER(N2443),ISNUMBER(M2443)),N2443-M2443,"")</f>
        <v/>
      </c>
      <c r="P2443" s="7">
        <f>IF(AND(ISNUMBER(N2443),ISNUMBER(M2443),M2443&gt;0),(N2443-M2443)/M2443,"")</f>
        <v/>
      </c>
      <c r="Q2443" s="3">
        <f>IF(P2443="","",IF(P2443&lt;-0.02,"🔴 Bán phá giá sàn",IF(P2443&gt;0.05,"🔵 Bán cao hơn","🟢 Đúng giá sàn TMĐT")))</f>
        <v/>
      </c>
      <c r="R2443" s="3" t="n"/>
      <c r="S2443" s="4" t="n"/>
      <c r="T2443" s="4" t="n"/>
    </row>
    <row r="2444">
      <c r="A2444" s="3" t="n">
        <v>2443</v>
      </c>
      <c r="B2444" s="3" t="inlineStr">
        <is>
          <t>DL022</t>
        </is>
      </c>
      <c r="C2444" s="4" t="inlineStr">
        <is>
          <t>ĐL Đà Nẵng - Phú Vinh</t>
        </is>
      </c>
      <c r="D2444" s="3" t="inlineStr">
        <is>
          <t>Đà Nẵng</t>
        </is>
      </c>
      <c r="E2444" s="3" t="inlineStr">
        <is>
          <t>THÙY TRANG</t>
        </is>
      </c>
      <c r="F2444" s="3" t="inlineStr">
        <is>
          <t>Shopee, Tiktok</t>
        </is>
      </c>
      <c r="G244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4" s="3" t="inlineStr">
        <is>
          <t>KBL2-16160</t>
        </is>
      </c>
      <c r="I2444" s="4" t="inlineStr">
        <is>
          <t>Mũi khoan bê tông gài 2 cạnh KBL2-16*160</t>
        </is>
      </c>
      <c r="J2444" s="3" t="inlineStr">
        <is>
          <t>Cái</t>
        </is>
      </c>
      <c r="K2444" s="5" t="n">
        <v>49000</v>
      </c>
      <c r="L2444" s="5" t="n">
        <v>60000</v>
      </c>
      <c r="M2444" s="6" t="n">
        <v>76000</v>
      </c>
      <c r="N2444" s="5" t="n"/>
      <c r="O2444" s="5">
        <f>IF(AND(ISNUMBER(N2444),ISNUMBER(M2444)),N2444-M2444,"")</f>
        <v/>
      </c>
      <c r="P2444" s="7">
        <f>IF(AND(ISNUMBER(N2444),ISNUMBER(M2444),M2444&gt;0),(N2444-M2444)/M2444,"")</f>
        <v/>
      </c>
      <c r="Q2444" s="3">
        <f>IF(P2444="","",IF(P2444&lt;-0.02,"🔴 Bán phá giá sàn",IF(P2444&gt;0.05,"🔵 Bán cao hơn","🟢 Đúng giá sàn TMĐT")))</f>
        <v/>
      </c>
      <c r="R2444" s="3" t="n"/>
      <c r="S2444" s="4" t="n"/>
      <c r="T2444" s="4" t="n"/>
    </row>
    <row r="2445">
      <c r="A2445" s="3" t="n">
        <v>2444</v>
      </c>
      <c r="B2445" s="3" t="inlineStr">
        <is>
          <t>DL022</t>
        </is>
      </c>
      <c r="C2445" s="4" t="inlineStr">
        <is>
          <t>ĐL Đà Nẵng - Phú Vinh</t>
        </is>
      </c>
      <c r="D2445" s="3" t="inlineStr">
        <is>
          <t>Đà Nẵng</t>
        </is>
      </c>
      <c r="E2445" s="3" t="inlineStr">
        <is>
          <t>THÙY TRANG</t>
        </is>
      </c>
      <c r="F2445" s="3" t="inlineStr">
        <is>
          <t>Shopee, Tiktok</t>
        </is>
      </c>
      <c r="G244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5" s="3" t="inlineStr">
        <is>
          <t>KBL2-16210</t>
        </is>
      </c>
      <c r="I2445" s="4" t="inlineStr">
        <is>
          <t>Mũi khoan bê tông gài 2 cạnh KBL2-16*210</t>
        </is>
      </c>
      <c r="J2445" s="3" t="inlineStr">
        <is>
          <t>Cái</t>
        </is>
      </c>
      <c r="K2445" s="5" t="n">
        <v>51000</v>
      </c>
      <c r="L2445" s="5" t="n">
        <v>62000</v>
      </c>
      <c r="M2445" s="6" t="n">
        <v>79000</v>
      </c>
      <c r="N2445" s="5" t="n"/>
      <c r="O2445" s="5">
        <f>IF(AND(ISNUMBER(N2445),ISNUMBER(M2445)),N2445-M2445,"")</f>
        <v/>
      </c>
      <c r="P2445" s="7">
        <f>IF(AND(ISNUMBER(N2445),ISNUMBER(M2445),M2445&gt;0),(N2445-M2445)/M2445,"")</f>
        <v/>
      </c>
      <c r="Q2445" s="3">
        <f>IF(P2445="","",IF(P2445&lt;-0.02,"🔴 Bán phá giá sàn",IF(P2445&gt;0.05,"🔵 Bán cao hơn","🟢 Đúng giá sàn TMĐT")))</f>
        <v/>
      </c>
      <c r="R2445" s="3" t="n"/>
      <c r="S2445" s="4" t="n"/>
      <c r="T2445" s="4" t="n"/>
    </row>
    <row r="2446">
      <c r="A2446" s="3" t="n">
        <v>2445</v>
      </c>
      <c r="B2446" s="3" t="inlineStr">
        <is>
          <t>DL022</t>
        </is>
      </c>
      <c r="C2446" s="4" t="inlineStr">
        <is>
          <t>ĐL Đà Nẵng - Phú Vinh</t>
        </is>
      </c>
      <c r="D2446" s="3" t="inlineStr">
        <is>
          <t>Đà Nẵng</t>
        </is>
      </c>
      <c r="E2446" s="3" t="inlineStr">
        <is>
          <t>THÙY TRANG</t>
        </is>
      </c>
      <c r="F2446" s="3" t="inlineStr">
        <is>
          <t>Shopee, Tiktok</t>
        </is>
      </c>
      <c r="G244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6" s="3" t="inlineStr">
        <is>
          <t>KBL2-16260</t>
        </is>
      </c>
      <c r="I2446" s="4" t="inlineStr">
        <is>
          <t>Mũi khoan bê tông gài 2 cạnh KBL2-16*260</t>
        </is>
      </c>
      <c r="J2446" s="3" t="inlineStr">
        <is>
          <t>Cái</t>
        </is>
      </c>
      <c r="K2446" s="5" t="n">
        <v>59000</v>
      </c>
      <c r="L2446" s="5" t="n">
        <v>72000</v>
      </c>
      <c r="M2446" s="6" t="n">
        <v>92000</v>
      </c>
      <c r="N2446" s="5" t="n"/>
      <c r="O2446" s="5">
        <f>IF(AND(ISNUMBER(N2446),ISNUMBER(M2446)),N2446-M2446,"")</f>
        <v/>
      </c>
      <c r="P2446" s="7">
        <f>IF(AND(ISNUMBER(N2446),ISNUMBER(M2446),M2446&gt;0),(N2446-M2446)/M2446,"")</f>
        <v/>
      </c>
      <c r="Q2446" s="3">
        <f>IF(P2446="","",IF(P2446&lt;-0.02,"🔴 Bán phá giá sàn",IF(P2446&gt;0.05,"🔵 Bán cao hơn","🟢 Đúng giá sàn TMĐT")))</f>
        <v/>
      </c>
      <c r="R2446" s="3" t="n"/>
      <c r="S2446" s="4" t="n"/>
      <c r="T2446" s="4" t="n"/>
    </row>
    <row r="2447">
      <c r="A2447" s="3" t="n">
        <v>2446</v>
      </c>
      <c r="B2447" s="3" t="inlineStr">
        <is>
          <t>DL022</t>
        </is>
      </c>
      <c r="C2447" s="4" t="inlineStr">
        <is>
          <t>ĐL Đà Nẵng - Phú Vinh</t>
        </is>
      </c>
      <c r="D2447" s="3" t="inlineStr">
        <is>
          <t>Đà Nẵng</t>
        </is>
      </c>
      <c r="E2447" s="3" t="inlineStr">
        <is>
          <t>THÙY TRANG</t>
        </is>
      </c>
      <c r="F2447" s="3" t="inlineStr">
        <is>
          <t>Shopee, Tiktok</t>
        </is>
      </c>
      <c r="G244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7" s="3" t="inlineStr">
        <is>
          <t>KBL2-18160</t>
        </is>
      </c>
      <c r="I2447" s="4" t="inlineStr">
        <is>
          <t>Mũi khoan bê tông gài 2 cạnh KBL2-18*160</t>
        </is>
      </c>
      <c r="J2447" s="3" t="inlineStr">
        <is>
          <t>Cái</t>
        </is>
      </c>
      <c r="K2447" s="5" t="n">
        <v>58000</v>
      </c>
      <c r="L2447" s="5" t="n">
        <v>71000</v>
      </c>
      <c r="M2447" s="6" t="n">
        <v>90000</v>
      </c>
      <c r="N2447" s="5" t="n"/>
      <c r="O2447" s="5">
        <f>IF(AND(ISNUMBER(N2447),ISNUMBER(M2447)),N2447-M2447,"")</f>
        <v/>
      </c>
      <c r="P2447" s="7">
        <f>IF(AND(ISNUMBER(N2447),ISNUMBER(M2447),M2447&gt;0),(N2447-M2447)/M2447,"")</f>
        <v/>
      </c>
      <c r="Q2447" s="3">
        <f>IF(P2447="","",IF(P2447&lt;-0.02,"🔴 Bán phá giá sàn",IF(P2447&gt;0.05,"🔵 Bán cao hơn","🟢 Đúng giá sàn TMĐT")))</f>
        <v/>
      </c>
      <c r="R2447" s="3" t="n"/>
      <c r="S2447" s="4" t="n"/>
      <c r="T2447" s="4" t="n"/>
    </row>
    <row r="2448">
      <c r="A2448" s="3" t="n">
        <v>2447</v>
      </c>
      <c r="B2448" s="3" t="inlineStr">
        <is>
          <t>DL022</t>
        </is>
      </c>
      <c r="C2448" s="4" t="inlineStr">
        <is>
          <t>ĐL Đà Nẵng - Phú Vinh</t>
        </is>
      </c>
      <c r="D2448" s="3" t="inlineStr">
        <is>
          <t>Đà Nẵng</t>
        </is>
      </c>
      <c r="E2448" s="3" t="inlineStr">
        <is>
          <t>THÙY TRANG</t>
        </is>
      </c>
      <c r="F2448" s="3" t="inlineStr">
        <is>
          <t>Shopee, Tiktok</t>
        </is>
      </c>
      <c r="G244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8" s="3" t="inlineStr">
        <is>
          <t>KBL2-18210</t>
        </is>
      </c>
      <c r="I2448" s="4" t="inlineStr">
        <is>
          <t>Mũi khoan bê tông gài 2 cạnh KBL2-18*210</t>
        </is>
      </c>
      <c r="J2448" s="3" t="inlineStr">
        <is>
          <t>Cái</t>
        </is>
      </c>
      <c r="K2448" s="5" t="n">
        <v>67000</v>
      </c>
      <c r="L2448" s="5" t="n">
        <v>82000</v>
      </c>
      <c r="M2448" s="6" t="n">
        <v>104000</v>
      </c>
      <c r="N2448" s="5" t="n"/>
      <c r="O2448" s="5">
        <f>IF(AND(ISNUMBER(N2448),ISNUMBER(M2448)),N2448-M2448,"")</f>
        <v/>
      </c>
      <c r="P2448" s="7">
        <f>IF(AND(ISNUMBER(N2448),ISNUMBER(M2448),M2448&gt;0),(N2448-M2448)/M2448,"")</f>
        <v/>
      </c>
      <c r="Q2448" s="3">
        <f>IF(P2448="","",IF(P2448&lt;-0.02,"🔴 Bán phá giá sàn",IF(P2448&gt;0.05,"🔵 Bán cao hơn","🟢 Đúng giá sàn TMĐT")))</f>
        <v/>
      </c>
      <c r="R2448" s="3" t="n"/>
      <c r="S2448" s="4" t="n"/>
      <c r="T2448" s="4" t="n"/>
    </row>
    <row r="2449">
      <c r="A2449" s="3" t="n">
        <v>2448</v>
      </c>
      <c r="B2449" s="3" t="inlineStr">
        <is>
          <t>DL022</t>
        </is>
      </c>
      <c r="C2449" s="4" t="inlineStr">
        <is>
          <t>ĐL Đà Nẵng - Phú Vinh</t>
        </is>
      </c>
      <c r="D2449" s="3" t="inlineStr">
        <is>
          <t>Đà Nẵng</t>
        </is>
      </c>
      <c r="E2449" s="3" t="inlineStr">
        <is>
          <t>THÙY TRANG</t>
        </is>
      </c>
      <c r="F2449" s="3" t="inlineStr">
        <is>
          <t>Shopee, Tiktok</t>
        </is>
      </c>
      <c r="G244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49" s="3" t="inlineStr">
        <is>
          <t>KBL2-18260</t>
        </is>
      </c>
      <c r="I2449" s="4" t="inlineStr">
        <is>
          <t>Mũi khoan bê tông gài 2 cạnh KBL2-18*260</t>
        </is>
      </c>
      <c r="J2449" s="3" t="inlineStr">
        <is>
          <t>Cái</t>
        </is>
      </c>
      <c r="K2449" s="5" t="n">
        <v>73000</v>
      </c>
      <c r="L2449" s="5" t="n">
        <v>89000</v>
      </c>
      <c r="M2449" s="6" t="n">
        <v>113000</v>
      </c>
      <c r="N2449" s="5" t="n"/>
      <c r="O2449" s="5">
        <f>IF(AND(ISNUMBER(N2449),ISNUMBER(M2449)),N2449-M2449,"")</f>
        <v/>
      </c>
      <c r="P2449" s="7">
        <f>IF(AND(ISNUMBER(N2449),ISNUMBER(M2449),M2449&gt;0),(N2449-M2449)/M2449,"")</f>
        <v/>
      </c>
      <c r="Q2449" s="3">
        <f>IF(P2449="","",IF(P2449&lt;-0.02,"🔴 Bán phá giá sàn",IF(P2449&gt;0.05,"🔵 Bán cao hơn","🟢 Đúng giá sàn TMĐT")))</f>
        <v/>
      </c>
      <c r="R2449" s="3" t="n"/>
      <c r="S2449" s="4" t="n"/>
      <c r="T2449" s="4" t="n"/>
    </row>
    <row r="2450">
      <c r="A2450" s="3" t="n">
        <v>2449</v>
      </c>
      <c r="B2450" s="3" t="inlineStr">
        <is>
          <t>DL022</t>
        </is>
      </c>
      <c r="C2450" s="4" t="inlineStr">
        <is>
          <t>ĐL Đà Nẵng - Phú Vinh</t>
        </is>
      </c>
      <c r="D2450" s="3" t="inlineStr">
        <is>
          <t>Đà Nẵng</t>
        </is>
      </c>
      <c r="E2450" s="3" t="inlineStr">
        <is>
          <t>THÙY TRANG</t>
        </is>
      </c>
      <c r="F2450" s="3" t="inlineStr">
        <is>
          <t>Shopee, Tiktok</t>
        </is>
      </c>
      <c r="G245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0" s="3" t="inlineStr">
        <is>
          <t>KBL2-20260</t>
        </is>
      </c>
      <c r="I2450" s="4" t="inlineStr">
        <is>
          <t>Mũi khoan bê tông gài 2 cạnh KBL2-20*260</t>
        </is>
      </c>
      <c r="J2450" s="3" t="inlineStr">
        <is>
          <t>Cái</t>
        </is>
      </c>
      <c r="K2450" s="5" t="n">
        <v>91000</v>
      </c>
      <c r="L2450" s="5" t="n">
        <v>111000</v>
      </c>
      <c r="M2450" s="6" t="n">
        <v>141000</v>
      </c>
      <c r="N2450" s="5" t="n"/>
      <c r="O2450" s="5">
        <f>IF(AND(ISNUMBER(N2450),ISNUMBER(M2450)),N2450-M2450,"")</f>
        <v/>
      </c>
      <c r="P2450" s="7">
        <f>IF(AND(ISNUMBER(N2450),ISNUMBER(M2450),M2450&gt;0),(N2450-M2450)/M2450,"")</f>
        <v/>
      </c>
      <c r="Q2450" s="3">
        <f>IF(P2450="","",IF(P2450&lt;-0.02,"🔴 Bán phá giá sàn",IF(P2450&gt;0.05,"🔵 Bán cao hơn","🟢 Đúng giá sàn TMĐT")))</f>
        <v/>
      </c>
      <c r="R2450" s="3" t="n"/>
      <c r="S2450" s="4" t="n"/>
      <c r="T2450" s="4" t="n"/>
    </row>
    <row r="2451">
      <c r="A2451" s="3" t="n">
        <v>2450</v>
      </c>
      <c r="B2451" s="3" t="inlineStr">
        <is>
          <t>DL022</t>
        </is>
      </c>
      <c r="C2451" s="4" t="inlineStr">
        <is>
          <t>ĐL Đà Nẵng - Phú Vinh</t>
        </is>
      </c>
      <c r="D2451" s="3" t="inlineStr">
        <is>
          <t>Đà Nẵng</t>
        </is>
      </c>
      <c r="E2451" s="3" t="inlineStr">
        <is>
          <t>THÙY TRANG</t>
        </is>
      </c>
      <c r="F2451" s="3" t="inlineStr">
        <is>
          <t>Shopee, Tiktok</t>
        </is>
      </c>
      <c r="G245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1" s="3" t="inlineStr">
        <is>
          <t>KBL2-22260</t>
        </is>
      </c>
      <c r="I2451" s="4" t="inlineStr">
        <is>
          <t>Mũi khoan bê tông gài 2 cạnh KBL2-22*260</t>
        </is>
      </c>
      <c r="J2451" s="3" t="inlineStr">
        <is>
          <t>Cái</t>
        </is>
      </c>
      <c r="K2451" s="5" t="n">
        <v>109000</v>
      </c>
      <c r="L2451" s="5" t="n">
        <v>133000</v>
      </c>
      <c r="M2451" s="6" t="n">
        <v>169000</v>
      </c>
      <c r="N2451" s="5" t="n"/>
      <c r="O2451" s="5">
        <f>IF(AND(ISNUMBER(N2451),ISNUMBER(M2451)),N2451-M2451,"")</f>
        <v/>
      </c>
      <c r="P2451" s="7">
        <f>IF(AND(ISNUMBER(N2451),ISNUMBER(M2451),M2451&gt;0),(N2451-M2451)/M2451,"")</f>
        <v/>
      </c>
      <c r="Q2451" s="3">
        <f>IF(P2451="","",IF(P2451&lt;-0.02,"🔴 Bán phá giá sàn",IF(P2451&gt;0.05,"🔵 Bán cao hơn","🟢 Đúng giá sàn TMĐT")))</f>
        <v/>
      </c>
      <c r="R2451" s="3" t="n"/>
      <c r="S2451" s="4" t="n"/>
      <c r="T2451" s="4" t="n"/>
    </row>
    <row r="2452">
      <c r="A2452" s="3" t="n">
        <v>2451</v>
      </c>
      <c r="B2452" s="3" t="inlineStr">
        <is>
          <t>DL022</t>
        </is>
      </c>
      <c r="C2452" s="4" t="inlineStr">
        <is>
          <t>ĐL Đà Nẵng - Phú Vinh</t>
        </is>
      </c>
      <c r="D2452" s="3" t="inlineStr">
        <is>
          <t>Đà Nẵng</t>
        </is>
      </c>
      <c r="E2452" s="3" t="inlineStr">
        <is>
          <t>THÙY TRANG</t>
        </is>
      </c>
      <c r="F2452" s="3" t="inlineStr">
        <is>
          <t>Shopee, Tiktok</t>
        </is>
      </c>
      <c r="G245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2" s="3" t="inlineStr">
        <is>
          <t>KBL2-25260</t>
        </is>
      </c>
      <c r="I2452" s="4" t="inlineStr">
        <is>
          <t>Mũi khoan bê tông gài 2 cạnh KBL2-25*260</t>
        </is>
      </c>
      <c r="J2452" s="3" t="inlineStr">
        <is>
          <t>Cái</t>
        </is>
      </c>
      <c r="K2452" s="5" t="n">
        <v>133000</v>
      </c>
      <c r="L2452" s="5" t="n">
        <v>162000</v>
      </c>
      <c r="M2452" s="6" t="n">
        <v>206000</v>
      </c>
      <c r="N2452" s="5" t="n"/>
      <c r="O2452" s="5">
        <f>IF(AND(ISNUMBER(N2452),ISNUMBER(M2452)),N2452-M2452,"")</f>
        <v/>
      </c>
      <c r="P2452" s="7">
        <f>IF(AND(ISNUMBER(N2452),ISNUMBER(M2452),M2452&gt;0),(N2452-M2452)/M2452,"")</f>
        <v/>
      </c>
      <c r="Q2452" s="3">
        <f>IF(P2452="","",IF(P2452&lt;-0.02,"🔴 Bán phá giá sàn",IF(P2452&gt;0.05,"🔵 Bán cao hơn","🟢 Đúng giá sàn TMĐT")))</f>
        <v/>
      </c>
      <c r="R2452" s="3" t="n"/>
      <c r="S2452" s="4" t="n"/>
      <c r="T2452" s="4" t="n"/>
    </row>
    <row r="2453">
      <c r="A2453" s="3" t="n">
        <v>2452</v>
      </c>
      <c r="B2453" s="3" t="inlineStr">
        <is>
          <t>DL022</t>
        </is>
      </c>
      <c r="C2453" s="4" t="inlineStr">
        <is>
          <t>ĐL Đà Nẵng - Phú Vinh</t>
        </is>
      </c>
      <c r="D2453" s="3" t="inlineStr">
        <is>
          <t>Đà Nẵng</t>
        </is>
      </c>
      <c r="E2453" s="3" t="inlineStr">
        <is>
          <t>THÙY TRANG</t>
        </is>
      </c>
      <c r="F2453" s="3" t="inlineStr">
        <is>
          <t>Shopee, Tiktok</t>
        </is>
      </c>
      <c r="G245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3" s="3" t="inlineStr">
        <is>
          <t>KBL2-08310</t>
        </is>
      </c>
      <c r="I2453" s="4" t="inlineStr">
        <is>
          <t>Mũi khoan bê tông gài xuyên tường 2 cạnh KBL2-08*310</t>
        </is>
      </c>
      <c r="J2453" s="3" t="inlineStr">
        <is>
          <t>Cái</t>
        </is>
      </c>
      <c r="K2453" s="5" t="n">
        <v>40000</v>
      </c>
      <c r="L2453" s="5" t="n">
        <v>49000</v>
      </c>
      <c r="M2453" s="6" t="n">
        <v>62000</v>
      </c>
      <c r="N2453" s="5" t="n"/>
      <c r="O2453" s="5">
        <f>IF(AND(ISNUMBER(N2453),ISNUMBER(M2453)),N2453-M2453,"")</f>
        <v/>
      </c>
      <c r="P2453" s="7">
        <f>IF(AND(ISNUMBER(N2453),ISNUMBER(M2453),M2453&gt;0),(N2453-M2453)/M2453,"")</f>
        <v/>
      </c>
      <c r="Q2453" s="3">
        <f>IF(P2453="","",IF(P2453&lt;-0.02,"🔴 Bán phá giá sàn",IF(P2453&gt;0.05,"🔵 Bán cao hơn","🟢 Đúng giá sàn TMĐT")))</f>
        <v/>
      </c>
      <c r="R2453" s="3" t="n"/>
      <c r="S2453" s="4" t="n"/>
      <c r="T2453" s="4" t="n"/>
    </row>
    <row r="2454">
      <c r="A2454" s="3" t="n">
        <v>2453</v>
      </c>
      <c r="B2454" s="3" t="inlineStr">
        <is>
          <t>DL022</t>
        </is>
      </c>
      <c r="C2454" s="4" t="inlineStr">
        <is>
          <t>ĐL Đà Nẵng - Phú Vinh</t>
        </is>
      </c>
      <c r="D2454" s="3" t="inlineStr">
        <is>
          <t>Đà Nẵng</t>
        </is>
      </c>
      <c r="E2454" s="3" t="inlineStr">
        <is>
          <t>THÙY TRANG</t>
        </is>
      </c>
      <c r="F2454" s="3" t="inlineStr">
        <is>
          <t>Shopee, Tiktok</t>
        </is>
      </c>
      <c r="G245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4" s="3" t="inlineStr">
        <is>
          <t>KBL2-10310</t>
        </is>
      </c>
      <c r="I2454" s="4" t="inlineStr">
        <is>
          <t>Mũi khoan bê tông gài xuyên tường 2 cạnh KBL2-10*310</t>
        </is>
      </c>
      <c r="J2454" s="3" t="inlineStr">
        <is>
          <t>Cái</t>
        </is>
      </c>
      <c r="K2454" s="5" t="n">
        <v>44000</v>
      </c>
      <c r="L2454" s="5" t="n">
        <v>54000</v>
      </c>
      <c r="M2454" s="6" t="n">
        <v>68000</v>
      </c>
      <c r="N2454" s="5" t="n"/>
      <c r="O2454" s="5">
        <f>IF(AND(ISNUMBER(N2454),ISNUMBER(M2454)),N2454-M2454,"")</f>
        <v/>
      </c>
      <c r="P2454" s="7">
        <f>IF(AND(ISNUMBER(N2454),ISNUMBER(M2454),M2454&gt;0),(N2454-M2454)/M2454,"")</f>
        <v/>
      </c>
      <c r="Q2454" s="3">
        <f>IF(P2454="","",IF(P2454&lt;-0.02,"🔴 Bán phá giá sàn",IF(P2454&gt;0.05,"🔵 Bán cao hơn","🟢 Đúng giá sàn TMĐT")))</f>
        <v/>
      </c>
      <c r="R2454" s="3" t="n"/>
      <c r="S2454" s="4" t="n"/>
      <c r="T2454" s="4" t="n"/>
    </row>
    <row r="2455">
      <c r="A2455" s="3" t="n">
        <v>2454</v>
      </c>
      <c r="B2455" s="3" t="inlineStr">
        <is>
          <t>DL022</t>
        </is>
      </c>
      <c r="C2455" s="4" t="inlineStr">
        <is>
          <t>ĐL Đà Nẵng - Phú Vinh</t>
        </is>
      </c>
      <c r="D2455" s="3" t="inlineStr">
        <is>
          <t>Đà Nẵng</t>
        </is>
      </c>
      <c r="E2455" s="3" t="inlineStr">
        <is>
          <t>THÙY TRANG</t>
        </is>
      </c>
      <c r="F2455" s="3" t="inlineStr">
        <is>
          <t>Shopee, Tiktok</t>
        </is>
      </c>
      <c r="G245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5" s="3" t="inlineStr">
        <is>
          <t>KBL2-12310</t>
        </is>
      </c>
      <c r="I2455" s="4" t="inlineStr">
        <is>
          <t>Mũi khoan bê tông gài xuyên tường 2 cạnh KBL2-12*310</t>
        </is>
      </c>
      <c r="J2455" s="3" t="inlineStr">
        <is>
          <t>Cái</t>
        </is>
      </c>
      <c r="K2455" s="5" t="n">
        <v>45000</v>
      </c>
      <c r="L2455" s="5" t="n">
        <v>55000</v>
      </c>
      <c r="M2455" s="6" t="n">
        <v>70000</v>
      </c>
      <c r="N2455" s="5" t="n"/>
      <c r="O2455" s="5">
        <f>IF(AND(ISNUMBER(N2455),ISNUMBER(M2455)),N2455-M2455,"")</f>
        <v/>
      </c>
      <c r="P2455" s="7">
        <f>IF(AND(ISNUMBER(N2455),ISNUMBER(M2455),M2455&gt;0),(N2455-M2455)/M2455,"")</f>
        <v/>
      </c>
      <c r="Q2455" s="3">
        <f>IF(P2455="","",IF(P2455&lt;-0.02,"🔴 Bán phá giá sàn",IF(P2455&gt;0.05,"🔵 Bán cao hơn","🟢 Đúng giá sàn TMĐT")))</f>
        <v/>
      </c>
      <c r="R2455" s="3" t="n"/>
      <c r="S2455" s="4" t="n"/>
      <c r="T2455" s="4" t="n"/>
    </row>
    <row r="2456">
      <c r="A2456" s="3" t="n">
        <v>2455</v>
      </c>
      <c r="B2456" s="3" t="inlineStr">
        <is>
          <t>DL022</t>
        </is>
      </c>
      <c r="C2456" s="4" t="inlineStr">
        <is>
          <t>ĐL Đà Nẵng - Phú Vinh</t>
        </is>
      </c>
      <c r="D2456" s="3" t="inlineStr">
        <is>
          <t>Đà Nẵng</t>
        </is>
      </c>
      <c r="E2456" s="3" t="inlineStr">
        <is>
          <t>THÙY TRANG</t>
        </is>
      </c>
      <c r="F2456" s="3" t="inlineStr">
        <is>
          <t>Shopee, Tiktok</t>
        </is>
      </c>
      <c r="G245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6" s="3" t="inlineStr">
        <is>
          <t>KBL2-16310</t>
        </is>
      </c>
      <c r="I2456" s="4" t="inlineStr">
        <is>
          <t>Mũi khoan bê tông gài xuyên tường 2 cạnh KBL2-16*310</t>
        </is>
      </c>
      <c r="J2456" s="3" t="inlineStr">
        <is>
          <t>Cái</t>
        </is>
      </c>
      <c r="K2456" s="5" t="n">
        <v>67000</v>
      </c>
      <c r="L2456" s="5" t="n">
        <v>82000</v>
      </c>
      <c r="M2456" s="6" t="n">
        <v>104000</v>
      </c>
      <c r="N2456" s="5" t="n"/>
      <c r="O2456" s="5">
        <f>IF(AND(ISNUMBER(N2456),ISNUMBER(M2456)),N2456-M2456,"")</f>
        <v/>
      </c>
      <c r="P2456" s="7">
        <f>IF(AND(ISNUMBER(N2456),ISNUMBER(M2456),M2456&gt;0),(N2456-M2456)/M2456,"")</f>
        <v/>
      </c>
      <c r="Q2456" s="3">
        <f>IF(P2456="","",IF(P2456&lt;-0.02,"🔴 Bán phá giá sàn",IF(P2456&gt;0.05,"🔵 Bán cao hơn","🟢 Đúng giá sàn TMĐT")))</f>
        <v/>
      </c>
      <c r="R2456" s="3" t="n"/>
      <c r="S2456" s="4" t="n"/>
      <c r="T2456" s="4" t="n"/>
    </row>
    <row r="2457">
      <c r="A2457" s="3" t="n">
        <v>2456</v>
      </c>
      <c r="B2457" s="3" t="inlineStr">
        <is>
          <t>DL022</t>
        </is>
      </c>
      <c r="C2457" s="4" t="inlineStr">
        <is>
          <t>ĐL Đà Nẵng - Phú Vinh</t>
        </is>
      </c>
      <c r="D2457" s="3" t="inlineStr">
        <is>
          <t>Đà Nẵng</t>
        </is>
      </c>
      <c r="E2457" s="3" t="inlineStr">
        <is>
          <t>THÙY TRANG</t>
        </is>
      </c>
      <c r="F2457" s="3" t="inlineStr">
        <is>
          <t>Shopee, Tiktok</t>
        </is>
      </c>
      <c r="G245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7" s="3" t="inlineStr">
        <is>
          <t>KBL2-18310</t>
        </is>
      </c>
      <c r="I2457" s="4" t="inlineStr">
        <is>
          <t>Mũi khoan bê tông gài xuyên tường 2 cạnh KBL2-18*310</t>
        </is>
      </c>
      <c r="J2457" s="3" t="inlineStr">
        <is>
          <t>Cái</t>
        </is>
      </c>
      <c r="K2457" s="5" t="n">
        <v>84000</v>
      </c>
      <c r="L2457" s="5" t="n">
        <v>102000</v>
      </c>
      <c r="M2457" s="6" t="n">
        <v>130000</v>
      </c>
      <c r="N2457" s="5" t="n"/>
      <c r="O2457" s="5">
        <f>IF(AND(ISNUMBER(N2457),ISNUMBER(M2457)),N2457-M2457,"")</f>
        <v/>
      </c>
      <c r="P2457" s="7">
        <f>IF(AND(ISNUMBER(N2457),ISNUMBER(M2457),M2457&gt;0),(N2457-M2457)/M2457,"")</f>
        <v/>
      </c>
      <c r="Q2457" s="3">
        <f>IF(P2457="","",IF(P2457&lt;-0.02,"🔴 Bán phá giá sàn",IF(P2457&gt;0.05,"🔵 Bán cao hơn","🟢 Đúng giá sàn TMĐT")))</f>
        <v/>
      </c>
      <c r="R2457" s="3" t="n"/>
      <c r="S2457" s="4" t="n"/>
      <c r="T2457" s="4" t="n"/>
    </row>
    <row r="2458">
      <c r="A2458" s="3" t="n">
        <v>2457</v>
      </c>
      <c r="B2458" s="3" t="inlineStr">
        <is>
          <t>DL022</t>
        </is>
      </c>
      <c r="C2458" s="4" t="inlineStr">
        <is>
          <t>ĐL Đà Nẵng - Phú Vinh</t>
        </is>
      </c>
      <c r="D2458" s="3" t="inlineStr">
        <is>
          <t>Đà Nẵng</t>
        </is>
      </c>
      <c r="E2458" s="3" t="inlineStr">
        <is>
          <t>THÙY TRANG</t>
        </is>
      </c>
      <c r="F2458" s="3" t="inlineStr">
        <is>
          <t>Shopee, Tiktok</t>
        </is>
      </c>
      <c r="G245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8" s="3" t="inlineStr">
        <is>
          <t>KBL2-3.290</t>
        </is>
      </c>
      <c r="I2458" s="4" t="inlineStr">
        <is>
          <t>Mũi khoan bê tông không tắc kê KBL2-3.2*90</t>
        </is>
      </c>
      <c r="J2458" s="3" t="inlineStr">
        <is>
          <t>Cái</t>
        </is>
      </c>
      <c r="K2458" s="5" t="n">
        <v>23000</v>
      </c>
      <c r="L2458" s="5" t="n">
        <v>29000</v>
      </c>
      <c r="M2458" s="6" t="n">
        <v>38000</v>
      </c>
      <c r="N2458" s="5" t="n"/>
      <c r="O2458" s="5">
        <f>IF(AND(ISNUMBER(N2458),ISNUMBER(M2458)),N2458-M2458,"")</f>
        <v/>
      </c>
      <c r="P2458" s="7">
        <f>IF(AND(ISNUMBER(N2458),ISNUMBER(M2458),M2458&gt;0),(N2458-M2458)/M2458,"")</f>
        <v/>
      </c>
      <c r="Q2458" s="3">
        <f>IF(P2458="","",IF(P2458&lt;-0.02,"🔴 Bán phá giá sàn",IF(P2458&gt;0.05,"🔵 Bán cao hơn","🟢 Đúng giá sàn TMĐT")))</f>
        <v/>
      </c>
      <c r="R2458" s="3" t="n"/>
      <c r="S2458" s="4" t="n"/>
      <c r="T2458" s="4" t="n"/>
    </row>
    <row r="2459">
      <c r="A2459" s="3" t="n">
        <v>2458</v>
      </c>
      <c r="B2459" s="3" t="inlineStr">
        <is>
          <t>DL022</t>
        </is>
      </c>
      <c r="C2459" s="4" t="inlineStr">
        <is>
          <t>ĐL Đà Nẵng - Phú Vinh</t>
        </is>
      </c>
      <c r="D2459" s="3" t="inlineStr">
        <is>
          <t>Đà Nẵng</t>
        </is>
      </c>
      <c r="E2459" s="3" t="inlineStr">
        <is>
          <t>THÙY TRANG</t>
        </is>
      </c>
      <c r="F2459" s="3" t="inlineStr">
        <is>
          <t>Shopee, Tiktok</t>
        </is>
      </c>
      <c r="G245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59" s="3" t="inlineStr">
        <is>
          <t>KBK-08</t>
        </is>
      </c>
      <c r="I2459" s="4" t="inlineStr">
        <is>
          <t>Mũi khoan đá KBK-08</t>
        </is>
      </c>
      <c r="J2459" s="3" t="inlineStr">
        <is>
          <t>Cái</t>
        </is>
      </c>
      <c r="K2459" s="5" t="n">
        <v>25000</v>
      </c>
      <c r="L2459" s="5" t="n">
        <v>31000</v>
      </c>
      <c r="M2459" s="6" t="n">
        <v>40000</v>
      </c>
      <c r="N2459" s="5" t="n"/>
      <c r="O2459" s="5">
        <f>IF(AND(ISNUMBER(N2459),ISNUMBER(M2459)),N2459-M2459,"")</f>
        <v/>
      </c>
      <c r="P2459" s="7">
        <f>IF(AND(ISNUMBER(N2459),ISNUMBER(M2459),M2459&gt;0),(N2459-M2459)/M2459,"")</f>
        <v/>
      </c>
      <c r="Q2459" s="3">
        <f>IF(P2459="","",IF(P2459&lt;-0.02,"🔴 Bán phá giá sàn",IF(P2459&gt;0.05,"🔵 Bán cao hơn","🟢 Đúng giá sàn TMĐT")))</f>
        <v/>
      </c>
      <c r="R2459" s="3" t="n"/>
      <c r="S2459" s="4" t="n"/>
      <c r="T2459" s="4" t="n"/>
    </row>
    <row r="2460">
      <c r="A2460" s="3" t="n">
        <v>2459</v>
      </c>
      <c r="B2460" s="3" t="inlineStr">
        <is>
          <t>DL022</t>
        </is>
      </c>
      <c r="C2460" s="4" t="inlineStr">
        <is>
          <t>ĐL Đà Nẵng - Phú Vinh</t>
        </is>
      </c>
      <c r="D2460" s="3" t="inlineStr">
        <is>
          <t>Đà Nẵng</t>
        </is>
      </c>
      <c r="E2460" s="3" t="inlineStr">
        <is>
          <t>THÙY TRANG</t>
        </is>
      </c>
      <c r="F2460" s="3" t="inlineStr">
        <is>
          <t>Shopee, Tiktok</t>
        </is>
      </c>
      <c r="G246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0" s="3" t="inlineStr">
        <is>
          <t>KBK-10</t>
        </is>
      </c>
      <c r="I2460" s="4" t="inlineStr">
        <is>
          <t>Mũi khoan đá KBK-10</t>
        </is>
      </c>
      <c r="J2460" s="3" t="inlineStr">
        <is>
          <t>Cái</t>
        </is>
      </c>
      <c r="K2460" s="5" t="n">
        <v>32000</v>
      </c>
      <c r="L2460" s="5" t="n">
        <v>40000</v>
      </c>
      <c r="M2460" s="6" t="n">
        <v>51000</v>
      </c>
      <c r="N2460" s="5" t="n"/>
      <c r="O2460" s="5">
        <f>IF(AND(ISNUMBER(N2460),ISNUMBER(M2460)),N2460-M2460,"")</f>
        <v/>
      </c>
      <c r="P2460" s="7">
        <f>IF(AND(ISNUMBER(N2460),ISNUMBER(M2460),M2460&gt;0),(N2460-M2460)/M2460,"")</f>
        <v/>
      </c>
      <c r="Q2460" s="3">
        <f>IF(P2460="","",IF(P2460&lt;-0.02,"🔴 Bán phá giá sàn",IF(P2460&gt;0.05,"🔵 Bán cao hơn","🟢 Đúng giá sàn TMĐT")))</f>
        <v/>
      </c>
      <c r="R2460" s="3" t="n"/>
      <c r="S2460" s="4" t="n"/>
      <c r="T2460" s="4" t="n"/>
    </row>
    <row r="2461">
      <c r="A2461" s="3" t="n">
        <v>2460</v>
      </c>
      <c r="B2461" s="3" t="inlineStr">
        <is>
          <t>DL022</t>
        </is>
      </c>
      <c r="C2461" s="4" t="inlineStr">
        <is>
          <t>ĐL Đà Nẵng - Phú Vinh</t>
        </is>
      </c>
      <c r="D2461" s="3" t="inlineStr">
        <is>
          <t>Đà Nẵng</t>
        </is>
      </c>
      <c r="E2461" s="3" t="inlineStr">
        <is>
          <t>THÙY TRANG</t>
        </is>
      </c>
      <c r="F2461" s="3" t="inlineStr">
        <is>
          <t>Shopee, Tiktok</t>
        </is>
      </c>
      <c r="G246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1" s="3" t="inlineStr">
        <is>
          <t>KBK-12</t>
        </is>
      </c>
      <c r="I2461" s="4" t="inlineStr">
        <is>
          <t>Mũi khoan đá KBK-12</t>
        </is>
      </c>
      <c r="J2461" s="3" t="inlineStr">
        <is>
          <t>Cái</t>
        </is>
      </c>
      <c r="K2461" s="5" t="n">
        <v>37000</v>
      </c>
      <c r="L2461" s="5" t="n">
        <v>46000</v>
      </c>
      <c r="M2461" s="6" t="n">
        <v>59000</v>
      </c>
      <c r="N2461" s="5" t="n"/>
      <c r="O2461" s="5">
        <f>IF(AND(ISNUMBER(N2461),ISNUMBER(M2461)),N2461-M2461,"")</f>
        <v/>
      </c>
      <c r="P2461" s="7">
        <f>IF(AND(ISNUMBER(N2461),ISNUMBER(M2461),M2461&gt;0),(N2461-M2461)/M2461,"")</f>
        <v/>
      </c>
      <c r="Q2461" s="3">
        <f>IF(P2461="","",IF(P2461&lt;-0.02,"🔴 Bán phá giá sàn",IF(P2461&gt;0.05,"🔵 Bán cao hơn","🟢 Đúng giá sàn TMĐT")))</f>
        <v/>
      </c>
      <c r="R2461" s="3" t="n"/>
      <c r="S2461" s="4" t="n"/>
      <c r="T2461" s="4" t="n"/>
    </row>
    <row r="2462">
      <c r="A2462" s="3" t="n">
        <v>2461</v>
      </c>
      <c r="B2462" s="3" t="inlineStr">
        <is>
          <t>DL022</t>
        </is>
      </c>
      <c r="C2462" s="4" t="inlineStr">
        <is>
          <t>ĐL Đà Nẵng - Phú Vinh</t>
        </is>
      </c>
      <c r="D2462" s="3" t="inlineStr">
        <is>
          <t>Đà Nẵng</t>
        </is>
      </c>
      <c r="E2462" s="3" t="inlineStr">
        <is>
          <t>THÙY TRANG</t>
        </is>
      </c>
      <c r="F2462" s="3" t="inlineStr">
        <is>
          <t>Shopee, Tiktok</t>
        </is>
      </c>
      <c r="G246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2" s="3" t="inlineStr">
        <is>
          <t>KBK-34</t>
        </is>
      </c>
      <c r="I2462" s="4" t="inlineStr">
        <is>
          <t>Mũi khoan đá KBK-34</t>
        </is>
      </c>
      <c r="J2462" s="3" t="inlineStr">
        <is>
          <t>Cái</t>
        </is>
      </c>
      <c r="K2462" s="5" t="n">
        <v>102000</v>
      </c>
      <c r="L2462" s="5" t="n">
        <v>126000</v>
      </c>
      <c r="M2462" s="6" t="n">
        <v>163000</v>
      </c>
      <c r="N2462" s="5" t="n"/>
      <c r="O2462" s="5">
        <f>IF(AND(ISNUMBER(N2462),ISNUMBER(M2462)),N2462-M2462,"")</f>
        <v/>
      </c>
      <c r="P2462" s="7">
        <f>IF(AND(ISNUMBER(N2462),ISNUMBER(M2462),M2462&gt;0),(N2462-M2462)/M2462,"")</f>
        <v/>
      </c>
      <c r="Q2462" s="3">
        <f>IF(P2462="","",IF(P2462&lt;-0.02,"🔴 Bán phá giá sàn",IF(P2462&gt;0.05,"🔵 Bán cao hơn","🟢 Đúng giá sàn TMĐT")))</f>
        <v/>
      </c>
      <c r="R2462" s="3" t="n"/>
      <c r="S2462" s="4" t="n"/>
      <c r="T2462" s="4" t="n"/>
    </row>
    <row r="2463">
      <c r="A2463" s="3" t="n">
        <v>2462</v>
      </c>
      <c r="B2463" s="3" t="inlineStr">
        <is>
          <t>DL022</t>
        </is>
      </c>
      <c r="C2463" s="4" t="inlineStr">
        <is>
          <t>ĐL Đà Nẵng - Phú Vinh</t>
        </is>
      </c>
      <c r="D2463" s="3" t="inlineStr">
        <is>
          <t>Đà Nẵng</t>
        </is>
      </c>
      <c r="E2463" s="3" t="inlineStr">
        <is>
          <t>THÙY TRANG</t>
        </is>
      </c>
      <c r="F2463" s="3" t="inlineStr">
        <is>
          <t>Shopee, Tiktok</t>
        </is>
      </c>
      <c r="G246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3" s="3" t="inlineStr">
        <is>
          <t>KBH2-10120</t>
        </is>
      </c>
      <c r="I2463" s="4" t="inlineStr">
        <is>
          <t>Mũi khoan ĐN lục giác 2 cạnh KBH2-10*120</t>
        </is>
      </c>
      <c r="J2463" s="3" t="inlineStr">
        <is>
          <t>Cái</t>
        </is>
      </c>
      <c r="K2463" s="5" t="n">
        <v>28000</v>
      </c>
      <c r="L2463" s="5" t="n">
        <v>35000</v>
      </c>
      <c r="M2463" s="6" t="n">
        <v>45000</v>
      </c>
      <c r="N2463" s="5" t="n"/>
      <c r="O2463" s="5">
        <f>IF(AND(ISNUMBER(N2463),ISNUMBER(M2463)),N2463-M2463,"")</f>
        <v/>
      </c>
      <c r="P2463" s="7">
        <f>IF(AND(ISNUMBER(N2463),ISNUMBER(M2463),M2463&gt;0),(N2463-M2463)/M2463,"")</f>
        <v/>
      </c>
      <c r="Q2463" s="3">
        <f>IF(P2463="","",IF(P2463&lt;-0.02,"🔴 Bán phá giá sàn",IF(P2463&gt;0.05,"🔵 Bán cao hơn","🟢 Đúng giá sàn TMĐT")))</f>
        <v/>
      </c>
      <c r="R2463" s="3" t="n"/>
      <c r="S2463" s="4" t="n"/>
      <c r="T2463" s="4" t="n"/>
    </row>
    <row r="2464">
      <c r="A2464" s="3" t="n">
        <v>2463</v>
      </c>
      <c r="B2464" s="3" t="inlineStr">
        <is>
          <t>DL022</t>
        </is>
      </c>
      <c r="C2464" s="4" t="inlineStr">
        <is>
          <t>ĐL Đà Nẵng - Phú Vinh</t>
        </is>
      </c>
      <c r="D2464" s="3" t="inlineStr">
        <is>
          <t>Đà Nẵng</t>
        </is>
      </c>
      <c r="E2464" s="3" t="inlineStr">
        <is>
          <t>THÙY TRANG</t>
        </is>
      </c>
      <c r="F2464" s="3" t="inlineStr">
        <is>
          <t>Shopee, Tiktok</t>
        </is>
      </c>
      <c r="G246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4" s="3" t="inlineStr">
        <is>
          <t>KBH2-12120</t>
        </is>
      </c>
      <c r="I2464" s="4" t="inlineStr">
        <is>
          <t>Mũi khoan ĐN lục giác 2 cạnh KBH2-12*120</t>
        </is>
      </c>
      <c r="J2464" s="3" t="inlineStr">
        <is>
          <t>Cái</t>
        </is>
      </c>
      <c r="K2464" s="5" t="n">
        <v>34000</v>
      </c>
      <c r="L2464" s="5" t="n">
        <v>42000</v>
      </c>
      <c r="M2464" s="6" t="n">
        <v>54000</v>
      </c>
      <c r="N2464" s="5" t="n"/>
      <c r="O2464" s="5">
        <f>IF(AND(ISNUMBER(N2464),ISNUMBER(M2464)),N2464-M2464,"")</f>
        <v/>
      </c>
      <c r="P2464" s="7">
        <f>IF(AND(ISNUMBER(N2464),ISNUMBER(M2464),M2464&gt;0),(N2464-M2464)/M2464,"")</f>
        <v/>
      </c>
      <c r="Q2464" s="3">
        <f>IF(P2464="","",IF(P2464&lt;-0.02,"🔴 Bán phá giá sàn",IF(P2464&gt;0.05,"🔵 Bán cao hơn","🟢 Đúng giá sàn TMĐT")))</f>
        <v/>
      </c>
      <c r="R2464" s="3" t="n"/>
      <c r="S2464" s="4" t="n"/>
      <c r="T2464" s="4" t="n"/>
    </row>
    <row r="2465">
      <c r="A2465" s="3" t="n">
        <v>2464</v>
      </c>
      <c r="B2465" s="3" t="inlineStr">
        <is>
          <t>DL022</t>
        </is>
      </c>
      <c r="C2465" s="4" t="inlineStr">
        <is>
          <t>ĐL Đà Nẵng - Phú Vinh</t>
        </is>
      </c>
      <c r="D2465" s="3" t="inlineStr">
        <is>
          <t>Đà Nẵng</t>
        </is>
      </c>
      <c r="E2465" s="3" t="inlineStr">
        <is>
          <t>THÙY TRANG</t>
        </is>
      </c>
      <c r="F2465" s="3" t="inlineStr">
        <is>
          <t>Shopee, Tiktok</t>
        </is>
      </c>
      <c r="G246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5" s="3" t="inlineStr">
        <is>
          <t>KBH2E-04150</t>
        </is>
      </c>
      <c r="I2465" s="4" t="inlineStr">
        <is>
          <t>Mũi khoan ĐN lục giác 2 cạnh KBH2E-04*150</t>
        </is>
      </c>
      <c r="J2465" s="3" t="inlineStr">
        <is>
          <t>Cái</t>
        </is>
      </c>
      <c r="K2465" s="5" t="n">
        <v>28000</v>
      </c>
      <c r="L2465" s="5" t="n">
        <v>35000</v>
      </c>
      <c r="M2465" s="6" t="n">
        <v>45000</v>
      </c>
      <c r="N2465" s="5" t="n"/>
      <c r="O2465" s="5">
        <f>IF(AND(ISNUMBER(N2465),ISNUMBER(M2465)),N2465-M2465,"")</f>
        <v/>
      </c>
      <c r="P2465" s="7">
        <f>IF(AND(ISNUMBER(N2465),ISNUMBER(M2465),M2465&gt;0),(N2465-M2465)/M2465,"")</f>
        <v/>
      </c>
      <c r="Q2465" s="3">
        <f>IF(P2465="","",IF(P2465&lt;-0.02,"🔴 Bán phá giá sàn",IF(P2465&gt;0.05,"🔵 Bán cao hơn","🟢 Đúng giá sàn TMĐT")))</f>
        <v/>
      </c>
      <c r="R2465" s="3" t="n"/>
      <c r="S2465" s="4" t="n"/>
      <c r="T2465" s="4" t="n"/>
    </row>
    <row r="2466">
      <c r="A2466" s="3" t="n">
        <v>2465</v>
      </c>
      <c r="B2466" s="3" t="inlineStr">
        <is>
          <t>DL022</t>
        </is>
      </c>
      <c r="C2466" s="4" t="inlineStr">
        <is>
          <t>ĐL Đà Nẵng - Phú Vinh</t>
        </is>
      </c>
      <c r="D2466" s="3" t="inlineStr">
        <is>
          <t>Đà Nẵng</t>
        </is>
      </c>
      <c r="E2466" s="3" t="inlineStr">
        <is>
          <t>THÙY TRANG</t>
        </is>
      </c>
      <c r="F2466" s="3" t="inlineStr">
        <is>
          <t>Shopee, Tiktok</t>
        </is>
      </c>
      <c r="G246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6" s="3" t="inlineStr">
        <is>
          <t>KBH2F-0395</t>
        </is>
      </c>
      <c r="I2466" s="4" t="inlineStr">
        <is>
          <t>Mũi khoan ĐN lục giác 2 cạnh KBH2F-03*95</t>
        </is>
      </c>
      <c r="J2466" s="3" t="inlineStr">
        <is>
          <t>Cái</t>
        </is>
      </c>
      <c r="K2466" s="5" t="n">
        <v>26000</v>
      </c>
      <c r="L2466" s="5" t="n">
        <v>32000</v>
      </c>
      <c r="M2466" s="6" t="n">
        <v>42000</v>
      </c>
      <c r="N2466" s="5" t="n"/>
      <c r="O2466" s="5">
        <f>IF(AND(ISNUMBER(N2466),ISNUMBER(M2466)),N2466-M2466,"")</f>
        <v/>
      </c>
      <c r="P2466" s="7">
        <f>IF(AND(ISNUMBER(N2466),ISNUMBER(M2466),M2466&gt;0),(N2466-M2466)/M2466,"")</f>
        <v/>
      </c>
      <c r="Q2466" s="3">
        <f>IF(P2466="","",IF(P2466&lt;-0.02,"🔴 Bán phá giá sàn",IF(P2466&gt;0.05,"🔵 Bán cao hơn","🟢 Đúng giá sàn TMĐT")))</f>
        <v/>
      </c>
      <c r="R2466" s="3" t="n"/>
      <c r="S2466" s="4" t="n"/>
      <c r="T2466" s="4" t="n"/>
    </row>
    <row r="2467">
      <c r="A2467" s="3" t="n">
        <v>2466</v>
      </c>
      <c r="B2467" s="3" t="inlineStr">
        <is>
          <t>DL022</t>
        </is>
      </c>
      <c r="C2467" s="4" t="inlineStr">
        <is>
          <t>ĐL Đà Nẵng - Phú Vinh</t>
        </is>
      </c>
      <c r="D2467" s="3" t="inlineStr">
        <is>
          <t>Đà Nẵng</t>
        </is>
      </c>
      <c r="E2467" s="3" t="inlineStr">
        <is>
          <t>THÙY TRANG</t>
        </is>
      </c>
      <c r="F2467" s="3" t="inlineStr">
        <is>
          <t>Shopee, Tiktok</t>
        </is>
      </c>
      <c r="G246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7" s="3" t="inlineStr">
        <is>
          <t>KBH2F-0695</t>
        </is>
      </c>
      <c r="I2467" s="4" t="inlineStr">
        <is>
          <t>Mũi khoan ĐN lục giác 2 cạnh KBH2F-06*95</t>
        </is>
      </c>
      <c r="J2467" s="3" t="inlineStr">
        <is>
          <t>Cái</t>
        </is>
      </c>
      <c r="K2467" s="5" t="n">
        <v>26000</v>
      </c>
      <c r="L2467" s="5" t="n">
        <v>32000</v>
      </c>
      <c r="M2467" s="6" t="n">
        <v>42000</v>
      </c>
      <c r="N2467" s="5" t="n"/>
      <c r="O2467" s="5">
        <f>IF(AND(ISNUMBER(N2467),ISNUMBER(M2467)),N2467-M2467,"")</f>
        <v/>
      </c>
      <c r="P2467" s="7">
        <f>IF(AND(ISNUMBER(N2467),ISNUMBER(M2467),M2467&gt;0),(N2467-M2467)/M2467,"")</f>
        <v/>
      </c>
      <c r="Q2467" s="3">
        <f>IF(P2467="","",IF(P2467&lt;-0.02,"🔴 Bán phá giá sàn",IF(P2467&gt;0.05,"🔵 Bán cao hơn","🟢 Đúng giá sàn TMĐT")))</f>
        <v/>
      </c>
      <c r="R2467" s="3" t="n"/>
      <c r="S2467" s="4" t="n"/>
      <c r="T2467" s="4" t="n"/>
    </row>
    <row r="2468">
      <c r="A2468" s="3" t="n">
        <v>2467</v>
      </c>
      <c r="B2468" s="3" t="inlineStr">
        <is>
          <t>DL022</t>
        </is>
      </c>
      <c r="C2468" s="4" t="inlineStr">
        <is>
          <t>ĐL Đà Nẵng - Phú Vinh</t>
        </is>
      </c>
      <c r="D2468" s="3" t="inlineStr">
        <is>
          <t>Đà Nẵng</t>
        </is>
      </c>
      <c r="E2468" s="3" t="inlineStr">
        <is>
          <t>THÙY TRANG</t>
        </is>
      </c>
      <c r="F2468" s="3" t="inlineStr">
        <is>
          <t>Shopee, Tiktok</t>
        </is>
      </c>
      <c r="G246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8" s="3" t="inlineStr">
        <is>
          <t>KBH2F-0895</t>
        </is>
      </c>
      <c r="I2468" s="4" t="inlineStr">
        <is>
          <t>Mũi khoan ĐN lục giác 2 cạnh KBH2F-08*95</t>
        </is>
      </c>
      <c r="J2468" s="3" t="inlineStr">
        <is>
          <t>Cái</t>
        </is>
      </c>
      <c r="K2468" s="5" t="n">
        <v>33000</v>
      </c>
      <c r="L2468" s="5" t="n">
        <v>41000</v>
      </c>
      <c r="M2468" s="6" t="n">
        <v>53000</v>
      </c>
      <c r="N2468" s="5" t="n"/>
      <c r="O2468" s="5">
        <f>IF(AND(ISNUMBER(N2468),ISNUMBER(M2468)),N2468-M2468,"")</f>
        <v/>
      </c>
      <c r="P2468" s="7">
        <f>IF(AND(ISNUMBER(N2468),ISNUMBER(M2468),M2468&gt;0),(N2468-M2468)/M2468,"")</f>
        <v/>
      </c>
      <c r="Q2468" s="3">
        <f>IF(P2468="","",IF(P2468&lt;-0.02,"🔴 Bán phá giá sàn",IF(P2468&gt;0.05,"🔵 Bán cao hơn","🟢 Đúng giá sàn TMĐT")))</f>
        <v/>
      </c>
      <c r="R2468" s="3" t="n"/>
      <c r="S2468" s="4" t="n"/>
      <c r="T2468" s="4" t="n"/>
    </row>
    <row r="2469">
      <c r="A2469" s="3" t="n">
        <v>2468</v>
      </c>
      <c r="B2469" s="3" t="inlineStr">
        <is>
          <t>DL022</t>
        </is>
      </c>
      <c r="C2469" s="4" t="inlineStr">
        <is>
          <t>ĐL Đà Nẵng - Phú Vinh</t>
        </is>
      </c>
      <c r="D2469" s="3" t="inlineStr">
        <is>
          <t>Đà Nẵng</t>
        </is>
      </c>
      <c r="E2469" s="3" t="inlineStr">
        <is>
          <t>THÙY TRANG</t>
        </is>
      </c>
      <c r="F2469" s="3" t="inlineStr">
        <is>
          <t>Shopee, Tiktok</t>
        </is>
      </c>
      <c r="G246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69" s="3" t="inlineStr">
        <is>
          <t>KBH2F-1095</t>
        </is>
      </c>
      <c r="I2469" s="4" t="inlineStr">
        <is>
          <t>Mũi khoan ĐN lục giác 2 cạnh KBH2F-10*95</t>
        </is>
      </c>
      <c r="J2469" s="3" t="inlineStr">
        <is>
          <t>Cái</t>
        </is>
      </c>
      <c r="K2469" s="5" t="n">
        <v>42000</v>
      </c>
      <c r="L2469" s="5" t="n">
        <v>52000</v>
      </c>
      <c r="M2469" s="6" t="n">
        <v>67000</v>
      </c>
      <c r="N2469" s="5" t="n"/>
      <c r="O2469" s="5">
        <f>IF(AND(ISNUMBER(N2469),ISNUMBER(M2469)),N2469-M2469,"")</f>
        <v/>
      </c>
      <c r="P2469" s="7">
        <f>IF(AND(ISNUMBER(N2469),ISNUMBER(M2469),M2469&gt;0),(N2469-M2469)/M2469,"")</f>
        <v/>
      </c>
      <c r="Q2469" s="3">
        <f>IF(P2469="","",IF(P2469&lt;-0.02,"🔴 Bán phá giá sàn",IF(P2469&gt;0.05,"🔵 Bán cao hơn","🟢 Đúng giá sàn TMĐT")))</f>
        <v/>
      </c>
      <c r="R2469" s="3" t="n"/>
      <c r="S2469" s="4" t="n"/>
      <c r="T2469" s="4" t="n"/>
    </row>
    <row r="2470">
      <c r="A2470" s="3" t="n">
        <v>2469</v>
      </c>
      <c r="B2470" s="3" t="inlineStr">
        <is>
          <t>DL022</t>
        </is>
      </c>
      <c r="C2470" s="4" t="inlineStr">
        <is>
          <t>ĐL Đà Nẵng - Phú Vinh</t>
        </is>
      </c>
      <c r="D2470" s="3" t="inlineStr">
        <is>
          <t>Đà Nẵng</t>
        </is>
      </c>
      <c r="E2470" s="3" t="inlineStr">
        <is>
          <t>THÙY TRANG</t>
        </is>
      </c>
      <c r="F2470" s="3" t="inlineStr">
        <is>
          <t>Shopee, Tiktok</t>
        </is>
      </c>
      <c r="G247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0" s="3" t="inlineStr">
        <is>
          <t>KBH2F-1295</t>
        </is>
      </c>
      <c r="I2470" s="4" t="inlineStr">
        <is>
          <t>Mũi khoan ĐN lục giác 2 cạnh KBH2F-12*95</t>
        </is>
      </c>
      <c r="J2470" s="3" t="inlineStr">
        <is>
          <t>Cái</t>
        </is>
      </c>
      <c r="K2470" s="5" t="n">
        <v>53000</v>
      </c>
      <c r="L2470" s="5" t="n">
        <v>66000</v>
      </c>
      <c r="M2470" s="6" t="n">
        <v>85000</v>
      </c>
      <c r="N2470" s="5" t="n"/>
      <c r="O2470" s="5">
        <f>IF(AND(ISNUMBER(N2470),ISNUMBER(M2470)),N2470-M2470,"")</f>
        <v/>
      </c>
      <c r="P2470" s="7">
        <f>IF(AND(ISNUMBER(N2470),ISNUMBER(M2470),M2470&gt;0),(N2470-M2470)/M2470,"")</f>
        <v/>
      </c>
      <c r="Q2470" s="3">
        <f>IF(P2470="","",IF(P2470&lt;-0.02,"🔴 Bán phá giá sàn",IF(P2470&gt;0.05,"🔵 Bán cao hơn","🟢 Đúng giá sàn TMĐT")))</f>
        <v/>
      </c>
      <c r="R2470" s="3" t="n"/>
      <c r="S2470" s="4" t="n"/>
      <c r="T2470" s="4" t="n"/>
    </row>
    <row r="2471">
      <c r="A2471" s="3" t="n">
        <v>2470</v>
      </c>
      <c r="B2471" s="3" t="inlineStr">
        <is>
          <t>DL022</t>
        </is>
      </c>
      <c r="C2471" s="4" t="inlineStr">
        <is>
          <t>ĐL Đà Nẵng - Phú Vinh</t>
        </is>
      </c>
      <c r="D2471" s="3" t="inlineStr">
        <is>
          <t>Đà Nẵng</t>
        </is>
      </c>
      <c r="E2471" s="3" t="inlineStr">
        <is>
          <t>THÙY TRANG</t>
        </is>
      </c>
      <c r="F2471" s="3" t="inlineStr">
        <is>
          <t>Shopee, Tiktok</t>
        </is>
      </c>
      <c r="G247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1" s="3" t="inlineStr">
        <is>
          <t>KBH4S-06100</t>
        </is>
      </c>
      <c r="I2471" s="4" t="inlineStr">
        <is>
          <t>Mũi khoan ĐN lục giác 4 cạnh KBH4S-06*100</t>
        </is>
      </c>
      <c r="J2471" s="3" t="inlineStr">
        <is>
          <t>Cái</t>
        </is>
      </c>
      <c r="K2471" s="5" t="n">
        <v>41000</v>
      </c>
      <c r="L2471" s="5" t="n">
        <v>51000</v>
      </c>
      <c r="M2471" s="6" t="n">
        <v>65000</v>
      </c>
      <c r="N2471" s="5" t="n"/>
      <c r="O2471" s="5">
        <f>IF(AND(ISNUMBER(N2471),ISNUMBER(M2471)),N2471-M2471,"")</f>
        <v/>
      </c>
      <c r="P2471" s="7">
        <f>IF(AND(ISNUMBER(N2471),ISNUMBER(M2471),M2471&gt;0),(N2471-M2471)/M2471,"")</f>
        <v/>
      </c>
      <c r="Q2471" s="3">
        <f>IF(P2471="","",IF(P2471&lt;-0.02,"🔴 Bán phá giá sàn",IF(P2471&gt;0.05,"🔵 Bán cao hơn","🟢 Đúng giá sàn TMĐT")))</f>
        <v/>
      </c>
      <c r="R2471" s="3" t="n"/>
      <c r="S2471" s="4" t="n"/>
      <c r="T2471" s="4" t="n"/>
    </row>
    <row r="2472">
      <c r="A2472" s="3" t="n">
        <v>2471</v>
      </c>
      <c r="B2472" s="3" t="inlineStr">
        <is>
          <t>DL022</t>
        </is>
      </c>
      <c r="C2472" s="4" t="inlineStr">
        <is>
          <t>ĐL Đà Nẵng - Phú Vinh</t>
        </is>
      </c>
      <c r="D2472" s="3" t="inlineStr">
        <is>
          <t>Đà Nẵng</t>
        </is>
      </c>
      <c r="E2472" s="3" t="inlineStr">
        <is>
          <t>THÙY TRANG</t>
        </is>
      </c>
      <c r="F2472" s="3" t="inlineStr">
        <is>
          <t>Shopee, Tiktok</t>
        </is>
      </c>
      <c r="G247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2" s="3" t="inlineStr">
        <is>
          <t>KBH4S-08117</t>
        </is>
      </c>
      <c r="I2472" s="4" t="inlineStr">
        <is>
          <t>Mũi khoan ĐN lục giác 4 cạnh KBH4S-08*117</t>
        </is>
      </c>
      <c r="J2472" s="3" t="inlineStr">
        <is>
          <t>Cái</t>
        </is>
      </c>
      <c r="K2472" s="5" t="n">
        <v>32000</v>
      </c>
      <c r="L2472" s="5" t="n">
        <v>40000</v>
      </c>
      <c r="M2472" s="6" t="n">
        <v>51000</v>
      </c>
      <c r="N2472" s="5" t="n"/>
      <c r="O2472" s="5">
        <f>IF(AND(ISNUMBER(N2472),ISNUMBER(M2472)),N2472-M2472,"")</f>
        <v/>
      </c>
      <c r="P2472" s="7">
        <f>IF(AND(ISNUMBER(N2472),ISNUMBER(M2472),M2472&gt;0),(N2472-M2472)/M2472,"")</f>
        <v/>
      </c>
      <c r="Q2472" s="3">
        <f>IF(P2472="","",IF(P2472&lt;-0.02,"🔴 Bán phá giá sàn",IF(P2472&gt;0.05,"🔵 Bán cao hơn","🟢 Đúng giá sàn TMĐT")))</f>
        <v/>
      </c>
      <c r="R2472" s="3" t="n"/>
      <c r="S2472" s="4" t="n"/>
      <c r="T2472" s="4" t="n"/>
    </row>
    <row r="2473">
      <c r="A2473" s="3" t="n">
        <v>2472</v>
      </c>
      <c r="B2473" s="3" t="inlineStr">
        <is>
          <t>DL022</t>
        </is>
      </c>
      <c r="C2473" s="4" t="inlineStr">
        <is>
          <t>ĐL Đà Nẵng - Phú Vinh</t>
        </is>
      </c>
      <c r="D2473" s="3" t="inlineStr">
        <is>
          <t>Đà Nẵng</t>
        </is>
      </c>
      <c r="E2473" s="3" t="inlineStr">
        <is>
          <t>THÙY TRANG</t>
        </is>
      </c>
      <c r="F2473" s="3" t="inlineStr">
        <is>
          <t>Shopee, Tiktok</t>
        </is>
      </c>
      <c r="G247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3" s="3" t="inlineStr">
        <is>
          <t>KBH4S-10123</t>
        </is>
      </c>
      <c r="I2473" s="4" t="inlineStr">
        <is>
          <t>Mũi khoan ĐN lục giác 4 cạnh KBH4S-10*123</t>
        </is>
      </c>
      <c r="J2473" s="3" t="inlineStr">
        <is>
          <t>Cái</t>
        </is>
      </c>
      <c r="K2473" s="5" t="n">
        <v>40000</v>
      </c>
      <c r="L2473" s="5" t="n">
        <v>50000</v>
      </c>
      <c r="M2473" s="6" t="n">
        <v>64000</v>
      </c>
      <c r="N2473" s="5" t="n"/>
      <c r="O2473" s="5">
        <f>IF(AND(ISNUMBER(N2473),ISNUMBER(M2473)),N2473-M2473,"")</f>
        <v/>
      </c>
      <c r="P2473" s="7">
        <f>IF(AND(ISNUMBER(N2473),ISNUMBER(M2473),M2473&gt;0),(N2473-M2473)/M2473,"")</f>
        <v/>
      </c>
      <c r="Q2473" s="3">
        <f>IF(P2473="","",IF(P2473&lt;-0.02,"🔴 Bán phá giá sàn",IF(P2473&gt;0.05,"🔵 Bán cao hơn","🟢 Đúng giá sàn TMĐT")))</f>
        <v/>
      </c>
      <c r="R2473" s="3" t="n"/>
      <c r="S2473" s="4" t="n"/>
      <c r="T2473" s="4" t="n"/>
    </row>
    <row r="2474">
      <c r="A2474" s="3" t="n">
        <v>2473</v>
      </c>
      <c r="B2474" s="3" t="inlineStr">
        <is>
          <t>DL022</t>
        </is>
      </c>
      <c r="C2474" s="4" t="inlineStr">
        <is>
          <t>ĐL Đà Nẵng - Phú Vinh</t>
        </is>
      </c>
      <c r="D2474" s="3" t="inlineStr">
        <is>
          <t>Đà Nẵng</t>
        </is>
      </c>
      <c r="E2474" s="3" t="inlineStr">
        <is>
          <t>THÙY TRANG</t>
        </is>
      </c>
      <c r="F2474" s="3" t="inlineStr">
        <is>
          <t>Shopee, Tiktok</t>
        </is>
      </c>
      <c r="G247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4" s="3" t="inlineStr">
        <is>
          <t>KBH4S-12123</t>
        </is>
      </c>
      <c r="I2474" s="4" t="inlineStr">
        <is>
          <t>Mũi khoan ĐN lục giác 4 cạnh KBH4S-12*123</t>
        </is>
      </c>
      <c r="J2474" s="3" t="inlineStr">
        <is>
          <t>Cái</t>
        </is>
      </c>
      <c r="K2474" s="5" t="n">
        <v>48000</v>
      </c>
      <c r="L2474" s="5" t="n">
        <v>60000</v>
      </c>
      <c r="M2474" s="6" t="n">
        <v>77000</v>
      </c>
      <c r="N2474" s="5" t="n"/>
      <c r="O2474" s="5">
        <f>IF(AND(ISNUMBER(N2474),ISNUMBER(M2474)),N2474-M2474,"")</f>
        <v/>
      </c>
      <c r="P2474" s="7">
        <f>IF(AND(ISNUMBER(N2474),ISNUMBER(M2474),M2474&gt;0),(N2474-M2474)/M2474,"")</f>
        <v/>
      </c>
      <c r="Q2474" s="3">
        <f>IF(P2474="","",IF(P2474&lt;-0.02,"🔴 Bán phá giá sàn",IF(P2474&gt;0.05,"🔵 Bán cao hơn","🟢 Đúng giá sàn TMĐT")))</f>
        <v/>
      </c>
      <c r="R2474" s="3" t="n"/>
      <c r="S2474" s="4" t="n"/>
      <c r="T2474" s="4" t="n"/>
    </row>
    <row r="2475">
      <c r="A2475" s="3" t="n">
        <v>2474</v>
      </c>
      <c r="B2475" s="3" t="inlineStr">
        <is>
          <t>DL022</t>
        </is>
      </c>
      <c r="C2475" s="4" t="inlineStr">
        <is>
          <t>ĐL Đà Nẵng - Phú Vinh</t>
        </is>
      </c>
      <c r="D2475" s="3" t="inlineStr">
        <is>
          <t>Đà Nẵng</t>
        </is>
      </c>
      <c r="E2475" s="3" t="inlineStr">
        <is>
          <t>THÙY TRANG</t>
        </is>
      </c>
      <c r="F2475" s="3" t="inlineStr">
        <is>
          <t>Shopee, Tiktok</t>
        </is>
      </c>
      <c r="G247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5" s="3" t="inlineStr">
        <is>
          <t>KBH4S-3.592</t>
        </is>
      </c>
      <c r="I2475" s="4" t="inlineStr">
        <is>
          <t>Mũi khoan ĐN lục giác 4 cạnh KBH4S-3.5*92</t>
        </is>
      </c>
      <c r="J2475" s="3" t="inlineStr">
        <is>
          <t>Cái</t>
        </is>
      </c>
      <c r="K2475" s="5" t="n">
        <v>23000</v>
      </c>
      <c r="L2475" s="5" t="n">
        <v>29000</v>
      </c>
      <c r="M2475" s="6" t="n">
        <v>37000</v>
      </c>
      <c r="N2475" s="5" t="n"/>
      <c r="O2475" s="5">
        <f>IF(AND(ISNUMBER(N2475),ISNUMBER(M2475)),N2475-M2475,"")</f>
        <v/>
      </c>
      <c r="P2475" s="7">
        <f>IF(AND(ISNUMBER(N2475),ISNUMBER(M2475),M2475&gt;0),(N2475-M2475)/M2475,"")</f>
        <v/>
      </c>
      <c r="Q2475" s="3">
        <f>IF(P2475="","",IF(P2475&lt;-0.02,"🔴 Bán phá giá sàn",IF(P2475&gt;0.05,"🔵 Bán cao hơn","🟢 Đúng giá sàn TMĐT")))</f>
        <v/>
      </c>
      <c r="R2475" s="3" t="n"/>
      <c r="S2475" s="4" t="n"/>
      <c r="T2475" s="4" t="n"/>
    </row>
    <row r="2476">
      <c r="A2476" s="3" t="n">
        <v>2475</v>
      </c>
      <c r="B2476" s="3" t="inlineStr">
        <is>
          <t>DL022</t>
        </is>
      </c>
      <c r="C2476" s="4" t="inlineStr">
        <is>
          <t>ĐL Đà Nẵng - Phú Vinh</t>
        </is>
      </c>
      <c r="D2476" s="3" t="inlineStr">
        <is>
          <t>Đà Nẵng</t>
        </is>
      </c>
      <c r="E2476" s="3" t="inlineStr">
        <is>
          <t>THÙY TRANG</t>
        </is>
      </c>
      <c r="F2476" s="3" t="inlineStr">
        <is>
          <t>Shopee, Tiktok</t>
        </is>
      </c>
      <c r="G247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6" s="3" t="inlineStr">
        <is>
          <t>KRS-36155</t>
        </is>
      </c>
      <c r="I2476" s="4" t="inlineStr">
        <is>
          <t>Mũi khoan rút lõi khô KRS-36*155</t>
        </is>
      </c>
      <c r="J2476" s="3" t="inlineStr">
        <is>
          <t>Cái</t>
        </is>
      </c>
      <c r="K2476" s="5" t="n">
        <v>269000</v>
      </c>
      <c r="L2476" s="5" t="n">
        <v>317000</v>
      </c>
      <c r="M2476" s="6" t="n">
        <v>390000</v>
      </c>
      <c r="N2476" s="5" t="n"/>
      <c r="O2476" s="5">
        <f>IF(AND(ISNUMBER(N2476),ISNUMBER(M2476)),N2476-M2476,"")</f>
        <v/>
      </c>
      <c r="P2476" s="7">
        <f>IF(AND(ISNUMBER(N2476),ISNUMBER(M2476),M2476&gt;0),(N2476-M2476)/M2476,"")</f>
        <v/>
      </c>
      <c r="Q2476" s="3">
        <f>IF(P2476="","",IF(P2476&lt;-0.02,"🔴 Bán phá giá sàn",IF(P2476&gt;0.05,"🔵 Bán cao hơn","🟢 Đúng giá sàn TMĐT")))</f>
        <v/>
      </c>
      <c r="R2476" s="3" t="n"/>
      <c r="S2476" s="4" t="n"/>
      <c r="T2476" s="4" t="n"/>
    </row>
    <row r="2477">
      <c r="A2477" s="3" t="n">
        <v>2476</v>
      </c>
      <c r="B2477" s="3" t="inlineStr">
        <is>
          <t>DL022</t>
        </is>
      </c>
      <c r="C2477" s="4" t="inlineStr">
        <is>
          <t>ĐL Đà Nẵng - Phú Vinh</t>
        </is>
      </c>
      <c r="D2477" s="3" t="inlineStr">
        <is>
          <t>Đà Nẵng</t>
        </is>
      </c>
      <c r="E2477" s="3" t="inlineStr">
        <is>
          <t>THÙY TRANG</t>
        </is>
      </c>
      <c r="F2477" s="3" t="inlineStr">
        <is>
          <t>Shopee, Tiktok</t>
        </is>
      </c>
      <c r="G247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7" s="3" t="inlineStr">
        <is>
          <t>KBR-M101.5</t>
        </is>
      </c>
      <c r="I2477" s="4" t="inlineStr">
        <is>
          <t>Mũi khoan TARO KBR-M10*1.5</t>
        </is>
      </c>
      <c r="J2477" s="3" t="inlineStr">
        <is>
          <t>Cái</t>
        </is>
      </c>
      <c r="K2477" s="5" t="n">
        <v>89000</v>
      </c>
      <c r="L2477" s="5" t="n">
        <v>110000</v>
      </c>
      <c r="M2477" s="6" t="n">
        <v>142000</v>
      </c>
      <c r="N2477" s="5" t="n"/>
      <c r="O2477" s="5">
        <f>IF(AND(ISNUMBER(N2477),ISNUMBER(M2477)),N2477-M2477,"")</f>
        <v/>
      </c>
      <c r="P2477" s="7">
        <f>IF(AND(ISNUMBER(N2477),ISNUMBER(M2477),M2477&gt;0),(N2477-M2477)/M2477,"")</f>
        <v/>
      </c>
      <c r="Q2477" s="3">
        <f>IF(P2477="","",IF(P2477&lt;-0.02,"🔴 Bán phá giá sàn",IF(P2477&gt;0.05,"🔵 Bán cao hơn","🟢 Đúng giá sàn TMĐT")))</f>
        <v/>
      </c>
      <c r="R2477" s="3" t="n"/>
      <c r="S2477" s="4" t="n"/>
      <c r="T2477" s="4" t="n"/>
    </row>
    <row r="2478">
      <c r="A2478" s="3" t="n">
        <v>2477</v>
      </c>
      <c r="B2478" s="3" t="inlineStr">
        <is>
          <t>DL022</t>
        </is>
      </c>
      <c r="C2478" s="4" t="inlineStr">
        <is>
          <t>ĐL Đà Nẵng - Phú Vinh</t>
        </is>
      </c>
      <c r="D2478" s="3" t="inlineStr">
        <is>
          <t>Đà Nẵng</t>
        </is>
      </c>
      <c r="E2478" s="3" t="inlineStr">
        <is>
          <t>THÙY TRANG</t>
        </is>
      </c>
      <c r="F2478" s="3" t="inlineStr">
        <is>
          <t>Shopee, Tiktok</t>
        </is>
      </c>
      <c r="G247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8" s="3" t="inlineStr">
        <is>
          <t>KBT-0412</t>
        </is>
      </c>
      <c r="I2478" s="4" t="inlineStr">
        <is>
          <t>Mũi khoan tháp M2 KBT-04*12</t>
        </is>
      </c>
      <c r="J2478" s="3" t="inlineStr">
        <is>
          <t>Cái</t>
        </is>
      </c>
      <c r="K2478" s="5" t="n">
        <v>88000</v>
      </c>
      <c r="L2478" s="5" t="n">
        <v>109000</v>
      </c>
      <c r="M2478" s="6" t="n">
        <v>141000</v>
      </c>
      <c r="N2478" s="5" t="n"/>
      <c r="O2478" s="5">
        <f>IF(AND(ISNUMBER(N2478),ISNUMBER(M2478)),N2478-M2478,"")</f>
        <v/>
      </c>
      <c r="P2478" s="7">
        <f>IF(AND(ISNUMBER(N2478),ISNUMBER(M2478),M2478&gt;0),(N2478-M2478)/M2478,"")</f>
        <v/>
      </c>
      <c r="Q2478" s="3">
        <f>IF(P2478="","",IF(P2478&lt;-0.02,"🔴 Bán phá giá sàn",IF(P2478&gt;0.05,"🔵 Bán cao hơn","🟢 Đúng giá sàn TMĐT")))</f>
        <v/>
      </c>
      <c r="R2478" s="3" t="n"/>
      <c r="S2478" s="4" t="n"/>
      <c r="T2478" s="4" t="n"/>
    </row>
    <row r="2479">
      <c r="A2479" s="3" t="n">
        <v>2478</v>
      </c>
      <c r="B2479" s="3" t="inlineStr">
        <is>
          <t>DL022</t>
        </is>
      </c>
      <c r="C2479" s="4" t="inlineStr">
        <is>
          <t>ĐL Đà Nẵng - Phú Vinh</t>
        </is>
      </c>
      <c r="D2479" s="3" t="inlineStr">
        <is>
          <t>Đà Nẵng</t>
        </is>
      </c>
      <c r="E2479" s="3" t="inlineStr">
        <is>
          <t>THÙY TRANG</t>
        </is>
      </c>
      <c r="F2479" s="3" t="inlineStr">
        <is>
          <t>Shopee, Tiktok</t>
        </is>
      </c>
      <c r="G247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79" s="3" t="inlineStr">
        <is>
          <t>KBT-0420</t>
        </is>
      </c>
      <c r="I2479" s="4" t="inlineStr">
        <is>
          <t>Mũi khoan tháp M2 KBT-04*20</t>
        </is>
      </c>
      <c r="J2479" s="3" t="inlineStr">
        <is>
          <t>Cái</t>
        </is>
      </c>
      <c r="K2479" s="5" t="n">
        <v>170000</v>
      </c>
      <c r="L2479" s="5" t="n">
        <v>211000</v>
      </c>
      <c r="M2479" s="6" t="n">
        <v>272000</v>
      </c>
      <c r="N2479" s="5" t="n"/>
      <c r="O2479" s="5">
        <f>IF(AND(ISNUMBER(N2479),ISNUMBER(M2479)),N2479-M2479,"")</f>
        <v/>
      </c>
      <c r="P2479" s="7">
        <f>IF(AND(ISNUMBER(N2479),ISNUMBER(M2479),M2479&gt;0),(N2479-M2479)/M2479,"")</f>
        <v/>
      </c>
      <c r="Q2479" s="3">
        <f>IF(P2479="","",IF(P2479&lt;-0.02,"🔴 Bán phá giá sàn",IF(P2479&gt;0.05,"🔵 Bán cao hơn","🟢 Đúng giá sàn TMĐT")))</f>
        <v/>
      </c>
      <c r="R2479" s="3" t="n"/>
      <c r="S2479" s="4" t="n"/>
      <c r="T2479" s="4" t="n"/>
    </row>
    <row r="2480">
      <c r="A2480" s="3" t="n">
        <v>2479</v>
      </c>
      <c r="B2480" s="3" t="inlineStr">
        <is>
          <t>DL022</t>
        </is>
      </c>
      <c r="C2480" s="4" t="inlineStr">
        <is>
          <t>ĐL Đà Nẵng - Phú Vinh</t>
        </is>
      </c>
      <c r="D2480" s="3" t="inlineStr">
        <is>
          <t>Đà Nẵng</t>
        </is>
      </c>
      <c r="E2480" s="3" t="inlineStr">
        <is>
          <t>THÙY TRANG</t>
        </is>
      </c>
      <c r="F2480" s="3" t="inlineStr">
        <is>
          <t>Shopee, Tiktok</t>
        </is>
      </c>
      <c r="G248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0" s="3" t="inlineStr">
        <is>
          <t>KBT-0432</t>
        </is>
      </c>
      <c r="I2480" s="4" t="inlineStr">
        <is>
          <t>Mũi khoan tháp M2 KBT-04*32</t>
        </is>
      </c>
      <c r="J2480" s="3" t="inlineStr">
        <is>
          <t>Cái</t>
        </is>
      </c>
      <c r="K2480" s="5" t="n">
        <v>319000</v>
      </c>
      <c r="L2480" s="5" t="n">
        <v>395000</v>
      </c>
      <c r="M2480" s="6" t="n">
        <v>510000</v>
      </c>
      <c r="N2480" s="5" t="n"/>
      <c r="O2480" s="5">
        <f>IF(AND(ISNUMBER(N2480),ISNUMBER(M2480)),N2480-M2480,"")</f>
        <v/>
      </c>
      <c r="P2480" s="7">
        <f>IF(AND(ISNUMBER(N2480),ISNUMBER(M2480),M2480&gt;0),(N2480-M2480)/M2480,"")</f>
        <v/>
      </c>
      <c r="Q2480" s="3">
        <f>IF(P2480="","",IF(P2480&lt;-0.02,"🔴 Bán phá giá sàn",IF(P2480&gt;0.05,"🔵 Bán cao hơn","🟢 Đúng giá sàn TMĐT")))</f>
        <v/>
      </c>
      <c r="R2480" s="3" t="n"/>
      <c r="S2480" s="4" t="n"/>
      <c r="T2480" s="4" t="n"/>
    </row>
    <row r="2481">
      <c r="A2481" s="3" t="n">
        <v>2480</v>
      </c>
      <c r="B2481" s="3" t="inlineStr">
        <is>
          <t>DL022</t>
        </is>
      </c>
      <c r="C2481" s="4" t="inlineStr">
        <is>
          <t>ĐL Đà Nẵng - Phú Vinh</t>
        </is>
      </c>
      <c r="D2481" s="3" t="inlineStr">
        <is>
          <t>Đà Nẵng</t>
        </is>
      </c>
      <c r="E2481" s="3" t="inlineStr">
        <is>
          <t>THÙY TRANG</t>
        </is>
      </c>
      <c r="F2481" s="3" t="inlineStr">
        <is>
          <t>Shopee, Tiktok</t>
        </is>
      </c>
      <c r="G248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1" s="3" t="inlineStr">
        <is>
          <t>KBY1-060</t>
        </is>
      </c>
      <c r="I2481" s="4" t="inlineStr">
        <is>
          <t>Mũi khoan thép KBY1-060</t>
        </is>
      </c>
      <c r="J2481" s="3" t="inlineStr">
        <is>
          <t>Cái</t>
        </is>
      </c>
      <c r="K2481" s="5" t="n">
        <v>25000</v>
      </c>
      <c r="L2481" s="5" t="n">
        <v>31000</v>
      </c>
      <c r="M2481" s="6" t="n">
        <v>40000</v>
      </c>
      <c r="N2481" s="5" t="n"/>
      <c r="O2481" s="5">
        <f>IF(AND(ISNUMBER(N2481),ISNUMBER(M2481)),N2481-M2481,"")</f>
        <v/>
      </c>
      <c r="P2481" s="7">
        <f>IF(AND(ISNUMBER(N2481),ISNUMBER(M2481),M2481&gt;0),(N2481-M2481)/M2481,"")</f>
        <v/>
      </c>
      <c r="Q2481" s="3">
        <f>IF(P2481="","",IF(P2481&lt;-0.02,"🔴 Bán phá giá sàn",IF(P2481&gt;0.05,"🔵 Bán cao hơn","🟢 Đúng giá sàn TMĐT")))</f>
        <v/>
      </c>
      <c r="R2481" s="3" t="n"/>
      <c r="S2481" s="4" t="n"/>
      <c r="T2481" s="4" t="n"/>
    </row>
    <row r="2482">
      <c r="A2482" s="3" t="n">
        <v>2481</v>
      </c>
      <c r="B2482" s="3" t="inlineStr">
        <is>
          <t>DL022</t>
        </is>
      </c>
      <c r="C2482" s="4" t="inlineStr">
        <is>
          <t>ĐL Đà Nẵng - Phú Vinh</t>
        </is>
      </c>
      <c r="D2482" s="3" t="inlineStr">
        <is>
          <t>Đà Nẵng</t>
        </is>
      </c>
      <c r="E2482" s="3" t="inlineStr">
        <is>
          <t>THÙY TRANG</t>
        </is>
      </c>
      <c r="F2482" s="3" t="inlineStr">
        <is>
          <t>Shopee, Tiktok</t>
        </is>
      </c>
      <c r="G248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2" s="3" t="inlineStr">
        <is>
          <t>KBY1-080</t>
        </is>
      </c>
      <c r="I2482" s="4" t="inlineStr">
        <is>
          <t>Mũi khoan thép KBY1-080</t>
        </is>
      </c>
      <c r="J2482" s="3" t="inlineStr">
        <is>
          <t>Cái</t>
        </is>
      </c>
      <c r="K2482" s="5" t="n">
        <v>46000</v>
      </c>
      <c r="L2482" s="5" t="n">
        <v>57000</v>
      </c>
      <c r="M2482" s="6" t="n">
        <v>74000</v>
      </c>
      <c r="N2482" s="5" t="n"/>
      <c r="O2482" s="5">
        <f>IF(AND(ISNUMBER(N2482),ISNUMBER(M2482)),N2482-M2482,"")</f>
        <v/>
      </c>
      <c r="P2482" s="7">
        <f>IF(AND(ISNUMBER(N2482),ISNUMBER(M2482),M2482&gt;0),(N2482-M2482)/M2482,"")</f>
        <v/>
      </c>
      <c r="Q2482" s="3">
        <f>IF(P2482="","",IF(P2482&lt;-0.02,"🔴 Bán phá giá sàn",IF(P2482&gt;0.05,"🔵 Bán cao hơn","🟢 Đúng giá sàn TMĐT")))</f>
        <v/>
      </c>
      <c r="R2482" s="3" t="n"/>
      <c r="S2482" s="4" t="n"/>
      <c r="T2482" s="4" t="n"/>
    </row>
    <row r="2483">
      <c r="A2483" s="3" t="n">
        <v>2482</v>
      </c>
      <c r="B2483" s="3" t="inlineStr">
        <is>
          <t>DL022</t>
        </is>
      </c>
      <c r="C2483" s="4" t="inlineStr">
        <is>
          <t>ĐL Đà Nẵng - Phú Vinh</t>
        </is>
      </c>
      <c r="D2483" s="3" t="inlineStr">
        <is>
          <t>Đà Nẵng</t>
        </is>
      </c>
      <c r="E2483" s="3" t="inlineStr">
        <is>
          <t>THÙY TRANG</t>
        </is>
      </c>
      <c r="F2483" s="3" t="inlineStr">
        <is>
          <t>Shopee, Tiktok</t>
        </is>
      </c>
      <c r="G248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3" s="3" t="inlineStr">
        <is>
          <t>KBY1-100</t>
        </is>
      </c>
      <c r="I2483" s="4" t="inlineStr">
        <is>
          <t>Mũi khoan thép KBY1-100</t>
        </is>
      </c>
      <c r="J2483" s="3" t="inlineStr">
        <is>
          <t>Cái</t>
        </is>
      </c>
      <c r="K2483" s="5" t="n">
        <v>67000</v>
      </c>
      <c r="L2483" s="5" t="n">
        <v>83000</v>
      </c>
      <c r="M2483" s="6" t="n">
        <v>107000</v>
      </c>
      <c r="N2483" s="5" t="n"/>
      <c r="O2483" s="5">
        <f>IF(AND(ISNUMBER(N2483),ISNUMBER(M2483)),N2483-M2483,"")</f>
        <v/>
      </c>
      <c r="P2483" s="7">
        <f>IF(AND(ISNUMBER(N2483),ISNUMBER(M2483),M2483&gt;0),(N2483-M2483)/M2483,"")</f>
        <v/>
      </c>
      <c r="Q2483" s="3">
        <f>IF(P2483="","",IF(P2483&lt;-0.02,"🔴 Bán phá giá sàn",IF(P2483&gt;0.05,"🔵 Bán cao hơn","🟢 Đúng giá sàn TMĐT")))</f>
        <v/>
      </c>
      <c r="R2483" s="3" t="n"/>
      <c r="S2483" s="4" t="n"/>
      <c r="T2483" s="4" t="n"/>
    </row>
    <row r="2484">
      <c r="A2484" s="3" t="n">
        <v>2483</v>
      </c>
      <c r="B2484" s="3" t="inlineStr">
        <is>
          <t>DL022</t>
        </is>
      </c>
      <c r="C2484" s="4" t="inlineStr">
        <is>
          <t>ĐL Đà Nẵng - Phú Vinh</t>
        </is>
      </c>
      <c r="D2484" s="3" t="inlineStr">
        <is>
          <t>Đà Nẵng</t>
        </is>
      </c>
      <c r="E2484" s="3" t="inlineStr">
        <is>
          <t>THÙY TRANG</t>
        </is>
      </c>
      <c r="F2484" s="3" t="inlineStr">
        <is>
          <t>Shopee, Tiktok</t>
        </is>
      </c>
      <c r="G248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4" s="3" t="inlineStr">
        <is>
          <t>KBY1-130</t>
        </is>
      </c>
      <c r="I2484" s="4" t="inlineStr">
        <is>
          <t>Mũi khoan thép KBY1-130</t>
        </is>
      </c>
      <c r="J2484" s="3" t="inlineStr">
        <is>
          <t>Cái</t>
        </is>
      </c>
      <c r="K2484" s="5" t="n">
        <v>120000</v>
      </c>
      <c r="L2484" s="5" t="n">
        <v>149000</v>
      </c>
      <c r="M2484" s="6" t="n">
        <v>192000</v>
      </c>
      <c r="N2484" s="5" t="n"/>
      <c r="O2484" s="5">
        <f>IF(AND(ISNUMBER(N2484),ISNUMBER(M2484)),N2484-M2484,"")</f>
        <v/>
      </c>
      <c r="P2484" s="7">
        <f>IF(AND(ISNUMBER(N2484),ISNUMBER(M2484),M2484&gt;0),(N2484-M2484)/M2484,"")</f>
        <v/>
      </c>
      <c r="Q2484" s="3">
        <f>IF(P2484="","",IF(P2484&lt;-0.02,"🔴 Bán phá giá sàn",IF(P2484&gt;0.05,"🔵 Bán cao hơn","🟢 Đúng giá sàn TMĐT")))</f>
        <v/>
      </c>
      <c r="R2484" s="3" t="n"/>
      <c r="S2484" s="4" t="n"/>
      <c r="T2484" s="4" t="n"/>
    </row>
    <row r="2485">
      <c r="A2485" s="3" t="n">
        <v>2484</v>
      </c>
      <c r="B2485" s="3" t="inlineStr">
        <is>
          <t>DL022</t>
        </is>
      </c>
      <c r="C2485" s="4" t="inlineStr">
        <is>
          <t>ĐL Đà Nẵng - Phú Vinh</t>
        </is>
      </c>
      <c r="D2485" s="3" t="inlineStr">
        <is>
          <t>Đà Nẵng</t>
        </is>
      </c>
      <c r="E2485" s="3" t="inlineStr">
        <is>
          <t>THÙY TRANG</t>
        </is>
      </c>
      <c r="F2485" s="3" t="inlineStr">
        <is>
          <t>Shopee, Tiktok</t>
        </is>
      </c>
      <c r="G248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5" s="3" t="inlineStr">
        <is>
          <t>KBY1-160</t>
        </is>
      </c>
      <c r="I2485" s="4" t="inlineStr">
        <is>
          <t>Mũi khoan thép KBY1-160</t>
        </is>
      </c>
      <c r="J2485" s="3" t="inlineStr">
        <is>
          <t>Cái</t>
        </is>
      </c>
      <c r="K2485" s="5" t="n">
        <v>260000</v>
      </c>
      <c r="L2485" s="5" t="n">
        <v>322000</v>
      </c>
      <c r="M2485" s="6" t="n">
        <v>416000</v>
      </c>
      <c r="N2485" s="5" t="n"/>
      <c r="O2485" s="5">
        <f>IF(AND(ISNUMBER(N2485),ISNUMBER(M2485)),N2485-M2485,"")</f>
        <v/>
      </c>
      <c r="P2485" s="7">
        <f>IF(AND(ISNUMBER(N2485),ISNUMBER(M2485),M2485&gt;0),(N2485-M2485)/M2485,"")</f>
        <v/>
      </c>
      <c r="Q2485" s="3">
        <f>IF(P2485="","",IF(P2485&lt;-0.02,"🔴 Bán phá giá sàn",IF(P2485&gt;0.05,"🔵 Bán cao hơn","🟢 Đúng giá sàn TMĐT")))</f>
        <v/>
      </c>
      <c r="R2485" s="3" t="n"/>
      <c r="S2485" s="4" t="n"/>
      <c r="T2485" s="4" t="n"/>
    </row>
    <row r="2486">
      <c r="A2486" s="3" t="n">
        <v>2485</v>
      </c>
      <c r="B2486" s="3" t="inlineStr">
        <is>
          <t>DL022</t>
        </is>
      </c>
      <c r="C2486" s="4" t="inlineStr">
        <is>
          <t>ĐL Đà Nẵng - Phú Vinh</t>
        </is>
      </c>
      <c r="D2486" s="3" t="inlineStr">
        <is>
          <t>Đà Nẵng</t>
        </is>
      </c>
      <c r="E2486" s="3" t="inlineStr">
        <is>
          <t>THÙY TRANG</t>
        </is>
      </c>
      <c r="F2486" s="3" t="inlineStr">
        <is>
          <t>Shopee, Tiktok</t>
        </is>
      </c>
      <c r="G248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6" s="3" t="inlineStr"/>
      <c r="I2486" s="4" t="inlineStr">
        <is>
          <t>Mũi khoan tường không tắc kê KBLJ - 03*100</t>
        </is>
      </c>
      <c r="J2486" s="3" t="inlineStr">
        <is>
          <t>Cái</t>
        </is>
      </c>
      <c r="K2486" s="5" t="n">
        <v>269000</v>
      </c>
      <c r="L2486" s="5" t="n">
        <v>317000</v>
      </c>
      <c r="M2486" s="6" t="n">
        <v>390000</v>
      </c>
      <c r="N2486" s="5" t="n"/>
      <c r="O2486" s="5">
        <f>IF(AND(ISNUMBER(N2486),ISNUMBER(M2486)),N2486-M2486,"")</f>
        <v/>
      </c>
      <c r="P2486" s="7">
        <f>IF(AND(ISNUMBER(N2486),ISNUMBER(M2486),M2486&gt;0),(N2486-M2486)/M2486,"")</f>
        <v/>
      </c>
      <c r="Q2486" s="3">
        <f>IF(P2486="","",IF(P2486&lt;-0.02,"🔴 Bán phá giá sàn",IF(P2486&gt;0.05,"🔵 Bán cao hơn","🟢 Đúng giá sàn TMĐT")))</f>
        <v/>
      </c>
      <c r="R2486" s="3" t="n"/>
      <c r="S2486" s="4" t="n"/>
      <c r="T2486" s="4" t="n"/>
    </row>
    <row r="2487">
      <c r="A2487" s="3" t="n">
        <v>2486</v>
      </c>
      <c r="B2487" s="3" t="inlineStr">
        <is>
          <t>DL022</t>
        </is>
      </c>
      <c r="C2487" s="4" t="inlineStr">
        <is>
          <t>ĐL Đà Nẵng - Phú Vinh</t>
        </is>
      </c>
      <c r="D2487" s="3" t="inlineStr">
        <is>
          <t>Đà Nẵng</t>
        </is>
      </c>
      <c r="E2487" s="3" t="inlineStr">
        <is>
          <t>THÙY TRANG</t>
        </is>
      </c>
      <c r="F2487" s="3" t="inlineStr">
        <is>
          <t>Shopee, Tiktok</t>
        </is>
      </c>
      <c r="G248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7" s="3" t="inlineStr"/>
      <c r="I2487" s="4" t="inlineStr">
        <is>
          <t>Mũi khoan tường không tắc kê KBLJ - 03.2*100</t>
        </is>
      </c>
      <c r="J2487" s="3" t="inlineStr">
        <is>
          <t>Cái</t>
        </is>
      </c>
      <c r="K2487" s="5" t="n">
        <v>269000</v>
      </c>
      <c r="L2487" s="5" t="n">
        <v>317000</v>
      </c>
      <c r="M2487" s="6" t="n">
        <v>390000</v>
      </c>
      <c r="N2487" s="5" t="n"/>
      <c r="O2487" s="5">
        <f>IF(AND(ISNUMBER(N2487),ISNUMBER(M2487)),N2487-M2487,"")</f>
        <v/>
      </c>
      <c r="P2487" s="7">
        <f>IF(AND(ISNUMBER(N2487),ISNUMBER(M2487),M2487&gt;0),(N2487-M2487)/M2487,"")</f>
        <v/>
      </c>
      <c r="Q2487" s="3">
        <f>IF(P2487="","",IF(P2487&lt;-0.02,"🔴 Bán phá giá sàn",IF(P2487&gt;0.05,"🔵 Bán cao hơn","🟢 Đúng giá sàn TMĐT")))</f>
        <v/>
      </c>
      <c r="R2487" s="3" t="n"/>
      <c r="S2487" s="4" t="n"/>
      <c r="T2487" s="4" t="n"/>
    </row>
    <row r="2488">
      <c r="A2488" s="3" t="n">
        <v>2487</v>
      </c>
      <c r="B2488" s="3" t="inlineStr">
        <is>
          <t>DL022</t>
        </is>
      </c>
      <c r="C2488" s="4" t="inlineStr">
        <is>
          <t>ĐL Đà Nẵng - Phú Vinh</t>
        </is>
      </c>
      <c r="D2488" s="3" t="inlineStr">
        <is>
          <t>Đà Nẵng</t>
        </is>
      </c>
      <c r="E2488" s="3" t="inlineStr">
        <is>
          <t>THÙY TRANG</t>
        </is>
      </c>
      <c r="F2488" s="3" t="inlineStr">
        <is>
          <t>Shopee, Tiktok</t>
        </is>
      </c>
      <c r="G248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8" s="3" t="inlineStr"/>
      <c r="I2488" s="4" t="inlineStr">
        <is>
          <t>Mũi khoan tường không tắc kê KBLJ - 03.5*100</t>
        </is>
      </c>
      <c r="J2488" s="3" t="inlineStr">
        <is>
          <t>Cái</t>
        </is>
      </c>
      <c r="K2488" s="5" t="n">
        <v>269000</v>
      </c>
      <c r="L2488" s="5" t="n">
        <v>317000</v>
      </c>
      <c r="M2488" s="6" t="n">
        <v>390000</v>
      </c>
      <c r="N2488" s="5" t="n"/>
      <c r="O2488" s="5">
        <f>IF(AND(ISNUMBER(N2488),ISNUMBER(M2488)),N2488-M2488,"")</f>
        <v/>
      </c>
      <c r="P2488" s="7">
        <f>IF(AND(ISNUMBER(N2488),ISNUMBER(M2488),M2488&gt;0),(N2488-M2488)/M2488,"")</f>
        <v/>
      </c>
      <c r="Q2488" s="3">
        <f>IF(P2488="","",IF(P2488&lt;-0.02,"🔴 Bán phá giá sàn",IF(P2488&gt;0.05,"🔵 Bán cao hơn","🟢 Đúng giá sàn TMĐT")))</f>
        <v/>
      </c>
      <c r="R2488" s="3" t="n"/>
      <c r="S2488" s="4" t="n"/>
      <c r="T2488" s="4" t="n"/>
    </row>
    <row r="2489">
      <c r="A2489" s="3" t="n">
        <v>2488</v>
      </c>
      <c r="B2489" s="3" t="inlineStr">
        <is>
          <t>DL022</t>
        </is>
      </c>
      <c r="C2489" s="4" t="inlineStr">
        <is>
          <t>ĐL Đà Nẵng - Phú Vinh</t>
        </is>
      </c>
      <c r="D2489" s="3" t="inlineStr">
        <is>
          <t>Đà Nẵng</t>
        </is>
      </c>
      <c r="E2489" s="3" t="inlineStr">
        <is>
          <t>THÙY TRANG</t>
        </is>
      </c>
      <c r="F2489" s="3" t="inlineStr">
        <is>
          <t>Shopee, Tiktok</t>
        </is>
      </c>
      <c r="G248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89" s="3" t="inlineStr"/>
      <c r="I2489" s="4" t="inlineStr">
        <is>
          <t>Mũi khoan tường không tắc kê KBLJ - 04*100</t>
        </is>
      </c>
      <c r="J2489" s="3" t="inlineStr">
        <is>
          <t>Cái</t>
        </is>
      </c>
      <c r="K2489" s="5" t="n">
        <v>269000</v>
      </c>
      <c r="L2489" s="5" t="n">
        <v>317000</v>
      </c>
      <c r="M2489" s="6" t="n">
        <v>390000</v>
      </c>
      <c r="N2489" s="5" t="n"/>
      <c r="O2489" s="5">
        <f>IF(AND(ISNUMBER(N2489),ISNUMBER(M2489)),N2489-M2489,"")</f>
        <v/>
      </c>
      <c r="P2489" s="7">
        <f>IF(AND(ISNUMBER(N2489),ISNUMBER(M2489),M2489&gt;0),(N2489-M2489)/M2489,"")</f>
        <v/>
      </c>
      <c r="Q2489" s="3">
        <f>IF(P2489="","",IF(P2489&lt;-0.02,"🔴 Bán phá giá sàn",IF(P2489&gt;0.05,"🔵 Bán cao hơn","🟢 Đúng giá sàn TMĐT")))</f>
        <v/>
      </c>
      <c r="R2489" s="3" t="n"/>
      <c r="S2489" s="4" t="n"/>
      <c r="T2489" s="4" t="n"/>
    </row>
    <row r="2490">
      <c r="A2490" s="3" t="n">
        <v>2489</v>
      </c>
      <c r="B2490" s="3" t="inlineStr">
        <is>
          <t>DL022</t>
        </is>
      </c>
      <c r="C2490" s="4" t="inlineStr">
        <is>
          <t>ĐL Đà Nẵng - Phú Vinh</t>
        </is>
      </c>
      <c r="D2490" s="3" t="inlineStr">
        <is>
          <t>Đà Nẵng</t>
        </is>
      </c>
      <c r="E2490" s="3" t="inlineStr">
        <is>
          <t>THÙY TRANG</t>
        </is>
      </c>
      <c r="F2490" s="3" t="inlineStr">
        <is>
          <t>Shopee, Tiktok</t>
        </is>
      </c>
      <c r="G249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0" s="3" t="inlineStr"/>
      <c r="I2490" s="4" t="inlineStr">
        <is>
          <t>Mũi khoan tường không tắc kê KBLJ - 04.2*100</t>
        </is>
      </c>
      <c r="J2490" s="3" t="inlineStr">
        <is>
          <t>Cái</t>
        </is>
      </c>
      <c r="K2490" s="5" t="n">
        <v>269000</v>
      </c>
      <c r="L2490" s="5" t="n">
        <v>317000</v>
      </c>
      <c r="M2490" s="6" t="n">
        <v>390000</v>
      </c>
      <c r="N2490" s="5" t="n"/>
      <c r="O2490" s="5">
        <f>IF(AND(ISNUMBER(N2490),ISNUMBER(M2490)),N2490-M2490,"")</f>
        <v/>
      </c>
      <c r="P2490" s="7">
        <f>IF(AND(ISNUMBER(N2490),ISNUMBER(M2490),M2490&gt;0),(N2490-M2490)/M2490,"")</f>
        <v/>
      </c>
      <c r="Q2490" s="3">
        <f>IF(P2490="","",IF(P2490&lt;-0.02,"🔴 Bán phá giá sàn",IF(P2490&gt;0.05,"🔵 Bán cao hơn","🟢 Đúng giá sàn TMĐT")))</f>
        <v/>
      </c>
      <c r="R2490" s="3" t="n"/>
      <c r="S2490" s="4" t="n"/>
      <c r="T2490" s="4" t="n"/>
    </row>
    <row r="2491">
      <c r="A2491" s="3" t="n">
        <v>2490</v>
      </c>
      <c r="B2491" s="3" t="inlineStr">
        <is>
          <t>DL022</t>
        </is>
      </c>
      <c r="C2491" s="4" t="inlineStr">
        <is>
          <t>ĐL Đà Nẵng - Phú Vinh</t>
        </is>
      </c>
      <c r="D2491" s="3" t="inlineStr">
        <is>
          <t>Đà Nẵng</t>
        </is>
      </c>
      <c r="E2491" s="3" t="inlineStr">
        <is>
          <t>THÙY TRANG</t>
        </is>
      </c>
      <c r="F2491" s="3" t="inlineStr">
        <is>
          <t>Shopee, Tiktok</t>
        </is>
      </c>
      <c r="G249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1" s="3" t="inlineStr"/>
      <c r="I2491" s="4" t="inlineStr">
        <is>
          <t>Mũi khoan tường không tắc kê KBLJ - 04.5*100</t>
        </is>
      </c>
      <c r="J2491" s="3" t="inlineStr">
        <is>
          <t>Cái</t>
        </is>
      </c>
      <c r="K2491" s="5" t="n">
        <v>269000</v>
      </c>
      <c r="L2491" s="5" t="n">
        <v>317000</v>
      </c>
      <c r="M2491" s="6" t="n">
        <v>390000</v>
      </c>
      <c r="N2491" s="5" t="n"/>
      <c r="O2491" s="5">
        <f>IF(AND(ISNUMBER(N2491),ISNUMBER(M2491)),N2491-M2491,"")</f>
        <v/>
      </c>
      <c r="P2491" s="7">
        <f>IF(AND(ISNUMBER(N2491),ISNUMBER(M2491),M2491&gt;0),(N2491-M2491)/M2491,"")</f>
        <v/>
      </c>
      <c r="Q2491" s="3">
        <f>IF(P2491="","",IF(P2491&lt;-0.02,"🔴 Bán phá giá sàn",IF(P2491&gt;0.05,"🔵 Bán cao hơn","🟢 Đúng giá sàn TMĐT")))</f>
        <v/>
      </c>
      <c r="R2491" s="3" t="n"/>
      <c r="S2491" s="4" t="n"/>
      <c r="T2491" s="4" t="n"/>
    </row>
    <row r="2492">
      <c r="A2492" s="3" t="n">
        <v>2491</v>
      </c>
      <c r="B2492" s="3" t="inlineStr">
        <is>
          <t>DL022</t>
        </is>
      </c>
      <c r="C2492" s="4" t="inlineStr">
        <is>
          <t>ĐL Đà Nẵng - Phú Vinh</t>
        </is>
      </c>
      <c r="D2492" s="3" t="inlineStr">
        <is>
          <t>Đà Nẵng</t>
        </is>
      </c>
      <c r="E2492" s="3" t="inlineStr">
        <is>
          <t>THÙY TRANG</t>
        </is>
      </c>
      <c r="F2492" s="3" t="inlineStr">
        <is>
          <t>Shopee, Tiktok</t>
        </is>
      </c>
      <c r="G249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2" s="3" t="inlineStr"/>
      <c r="I2492" s="4" t="inlineStr">
        <is>
          <t>Mũi khoan tường không tắc kê KBLJ - 05*100</t>
        </is>
      </c>
      <c r="J2492" s="3" t="inlineStr">
        <is>
          <t>Cái</t>
        </is>
      </c>
      <c r="K2492" s="5" t="n">
        <v>269000</v>
      </c>
      <c r="L2492" s="5" t="n">
        <v>317000</v>
      </c>
      <c r="M2492" s="6" t="n">
        <v>390000</v>
      </c>
      <c r="N2492" s="5" t="n"/>
      <c r="O2492" s="5">
        <f>IF(AND(ISNUMBER(N2492),ISNUMBER(M2492)),N2492-M2492,"")</f>
        <v/>
      </c>
      <c r="P2492" s="7">
        <f>IF(AND(ISNUMBER(N2492),ISNUMBER(M2492),M2492&gt;0),(N2492-M2492)/M2492,"")</f>
        <v/>
      </c>
      <c r="Q2492" s="3">
        <f>IF(P2492="","",IF(P2492&lt;-0.02,"🔴 Bán phá giá sàn",IF(P2492&gt;0.05,"🔵 Bán cao hơn","🟢 Đúng giá sàn TMĐT")))</f>
        <v/>
      </c>
      <c r="R2492" s="3" t="n"/>
      <c r="S2492" s="4" t="n"/>
      <c r="T2492" s="4" t="n"/>
    </row>
    <row r="2493">
      <c r="A2493" s="3" t="n">
        <v>2492</v>
      </c>
      <c r="B2493" s="3" t="inlineStr">
        <is>
          <t>DL022</t>
        </is>
      </c>
      <c r="C2493" s="4" t="inlineStr">
        <is>
          <t>ĐL Đà Nẵng - Phú Vinh</t>
        </is>
      </c>
      <c r="D2493" s="3" t="inlineStr">
        <is>
          <t>Đà Nẵng</t>
        </is>
      </c>
      <c r="E2493" s="3" t="inlineStr">
        <is>
          <t>THÙY TRANG</t>
        </is>
      </c>
      <c r="F2493" s="3" t="inlineStr">
        <is>
          <t>Shopee, Tiktok</t>
        </is>
      </c>
      <c r="G249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3" s="3" t="inlineStr"/>
      <c r="I2493" s="4" t="inlineStr">
        <is>
          <t>Mũi khoan tường không tắc kê KBLJ - 05.5*100</t>
        </is>
      </c>
      <c r="J2493" s="3" t="inlineStr">
        <is>
          <t>Cái</t>
        </is>
      </c>
      <c r="K2493" s="5" t="n">
        <v>269000</v>
      </c>
      <c r="L2493" s="5" t="n">
        <v>317000</v>
      </c>
      <c r="M2493" s="6" t="n">
        <v>390000</v>
      </c>
      <c r="N2493" s="5" t="n"/>
      <c r="O2493" s="5">
        <f>IF(AND(ISNUMBER(N2493),ISNUMBER(M2493)),N2493-M2493,"")</f>
        <v/>
      </c>
      <c r="P2493" s="7">
        <f>IF(AND(ISNUMBER(N2493),ISNUMBER(M2493),M2493&gt;0),(N2493-M2493)/M2493,"")</f>
        <v/>
      </c>
      <c r="Q2493" s="3">
        <f>IF(P2493="","",IF(P2493&lt;-0.02,"🔴 Bán phá giá sàn",IF(P2493&gt;0.05,"🔵 Bán cao hơn","🟢 Đúng giá sàn TMĐT")))</f>
        <v/>
      </c>
      <c r="R2493" s="3" t="n"/>
      <c r="S2493" s="4" t="n"/>
      <c r="T2493" s="4" t="n"/>
    </row>
    <row r="2494">
      <c r="A2494" s="3" t="n">
        <v>2493</v>
      </c>
      <c r="B2494" s="3" t="inlineStr">
        <is>
          <t>DL022</t>
        </is>
      </c>
      <c r="C2494" s="4" t="inlineStr">
        <is>
          <t>ĐL Đà Nẵng - Phú Vinh</t>
        </is>
      </c>
      <c r="D2494" s="3" t="inlineStr">
        <is>
          <t>Đà Nẵng</t>
        </is>
      </c>
      <c r="E2494" s="3" t="inlineStr">
        <is>
          <t>THÙY TRANG</t>
        </is>
      </c>
      <c r="F2494" s="3" t="inlineStr">
        <is>
          <t>Shopee, Tiktok</t>
        </is>
      </c>
      <c r="G249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4" s="3" t="inlineStr"/>
      <c r="I2494" s="4" t="inlineStr">
        <is>
          <t>Mũi khoan tường không tắc kê KBLJ - 06*125</t>
        </is>
      </c>
      <c r="J2494" s="3" t="inlineStr">
        <is>
          <t>Cái</t>
        </is>
      </c>
      <c r="K2494" s="5" t="n">
        <v>269000</v>
      </c>
      <c r="L2494" s="5" t="n">
        <v>317000</v>
      </c>
      <c r="M2494" s="6" t="n">
        <v>390000</v>
      </c>
      <c r="N2494" s="5" t="n"/>
      <c r="O2494" s="5">
        <f>IF(AND(ISNUMBER(N2494),ISNUMBER(M2494)),N2494-M2494,"")</f>
        <v/>
      </c>
      <c r="P2494" s="7">
        <f>IF(AND(ISNUMBER(N2494),ISNUMBER(M2494),M2494&gt;0),(N2494-M2494)/M2494,"")</f>
        <v/>
      </c>
      <c r="Q2494" s="3">
        <f>IF(P2494="","",IF(P2494&lt;-0.02,"🔴 Bán phá giá sàn",IF(P2494&gt;0.05,"🔵 Bán cao hơn","🟢 Đúng giá sàn TMĐT")))</f>
        <v/>
      </c>
      <c r="R2494" s="3" t="n"/>
      <c r="S2494" s="4" t="n"/>
      <c r="T2494" s="4" t="n"/>
    </row>
    <row r="2495">
      <c r="A2495" s="3" t="n">
        <v>2494</v>
      </c>
      <c r="B2495" s="3" t="inlineStr">
        <is>
          <t>DL022</t>
        </is>
      </c>
      <c r="C2495" s="4" t="inlineStr">
        <is>
          <t>ĐL Đà Nẵng - Phú Vinh</t>
        </is>
      </c>
      <c r="D2495" s="3" t="inlineStr">
        <is>
          <t>Đà Nẵng</t>
        </is>
      </c>
      <c r="E2495" s="3" t="inlineStr">
        <is>
          <t>THÙY TRANG</t>
        </is>
      </c>
      <c r="F2495" s="3" t="inlineStr">
        <is>
          <t>Shopee, Tiktok</t>
        </is>
      </c>
      <c r="G249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5" s="3" t="inlineStr"/>
      <c r="I2495" s="4" t="inlineStr">
        <is>
          <t>Mũi khoan tường không tắc kê KBLJ - 06.5*125</t>
        </is>
      </c>
      <c r="J2495" s="3" t="inlineStr">
        <is>
          <t>Cái</t>
        </is>
      </c>
      <c r="K2495" s="5" t="n">
        <v>269000</v>
      </c>
      <c r="L2495" s="5" t="n">
        <v>317000</v>
      </c>
      <c r="M2495" s="6" t="n">
        <v>390000</v>
      </c>
      <c r="N2495" s="5" t="n"/>
      <c r="O2495" s="5">
        <f>IF(AND(ISNUMBER(N2495),ISNUMBER(M2495)),N2495-M2495,"")</f>
        <v/>
      </c>
      <c r="P2495" s="7">
        <f>IF(AND(ISNUMBER(N2495),ISNUMBER(M2495),M2495&gt;0),(N2495-M2495)/M2495,"")</f>
        <v/>
      </c>
      <c r="Q2495" s="3">
        <f>IF(P2495="","",IF(P2495&lt;-0.02,"🔴 Bán phá giá sàn",IF(P2495&gt;0.05,"🔵 Bán cao hơn","🟢 Đúng giá sàn TMĐT")))</f>
        <v/>
      </c>
      <c r="R2495" s="3" t="n"/>
      <c r="S2495" s="4" t="n"/>
      <c r="T2495" s="4" t="n"/>
    </row>
    <row r="2496">
      <c r="A2496" s="3" t="n">
        <v>2495</v>
      </c>
      <c r="B2496" s="3" t="inlineStr">
        <is>
          <t>DL022</t>
        </is>
      </c>
      <c r="C2496" s="4" t="inlineStr">
        <is>
          <t>ĐL Đà Nẵng - Phú Vinh</t>
        </is>
      </c>
      <c r="D2496" s="3" t="inlineStr">
        <is>
          <t>Đà Nẵng</t>
        </is>
      </c>
      <c r="E2496" s="3" t="inlineStr">
        <is>
          <t>THÙY TRANG</t>
        </is>
      </c>
      <c r="F2496" s="3" t="inlineStr">
        <is>
          <t>Shopee, Tiktok</t>
        </is>
      </c>
      <c r="G249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6" s="3" t="inlineStr"/>
      <c r="I2496" s="4" t="inlineStr">
        <is>
          <t>Mũi khoan tường không tắc kê KBLJ - 07*125</t>
        </is>
      </c>
      <c r="J2496" s="3" t="inlineStr">
        <is>
          <t>Cái</t>
        </is>
      </c>
      <c r="K2496" s="5" t="n">
        <v>269000</v>
      </c>
      <c r="L2496" s="5" t="n">
        <v>317000</v>
      </c>
      <c r="M2496" s="6" t="n">
        <v>390000</v>
      </c>
      <c r="N2496" s="5" t="n"/>
      <c r="O2496" s="5">
        <f>IF(AND(ISNUMBER(N2496),ISNUMBER(M2496)),N2496-M2496,"")</f>
        <v/>
      </c>
      <c r="P2496" s="7">
        <f>IF(AND(ISNUMBER(N2496),ISNUMBER(M2496),M2496&gt;0),(N2496-M2496)/M2496,"")</f>
        <v/>
      </c>
      <c r="Q2496" s="3">
        <f>IF(P2496="","",IF(P2496&lt;-0.02,"🔴 Bán phá giá sàn",IF(P2496&gt;0.05,"🔵 Bán cao hơn","🟢 Đúng giá sàn TMĐT")))</f>
        <v/>
      </c>
      <c r="R2496" s="3" t="n"/>
      <c r="S2496" s="4" t="n"/>
      <c r="T2496" s="4" t="n"/>
    </row>
    <row r="2497">
      <c r="A2497" s="3" t="n">
        <v>2496</v>
      </c>
      <c r="B2497" s="3" t="inlineStr">
        <is>
          <t>DL022</t>
        </is>
      </c>
      <c r="C2497" s="4" t="inlineStr">
        <is>
          <t>ĐL Đà Nẵng - Phú Vinh</t>
        </is>
      </c>
      <c r="D2497" s="3" t="inlineStr">
        <is>
          <t>Đà Nẵng</t>
        </is>
      </c>
      <c r="E2497" s="3" t="inlineStr">
        <is>
          <t>THÙY TRANG</t>
        </is>
      </c>
      <c r="F2497" s="3" t="inlineStr">
        <is>
          <t>Shopee, Tiktok</t>
        </is>
      </c>
      <c r="G249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7" s="3" t="inlineStr"/>
      <c r="I2497" s="4" t="inlineStr">
        <is>
          <t>Mũi khoan tường không tắc kê KBLJ - 08*125</t>
        </is>
      </c>
      <c r="J2497" s="3" t="inlineStr">
        <is>
          <t>Cái</t>
        </is>
      </c>
      <c r="K2497" s="5" t="n">
        <v>269000</v>
      </c>
      <c r="L2497" s="5" t="n">
        <v>317000</v>
      </c>
      <c r="M2497" s="6" t="n">
        <v>390000</v>
      </c>
      <c r="N2497" s="5" t="n"/>
      <c r="O2497" s="5">
        <f>IF(AND(ISNUMBER(N2497),ISNUMBER(M2497)),N2497-M2497,"")</f>
        <v/>
      </c>
      <c r="P2497" s="7">
        <f>IF(AND(ISNUMBER(N2497),ISNUMBER(M2497),M2497&gt;0),(N2497-M2497)/M2497,"")</f>
        <v/>
      </c>
      <c r="Q2497" s="3">
        <f>IF(P2497="","",IF(P2497&lt;-0.02,"🔴 Bán phá giá sàn",IF(P2497&gt;0.05,"🔵 Bán cao hơn","🟢 Đúng giá sàn TMĐT")))</f>
        <v/>
      </c>
      <c r="R2497" s="3" t="n"/>
      <c r="S2497" s="4" t="n"/>
      <c r="T2497" s="4" t="n"/>
    </row>
    <row r="2498">
      <c r="A2498" s="3" t="n">
        <v>2497</v>
      </c>
      <c r="B2498" s="3" t="inlineStr">
        <is>
          <t>DL022</t>
        </is>
      </c>
      <c r="C2498" s="4" t="inlineStr">
        <is>
          <t>ĐL Đà Nẵng - Phú Vinh</t>
        </is>
      </c>
      <c r="D2498" s="3" t="inlineStr">
        <is>
          <t>Đà Nẵng</t>
        </is>
      </c>
      <c r="E2498" s="3" t="inlineStr">
        <is>
          <t>THÙY TRANG</t>
        </is>
      </c>
      <c r="F2498" s="3" t="inlineStr">
        <is>
          <t>Shopee, Tiktok</t>
        </is>
      </c>
      <c r="G249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8" s="3" t="inlineStr"/>
      <c r="I2498" s="4" t="inlineStr">
        <is>
          <t>Mũi khoan tường không tắc kê KBLJ - 10*148</t>
        </is>
      </c>
      <c r="J2498" s="3" t="inlineStr">
        <is>
          <t>Cái</t>
        </is>
      </c>
      <c r="K2498" s="5" t="n">
        <v>269000</v>
      </c>
      <c r="L2498" s="5" t="n">
        <v>317000</v>
      </c>
      <c r="M2498" s="6" t="n">
        <v>390000</v>
      </c>
      <c r="N2498" s="5" t="n"/>
      <c r="O2498" s="5">
        <f>IF(AND(ISNUMBER(N2498),ISNUMBER(M2498)),N2498-M2498,"")</f>
        <v/>
      </c>
      <c r="P2498" s="7">
        <f>IF(AND(ISNUMBER(N2498),ISNUMBER(M2498),M2498&gt;0),(N2498-M2498)/M2498,"")</f>
        <v/>
      </c>
      <c r="Q2498" s="3">
        <f>IF(P2498="","",IF(P2498&lt;-0.02,"🔴 Bán phá giá sàn",IF(P2498&gt;0.05,"🔵 Bán cao hơn","🟢 Đúng giá sàn TMĐT")))</f>
        <v/>
      </c>
      <c r="R2498" s="3" t="n"/>
      <c r="S2498" s="4" t="n"/>
      <c r="T2498" s="4" t="n"/>
    </row>
    <row r="2499">
      <c r="A2499" s="3" t="n">
        <v>2498</v>
      </c>
      <c r="B2499" s="3" t="inlineStr">
        <is>
          <t>DL022</t>
        </is>
      </c>
      <c r="C2499" s="4" t="inlineStr">
        <is>
          <t>ĐL Đà Nẵng - Phú Vinh</t>
        </is>
      </c>
      <c r="D2499" s="3" t="inlineStr">
        <is>
          <t>Đà Nẵng</t>
        </is>
      </c>
      <c r="E2499" s="3" t="inlineStr">
        <is>
          <t>THÙY TRANG</t>
        </is>
      </c>
      <c r="F2499" s="3" t="inlineStr">
        <is>
          <t>Shopee, Tiktok</t>
        </is>
      </c>
      <c r="G249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499" s="3" t="inlineStr">
        <is>
          <t>KBL4-10350</t>
        </is>
      </c>
      <c r="I2499" s="4" t="inlineStr">
        <is>
          <t>Mũi khoan xuyên tường 4 cạnh KBL4-10*350</t>
        </is>
      </c>
      <c r="J2499" s="3" t="inlineStr">
        <is>
          <t>Cái</t>
        </is>
      </c>
      <c r="K2499" s="5" t="n">
        <v>81000</v>
      </c>
      <c r="L2499" s="5" t="n">
        <v>99000</v>
      </c>
      <c r="M2499" s="6" t="n">
        <v>126000</v>
      </c>
      <c r="N2499" s="5" t="n"/>
      <c r="O2499" s="5">
        <f>IF(AND(ISNUMBER(N2499),ISNUMBER(M2499)),N2499-M2499,"")</f>
        <v/>
      </c>
      <c r="P2499" s="7">
        <f>IF(AND(ISNUMBER(N2499),ISNUMBER(M2499),M2499&gt;0),(N2499-M2499)/M2499,"")</f>
        <v/>
      </c>
      <c r="Q2499" s="3">
        <f>IF(P2499="","",IF(P2499&lt;-0.02,"🔴 Bán phá giá sàn",IF(P2499&gt;0.05,"🔵 Bán cao hơn","🟢 Đúng giá sàn TMĐT")))</f>
        <v/>
      </c>
      <c r="R2499" s="3" t="n"/>
      <c r="S2499" s="4" t="n"/>
      <c r="T2499" s="4" t="n"/>
    </row>
    <row r="2500">
      <c r="A2500" s="3" t="n">
        <v>2499</v>
      </c>
      <c r="B2500" s="3" t="inlineStr">
        <is>
          <t>DL022</t>
        </is>
      </c>
      <c r="C2500" s="4" t="inlineStr">
        <is>
          <t>ĐL Đà Nẵng - Phú Vinh</t>
        </is>
      </c>
      <c r="D2500" s="3" t="inlineStr">
        <is>
          <t>Đà Nẵng</t>
        </is>
      </c>
      <c r="E2500" s="3" t="inlineStr">
        <is>
          <t>THÙY TRANG</t>
        </is>
      </c>
      <c r="F2500" s="3" t="inlineStr">
        <is>
          <t>Shopee, Tiktok</t>
        </is>
      </c>
      <c r="G250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0" s="3" t="inlineStr">
        <is>
          <t>KBL4-12350</t>
        </is>
      </c>
      <c r="I2500" s="4" t="inlineStr">
        <is>
          <t>Mũi khoan xuyên tường 4 cạnh KBL4-12*350</t>
        </is>
      </c>
      <c r="J2500" s="3" t="inlineStr">
        <is>
          <t>Cái</t>
        </is>
      </c>
      <c r="K2500" s="5" t="n">
        <v>89000</v>
      </c>
      <c r="L2500" s="5" t="n">
        <v>109000</v>
      </c>
      <c r="M2500" s="6" t="n">
        <v>138000</v>
      </c>
      <c r="N2500" s="5" t="n"/>
      <c r="O2500" s="5">
        <f>IF(AND(ISNUMBER(N2500),ISNUMBER(M2500)),N2500-M2500,"")</f>
        <v/>
      </c>
      <c r="P2500" s="7">
        <f>IF(AND(ISNUMBER(N2500),ISNUMBER(M2500),M2500&gt;0),(N2500-M2500)/M2500,"")</f>
        <v/>
      </c>
      <c r="Q2500" s="3">
        <f>IF(P2500="","",IF(P2500&lt;-0.02,"🔴 Bán phá giá sàn",IF(P2500&gt;0.05,"🔵 Bán cao hơn","🟢 Đúng giá sàn TMĐT")))</f>
        <v/>
      </c>
      <c r="R2500" s="3" t="n"/>
      <c r="S2500" s="4" t="n"/>
      <c r="T2500" s="4" t="n"/>
    </row>
    <row r="2501">
      <c r="A2501" s="3" t="n">
        <v>2500</v>
      </c>
      <c r="B2501" s="3" t="inlineStr">
        <is>
          <t>DL022</t>
        </is>
      </c>
      <c r="C2501" s="4" t="inlineStr">
        <is>
          <t>ĐL Đà Nẵng - Phú Vinh</t>
        </is>
      </c>
      <c r="D2501" s="3" t="inlineStr">
        <is>
          <t>Đà Nẵng</t>
        </is>
      </c>
      <c r="E2501" s="3" t="inlineStr">
        <is>
          <t>THÙY TRANG</t>
        </is>
      </c>
      <c r="F2501" s="3" t="inlineStr">
        <is>
          <t>Shopee, Tiktok</t>
        </is>
      </c>
      <c r="G250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1" s="3" t="inlineStr">
        <is>
          <t>KBL4-14350</t>
        </is>
      </c>
      <c r="I2501" s="4" t="inlineStr">
        <is>
          <t>Mũi khoan xuyên tường 4 cạnh KBL4-14*350</t>
        </is>
      </c>
      <c r="J2501" s="3" t="inlineStr">
        <is>
          <t>Cái</t>
        </is>
      </c>
      <c r="K2501" s="5" t="n">
        <v>105000</v>
      </c>
      <c r="L2501" s="5" t="n">
        <v>128000</v>
      </c>
      <c r="M2501" s="6" t="n">
        <v>163000</v>
      </c>
      <c r="N2501" s="5" t="n"/>
      <c r="O2501" s="5">
        <f>IF(AND(ISNUMBER(N2501),ISNUMBER(M2501)),N2501-M2501,"")</f>
        <v/>
      </c>
      <c r="P2501" s="7">
        <f>IF(AND(ISNUMBER(N2501),ISNUMBER(M2501),M2501&gt;0),(N2501-M2501)/M2501,"")</f>
        <v/>
      </c>
      <c r="Q2501" s="3">
        <f>IF(P2501="","",IF(P2501&lt;-0.02,"🔴 Bán phá giá sàn",IF(P2501&gt;0.05,"🔵 Bán cao hơn","🟢 Đúng giá sàn TMĐT")))</f>
        <v/>
      </c>
      <c r="R2501" s="3" t="n"/>
      <c r="S2501" s="4" t="n"/>
      <c r="T2501" s="4" t="n"/>
    </row>
    <row r="2502">
      <c r="A2502" s="3" t="n">
        <v>2501</v>
      </c>
      <c r="B2502" s="3" t="inlineStr">
        <is>
          <t>DL022</t>
        </is>
      </c>
      <c r="C2502" s="4" t="inlineStr">
        <is>
          <t>ĐL Đà Nẵng - Phú Vinh</t>
        </is>
      </c>
      <c r="D2502" s="3" t="inlineStr">
        <is>
          <t>Đà Nẵng</t>
        </is>
      </c>
      <c r="E2502" s="3" t="inlineStr">
        <is>
          <t>THÙY TRANG</t>
        </is>
      </c>
      <c r="F2502" s="3" t="inlineStr">
        <is>
          <t>Shopee, Tiktok</t>
        </is>
      </c>
      <c r="G250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2" s="3" t="inlineStr">
        <is>
          <t>KBL4-16350</t>
        </is>
      </c>
      <c r="I2502" s="4" t="inlineStr">
        <is>
          <t>Mũi khoan xuyên tường 4 cạnh KBL4-16*350</t>
        </is>
      </c>
      <c r="J2502" s="3" t="inlineStr">
        <is>
          <t>Cái</t>
        </is>
      </c>
      <c r="K2502" s="5" t="n">
        <v>126000</v>
      </c>
      <c r="L2502" s="5" t="n">
        <v>154000</v>
      </c>
      <c r="M2502" s="6" t="n">
        <v>195000</v>
      </c>
      <c r="N2502" s="5" t="n"/>
      <c r="O2502" s="5">
        <f>IF(AND(ISNUMBER(N2502),ISNUMBER(M2502)),N2502-M2502,"")</f>
        <v/>
      </c>
      <c r="P2502" s="7">
        <f>IF(AND(ISNUMBER(N2502),ISNUMBER(M2502),M2502&gt;0),(N2502-M2502)/M2502,"")</f>
        <v/>
      </c>
      <c r="Q2502" s="3">
        <f>IF(P2502="","",IF(P2502&lt;-0.02,"🔴 Bán phá giá sàn",IF(P2502&gt;0.05,"🔵 Bán cao hơn","🟢 Đúng giá sàn TMĐT")))</f>
        <v/>
      </c>
      <c r="R2502" s="3" t="n"/>
      <c r="S2502" s="4" t="n"/>
      <c r="T2502" s="4" t="n"/>
    </row>
    <row r="2503">
      <c r="A2503" s="3" t="n">
        <v>2502</v>
      </c>
      <c r="B2503" s="3" t="inlineStr">
        <is>
          <t>DL022</t>
        </is>
      </c>
      <c r="C2503" s="4" t="inlineStr">
        <is>
          <t>ĐL Đà Nẵng - Phú Vinh</t>
        </is>
      </c>
      <c r="D2503" s="3" t="inlineStr">
        <is>
          <t>Đà Nẵng</t>
        </is>
      </c>
      <c r="E2503" s="3" t="inlineStr">
        <is>
          <t>THÙY TRANG</t>
        </is>
      </c>
      <c r="F2503" s="3" t="inlineStr">
        <is>
          <t>Shopee, Tiktok</t>
        </is>
      </c>
      <c r="G250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3" s="3" t="inlineStr">
        <is>
          <t>KBL4-18350</t>
        </is>
      </c>
      <c r="I2503" s="4" t="inlineStr">
        <is>
          <t>Mũi khoan xuyên tường 4 cạnh KBL4-18*350</t>
        </is>
      </c>
      <c r="J2503" s="3" t="inlineStr">
        <is>
          <t>Cái</t>
        </is>
      </c>
      <c r="K2503" s="5" t="n">
        <v>146000</v>
      </c>
      <c r="L2503" s="5" t="n">
        <v>178000</v>
      </c>
      <c r="M2503" s="6" t="n">
        <v>226000</v>
      </c>
      <c r="N2503" s="5" t="n"/>
      <c r="O2503" s="5">
        <f>IF(AND(ISNUMBER(N2503),ISNUMBER(M2503)),N2503-M2503,"")</f>
        <v/>
      </c>
      <c r="P2503" s="7">
        <f>IF(AND(ISNUMBER(N2503),ISNUMBER(M2503),M2503&gt;0),(N2503-M2503)/M2503,"")</f>
        <v/>
      </c>
      <c r="Q2503" s="3">
        <f>IF(P2503="","",IF(P2503&lt;-0.02,"🔴 Bán phá giá sàn",IF(P2503&gt;0.05,"🔵 Bán cao hơn","🟢 Đúng giá sàn TMĐT")))</f>
        <v/>
      </c>
      <c r="R2503" s="3" t="n"/>
      <c r="S2503" s="4" t="n"/>
      <c r="T2503" s="4" t="n"/>
    </row>
    <row r="2504">
      <c r="A2504" s="3" t="n">
        <v>2503</v>
      </c>
      <c r="B2504" s="3" t="inlineStr">
        <is>
          <t>DL022</t>
        </is>
      </c>
      <c r="C2504" s="4" t="inlineStr">
        <is>
          <t>ĐL Đà Nẵng - Phú Vinh</t>
        </is>
      </c>
      <c r="D2504" s="3" t="inlineStr">
        <is>
          <t>Đà Nẵng</t>
        </is>
      </c>
      <c r="E2504" s="3" t="inlineStr">
        <is>
          <t>THÙY TRANG</t>
        </is>
      </c>
      <c r="F2504" s="3" t="inlineStr">
        <is>
          <t>Shopee, Tiktok</t>
        </is>
      </c>
      <c r="G250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4" s="3" t="inlineStr">
        <is>
          <t>KBL4-20350</t>
        </is>
      </c>
      <c r="I2504" s="4" t="inlineStr">
        <is>
          <t>Mũi khoan xuyên tường 4 cạnh KBL4-20*350</t>
        </is>
      </c>
      <c r="J2504" s="3" t="inlineStr">
        <is>
          <t>Cái</t>
        </is>
      </c>
      <c r="K2504" s="5" t="n">
        <v>183000</v>
      </c>
      <c r="L2504" s="5" t="n">
        <v>223000</v>
      </c>
      <c r="M2504" s="6" t="n">
        <v>284000</v>
      </c>
      <c r="N2504" s="5" t="n"/>
      <c r="O2504" s="5">
        <f>IF(AND(ISNUMBER(N2504),ISNUMBER(M2504)),N2504-M2504,"")</f>
        <v/>
      </c>
      <c r="P2504" s="7">
        <f>IF(AND(ISNUMBER(N2504),ISNUMBER(M2504),M2504&gt;0),(N2504-M2504)/M2504,"")</f>
        <v/>
      </c>
      <c r="Q2504" s="3">
        <f>IF(P2504="","",IF(P2504&lt;-0.02,"🔴 Bán phá giá sàn",IF(P2504&gt;0.05,"🔵 Bán cao hơn","🟢 Đúng giá sàn TMĐT")))</f>
        <v/>
      </c>
      <c r="R2504" s="3" t="n"/>
      <c r="S2504" s="4" t="n"/>
      <c r="T2504" s="4" t="n"/>
    </row>
    <row r="2505">
      <c r="A2505" s="3" t="n">
        <v>2504</v>
      </c>
      <c r="B2505" s="3" t="inlineStr">
        <is>
          <t>DL022</t>
        </is>
      </c>
      <c r="C2505" s="4" t="inlineStr">
        <is>
          <t>ĐL Đà Nẵng - Phú Vinh</t>
        </is>
      </c>
      <c r="D2505" s="3" t="inlineStr">
        <is>
          <t>Đà Nẵng</t>
        </is>
      </c>
      <c r="E2505" s="3" t="inlineStr">
        <is>
          <t>THÙY TRANG</t>
        </is>
      </c>
      <c r="F2505" s="3" t="inlineStr">
        <is>
          <t>Shopee, Tiktok</t>
        </is>
      </c>
      <c r="G250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5" s="3" t="inlineStr">
        <is>
          <t>KBL4-22350</t>
        </is>
      </c>
      <c r="I2505" s="4" t="inlineStr">
        <is>
          <t>Mũi khoan xuyên tường 4 cạnh KBL4-22*350</t>
        </is>
      </c>
      <c r="J2505" s="3" t="inlineStr">
        <is>
          <t>Cái</t>
        </is>
      </c>
      <c r="K2505" s="5" t="n">
        <v>228000</v>
      </c>
      <c r="L2505" s="5" t="n">
        <v>278000</v>
      </c>
      <c r="M2505" s="6" t="n">
        <v>353000</v>
      </c>
      <c r="N2505" s="5" t="n"/>
      <c r="O2505" s="5">
        <f>IF(AND(ISNUMBER(N2505),ISNUMBER(M2505)),N2505-M2505,"")</f>
        <v/>
      </c>
      <c r="P2505" s="7">
        <f>IF(AND(ISNUMBER(N2505),ISNUMBER(M2505),M2505&gt;0),(N2505-M2505)/M2505,"")</f>
        <v/>
      </c>
      <c r="Q2505" s="3">
        <f>IF(P2505="","",IF(P2505&lt;-0.02,"🔴 Bán phá giá sàn",IF(P2505&gt;0.05,"🔵 Bán cao hơn","🟢 Đúng giá sàn TMĐT")))</f>
        <v/>
      </c>
      <c r="R2505" s="3" t="n"/>
      <c r="S2505" s="4" t="n"/>
      <c r="T2505" s="4" t="n"/>
    </row>
    <row r="2506">
      <c r="A2506" s="3" t="n">
        <v>2505</v>
      </c>
      <c r="B2506" s="3" t="inlineStr">
        <is>
          <t>DL022</t>
        </is>
      </c>
      <c r="C2506" s="4" t="inlineStr">
        <is>
          <t>ĐL Đà Nẵng - Phú Vinh</t>
        </is>
      </c>
      <c r="D2506" s="3" t="inlineStr">
        <is>
          <t>Đà Nẵng</t>
        </is>
      </c>
      <c r="E2506" s="3" t="inlineStr">
        <is>
          <t>THÙY TRANG</t>
        </is>
      </c>
      <c r="F2506" s="3" t="inlineStr">
        <is>
          <t>Shopee, Tiktok</t>
        </is>
      </c>
      <c r="G250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6" s="3" t="inlineStr">
        <is>
          <t>KBX2-16</t>
        </is>
      </c>
      <c r="I2506" s="4" t="inlineStr">
        <is>
          <t>Mũi khoét gỗ KBX2-16</t>
        </is>
      </c>
      <c r="J2506" s="3" t="inlineStr">
        <is>
          <t>Cái</t>
        </is>
      </c>
      <c r="K2506" s="5" t="n">
        <v>59000</v>
      </c>
      <c r="L2506" s="5" t="n">
        <v>70000</v>
      </c>
      <c r="M2506" s="6" t="n">
        <v>86000</v>
      </c>
      <c r="N2506" s="5" t="n"/>
      <c r="O2506" s="5">
        <f>IF(AND(ISNUMBER(N2506),ISNUMBER(M2506)),N2506-M2506,"")</f>
        <v/>
      </c>
      <c r="P2506" s="7">
        <f>IF(AND(ISNUMBER(N2506),ISNUMBER(M2506),M2506&gt;0),(N2506-M2506)/M2506,"")</f>
        <v/>
      </c>
      <c r="Q2506" s="3">
        <f>IF(P2506="","",IF(P2506&lt;-0.02,"🔴 Bán phá giá sàn",IF(P2506&gt;0.05,"🔵 Bán cao hơn","🟢 Đúng giá sàn TMĐT")))</f>
        <v/>
      </c>
      <c r="R2506" s="3" t="n"/>
      <c r="S2506" s="4" t="n"/>
      <c r="T2506" s="4" t="n"/>
    </row>
    <row r="2507">
      <c r="A2507" s="3" t="n">
        <v>2506</v>
      </c>
      <c r="B2507" s="3" t="inlineStr">
        <is>
          <t>DL022</t>
        </is>
      </c>
      <c r="C2507" s="4" t="inlineStr">
        <is>
          <t>ĐL Đà Nẵng - Phú Vinh</t>
        </is>
      </c>
      <c r="D2507" s="3" t="inlineStr">
        <is>
          <t>Đà Nẵng</t>
        </is>
      </c>
      <c r="E2507" s="3" t="inlineStr">
        <is>
          <t>THÙY TRANG</t>
        </is>
      </c>
      <c r="F2507" s="3" t="inlineStr">
        <is>
          <t>Shopee, Tiktok</t>
        </is>
      </c>
      <c r="G250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7" s="3" t="inlineStr">
        <is>
          <t>KBX2-18</t>
        </is>
      </c>
      <c r="I2507" s="4" t="inlineStr">
        <is>
          <t>Mũi khoét gỗ KBX2-18</t>
        </is>
      </c>
      <c r="J2507" s="3" t="inlineStr">
        <is>
          <t>Cái</t>
        </is>
      </c>
      <c r="K2507" s="5" t="n">
        <v>59000</v>
      </c>
      <c r="L2507" s="5" t="n">
        <v>70000</v>
      </c>
      <c r="M2507" s="6" t="n">
        <v>86000</v>
      </c>
      <c r="N2507" s="5" t="n"/>
      <c r="O2507" s="5">
        <f>IF(AND(ISNUMBER(N2507),ISNUMBER(M2507)),N2507-M2507,"")</f>
        <v/>
      </c>
      <c r="P2507" s="7">
        <f>IF(AND(ISNUMBER(N2507),ISNUMBER(M2507),M2507&gt;0),(N2507-M2507)/M2507,"")</f>
        <v/>
      </c>
      <c r="Q2507" s="3">
        <f>IF(P2507="","",IF(P2507&lt;-0.02,"🔴 Bán phá giá sàn",IF(P2507&gt;0.05,"🔵 Bán cao hơn","🟢 Đúng giá sàn TMĐT")))</f>
        <v/>
      </c>
      <c r="R2507" s="3" t="n"/>
      <c r="S2507" s="4" t="n"/>
      <c r="T2507" s="4" t="n"/>
    </row>
    <row r="2508">
      <c r="A2508" s="3" t="n">
        <v>2507</v>
      </c>
      <c r="B2508" s="3" t="inlineStr">
        <is>
          <t>DL022</t>
        </is>
      </c>
      <c r="C2508" s="4" t="inlineStr">
        <is>
          <t>ĐL Đà Nẵng - Phú Vinh</t>
        </is>
      </c>
      <c r="D2508" s="3" t="inlineStr">
        <is>
          <t>Đà Nẵng</t>
        </is>
      </c>
      <c r="E2508" s="3" t="inlineStr">
        <is>
          <t>THÙY TRANG</t>
        </is>
      </c>
      <c r="F2508" s="3" t="inlineStr">
        <is>
          <t>Shopee, Tiktok</t>
        </is>
      </c>
      <c r="G250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8" s="3" t="inlineStr">
        <is>
          <t>KBX2-35</t>
        </is>
      </c>
      <c r="I2508" s="4" t="inlineStr">
        <is>
          <t>Mũi khoét gỗ KBX2-35</t>
        </is>
      </c>
      <c r="J2508" s="3" t="inlineStr">
        <is>
          <t>Cái</t>
        </is>
      </c>
      <c r="K2508" s="5" t="n">
        <v>119000</v>
      </c>
      <c r="L2508" s="5" t="n">
        <v>141000</v>
      </c>
      <c r="M2508" s="6" t="n">
        <v>173000</v>
      </c>
      <c r="N2508" s="5" t="n"/>
      <c r="O2508" s="5">
        <f>IF(AND(ISNUMBER(N2508),ISNUMBER(M2508)),N2508-M2508,"")</f>
        <v/>
      </c>
      <c r="P2508" s="7">
        <f>IF(AND(ISNUMBER(N2508),ISNUMBER(M2508),M2508&gt;0),(N2508-M2508)/M2508,"")</f>
        <v/>
      </c>
      <c r="Q2508" s="3">
        <f>IF(P2508="","",IF(P2508&lt;-0.02,"🔴 Bán phá giá sàn",IF(P2508&gt;0.05,"🔵 Bán cao hơn","🟢 Đúng giá sàn TMĐT")))</f>
        <v/>
      </c>
      <c r="R2508" s="3" t="n"/>
      <c r="S2508" s="4" t="n"/>
      <c r="T2508" s="4" t="n"/>
    </row>
    <row r="2509">
      <c r="A2509" s="3" t="n">
        <v>2508</v>
      </c>
      <c r="B2509" s="3" t="inlineStr">
        <is>
          <t>DL022</t>
        </is>
      </c>
      <c r="C2509" s="4" t="inlineStr">
        <is>
          <t>ĐL Đà Nẵng - Phú Vinh</t>
        </is>
      </c>
      <c r="D2509" s="3" t="inlineStr">
        <is>
          <t>Đà Nẵng</t>
        </is>
      </c>
      <c r="E2509" s="3" t="inlineStr">
        <is>
          <t>THÙY TRANG</t>
        </is>
      </c>
      <c r="F2509" s="3" t="inlineStr">
        <is>
          <t>Shopee, Tiktok</t>
        </is>
      </c>
      <c r="G250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09" s="3" t="inlineStr">
        <is>
          <t>KBX2-40</t>
        </is>
      </c>
      <c r="I2509" s="4" t="inlineStr">
        <is>
          <t>Mũi khoét gỗ KBX2-40</t>
        </is>
      </c>
      <c r="J2509" s="3" t="inlineStr">
        <is>
          <t>Cái</t>
        </is>
      </c>
      <c r="K2509" s="5" t="n">
        <v>133000</v>
      </c>
      <c r="L2509" s="5" t="n">
        <v>157000</v>
      </c>
      <c r="M2509" s="6" t="n">
        <v>193000</v>
      </c>
      <c r="N2509" s="5" t="n"/>
      <c r="O2509" s="5">
        <f>IF(AND(ISNUMBER(N2509),ISNUMBER(M2509)),N2509-M2509,"")</f>
        <v/>
      </c>
      <c r="P2509" s="7">
        <f>IF(AND(ISNUMBER(N2509),ISNUMBER(M2509),M2509&gt;0),(N2509-M2509)/M2509,"")</f>
        <v/>
      </c>
      <c r="Q2509" s="3">
        <f>IF(P2509="","",IF(P2509&lt;-0.02,"🔴 Bán phá giá sàn",IF(P2509&gt;0.05,"🔵 Bán cao hơn","🟢 Đúng giá sàn TMĐT")))</f>
        <v/>
      </c>
      <c r="R2509" s="3" t="n"/>
      <c r="S2509" s="4" t="n"/>
      <c r="T2509" s="4" t="n"/>
    </row>
    <row r="2510">
      <c r="A2510" s="3" t="n">
        <v>2509</v>
      </c>
      <c r="B2510" s="3" t="inlineStr">
        <is>
          <t>DL022</t>
        </is>
      </c>
      <c r="C2510" s="4" t="inlineStr">
        <is>
          <t>ĐL Đà Nẵng - Phú Vinh</t>
        </is>
      </c>
      <c r="D2510" s="3" t="inlineStr">
        <is>
          <t>Đà Nẵng</t>
        </is>
      </c>
      <c r="E2510" s="3" t="inlineStr">
        <is>
          <t>THÙY TRANG</t>
        </is>
      </c>
      <c r="F2510" s="3" t="inlineStr">
        <is>
          <t>Shopee, Tiktok</t>
        </is>
      </c>
      <c r="G251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0" s="3" t="inlineStr">
        <is>
          <t>R1-23/25</t>
        </is>
      </c>
      <c r="I2510" s="4" t="inlineStr">
        <is>
          <t>Mũi khoét hợp kim Bluebird R1-23/25</t>
        </is>
      </c>
      <c r="J2510" s="3" t="inlineStr">
        <is>
          <t>Cái</t>
        </is>
      </c>
      <c r="K2510" s="5" t="n">
        <v>85000</v>
      </c>
      <c r="L2510" s="5" t="n">
        <v>104000</v>
      </c>
      <c r="M2510" s="6" t="n">
        <v>132000</v>
      </c>
      <c r="N2510" s="5" t="n"/>
      <c r="O2510" s="5">
        <f>IF(AND(ISNUMBER(N2510),ISNUMBER(M2510)),N2510-M2510,"")</f>
        <v/>
      </c>
      <c r="P2510" s="7">
        <f>IF(AND(ISNUMBER(N2510),ISNUMBER(M2510),M2510&gt;0),(N2510-M2510)/M2510,"")</f>
        <v/>
      </c>
      <c r="Q2510" s="3">
        <f>IF(P2510="","",IF(P2510&lt;-0.02,"🔴 Bán phá giá sàn",IF(P2510&gt;0.05,"🔵 Bán cao hơn","🟢 Đúng giá sàn TMĐT")))</f>
        <v/>
      </c>
      <c r="R2510" s="3" t="n"/>
      <c r="S2510" s="4" t="n"/>
      <c r="T2510" s="4" t="n"/>
    </row>
    <row r="2511">
      <c r="A2511" s="3" t="n">
        <v>2510</v>
      </c>
      <c r="B2511" s="3" t="inlineStr">
        <is>
          <t>DL022</t>
        </is>
      </c>
      <c r="C2511" s="4" t="inlineStr">
        <is>
          <t>ĐL Đà Nẵng - Phú Vinh</t>
        </is>
      </c>
      <c r="D2511" s="3" t="inlineStr">
        <is>
          <t>Đà Nẵng</t>
        </is>
      </c>
      <c r="E2511" s="3" t="inlineStr">
        <is>
          <t>THÙY TRANG</t>
        </is>
      </c>
      <c r="F2511" s="3" t="inlineStr">
        <is>
          <t>Shopee, Tiktok</t>
        </is>
      </c>
      <c r="G251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1" s="3" t="inlineStr">
        <is>
          <t>R1-50/25</t>
        </is>
      </c>
      <c r="I2511" s="4" t="inlineStr">
        <is>
          <t>Mũi khoét hợp kim Bluebird R1-50/25</t>
        </is>
      </c>
      <c r="J2511" s="3" t="inlineStr">
        <is>
          <t>Cái</t>
        </is>
      </c>
      <c r="K2511" s="5" t="n">
        <v>183000</v>
      </c>
      <c r="L2511" s="5" t="n">
        <v>223000</v>
      </c>
      <c r="M2511" s="6" t="n">
        <v>284000</v>
      </c>
      <c r="N2511" s="5" t="n"/>
      <c r="O2511" s="5">
        <f>IF(AND(ISNUMBER(N2511),ISNUMBER(M2511)),N2511-M2511,"")</f>
        <v/>
      </c>
      <c r="P2511" s="7">
        <f>IF(AND(ISNUMBER(N2511),ISNUMBER(M2511),M2511&gt;0),(N2511-M2511)/M2511,"")</f>
        <v/>
      </c>
      <c r="Q2511" s="3">
        <f>IF(P2511="","",IF(P2511&lt;-0.02,"🔴 Bán phá giá sàn",IF(P2511&gt;0.05,"🔵 Bán cao hơn","🟢 Đúng giá sàn TMĐT")))</f>
        <v/>
      </c>
      <c r="R2511" s="3" t="n"/>
      <c r="S2511" s="4" t="n"/>
      <c r="T2511" s="4" t="n"/>
    </row>
    <row r="2512">
      <c r="A2512" s="3" t="n">
        <v>2511</v>
      </c>
      <c r="B2512" s="3" t="inlineStr">
        <is>
          <t>DL022</t>
        </is>
      </c>
      <c r="C2512" s="4" t="inlineStr">
        <is>
          <t>ĐL Đà Nẵng - Phú Vinh</t>
        </is>
      </c>
      <c r="D2512" s="3" t="inlineStr">
        <is>
          <t>Đà Nẵng</t>
        </is>
      </c>
      <c r="E2512" s="3" t="inlineStr">
        <is>
          <t>THÙY TRANG</t>
        </is>
      </c>
      <c r="F2512" s="3" t="inlineStr">
        <is>
          <t>Shopee, Tiktok</t>
        </is>
      </c>
      <c r="G251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2" s="3" t="inlineStr">
        <is>
          <t>R1-60/25</t>
        </is>
      </c>
      <c r="I2512" s="4" t="inlineStr">
        <is>
          <t>Mũi khoét hợp kim Bluebird R1-60/25</t>
        </is>
      </c>
      <c r="J2512" s="3" t="inlineStr">
        <is>
          <t>Cái</t>
        </is>
      </c>
      <c r="K2512" s="5" t="n">
        <v>219000</v>
      </c>
      <c r="L2512" s="5" t="n">
        <v>267000</v>
      </c>
      <c r="M2512" s="6" t="n">
        <v>340000</v>
      </c>
      <c r="N2512" s="5" t="n"/>
      <c r="O2512" s="5">
        <f>IF(AND(ISNUMBER(N2512),ISNUMBER(M2512)),N2512-M2512,"")</f>
        <v/>
      </c>
      <c r="P2512" s="7">
        <f>IF(AND(ISNUMBER(N2512),ISNUMBER(M2512),M2512&gt;0),(N2512-M2512)/M2512,"")</f>
        <v/>
      </c>
      <c r="Q2512" s="3">
        <f>IF(P2512="","",IF(P2512&lt;-0.02,"🔴 Bán phá giá sàn",IF(P2512&gt;0.05,"🔵 Bán cao hơn","🟢 Đúng giá sàn TMĐT")))</f>
        <v/>
      </c>
      <c r="R2512" s="3" t="n"/>
      <c r="S2512" s="4" t="n"/>
      <c r="T2512" s="4" t="n"/>
    </row>
    <row r="2513">
      <c r="A2513" s="3" t="n">
        <v>2512</v>
      </c>
      <c r="B2513" s="3" t="inlineStr">
        <is>
          <t>DL022</t>
        </is>
      </c>
      <c r="C2513" s="4" t="inlineStr">
        <is>
          <t>ĐL Đà Nẵng - Phú Vinh</t>
        </is>
      </c>
      <c r="D2513" s="3" t="inlineStr">
        <is>
          <t>Đà Nẵng</t>
        </is>
      </c>
      <c r="E2513" s="3" t="inlineStr">
        <is>
          <t>THÙY TRANG</t>
        </is>
      </c>
      <c r="F2513" s="3" t="inlineStr">
        <is>
          <t>Shopee, Tiktok</t>
        </is>
      </c>
      <c r="G251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3" s="3" t="inlineStr">
        <is>
          <t>R1-16/25</t>
        </is>
      </c>
      <c r="I2513" s="4" t="inlineStr">
        <is>
          <t>Mũi khoét hợp kim Kingblue R1-16/25</t>
        </is>
      </c>
      <c r="J2513" s="3" t="inlineStr">
        <is>
          <t>Cái</t>
        </is>
      </c>
      <c r="K2513" s="5" t="n">
        <v>59000</v>
      </c>
      <c r="L2513" s="5" t="n">
        <v>72000</v>
      </c>
      <c r="M2513" s="6" t="n">
        <v>92000</v>
      </c>
      <c r="N2513" s="5" t="n"/>
      <c r="O2513" s="5">
        <f>IF(AND(ISNUMBER(N2513),ISNUMBER(M2513)),N2513-M2513,"")</f>
        <v/>
      </c>
      <c r="P2513" s="7">
        <f>IF(AND(ISNUMBER(N2513),ISNUMBER(M2513),M2513&gt;0),(N2513-M2513)/M2513,"")</f>
        <v/>
      </c>
      <c r="Q2513" s="3">
        <f>IF(P2513="","",IF(P2513&lt;-0.02,"🔴 Bán phá giá sàn",IF(P2513&gt;0.05,"🔵 Bán cao hơn","🟢 Đúng giá sàn TMĐT")))</f>
        <v/>
      </c>
      <c r="R2513" s="3" t="n"/>
      <c r="S2513" s="4" t="n"/>
      <c r="T2513" s="4" t="n"/>
    </row>
    <row r="2514">
      <c r="A2514" s="3" t="n">
        <v>2513</v>
      </c>
      <c r="B2514" s="3" t="inlineStr">
        <is>
          <t>DL022</t>
        </is>
      </c>
      <c r="C2514" s="4" t="inlineStr">
        <is>
          <t>ĐL Đà Nẵng - Phú Vinh</t>
        </is>
      </c>
      <c r="D2514" s="3" t="inlineStr">
        <is>
          <t>Đà Nẵng</t>
        </is>
      </c>
      <c r="E2514" s="3" t="inlineStr">
        <is>
          <t>THÙY TRANG</t>
        </is>
      </c>
      <c r="F2514" s="3" t="inlineStr">
        <is>
          <t>Shopee, Tiktok</t>
        </is>
      </c>
      <c r="G251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4" s="3" t="inlineStr">
        <is>
          <t>R1-21/25</t>
        </is>
      </c>
      <c r="I2514" s="4" t="inlineStr">
        <is>
          <t>Mũi khoét hợp kim Kingblue R1-21/25</t>
        </is>
      </c>
      <c r="J2514" s="3" t="inlineStr">
        <is>
          <t>Cái</t>
        </is>
      </c>
      <c r="K2514" s="5" t="n">
        <v>77000</v>
      </c>
      <c r="L2514" s="5" t="n">
        <v>94000</v>
      </c>
      <c r="M2514" s="6" t="n">
        <v>119000</v>
      </c>
      <c r="N2514" s="5" t="n"/>
      <c r="O2514" s="5">
        <f>IF(AND(ISNUMBER(N2514),ISNUMBER(M2514)),N2514-M2514,"")</f>
        <v/>
      </c>
      <c r="P2514" s="7">
        <f>IF(AND(ISNUMBER(N2514),ISNUMBER(M2514),M2514&gt;0),(N2514-M2514)/M2514,"")</f>
        <v/>
      </c>
      <c r="Q2514" s="3">
        <f>IF(P2514="","",IF(P2514&lt;-0.02,"🔴 Bán phá giá sàn",IF(P2514&gt;0.05,"🔵 Bán cao hơn","🟢 Đúng giá sàn TMĐT")))</f>
        <v/>
      </c>
      <c r="R2514" s="3" t="n"/>
      <c r="S2514" s="4" t="n"/>
      <c r="T2514" s="4" t="n"/>
    </row>
    <row r="2515">
      <c r="A2515" s="3" t="n">
        <v>2514</v>
      </c>
      <c r="B2515" s="3" t="inlineStr">
        <is>
          <t>DL022</t>
        </is>
      </c>
      <c r="C2515" s="4" t="inlineStr">
        <is>
          <t>ĐL Đà Nẵng - Phú Vinh</t>
        </is>
      </c>
      <c r="D2515" s="3" t="inlineStr">
        <is>
          <t>Đà Nẵng</t>
        </is>
      </c>
      <c r="E2515" s="3" t="inlineStr">
        <is>
          <t>THÙY TRANG</t>
        </is>
      </c>
      <c r="F2515" s="3" t="inlineStr">
        <is>
          <t>Shopee, Tiktok</t>
        </is>
      </c>
      <c r="G251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5" s="3" t="inlineStr">
        <is>
          <t>R1-22/25</t>
        </is>
      </c>
      <c r="I2515" s="4" t="inlineStr">
        <is>
          <t>Mũi khoét hợp kim Kingblue R1-22/25</t>
        </is>
      </c>
      <c r="J2515" s="3" t="inlineStr">
        <is>
          <t>Cái</t>
        </is>
      </c>
      <c r="K2515" s="5" t="n">
        <v>82000</v>
      </c>
      <c r="L2515" s="5" t="n">
        <v>100000</v>
      </c>
      <c r="M2515" s="6" t="n">
        <v>127000</v>
      </c>
      <c r="N2515" s="5" t="n"/>
      <c r="O2515" s="5">
        <f>IF(AND(ISNUMBER(N2515),ISNUMBER(M2515)),N2515-M2515,"")</f>
        <v/>
      </c>
      <c r="P2515" s="7">
        <f>IF(AND(ISNUMBER(N2515),ISNUMBER(M2515),M2515&gt;0),(N2515-M2515)/M2515,"")</f>
        <v/>
      </c>
      <c r="Q2515" s="3">
        <f>IF(P2515="","",IF(P2515&lt;-0.02,"🔴 Bán phá giá sàn",IF(P2515&gt;0.05,"🔵 Bán cao hơn","🟢 Đúng giá sàn TMĐT")))</f>
        <v/>
      </c>
      <c r="R2515" s="3" t="n"/>
      <c r="S2515" s="4" t="n"/>
      <c r="T2515" s="4" t="n"/>
    </row>
    <row r="2516">
      <c r="A2516" s="3" t="n">
        <v>2515</v>
      </c>
      <c r="B2516" s="3" t="inlineStr">
        <is>
          <t>DL022</t>
        </is>
      </c>
      <c r="C2516" s="4" t="inlineStr">
        <is>
          <t>ĐL Đà Nẵng - Phú Vinh</t>
        </is>
      </c>
      <c r="D2516" s="3" t="inlineStr">
        <is>
          <t>Đà Nẵng</t>
        </is>
      </c>
      <c r="E2516" s="3" t="inlineStr">
        <is>
          <t>THÙY TRANG</t>
        </is>
      </c>
      <c r="F2516" s="3" t="inlineStr">
        <is>
          <t>Shopee, Tiktok</t>
        </is>
      </c>
      <c r="G251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6" s="3" t="inlineStr">
        <is>
          <t>R1-24/25</t>
        </is>
      </c>
      <c r="I2516" s="4" t="inlineStr">
        <is>
          <t>Mũi khoét hợp kim Kingblue R1-24/25</t>
        </is>
      </c>
      <c r="J2516" s="3" t="inlineStr">
        <is>
          <t>Cái</t>
        </is>
      </c>
      <c r="K2516" s="5" t="n">
        <v>87000</v>
      </c>
      <c r="L2516" s="5" t="n">
        <v>106000</v>
      </c>
      <c r="M2516" s="6" t="n">
        <v>135000</v>
      </c>
      <c r="N2516" s="5" t="n"/>
      <c r="O2516" s="5">
        <f>IF(AND(ISNUMBER(N2516),ISNUMBER(M2516)),N2516-M2516,"")</f>
        <v/>
      </c>
      <c r="P2516" s="7">
        <f>IF(AND(ISNUMBER(N2516),ISNUMBER(M2516),M2516&gt;0),(N2516-M2516)/M2516,"")</f>
        <v/>
      </c>
      <c r="Q2516" s="3">
        <f>IF(P2516="","",IF(P2516&lt;-0.02,"🔴 Bán phá giá sàn",IF(P2516&gt;0.05,"🔵 Bán cao hơn","🟢 Đúng giá sàn TMĐT")))</f>
        <v/>
      </c>
      <c r="R2516" s="3" t="n"/>
      <c r="S2516" s="4" t="n"/>
      <c r="T2516" s="4" t="n"/>
    </row>
    <row r="2517">
      <c r="A2517" s="3" t="n">
        <v>2516</v>
      </c>
      <c r="B2517" s="3" t="inlineStr">
        <is>
          <t>DL022</t>
        </is>
      </c>
      <c r="C2517" s="4" t="inlineStr">
        <is>
          <t>ĐL Đà Nẵng - Phú Vinh</t>
        </is>
      </c>
      <c r="D2517" s="3" t="inlineStr">
        <is>
          <t>Đà Nẵng</t>
        </is>
      </c>
      <c r="E2517" s="3" t="inlineStr">
        <is>
          <t>THÙY TRANG</t>
        </is>
      </c>
      <c r="F2517" s="3" t="inlineStr">
        <is>
          <t>Shopee, Tiktok</t>
        </is>
      </c>
      <c r="G251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7" s="3" t="inlineStr">
        <is>
          <t>R1-27/25</t>
        </is>
      </c>
      <c r="I2517" s="4" t="inlineStr">
        <is>
          <t>Mũi khoét hợp kim Kingblue R1-27/25</t>
        </is>
      </c>
      <c r="J2517" s="3" t="inlineStr">
        <is>
          <t>Cái</t>
        </is>
      </c>
      <c r="K2517" s="5" t="n">
        <v>99000</v>
      </c>
      <c r="L2517" s="5" t="n">
        <v>121000</v>
      </c>
      <c r="M2517" s="6" t="n">
        <v>154000</v>
      </c>
      <c r="N2517" s="5" t="n"/>
      <c r="O2517" s="5">
        <f>IF(AND(ISNUMBER(N2517),ISNUMBER(M2517)),N2517-M2517,"")</f>
        <v/>
      </c>
      <c r="P2517" s="7">
        <f>IF(AND(ISNUMBER(N2517),ISNUMBER(M2517),M2517&gt;0),(N2517-M2517)/M2517,"")</f>
        <v/>
      </c>
      <c r="Q2517" s="3">
        <f>IF(P2517="","",IF(P2517&lt;-0.02,"🔴 Bán phá giá sàn",IF(P2517&gt;0.05,"🔵 Bán cao hơn","🟢 Đúng giá sàn TMĐT")))</f>
        <v/>
      </c>
      <c r="R2517" s="3" t="n"/>
      <c r="S2517" s="4" t="n"/>
      <c r="T2517" s="4" t="n"/>
    </row>
    <row r="2518">
      <c r="A2518" s="3" t="n">
        <v>2517</v>
      </c>
      <c r="B2518" s="3" t="inlineStr">
        <is>
          <t>DL022</t>
        </is>
      </c>
      <c r="C2518" s="4" t="inlineStr">
        <is>
          <t>ĐL Đà Nẵng - Phú Vinh</t>
        </is>
      </c>
      <c r="D2518" s="3" t="inlineStr">
        <is>
          <t>Đà Nẵng</t>
        </is>
      </c>
      <c r="E2518" s="3" t="inlineStr">
        <is>
          <t>THÙY TRANG</t>
        </is>
      </c>
      <c r="F2518" s="3" t="inlineStr">
        <is>
          <t>Shopee, Tiktok</t>
        </is>
      </c>
      <c r="G251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8" s="3" t="inlineStr">
        <is>
          <t>R2-16mm</t>
        </is>
      </c>
      <c r="I2518" s="4" t="inlineStr">
        <is>
          <t>Mũi khoét kim loại KingBlue R2-16mm</t>
        </is>
      </c>
      <c r="J2518" s="3" t="inlineStr">
        <is>
          <t>Cái</t>
        </is>
      </c>
      <c r="K2518" s="5" t="n">
        <v>29000</v>
      </c>
      <c r="L2518" s="5" t="n">
        <v>35000</v>
      </c>
      <c r="M2518" s="6" t="n">
        <v>45000</v>
      </c>
      <c r="N2518" s="5" t="n"/>
      <c r="O2518" s="5">
        <f>IF(AND(ISNUMBER(N2518),ISNUMBER(M2518)),N2518-M2518,"")</f>
        <v/>
      </c>
      <c r="P2518" s="7">
        <f>IF(AND(ISNUMBER(N2518),ISNUMBER(M2518),M2518&gt;0),(N2518-M2518)/M2518,"")</f>
        <v/>
      </c>
      <c r="Q2518" s="3">
        <f>IF(P2518="","",IF(P2518&lt;-0.02,"🔴 Bán phá giá sàn",IF(P2518&gt;0.05,"🔵 Bán cao hơn","🟢 Đúng giá sàn TMĐT")))</f>
        <v/>
      </c>
      <c r="R2518" s="3" t="n"/>
      <c r="S2518" s="4" t="n"/>
      <c r="T2518" s="4" t="n"/>
    </row>
    <row r="2519">
      <c r="A2519" s="3" t="n">
        <v>2518</v>
      </c>
      <c r="B2519" s="3" t="inlineStr">
        <is>
          <t>DL022</t>
        </is>
      </c>
      <c r="C2519" s="4" t="inlineStr">
        <is>
          <t>ĐL Đà Nẵng - Phú Vinh</t>
        </is>
      </c>
      <c r="D2519" s="3" t="inlineStr">
        <is>
          <t>Đà Nẵng</t>
        </is>
      </c>
      <c r="E2519" s="3" t="inlineStr">
        <is>
          <t>THÙY TRANG</t>
        </is>
      </c>
      <c r="F2519" s="3" t="inlineStr">
        <is>
          <t>Shopee, Tiktok</t>
        </is>
      </c>
      <c r="G251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19" s="3" t="inlineStr">
        <is>
          <t>R2-19mm</t>
        </is>
      </c>
      <c r="I2519" s="4" t="inlineStr">
        <is>
          <t>Mũi khoét kim loại KingBlue R2-19mm</t>
        </is>
      </c>
      <c r="J2519" s="3" t="inlineStr">
        <is>
          <t>Cái</t>
        </is>
      </c>
      <c r="K2519" s="5" t="n">
        <v>37000</v>
      </c>
      <c r="L2519" s="5" t="n">
        <v>45000</v>
      </c>
      <c r="M2519" s="6" t="n">
        <v>57000</v>
      </c>
      <c r="N2519" s="5" t="n"/>
      <c r="O2519" s="5">
        <f>IF(AND(ISNUMBER(N2519),ISNUMBER(M2519)),N2519-M2519,"")</f>
        <v/>
      </c>
      <c r="P2519" s="7">
        <f>IF(AND(ISNUMBER(N2519),ISNUMBER(M2519),M2519&gt;0),(N2519-M2519)/M2519,"")</f>
        <v/>
      </c>
      <c r="Q2519" s="3">
        <f>IF(P2519="","",IF(P2519&lt;-0.02,"🔴 Bán phá giá sàn",IF(P2519&gt;0.05,"🔵 Bán cao hơn","🟢 Đúng giá sàn TMĐT")))</f>
        <v/>
      </c>
      <c r="R2519" s="3" t="n"/>
      <c r="S2519" s="4" t="n"/>
      <c r="T2519" s="4" t="n"/>
    </row>
    <row r="2520">
      <c r="A2520" s="3" t="n">
        <v>2519</v>
      </c>
      <c r="B2520" s="3" t="inlineStr">
        <is>
          <t>DL022</t>
        </is>
      </c>
      <c r="C2520" s="4" t="inlineStr">
        <is>
          <t>ĐL Đà Nẵng - Phú Vinh</t>
        </is>
      </c>
      <c r="D2520" s="3" t="inlineStr">
        <is>
          <t>Đà Nẵng</t>
        </is>
      </c>
      <c r="E2520" s="3" t="inlineStr">
        <is>
          <t>THÙY TRANG</t>
        </is>
      </c>
      <c r="F2520" s="3" t="inlineStr">
        <is>
          <t>Shopee, Tiktok</t>
        </is>
      </c>
      <c r="G252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0" s="3" t="inlineStr">
        <is>
          <t>R2-21mm</t>
        </is>
      </c>
      <c r="I2520" s="4" t="inlineStr">
        <is>
          <t>Mũi khoét kim loại KingBlue R2-21mm</t>
        </is>
      </c>
      <c r="J2520" s="3" t="inlineStr">
        <is>
          <t>Cái</t>
        </is>
      </c>
      <c r="K2520" s="5" t="n">
        <v>41000</v>
      </c>
      <c r="L2520" s="5" t="n">
        <v>50000</v>
      </c>
      <c r="M2520" s="6" t="n">
        <v>64000</v>
      </c>
      <c r="N2520" s="5" t="n"/>
      <c r="O2520" s="5">
        <f>IF(AND(ISNUMBER(N2520),ISNUMBER(M2520)),N2520-M2520,"")</f>
        <v/>
      </c>
      <c r="P2520" s="7">
        <f>IF(AND(ISNUMBER(N2520),ISNUMBER(M2520),M2520&gt;0),(N2520-M2520)/M2520,"")</f>
        <v/>
      </c>
      <c r="Q2520" s="3">
        <f>IF(P2520="","",IF(P2520&lt;-0.02,"🔴 Bán phá giá sàn",IF(P2520&gt;0.05,"🔵 Bán cao hơn","🟢 Đúng giá sàn TMĐT")))</f>
        <v/>
      </c>
      <c r="R2520" s="3" t="n"/>
      <c r="S2520" s="4" t="n"/>
      <c r="T2520" s="4" t="n"/>
    </row>
    <row r="2521">
      <c r="A2521" s="3" t="n">
        <v>2520</v>
      </c>
      <c r="B2521" s="3" t="inlineStr">
        <is>
          <t>DL022</t>
        </is>
      </c>
      <c r="C2521" s="4" t="inlineStr">
        <is>
          <t>ĐL Đà Nẵng - Phú Vinh</t>
        </is>
      </c>
      <c r="D2521" s="3" t="inlineStr">
        <is>
          <t>Đà Nẵng</t>
        </is>
      </c>
      <c r="E2521" s="3" t="inlineStr">
        <is>
          <t>THÙY TRANG</t>
        </is>
      </c>
      <c r="F2521" s="3" t="inlineStr">
        <is>
          <t>Shopee, Tiktok</t>
        </is>
      </c>
      <c r="G252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1" s="3" t="inlineStr">
        <is>
          <t>R2-22mm</t>
        </is>
      </c>
      <c r="I2521" s="4" t="inlineStr">
        <is>
          <t>Mũi khoét kim loại KingBlue R2-22mm</t>
        </is>
      </c>
      <c r="J2521" s="3" t="inlineStr">
        <is>
          <t>Cái</t>
        </is>
      </c>
      <c r="K2521" s="5" t="n">
        <v>45000</v>
      </c>
      <c r="L2521" s="5" t="n">
        <v>55000</v>
      </c>
      <c r="M2521" s="6" t="n">
        <v>70000</v>
      </c>
      <c r="N2521" s="5" t="n"/>
      <c r="O2521" s="5">
        <f>IF(AND(ISNUMBER(N2521),ISNUMBER(M2521)),N2521-M2521,"")</f>
        <v/>
      </c>
      <c r="P2521" s="7">
        <f>IF(AND(ISNUMBER(N2521),ISNUMBER(M2521),M2521&gt;0),(N2521-M2521)/M2521,"")</f>
        <v/>
      </c>
      <c r="Q2521" s="3">
        <f>IF(P2521="","",IF(P2521&lt;-0.02,"🔴 Bán phá giá sàn",IF(P2521&gt;0.05,"🔵 Bán cao hơn","🟢 Đúng giá sàn TMĐT")))</f>
        <v/>
      </c>
      <c r="R2521" s="3" t="n"/>
      <c r="S2521" s="4" t="n"/>
      <c r="T2521" s="4" t="n"/>
    </row>
    <row r="2522">
      <c r="A2522" s="3" t="n">
        <v>2521</v>
      </c>
      <c r="B2522" s="3" t="inlineStr">
        <is>
          <t>DL022</t>
        </is>
      </c>
      <c r="C2522" s="4" t="inlineStr">
        <is>
          <t>ĐL Đà Nẵng - Phú Vinh</t>
        </is>
      </c>
      <c r="D2522" s="3" t="inlineStr">
        <is>
          <t>Đà Nẵng</t>
        </is>
      </c>
      <c r="E2522" s="3" t="inlineStr">
        <is>
          <t>THÙY TRANG</t>
        </is>
      </c>
      <c r="F2522" s="3" t="inlineStr">
        <is>
          <t>Shopee, Tiktok</t>
        </is>
      </c>
      <c r="G252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2" s="3" t="inlineStr">
        <is>
          <t>R2-25mm</t>
        </is>
      </c>
      <c r="I2522" s="4" t="inlineStr">
        <is>
          <t>Mũi khoét kim loại KingBlue R2-25mm</t>
        </is>
      </c>
      <c r="J2522" s="3" t="inlineStr">
        <is>
          <t>Cái</t>
        </is>
      </c>
      <c r="K2522" s="5" t="n">
        <v>49000</v>
      </c>
      <c r="L2522" s="5" t="n">
        <v>60000</v>
      </c>
      <c r="M2522" s="6" t="n">
        <v>76000</v>
      </c>
      <c r="N2522" s="5" t="n"/>
      <c r="O2522" s="5">
        <f>IF(AND(ISNUMBER(N2522),ISNUMBER(M2522)),N2522-M2522,"")</f>
        <v/>
      </c>
      <c r="P2522" s="7">
        <f>IF(AND(ISNUMBER(N2522),ISNUMBER(M2522),M2522&gt;0),(N2522-M2522)/M2522,"")</f>
        <v/>
      </c>
      <c r="Q2522" s="3">
        <f>IF(P2522="","",IF(P2522&lt;-0.02,"🔴 Bán phá giá sàn",IF(P2522&gt;0.05,"🔵 Bán cao hơn","🟢 Đúng giá sàn TMĐT")))</f>
        <v/>
      </c>
      <c r="R2522" s="3" t="n"/>
      <c r="S2522" s="4" t="n"/>
      <c r="T2522" s="4" t="n"/>
    </row>
    <row r="2523">
      <c r="A2523" s="3" t="n">
        <v>2522</v>
      </c>
      <c r="B2523" s="3" t="inlineStr">
        <is>
          <t>DL022</t>
        </is>
      </c>
      <c r="C2523" s="4" t="inlineStr">
        <is>
          <t>ĐL Đà Nẵng - Phú Vinh</t>
        </is>
      </c>
      <c r="D2523" s="3" t="inlineStr">
        <is>
          <t>Đà Nẵng</t>
        </is>
      </c>
      <c r="E2523" s="3" t="inlineStr">
        <is>
          <t>THÙY TRANG</t>
        </is>
      </c>
      <c r="F2523" s="3" t="inlineStr">
        <is>
          <t>Shopee, Tiktok</t>
        </is>
      </c>
      <c r="G252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3" s="3" t="inlineStr">
        <is>
          <t>R2-27mm</t>
        </is>
      </c>
      <c r="I2523" s="4" t="inlineStr">
        <is>
          <t>Mũi khoét kim loại KingBlue R2-27mm</t>
        </is>
      </c>
      <c r="J2523" s="3" t="inlineStr">
        <is>
          <t>Cái</t>
        </is>
      </c>
      <c r="K2523" s="5" t="n">
        <v>53000</v>
      </c>
      <c r="L2523" s="5" t="n">
        <v>65000</v>
      </c>
      <c r="M2523" s="6" t="n">
        <v>82000</v>
      </c>
      <c r="N2523" s="5" t="n"/>
      <c r="O2523" s="5">
        <f>IF(AND(ISNUMBER(N2523),ISNUMBER(M2523)),N2523-M2523,"")</f>
        <v/>
      </c>
      <c r="P2523" s="7">
        <f>IF(AND(ISNUMBER(N2523),ISNUMBER(M2523),M2523&gt;0),(N2523-M2523)/M2523,"")</f>
        <v/>
      </c>
      <c r="Q2523" s="3">
        <f>IF(P2523="","",IF(P2523&lt;-0.02,"🔴 Bán phá giá sàn",IF(P2523&gt;0.05,"🔵 Bán cao hơn","🟢 Đúng giá sàn TMĐT")))</f>
        <v/>
      </c>
      <c r="R2523" s="3" t="n"/>
      <c r="S2523" s="4" t="n"/>
      <c r="T2523" s="4" t="n"/>
    </row>
    <row r="2524">
      <c r="A2524" s="3" t="n">
        <v>2523</v>
      </c>
      <c r="B2524" s="3" t="inlineStr">
        <is>
          <t>DL022</t>
        </is>
      </c>
      <c r="C2524" s="4" t="inlineStr">
        <is>
          <t>ĐL Đà Nẵng - Phú Vinh</t>
        </is>
      </c>
      <c r="D2524" s="3" t="inlineStr">
        <is>
          <t>Đà Nẵng</t>
        </is>
      </c>
      <c r="E2524" s="3" t="inlineStr">
        <is>
          <t>THÙY TRANG</t>
        </is>
      </c>
      <c r="F2524" s="3" t="inlineStr">
        <is>
          <t>Shopee, Tiktok</t>
        </is>
      </c>
      <c r="G252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4" s="3" t="inlineStr">
        <is>
          <t>R2-34mm</t>
        </is>
      </c>
      <c r="I2524" s="4" t="inlineStr">
        <is>
          <t>Mũi khoét kim loại KingBlue R2-34mm</t>
        </is>
      </c>
      <c r="J2524" s="3" t="inlineStr">
        <is>
          <t>Cái</t>
        </is>
      </c>
      <c r="K2524" s="5" t="n">
        <v>68000</v>
      </c>
      <c r="L2524" s="5" t="n">
        <v>83000</v>
      </c>
      <c r="M2524" s="6" t="n">
        <v>105000</v>
      </c>
      <c r="N2524" s="5" t="n"/>
      <c r="O2524" s="5">
        <f>IF(AND(ISNUMBER(N2524),ISNUMBER(M2524)),N2524-M2524,"")</f>
        <v/>
      </c>
      <c r="P2524" s="7">
        <f>IF(AND(ISNUMBER(N2524),ISNUMBER(M2524),M2524&gt;0),(N2524-M2524)/M2524,"")</f>
        <v/>
      </c>
      <c r="Q2524" s="3">
        <f>IF(P2524="","",IF(P2524&lt;-0.02,"🔴 Bán phá giá sàn",IF(P2524&gt;0.05,"🔵 Bán cao hơn","🟢 Đúng giá sàn TMĐT")))</f>
        <v/>
      </c>
      <c r="R2524" s="3" t="n"/>
      <c r="S2524" s="4" t="n"/>
      <c r="T2524" s="4" t="n"/>
    </row>
    <row r="2525">
      <c r="A2525" s="3" t="n">
        <v>2524</v>
      </c>
      <c r="B2525" s="3" t="inlineStr">
        <is>
          <t>DL022</t>
        </is>
      </c>
      <c r="C2525" s="4" t="inlineStr">
        <is>
          <t>ĐL Đà Nẵng - Phú Vinh</t>
        </is>
      </c>
      <c r="D2525" s="3" t="inlineStr">
        <is>
          <t>Đà Nẵng</t>
        </is>
      </c>
      <c r="E2525" s="3" t="inlineStr">
        <is>
          <t>THÙY TRANG</t>
        </is>
      </c>
      <c r="F2525" s="3" t="inlineStr">
        <is>
          <t>Shopee, Tiktok</t>
        </is>
      </c>
      <c r="G252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5" s="3" t="inlineStr">
        <is>
          <t>R2-42mm</t>
        </is>
      </c>
      <c r="I2525" s="4" t="inlineStr">
        <is>
          <t>Mũi khoét kim loại KingBlue R2-42mm</t>
        </is>
      </c>
      <c r="J2525" s="3" t="inlineStr">
        <is>
          <t>Cái</t>
        </is>
      </c>
      <c r="K2525" s="5" t="n">
        <v>84000</v>
      </c>
      <c r="L2525" s="5" t="n">
        <v>102000</v>
      </c>
      <c r="M2525" s="6" t="n">
        <v>130000</v>
      </c>
      <c r="N2525" s="5" t="n"/>
      <c r="O2525" s="5">
        <f>IF(AND(ISNUMBER(N2525),ISNUMBER(M2525)),N2525-M2525,"")</f>
        <v/>
      </c>
      <c r="P2525" s="7">
        <f>IF(AND(ISNUMBER(N2525),ISNUMBER(M2525),M2525&gt;0),(N2525-M2525)/M2525,"")</f>
        <v/>
      </c>
      <c r="Q2525" s="3">
        <f>IF(P2525="","",IF(P2525&lt;-0.02,"🔴 Bán phá giá sàn",IF(P2525&gt;0.05,"🔵 Bán cao hơn","🟢 Đúng giá sàn TMĐT")))</f>
        <v/>
      </c>
      <c r="R2525" s="3" t="n"/>
      <c r="S2525" s="4" t="n"/>
      <c r="T2525" s="4" t="n"/>
    </row>
    <row r="2526">
      <c r="A2526" s="3" t="n">
        <v>2525</v>
      </c>
      <c r="B2526" s="3" t="inlineStr">
        <is>
          <t>DL022</t>
        </is>
      </c>
      <c r="C2526" s="4" t="inlineStr">
        <is>
          <t>ĐL Đà Nẵng - Phú Vinh</t>
        </is>
      </c>
      <c r="D2526" s="3" t="inlineStr">
        <is>
          <t>Đà Nẵng</t>
        </is>
      </c>
      <c r="E2526" s="3" t="inlineStr">
        <is>
          <t>THÙY TRANG</t>
        </is>
      </c>
      <c r="F2526" s="3" t="inlineStr">
        <is>
          <t>Shopee, Tiktok</t>
        </is>
      </c>
      <c r="G252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6" s="3" t="inlineStr">
        <is>
          <t>R2-55mm</t>
        </is>
      </c>
      <c r="I2526" s="4" t="inlineStr">
        <is>
          <t>Mũi khoét kim loại KingBlue R2-55mm</t>
        </is>
      </c>
      <c r="J2526" s="3" t="inlineStr">
        <is>
          <t>Cái</t>
        </is>
      </c>
      <c r="K2526" s="5" t="n">
        <v>109000</v>
      </c>
      <c r="L2526" s="5" t="n">
        <v>133000</v>
      </c>
      <c r="M2526" s="6" t="n">
        <v>169000</v>
      </c>
      <c r="N2526" s="5" t="n"/>
      <c r="O2526" s="5">
        <f>IF(AND(ISNUMBER(N2526),ISNUMBER(M2526)),N2526-M2526,"")</f>
        <v/>
      </c>
      <c r="P2526" s="7">
        <f>IF(AND(ISNUMBER(N2526),ISNUMBER(M2526),M2526&gt;0),(N2526-M2526)/M2526,"")</f>
        <v/>
      </c>
      <c r="Q2526" s="3">
        <f>IF(P2526="","",IF(P2526&lt;-0.02,"🔴 Bán phá giá sàn",IF(P2526&gt;0.05,"🔵 Bán cao hơn","🟢 Đúng giá sàn TMĐT")))</f>
        <v/>
      </c>
      <c r="R2526" s="3" t="n"/>
      <c r="S2526" s="4" t="n"/>
      <c r="T2526" s="4" t="n"/>
    </row>
    <row r="2527">
      <c r="A2527" s="3" t="n">
        <v>2526</v>
      </c>
      <c r="B2527" s="3" t="inlineStr">
        <is>
          <t>DL022</t>
        </is>
      </c>
      <c r="C2527" s="4" t="inlineStr">
        <is>
          <t>ĐL Đà Nẵng - Phú Vinh</t>
        </is>
      </c>
      <c r="D2527" s="3" t="inlineStr">
        <is>
          <t>Đà Nẵng</t>
        </is>
      </c>
      <c r="E2527" s="3" t="inlineStr">
        <is>
          <t>THÙY TRANG</t>
        </is>
      </c>
      <c r="F2527" s="3" t="inlineStr">
        <is>
          <t>Shopee, Tiktok</t>
        </is>
      </c>
      <c r="G252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7" s="3" t="inlineStr">
        <is>
          <t>R2-60mm</t>
        </is>
      </c>
      <c r="I2527" s="4" t="inlineStr">
        <is>
          <t>Mũi khoét kim loại KingBlue R2-60mm</t>
        </is>
      </c>
      <c r="J2527" s="3" t="inlineStr">
        <is>
          <t>Cái</t>
        </is>
      </c>
      <c r="K2527" s="5" t="n">
        <v>124000</v>
      </c>
      <c r="L2527" s="5" t="n">
        <v>151000</v>
      </c>
      <c r="M2527" s="6" t="n">
        <v>192000</v>
      </c>
      <c r="N2527" s="5" t="n"/>
      <c r="O2527" s="5">
        <f>IF(AND(ISNUMBER(N2527),ISNUMBER(M2527)),N2527-M2527,"")</f>
        <v/>
      </c>
      <c r="P2527" s="7">
        <f>IF(AND(ISNUMBER(N2527),ISNUMBER(M2527),M2527&gt;0),(N2527-M2527)/M2527,"")</f>
        <v/>
      </c>
      <c r="Q2527" s="3">
        <f>IF(P2527="","",IF(P2527&lt;-0.02,"🔴 Bán phá giá sàn",IF(P2527&gt;0.05,"🔵 Bán cao hơn","🟢 Đúng giá sàn TMĐT")))</f>
        <v/>
      </c>
      <c r="R2527" s="3" t="n"/>
      <c r="S2527" s="4" t="n"/>
      <c r="T2527" s="4" t="n"/>
    </row>
    <row r="2528">
      <c r="A2528" s="3" t="n">
        <v>2527</v>
      </c>
      <c r="B2528" s="3" t="inlineStr">
        <is>
          <t>DL022</t>
        </is>
      </c>
      <c r="C2528" s="4" t="inlineStr">
        <is>
          <t>ĐL Đà Nẵng - Phú Vinh</t>
        </is>
      </c>
      <c r="D2528" s="3" t="inlineStr">
        <is>
          <t>Đà Nẵng</t>
        </is>
      </c>
      <c r="E2528" s="3" t="inlineStr">
        <is>
          <t>THÙY TRANG</t>
        </is>
      </c>
      <c r="F2528" s="3" t="inlineStr">
        <is>
          <t>Shopee, Tiktok</t>
        </is>
      </c>
      <c r="G252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8" s="3" t="inlineStr">
        <is>
          <t>KB-HF01</t>
        </is>
      </c>
      <c r="I2528" s="4" t="inlineStr">
        <is>
          <t>Quạt cầm tay mini (màu be) KB-HF01</t>
        </is>
      </c>
      <c r="J2528" s="3" t="inlineStr">
        <is>
          <t>Cái</t>
        </is>
      </c>
      <c r="K2528" s="5" t="n">
        <v>290000</v>
      </c>
      <c r="L2528" s="5" t="n">
        <v>325000</v>
      </c>
      <c r="M2528" s="6" t="n">
        <v>377000</v>
      </c>
      <c r="N2528" s="5" t="n"/>
      <c r="O2528" s="5">
        <f>IF(AND(ISNUMBER(N2528),ISNUMBER(M2528)),N2528-M2528,"")</f>
        <v/>
      </c>
      <c r="P2528" s="7">
        <f>IF(AND(ISNUMBER(N2528),ISNUMBER(M2528),M2528&gt;0),(N2528-M2528)/M2528,"")</f>
        <v/>
      </c>
      <c r="Q2528" s="3">
        <f>IF(P2528="","",IF(P2528&lt;-0.02,"🔴 Bán phá giá sàn",IF(P2528&gt;0.05,"🔵 Bán cao hơn","🟢 Đúng giá sàn TMĐT")))</f>
        <v/>
      </c>
      <c r="R2528" s="3" t="n"/>
      <c r="S2528" s="4" t="n"/>
      <c r="T2528" s="4" t="n"/>
    </row>
    <row r="2529">
      <c r="A2529" s="3" t="n">
        <v>2528</v>
      </c>
      <c r="B2529" s="3" t="inlineStr">
        <is>
          <t>DL022</t>
        </is>
      </c>
      <c r="C2529" s="4" t="inlineStr">
        <is>
          <t>ĐL Đà Nẵng - Phú Vinh</t>
        </is>
      </c>
      <c r="D2529" s="3" t="inlineStr">
        <is>
          <t>Đà Nẵng</t>
        </is>
      </c>
      <c r="E2529" s="3" t="inlineStr">
        <is>
          <t>THÙY TRANG</t>
        </is>
      </c>
      <c r="F2529" s="3" t="inlineStr">
        <is>
          <t>Shopee, Tiktok</t>
        </is>
      </c>
      <c r="G252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29" s="3" t="inlineStr">
        <is>
          <t>KB-HF02</t>
        </is>
      </c>
      <c r="I2529" s="4" t="inlineStr">
        <is>
          <t>Quạt cầm tay mini (màu xám) KB-HF02</t>
        </is>
      </c>
      <c r="J2529" s="3" t="inlineStr">
        <is>
          <t>Cái</t>
        </is>
      </c>
      <c r="K2529" s="5" t="n">
        <v>290000</v>
      </c>
      <c r="L2529" s="5" t="n">
        <v>325000</v>
      </c>
      <c r="M2529" s="6" t="n">
        <v>377000</v>
      </c>
      <c r="N2529" s="5" t="n"/>
      <c r="O2529" s="5">
        <f>IF(AND(ISNUMBER(N2529),ISNUMBER(M2529)),N2529-M2529,"")</f>
        <v/>
      </c>
      <c r="P2529" s="7">
        <f>IF(AND(ISNUMBER(N2529),ISNUMBER(M2529),M2529&gt;0),(N2529-M2529)/M2529,"")</f>
        <v/>
      </c>
      <c r="Q2529" s="3">
        <f>IF(P2529="","",IF(P2529&lt;-0.02,"🔴 Bán phá giá sàn",IF(P2529&gt;0.05,"🔵 Bán cao hơn","🟢 Đúng giá sàn TMĐT")))</f>
        <v/>
      </c>
      <c r="R2529" s="3" t="n"/>
      <c r="S2529" s="4" t="n"/>
      <c r="T2529" s="4" t="n"/>
    </row>
    <row r="2530">
      <c r="A2530" s="3" t="n">
        <v>2529</v>
      </c>
      <c r="B2530" s="3" t="inlineStr">
        <is>
          <t>DL022</t>
        </is>
      </c>
      <c r="C2530" s="4" t="inlineStr">
        <is>
          <t>ĐL Đà Nẵng - Phú Vinh</t>
        </is>
      </c>
      <c r="D2530" s="3" t="inlineStr">
        <is>
          <t>Đà Nẵng</t>
        </is>
      </c>
      <c r="E2530" s="3" t="inlineStr">
        <is>
          <t>THÙY TRANG</t>
        </is>
      </c>
      <c r="F2530" s="3" t="inlineStr">
        <is>
          <t>Shopee, Tiktok</t>
        </is>
      </c>
      <c r="G253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0" s="3" t="inlineStr">
        <is>
          <t>KB-CF01</t>
        </is>
      </c>
      <c r="I2530" s="4" t="inlineStr">
        <is>
          <t>Quạt tích điện mini KB-CF01</t>
        </is>
      </c>
      <c r="J2530" s="3" t="inlineStr">
        <is>
          <t>Cái</t>
        </is>
      </c>
      <c r="K2530" s="5" t="n">
        <v>280000</v>
      </c>
      <c r="L2530" s="5" t="n">
        <v>314000</v>
      </c>
      <c r="M2530" s="6" t="n">
        <v>364000</v>
      </c>
      <c r="N2530" s="5" t="n"/>
      <c r="O2530" s="5">
        <f>IF(AND(ISNUMBER(N2530),ISNUMBER(M2530)),N2530-M2530,"")</f>
        <v/>
      </c>
      <c r="P2530" s="7">
        <f>IF(AND(ISNUMBER(N2530),ISNUMBER(M2530),M2530&gt;0),(N2530-M2530)/M2530,"")</f>
        <v/>
      </c>
      <c r="Q2530" s="3">
        <f>IF(P2530="","",IF(P2530&lt;-0.02,"🔴 Bán phá giá sàn",IF(P2530&gt;0.05,"🔵 Bán cao hơn","🟢 Đúng giá sàn TMĐT")))</f>
        <v/>
      </c>
      <c r="R2530" s="3" t="n"/>
      <c r="S2530" s="4" t="n"/>
      <c r="T2530" s="4" t="n"/>
    </row>
    <row r="2531">
      <c r="A2531" s="3" t="n">
        <v>2530</v>
      </c>
      <c r="B2531" s="3" t="inlineStr">
        <is>
          <t>DL022</t>
        </is>
      </c>
      <c r="C2531" s="4" t="inlineStr">
        <is>
          <t>ĐL Đà Nẵng - Phú Vinh</t>
        </is>
      </c>
      <c r="D2531" s="3" t="inlineStr">
        <is>
          <t>Đà Nẵng</t>
        </is>
      </c>
      <c r="E2531" s="3" t="inlineStr">
        <is>
          <t>THÙY TRANG</t>
        </is>
      </c>
      <c r="F2531" s="3" t="inlineStr">
        <is>
          <t>Shopee, Tiktok</t>
        </is>
      </c>
      <c r="G253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1" s="3" t="inlineStr">
        <is>
          <t>KB848G</t>
        </is>
      </c>
      <c r="I2531" s="4" t="inlineStr">
        <is>
          <t>Siết tôn King Blue KB8*48G</t>
        </is>
      </c>
      <c r="J2531" s="3" t="inlineStr">
        <is>
          <t>Cái</t>
        </is>
      </c>
      <c r="K2531" s="5" t="n">
        <v>7500</v>
      </c>
      <c r="L2531" s="5" t="n">
        <v>10000</v>
      </c>
      <c r="M2531" s="6" t="n">
        <v>13000</v>
      </c>
      <c r="N2531" s="5" t="n"/>
      <c r="O2531" s="5">
        <f>IF(AND(ISNUMBER(N2531),ISNUMBER(M2531)),N2531-M2531,"")</f>
        <v/>
      </c>
      <c r="P2531" s="7">
        <f>IF(AND(ISNUMBER(N2531),ISNUMBER(M2531),M2531&gt;0),(N2531-M2531)/M2531,"")</f>
        <v/>
      </c>
      <c r="Q2531" s="3">
        <f>IF(P2531="","",IF(P2531&lt;-0.02,"🔴 Bán phá giá sàn",IF(P2531&gt;0.05,"🔵 Bán cao hơn","🟢 Đúng giá sàn TMĐT")))</f>
        <v/>
      </c>
      <c r="R2531" s="3" t="n"/>
      <c r="S2531" s="4" t="n"/>
      <c r="T2531" s="4" t="n"/>
    </row>
    <row r="2532">
      <c r="A2532" s="3" t="n">
        <v>2531</v>
      </c>
      <c r="B2532" s="3" t="inlineStr">
        <is>
          <t>DL022</t>
        </is>
      </c>
      <c r="C2532" s="4" t="inlineStr">
        <is>
          <t>ĐL Đà Nẵng - Phú Vinh</t>
        </is>
      </c>
      <c r="D2532" s="3" t="inlineStr">
        <is>
          <t>Đà Nẵng</t>
        </is>
      </c>
      <c r="E2532" s="3" t="inlineStr">
        <is>
          <t>THÙY TRANG</t>
        </is>
      </c>
      <c r="F2532" s="3" t="inlineStr">
        <is>
          <t>Shopee, Tiktok</t>
        </is>
      </c>
      <c r="G253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2" s="3" t="inlineStr">
        <is>
          <t>ST08x42V</t>
        </is>
      </c>
      <c r="I2532" s="4" t="inlineStr">
        <is>
          <t>Siết tôn King Blue ST08x42V</t>
        </is>
      </c>
      <c r="J2532" s="3" t="inlineStr">
        <is>
          <t>Vỉ</t>
        </is>
      </c>
      <c r="K2532" s="5" t="n">
        <v>22000</v>
      </c>
      <c r="L2532" s="5" t="n">
        <v>28000</v>
      </c>
      <c r="M2532" s="6" t="n">
        <v>36000</v>
      </c>
      <c r="N2532" s="5" t="n"/>
      <c r="O2532" s="5">
        <f>IF(AND(ISNUMBER(N2532),ISNUMBER(M2532)),N2532-M2532,"")</f>
        <v/>
      </c>
      <c r="P2532" s="7">
        <f>IF(AND(ISNUMBER(N2532),ISNUMBER(M2532),M2532&gt;0),(N2532-M2532)/M2532,"")</f>
        <v/>
      </c>
      <c r="Q2532" s="3">
        <f>IF(P2532="","",IF(P2532&lt;-0.02,"🔴 Bán phá giá sàn",IF(P2532&gt;0.05,"🔵 Bán cao hơn","🟢 Đúng giá sàn TMĐT")))</f>
        <v/>
      </c>
      <c r="R2532" s="3" t="n"/>
      <c r="S2532" s="4" t="n"/>
      <c r="T2532" s="4" t="n"/>
    </row>
    <row r="2533">
      <c r="A2533" s="3" t="n">
        <v>2532</v>
      </c>
      <c r="B2533" s="3" t="inlineStr">
        <is>
          <t>DL022</t>
        </is>
      </c>
      <c r="C2533" s="4" t="inlineStr">
        <is>
          <t>ĐL Đà Nẵng - Phú Vinh</t>
        </is>
      </c>
      <c r="D2533" s="3" t="inlineStr">
        <is>
          <t>Đà Nẵng</t>
        </is>
      </c>
      <c r="E2533" s="3" t="inlineStr">
        <is>
          <t>THÙY TRANG</t>
        </is>
      </c>
      <c r="F2533" s="3" t="inlineStr">
        <is>
          <t>Shopee, Tiktok</t>
        </is>
      </c>
      <c r="G253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3" s="3" t="inlineStr">
        <is>
          <t>ST08x65G</t>
        </is>
      </c>
      <c r="I2533" s="4" t="inlineStr">
        <is>
          <t>Siết tôn KingBlue ST08x65G</t>
        </is>
      </c>
      <c r="J2533" s="3" t="inlineStr">
        <is>
          <t>Cái</t>
        </is>
      </c>
      <c r="K2533" s="5" t="n">
        <v>8500</v>
      </c>
      <c r="L2533" s="5" t="n">
        <v>11000</v>
      </c>
      <c r="M2533" s="6" t="n">
        <v>14000</v>
      </c>
      <c r="N2533" s="5" t="n"/>
      <c r="O2533" s="5">
        <f>IF(AND(ISNUMBER(N2533),ISNUMBER(M2533)),N2533-M2533,"")</f>
        <v/>
      </c>
      <c r="P2533" s="7">
        <f>IF(AND(ISNUMBER(N2533),ISNUMBER(M2533),M2533&gt;0),(N2533-M2533)/M2533,"")</f>
        <v/>
      </c>
      <c r="Q2533" s="3">
        <f>IF(P2533="","",IF(P2533&lt;-0.02,"🔴 Bán phá giá sàn",IF(P2533&gt;0.05,"🔵 Bán cao hơn","🟢 Đúng giá sàn TMĐT")))</f>
        <v/>
      </c>
      <c r="R2533" s="3" t="n"/>
      <c r="S2533" s="4" t="n"/>
      <c r="T2533" s="4" t="n"/>
    </row>
    <row r="2534">
      <c r="A2534" s="3" t="n">
        <v>2533</v>
      </c>
      <c r="B2534" s="3" t="inlineStr">
        <is>
          <t>DL022</t>
        </is>
      </c>
      <c r="C2534" s="4" t="inlineStr">
        <is>
          <t>ĐL Đà Nẵng - Phú Vinh</t>
        </is>
      </c>
      <c r="D2534" s="3" t="inlineStr">
        <is>
          <t>Đà Nẵng</t>
        </is>
      </c>
      <c r="E2534" s="3" t="inlineStr">
        <is>
          <t>THÙY TRANG</t>
        </is>
      </c>
      <c r="F2534" s="3" t="inlineStr">
        <is>
          <t>Shopee, Tiktok</t>
        </is>
      </c>
      <c r="G253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4" s="3" t="inlineStr">
        <is>
          <t>ST10x65G</t>
        </is>
      </c>
      <c r="I2534" s="4" t="inlineStr">
        <is>
          <t>Siết tôn KingBlue ST10x65G</t>
        </is>
      </c>
      <c r="J2534" s="3" t="inlineStr">
        <is>
          <t>Cái</t>
        </is>
      </c>
      <c r="K2534" s="5" t="n">
        <v>9000</v>
      </c>
      <c r="L2534" s="5" t="n">
        <v>11000</v>
      </c>
      <c r="M2534" s="6" t="n">
        <v>15000</v>
      </c>
      <c r="N2534" s="5" t="n"/>
      <c r="O2534" s="5">
        <f>IF(AND(ISNUMBER(N2534),ISNUMBER(M2534)),N2534-M2534,"")</f>
        <v/>
      </c>
      <c r="P2534" s="7">
        <f>IF(AND(ISNUMBER(N2534),ISNUMBER(M2534),M2534&gt;0),(N2534-M2534)/M2534,"")</f>
        <v/>
      </c>
      <c r="Q2534" s="3">
        <f>IF(P2534="","",IF(P2534&lt;-0.02,"🔴 Bán phá giá sàn",IF(P2534&gt;0.05,"🔵 Bán cao hơn","🟢 Đúng giá sàn TMĐT")))</f>
        <v/>
      </c>
      <c r="R2534" s="3" t="n"/>
      <c r="S2534" s="4" t="n"/>
      <c r="T2534" s="4" t="n"/>
    </row>
    <row r="2535">
      <c r="A2535" s="3" t="n">
        <v>2534</v>
      </c>
      <c r="B2535" s="3" t="inlineStr">
        <is>
          <t>DL022</t>
        </is>
      </c>
      <c r="C2535" s="4" t="inlineStr">
        <is>
          <t>ĐL Đà Nẵng - Phú Vinh</t>
        </is>
      </c>
      <c r="D2535" s="3" t="inlineStr">
        <is>
          <t>Đà Nẵng</t>
        </is>
      </c>
      <c r="E2535" s="3" t="inlineStr">
        <is>
          <t>THÙY TRANG</t>
        </is>
      </c>
      <c r="F2535" s="3" t="inlineStr">
        <is>
          <t>Shopee, Tiktok</t>
        </is>
      </c>
      <c r="G253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5" s="3" t="inlineStr">
        <is>
          <t>ST12x65G</t>
        </is>
      </c>
      <c r="I2535" s="4" t="inlineStr">
        <is>
          <t>Siết tôn KingBlue ST12x65G</t>
        </is>
      </c>
      <c r="J2535" s="3" t="inlineStr">
        <is>
          <t>Cái</t>
        </is>
      </c>
      <c r="K2535" s="5" t="n">
        <v>11000</v>
      </c>
      <c r="L2535" s="5" t="n">
        <v>14000</v>
      </c>
      <c r="M2535" s="6" t="n">
        <v>18000</v>
      </c>
      <c r="N2535" s="5" t="n"/>
      <c r="O2535" s="5">
        <f>IF(AND(ISNUMBER(N2535),ISNUMBER(M2535)),N2535-M2535,"")</f>
        <v/>
      </c>
      <c r="P2535" s="7">
        <f>IF(AND(ISNUMBER(N2535),ISNUMBER(M2535),M2535&gt;0),(N2535-M2535)/M2535,"")</f>
        <v/>
      </c>
      <c r="Q2535" s="3">
        <f>IF(P2535="","",IF(P2535&lt;-0.02,"🔴 Bán phá giá sàn",IF(P2535&gt;0.05,"🔵 Bán cao hơn","🟢 Đúng giá sàn TMĐT")))</f>
        <v/>
      </c>
      <c r="R2535" s="3" t="n"/>
      <c r="S2535" s="4" t="n"/>
      <c r="T2535" s="4" t="n"/>
    </row>
    <row r="2536">
      <c r="A2536" s="3" t="n">
        <v>2535</v>
      </c>
      <c r="B2536" s="3" t="inlineStr">
        <is>
          <t>DL022</t>
        </is>
      </c>
      <c r="C2536" s="4" t="inlineStr">
        <is>
          <t>ĐL Đà Nẵng - Phú Vinh</t>
        </is>
      </c>
      <c r="D2536" s="3" t="inlineStr">
        <is>
          <t>Đà Nẵng</t>
        </is>
      </c>
      <c r="E2536" s="3" t="inlineStr">
        <is>
          <t>THÙY TRANG</t>
        </is>
      </c>
      <c r="F2536" s="3" t="inlineStr">
        <is>
          <t>Shopee, Tiktok</t>
        </is>
      </c>
      <c r="G253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6" s="3" t="inlineStr">
        <is>
          <t>ST13x65G</t>
        </is>
      </c>
      <c r="I2536" s="4" t="inlineStr">
        <is>
          <t>Siết tôn KingBlue ST13x65G</t>
        </is>
      </c>
      <c r="J2536" s="3" t="inlineStr">
        <is>
          <t>Cái</t>
        </is>
      </c>
      <c r="K2536" s="5" t="n">
        <v>13500</v>
      </c>
      <c r="L2536" s="5" t="n">
        <v>17000</v>
      </c>
      <c r="M2536" s="6" t="n">
        <v>22000</v>
      </c>
      <c r="N2536" s="5" t="n"/>
      <c r="O2536" s="5">
        <f>IF(AND(ISNUMBER(N2536),ISNUMBER(M2536)),N2536-M2536,"")</f>
        <v/>
      </c>
      <c r="P2536" s="7">
        <f>IF(AND(ISNUMBER(N2536),ISNUMBER(M2536),M2536&gt;0),(N2536-M2536)/M2536,"")</f>
        <v/>
      </c>
      <c r="Q2536" s="3">
        <f>IF(P2536="","",IF(P2536&lt;-0.02,"🔴 Bán phá giá sàn",IF(P2536&gt;0.05,"🔵 Bán cao hơn","🟢 Đúng giá sàn TMĐT")))</f>
        <v/>
      </c>
      <c r="R2536" s="3" t="n"/>
      <c r="S2536" s="4" t="n"/>
      <c r="T2536" s="4" t="n"/>
    </row>
    <row r="2537">
      <c r="A2537" s="3" t="n">
        <v>2536</v>
      </c>
      <c r="B2537" s="3" t="inlineStr">
        <is>
          <t>DL022</t>
        </is>
      </c>
      <c r="C2537" s="4" t="inlineStr">
        <is>
          <t>ĐL Đà Nẵng - Phú Vinh</t>
        </is>
      </c>
      <c r="D2537" s="3" t="inlineStr">
        <is>
          <t>Đà Nẵng</t>
        </is>
      </c>
      <c r="E2537" s="3" t="inlineStr">
        <is>
          <t>THÙY TRANG</t>
        </is>
      </c>
      <c r="F2537" s="3" t="inlineStr">
        <is>
          <t>Shopee, Tiktok</t>
        </is>
      </c>
      <c r="G253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7" s="3" t="inlineStr">
        <is>
          <t>ST14x65G</t>
        </is>
      </c>
      <c r="I2537" s="4" t="inlineStr">
        <is>
          <t>Siết tôn KingBlue ST14x65G</t>
        </is>
      </c>
      <c r="J2537" s="3" t="inlineStr">
        <is>
          <t>Cái</t>
        </is>
      </c>
      <c r="K2537" s="5" t="n">
        <v>13500</v>
      </c>
      <c r="L2537" s="5" t="n">
        <v>17000</v>
      </c>
      <c r="M2537" s="6" t="n">
        <v>22000</v>
      </c>
      <c r="N2537" s="5" t="n"/>
      <c r="O2537" s="5">
        <f>IF(AND(ISNUMBER(N2537),ISNUMBER(M2537)),N2537-M2537,"")</f>
        <v/>
      </c>
      <c r="P2537" s="7">
        <f>IF(AND(ISNUMBER(N2537),ISNUMBER(M2537),M2537&gt;0),(N2537-M2537)/M2537,"")</f>
        <v/>
      </c>
      <c r="Q2537" s="3">
        <f>IF(P2537="","",IF(P2537&lt;-0.02,"🔴 Bán phá giá sàn",IF(P2537&gt;0.05,"🔵 Bán cao hơn","🟢 Đúng giá sàn TMĐT")))</f>
        <v/>
      </c>
      <c r="R2537" s="3" t="n"/>
      <c r="S2537" s="4" t="n"/>
      <c r="T2537" s="4" t="n"/>
    </row>
    <row r="2538">
      <c r="A2538" s="3" t="n">
        <v>2537</v>
      </c>
      <c r="B2538" s="3" t="inlineStr">
        <is>
          <t>DL022</t>
        </is>
      </c>
      <c r="C2538" s="4" t="inlineStr">
        <is>
          <t>ĐL Đà Nẵng - Phú Vinh</t>
        </is>
      </c>
      <c r="D2538" s="3" t="inlineStr">
        <is>
          <t>Đà Nẵng</t>
        </is>
      </c>
      <c r="E2538" s="3" t="inlineStr">
        <is>
          <t>THÙY TRANG</t>
        </is>
      </c>
      <c r="F2538" s="3" t="inlineStr">
        <is>
          <t>Shopee, Tiktok</t>
        </is>
      </c>
      <c r="G253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8" s="3" t="inlineStr">
        <is>
          <t>ST17x65G</t>
        </is>
      </c>
      <c r="I2538" s="4" t="inlineStr">
        <is>
          <t>Siết tôn KingBlue ST17x65G</t>
        </is>
      </c>
      <c r="J2538" s="3" t="inlineStr">
        <is>
          <t>Cái</t>
        </is>
      </c>
      <c r="K2538" s="5" t="n">
        <v>21500</v>
      </c>
      <c r="L2538" s="5" t="n">
        <v>27000</v>
      </c>
      <c r="M2538" s="6" t="n">
        <v>36000</v>
      </c>
      <c r="N2538" s="5" t="n"/>
      <c r="O2538" s="5">
        <f>IF(AND(ISNUMBER(N2538),ISNUMBER(M2538)),N2538-M2538,"")</f>
        <v/>
      </c>
      <c r="P2538" s="7">
        <f>IF(AND(ISNUMBER(N2538),ISNUMBER(M2538),M2538&gt;0),(N2538-M2538)/M2538,"")</f>
        <v/>
      </c>
      <c r="Q2538" s="3">
        <f>IF(P2538="","",IF(P2538&lt;-0.02,"🔴 Bán phá giá sàn",IF(P2538&gt;0.05,"🔵 Bán cao hơn","🟢 Đúng giá sàn TMĐT")))</f>
        <v/>
      </c>
      <c r="R2538" s="3" t="n"/>
      <c r="S2538" s="4" t="n"/>
      <c r="T2538" s="4" t="n"/>
    </row>
    <row r="2539">
      <c r="A2539" s="3" t="n">
        <v>2538</v>
      </c>
      <c r="B2539" s="3" t="inlineStr">
        <is>
          <t>DL022</t>
        </is>
      </c>
      <c r="C2539" s="4" t="inlineStr">
        <is>
          <t>ĐL Đà Nẵng - Phú Vinh</t>
        </is>
      </c>
      <c r="D2539" s="3" t="inlineStr">
        <is>
          <t>Đà Nẵng</t>
        </is>
      </c>
      <c r="E2539" s="3" t="inlineStr">
        <is>
          <t>THÙY TRANG</t>
        </is>
      </c>
      <c r="F2539" s="3" t="inlineStr">
        <is>
          <t>Shopee, Tiktok</t>
        </is>
      </c>
      <c r="G253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39" s="3" t="inlineStr">
        <is>
          <t>KBO-ST64</t>
        </is>
      </c>
      <c r="I2539" s="4" t="inlineStr">
        <is>
          <t>Súng bắn đinh bê tông KBO-ST64</t>
        </is>
      </c>
      <c r="J2539" s="3" t="inlineStr">
        <is>
          <t>Cái</t>
        </is>
      </c>
      <c r="K2539" s="5" t="n">
        <v>946000</v>
      </c>
      <c r="L2539" s="5" t="n">
        <v>1097000</v>
      </c>
      <c r="M2539" s="6" t="n">
        <v>1324000</v>
      </c>
      <c r="N2539" s="5" t="n"/>
      <c r="O2539" s="5">
        <f>IF(AND(ISNUMBER(N2539),ISNUMBER(M2539)),N2539-M2539,"")</f>
        <v/>
      </c>
      <c r="P2539" s="7">
        <f>IF(AND(ISNUMBER(N2539),ISNUMBER(M2539),M2539&gt;0),(N2539-M2539)/M2539,"")</f>
        <v/>
      </c>
      <c r="Q2539" s="3">
        <f>IF(P2539="","",IF(P2539&lt;-0.02,"🔴 Bán phá giá sàn",IF(P2539&gt;0.05,"🔵 Bán cao hơn","🟢 Đúng giá sàn TMĐT")))</f>
        <v/>
      </c>
      <c r="R2539" s="3" t="n"/>
      <c r="S2539" s="4" t="n"/>
      <c r="T2539" s="4" t="n"/>
    </row>
    <row r="2540">
      <c r="A2540" s="3" t="n">
        <v>2539</v>
      </c>
      <c r="B2540" s="3" t="inlineStr">
        <is>
          <t>DL022</t>
        </is>
      </c>
      <c r="C2540" s="4" t="inlineStr">
        <is>
          <t>ĐL Đà Nẵng - Phú Vinh</t>
        </is>
      </c>
      <c r="D2540" s="3" t="inlineStr">
        <is>
          <t>Đà Nẵng</t>
        </is>
      </c>
      <c r="E2540" s="3" t="inlineStr">
        <is>
          <t>THÙY TRANG</t>
        </is>
      </c>
      <c r="F2540" s="3" t="inlineStr">
        <is>
          <t>Shopee, Tiktok</t>
        </is>
      </c>
      <c r="G254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0" s="3" t="inlineStr">
        <is>
          <t>KFF-73</t>
        </is>
      </c>
      <c r="I2540" s="4" t="inlineStr">
        <is>
          <t>Súng bắn đinh bê tông KFF-73</t>
        </is>
      </c>
      <c r="J2540" s="3" t="inlineStr">
        <is>
          <t>Cái</t>
        </is>
      </c>
      <c r="K2540" s="5" t="n">
        <v>660000</v>
      </c>
      <c r="L2540" s="5" t="n">
        <v>739000</v>
      </c>
      <c r="M2540" s="6" t="n">
        <v>858000</v>
      </c>
      <c r="N2540" s="5" t="n"/>
      <c r="O2540" s="5">
        <f>IF(AND(ISNUMBER(N2540),ISNUMBER(M2540)),N2540-M2540,"")</f>
        <v/>
      </c>
      <c r="P2540" s="7">
        <f>IF(AND(ISNUMBER(N2540),ISNUMBER(M2540),M2540&gt;0),(N2540-M2540)/M2540,"")</f>
        <v/>
      </c>
      <c r="Q2540" s="3">
        <f>IF(P2540="","",IF(P2540&lt;-0.02,"🔴 Bán phá giá sàn",IF(P2540&gt;0.05,"🔵 Bán cao hơn","🟢 Đúng giá sàn TMĐT")))</f>
        <v/>
      </c>
      <c r="R2540" s="3" t="n"/>
      <c r="S2540" s="4" t="n"/>
      <c r="T2540" s="4" t="n"/>
    </row>
    <row r="2541">
      <c r="A2541" s="3" t="n">
        <v>2540</v>
      </c>
      <c r="B2541" s="3" t="inlineStr">
        <is>
          <t>DL022</t>
        </is>
      </c>
      <c r="C2541" s="4" t="inlineStr">
        <is>
          <t>ĐL Đà Nẵng - Phú Vinh</t>
        </is>
      </c>
      <c r="D2541" s="3" t="inlineStr">
        <is>
          <t>Đà Nẵng</t>
        </is>
      </c>
      <c r="E2541" s="3" t="inlineStr">
        <is>
          <t>THÙY TRANG</t>
        </is>
      </c>
      <c r="F2541" s="3" t="inlineStr">
        <is>
          <t>Shopee, Tiktok</t>
        </is>
      </c>
      <c r="G254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1" s="3" t="inlineStr">
        <is>
          <t>KBO-FG30</t>
        </is>
      </c>
      <c r="I2541" s="4" t="inlineStr">
        <is>
          <t>Súng bắn đinh hơi KBO-FG30</t>
        </is>
      </c>
      <c r="J2541" s="3" t="inlineStr">
        <is>
          <t>Cái</t>
        </is>
      </c>
      <c r="K2541" s="5" t="n">
        <v>426000</v>
      </c>
      <c r="L2541" s="5" t="n">
        <v>494000</v>
      </c>
      <c r="M2541" s="6" t="n">
        <v>596000</v>
      </c>
      <c r="N2541" s="5" t="n"/>
      <c r="O2541" s="5">
        <f>IF(AND(ISNUMBER(N2541),ISNUMBER(M2541)),N2541-M2541,"")</f>
        <v/>
      </c>
      <c r="P2541" s="7">
        <f>IF(AND(ISNUMBER(N2541),ISNUMBER(M2541),M2541&gt;0),(N2541-M2541)/M2541,"")</f>
        <v/>
      </c>
      <c r="Q2541" s="3">
        <f>IF(P2541="","",IF(P2541&lt;-0.02,"🔴 Bán phá giá sàn",IF(P2541&gt;0.05,"🔵 Bán cao hơn","🟢 Đúng giá sàn TMĐT")))</f>
        <v/>
      </c>
      <c r="R2541" s="3" t="n"/>
      <c r="S2541" s="4" t="n"/>
      <c r="T2541" s="4" t="n"/>
    </row>
    <row r="2542">
      <c r="A2542" s="3" t="n">
        <v>2541</v>
      </c>
      <c r="B2542" s="3" t="inlineStr">
        <is>
          <t>DL022</t>
        </is>
      </c>
      <c r="C2542" s="4" t="inlineStr">
        <is>
          <t>ĐL Đà Nẵng - Phú Vinh</t>
        </is>
      </c>
      <c r="D2542" s="3" t="inlineStr">
        <is>
          <t>Đà Nẵng</t>
        </is>
      </c>
      <c r="E2542" s="3" t="inlineStr">
        <is>
          <t>THÙY TRANG</t>
        </is>
      </c>
      <c r="F2542" s="3" t="inlineStr">
        <is>
          <t>Shopee, Tiktok</t>
        </is>
      </c>
      <c r="G254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2" s="3" t="inlineStr">
        <is>
          <t>KBO-F3050</t>
        </is>
      </c>
      <c r="I2542" s="4" t="inlineStr">
        <is>
          <t>Súng Bắn Đinh KBO-F3050</t>
        </is>
      </c>
      <c r="J2542" s="3" t="inlineStr">
        <is>
          <t>Cái</t>
        </is>
      </c>
      <c r="K2542" s="5" t="n">
        <v>935000</v>
      </c>
      <c r="L2542" s="5" t="n">
        <v>1085000</v>
      </c>
      <c r="M2542" s="6" t="n">
        <v>1309000</v>
      </c>
      <c r="N2542" s="5" t="n"/>
      <c r="O2542" s="5">
        <f>IF(AND(ISNUMBER(N2542),ISNUMBER(M2542)),N2542-M2542,"")</f>
        <v/>
      </c>
      <c r="P2542" s="7">
        <f>IF(AND(ISNUMBER(N2542),ISNUMBER(M2542),M2542&gt;0),(N2542-M2542)/M2542,"")</f>
        <v/>
      </c>
      <c r="Q2542" s="3">
        <f>IF(P2542="","",IF(P2542&lt;-0.02,"🔴 Bán phá giá sàn",IF(P2542&gt;0.05,"🔵 Bán cao hơn","🟢 Đúng giá sàn TMĐT")))</f>
        <v/>
      </c>
      <c r="R2542" s="3" t="n"/>
      <c r="S2542" s="4" t="n"/>
      <c r="T2542" s="4" t="n"/>
    </row>
    <row r="2543">
      <c r="A2543" s="3" t="n">
        <v>2542</v>
      </c>
      <c r="B2543" s="3" t="inlineStr">
        <is>
          <t>DL022</t>
        </is>
      </c>
      <c r="C2543" s="4" t="inlineStr">
        <is>
          <t>ĐL Đà Nẵng - Phú Vinh</t>
        </is>
      </c>
      <c r="D2543" s="3" t="inlineStr">
        <is>
          <t>Đà Nẵng</t>
        </is>
      </c>
      <c r="E2543" s="3" t="inlineStr">
        <is>
          <t>THÙY TRANG</t>
        </is>
      </c>
      <c r="F2543" s="3" t="inlineStr">
        <is>
          <t>Shopee, Tiktok</t>
        </is>
      </c>
      <c r="G254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3" s="3" t="inlineStr">
        <is>
          <t>KF-101</t>
        </is>
      </c>
      <c r="I2543" s="4" t="inlineStr">
        <is>
          <t>Súng bắn ghim KF-101</t>
        </is>
      </c>
      <c r="J2543" s="3" t="inlineStr">
        <is>
          <t>Cái</t>
        </is>
      </c>
      <c r="K2543" s="5" t="n">
        <v>127000</v>
      </c>
      <c r="L2543" s="5" t="n">
        <v>150000</v>
      </c>
      <c r="M2543" s="6" t="n">
        <v>184000</v>
      </c>
      <c r="N2543" s="5" t="n"/>
      <c r="O2543" s="5">
        <f>IF(AND(ISNUMBER(N2543),ISNUMBER(M2543)),N2543-M2543,"")</f>
        <v/>
      </c>
      <c r="P2543" s="7">
        <f>IF(AND(ISNUMBER(N2543),ISNUMBER(M2543),M2543&gt;0),(N2543-M2543)/M2543,"")</f>
        <v/>
      </c>
      <c r="Q2543" s="3">
        <f>IF(P2543="","",IF(P2543&lt;-0.02,"🔴 Bán phá giá sàn",IF(P2543&gt;0.05,"🔵 Bán cao hơn","🟢 Đúng giá sàn TMĐT")))</f>
        <v/>
      </c>
      <c r="R2543" s="3" t="n"/>
      <c r="S2543" s="4" t="n"/>
      <c r="T2543" s="4" t="n"/>
    </row>
    <row r="2544">
      <c r="A2544" s="3" t="n">
        <v>2543</v>
      </c>
      <c r="B2544" s="3" t="inlineStr">
        <is>
          <t>DL022</t>
        </is>
      </c>
      <c r="C2544" s="4" t="inlineStr">
        <is>
          <t>ĐL Đà Nẵng - Phú Vinh</t>
        </is>
      </c>
      <c r="D2544" s="3" t="inlineStr">
        <is>
          <t>Đà Nẵng</t>
        </is>
      </c>
      <c r="E2544" s="3" t="inlineStr">
        <is>
          <t>THÙY TRANG</t>
        </is>
      </c>
      <c r="F2544" s="3" t="inlineStr">
        <is>
          <t>Shopee, Tiktok</t>
        </is>
      </c>
      <c r="G254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4" s="3" t="inlineStr">
        <is>
          <t>KAC100</t>
        </is>
      </c>
      <c r="I2544" s="4" t="inlineStr">
        <is>
          <t>Súng bắn keo nến KAC100</t>
        </is>
      </c>
      <c r="J2544" s="3" t="inlineStr">
        <is>
          <t>Cái</t>
        </is>
      </c>
      <c r="K2544" s="5" t="n">
        <v>149000</v>
      </c>
      <c r="L2544" s="5" t="n">
        <v>176000</v>
      </c>
      <c r="M2544" s="6" t="n">
        <v>216000</v>
      </c>
      <c r="N2544" s="5" t="n"/>
      <c r="O2544" s="5">
        <f>IF(AND(ISNUMBER(N2544),ISNUMBER(M2544)),N2544-M2544,"")</f>
        <v/>
      </c>
      <c r="P2544" s="7">
        <f>IF(AND(ISNUMBER(N2544),ISNUMBER(M2544),M2544&gt;0),(N2544-M2544)/M2544,"")</f>
        <v/>
      </c>
      <c r="Q2544" s="3">
        <f>IF(P2544="","",IF(P2544&lt;-0.02,"🔴 Bán phá giá sàn",IF(P2544&gt;0.05,"🔵 Bán cao hơn","🟢 Đúng giá sàn TMĐT")))</f>
        <v/>
      </c>
      <c r="R2544" s="3" t="n"/>
      <c r="S2544" s="4" t="n"/>
      <c r="T2544" s="4" t="n"/>
    </row>
    <row r="2545">
      <c r="A2545" s="3" t="n">
        <v>2544</v>
      </c>
      <c r="B2545" s="3" t="inlineStr">
        <is>
          <t>DL022</t>
        </is>
      </c>
      <c r="C2545" s="4" t="inlineStr">
        <is>
          <t>ĐL Đà Nẵng - Phú Vinh</t>
        </is>
      </c>
      <c r="D2545" s="3" t="inlineStr">
        <is>
          <t>Đà Nẵng</t>
        </is>
      </c>
      <c r="E2545" s="3" t="inlineStr">
        <is>
          <t>THÙY TRANG</t>
        </is>
      </c>
      <c r="F2545" s="3" t="inlineStr">
        <is>
          <t>Shopee, Tiktok</t>
        </is>
      </c>
      <c r="G254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5" s="3" t="inlineStr">
        <is>
          <t>KAC20</t>
        </is>
      </c>
      <c r="I2545" s="4" t="inlineStr">
        <is>
          <t>Súng bắn keo nến KAC20</t>
        </is>
      </c>
      <c r="J2545" s="3" t="inlineStr">
        <is>
          <t>Cái</t>
        </is>
      </c>
      <c r="K2545" s="5" t="n">
        <v>87000</v>
      </c>
      <c r="L2545" s="5" t="n">
        <v>103000</v>
      </c>
      <c r="M2545" s="6" t="n">
        <v>126000</v>
      </c>
      <c r="N2545" s="5" t="n"/>
      <c r="O2545" s="5">
        <f>IF(AND(ISNUMBER(N2545),ISNUMBER(M2545)),N2545-M2545,"")</f>
        <v/>
      </c>
      <c r="P2545" s="7">
        <f>IF(AND(ISNUMBER(N2545),ISNUMBER(M2545),M2545&gt;0),(N2545-M2545)/M2545,"")</f>
        <v/>
      </c>
      <c r="Q2545" s="3">
        <f>IF(P2545="","",IF(P2545&lt;-0.02,"🔴 Bán phá giá sàn",IF(P2545&gt;0.05,"🔵 Bán cao hơn","🟢 Đúng giá sàn TMĐT")))</f>
        <v/>
      </c>
      <c r="R2545" s="3" t="n"/>
      <c r="S2545" s="4" t="n"/>
      <c r="T2545" s="4" t="n"/>
    </row>
    <row r="2546">
      <c r="A2546" s="3" t="n">
        <v>2545</v>
      </c>
      <c r="B2546" s="3" t="inlineStr">
        <is>
          <t>DL022</t>
        </is>
      </c>
      <c r="C2546" s="4" t="inlineStr">
        <is>
          <t>ĐL Đà Nẵng - Phú Vinh</t>
        </is>
      </c>
      <c r="D2546" s="3" t="inlineStr">
        <is>
          <t>Đà Nẵng</t>
        </is>
      </c>
      <c r="E2546" s="3" t="inlineStr">
        <is>
          <t>THÙY TRANG</t>
        </is>
      </c>
      <c r="F2546" s="3" t="inlineStr">
        <is>
          <t>Shopee, Tiktok</t>
        </is>
      </c>
      <c r="G254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6" s="3" t="inlineStr">
        <is>
          <t>KBO-W71</t>
        </is>
      </c>
      <c r="I2546" s="4" t="inlineStr">
        <is>
          <t>Súng phun sơn KBO-W71</t>
        </is>
      </c>
      <c r="J2546" s="3" t="inlineStr">
        <is>
          <t>Cái</t>
        </is>
      </c>
      <c r="K2546" s="5" t="n">
        <v>317000</v>
      </c>
      <c r="L2546" s="5" t="n">
        <v>374000</v>
      </c>
      <c r="M2546" s="6" t="n">
        <v>460000</v>
      </c>
      <c r="N2546" s="5" t="n"/>
      <c r="O2546" s="5">
        <f>IF(AND(ISNUMBER(N2546),ISNUMBER(M2546)),N2546-M2546,"")</f>
        <v/>
      </c>
      <c r="P2546" s="7">
        <f>IF(AND(ISNUMBER(N2546),ISNUMBER(M2546),M2546&gt;0),(N2546-M2546)/M2546,"")</f>
        <v/>
      </c>
      <c r="Q2546" s="3">
        <f>IF(P2546="","",IF(P2546&lt;-0.02,"🔴 Bán phá giá sàn",IF(P2546&gt;0.05,"🔵 Bán cao hơn","🟢 Đúng giá sàn TMĐT")))</f>
        <v/>
      </c>
      <c r="R2546" s="3" t="n"/>
      <c r="S2546" s="4" t="n"/>
      <c r="T2546" s="4" t="n"/>
    </row>
    <row r="2547">
      <c r="A2547" s="3" t="n">
        <v>2546</v>
      </c>
      <c r="B2547" s="3" t="inlineStr">
        <is>
          <t>DL022</t>
        </is>
      </c>
      <c r="C2547" s="4" t="inlineStr">
        <is>
          <t>ĐL Đà Nẵng - Phú Vinh</t>
        </is>
      </c>
      <c r="D2547" s="3" t="inlineStr">
        <is>
          <t>Đà Nẵng</t>
        </is>
      </c>
      <c r="E2547" s="3" t="inlineStr">
        <is>
          <t>THÙY TRANG</t>
        </is>
      </c>
      <c r="F2547" s="3" t="inlineStr">
        <is>
          <t>Shopee, Tiktok</t>
        </is>
      </c>
      <c r="G254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7" s="3" t="inlineStr">
        <is>
          <t>KHD20</t>
        </is>
      </c>
      <c r="I2547" s="4" t="inlineStr">
        <is>
          <t>Thùng đựng đồ nghề KHD20</t>
        </is>
      </c>
      <c r="J2547" s="3" t="inlineStr">
        <is>
          <t>Cái</t>
        </is>
      </c>
      <c r="K2547" s="5" t="n">
        <v>396000</v>
      </c>
      <c r="L2547" s="5" t="n">
        <v>452000</v>
      </c>
      <c r="M2547" s="6" t="n">
        <v>535000</v>
      </c>
      <c r="N2547" s="5" t="n"/>
      <c r="O2547" s="5">
        <f>IF(AND(ISNUMBER(N2547),ISNUMBER(M2547)),N2547-M2547,"")</f>
        <v/>
      </c>
      <c r="P2547" s="7">
        <f>IF(AND(ISNUMBER(N2547),ISNUMBER(M2547),M2547&gt;0),(N2547-M2547)/M2547,"")</f>
        <v/>
      </c>
      <c r="Q2547" s="3">
        <f>IF(P2547="","",IF(P2547&lt;-0.02,"🔴 Bán phá giá sàn",IF(P2547&gt;0.05,"🔵 Bán cao hơn","🟢 Đúng giá sàn TMĐT")))</f>
        <v/>
      </c>
      <c r="R2547" s="3" t="n"/>
      <c r="S2547" s="4" t="n"/>
      <c r="T2547" s="4" t="n"/>
    </row>
    <row r="2548">
      <c r="A2548" s="3" t="n">
        <v>2547</v>
      </c>
      <c r="B2548" s="3" t="inlineStr">
        <is>
          <t>DL022</t>
        </is>
      </c>
      <c r="C2548" s="4" t="inlineStr">
        <is>
          <t>ĐL Đà Nẵng - Phú Vinh</t>
        </is>
      </c>
      <c r="D2548" s="3" t="inlineStr">
        <is>
          <t>Đà Nẵng</t>
        </is>
      </c>
      <c r="E2548" s="3" t="inlineStr">
        <is>
          <t>THÙY TRANG</t>
        </is>
      </c>
      <c r="F2548" s="3" t="inlineStr">
        <is>
          <t>Shopee, Tiktok</t>
        </is>
      </c>
      <c r="G254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8" s="3" t="inlineStr">
        <is>
          <t>KHD4233</t>
        </is>
      </c>
      <c r="I2548" s="4" t="inlineStr">
        <is>
          <t>Thùng đựng đồ nghề KHD4233</t>
        </is>
      </c>
      <c r="J2548" s="3" t="inlineStr">
        <is>
          <t>Cái</t>
        </is>
      </c>
      <c r="K2548" s="5" t="n">
        <v>269000</v>
      </c>
      <c r="L2548" s="5" t="n">
        <v>317000</v>
      </c>
      <c r="M2548" s="6" t="n">
        <v>390000</v>
      </c>
      <c r="N2548" s="5" t="n"/>
      <c r="O2548" s="5">
        <f>IF(AND(ISNUMBER(N2548),ISNUMBER(M2548)),N2548-M2548,"")</f>
        <v/>
      </c>
      <c r="P2548" s="7">
        <f>IF(AND(ISNUMBER(N2548),ISNUMBER(M2548),M2548&gt;0),(N2548-M2548)/M2548,"")</f>
        <v/>
      </c>
      <c r="Q2548" s="3">
        <f>IF(P2548="","",IF(P2548&lt;-0.02,"🔴 Bán phá giá sàn",IF(P2548&gt;0.05,"🔵 Bán cao hơn","🟢 Đúng giá sàn TMĐT")))</f>
        <v/>
      </c>
      <c r="R2548" s="3" t="n"/>
      <c r="S2548" s="4" t="n"/>
      <c r="T2548" s="4" t="n"/>
    </row>
    <row r="2549">
      <c r="A2549" s="3" t="n">
        <v>2548</v>
      </c>
      <c r="B2549" s="3" t="inlineStr">
        <is>
          <t>DL022</t>
        </is>
      </c>
      <c r="C2549" s="4" t="inlineStr">
        <is>
          <t>ĐL Đà Nẵng - Phú Vinh</t>
        </is>
      </c>
      <c r="D2549" s="3" t="inlineStr">
        <is>
          <t>Đà Nẵng</t>
        </is>
      </c>
      <c r="E2549" s="3" t="inlineStr">
        <is>
          <t>THÙY TRANG</t>
        </is>
      </c>
      <c r="F2549" s="3" t="inlineStr">
        <is>
          <t>Shopee, Tiktok</t>
        </is>
      </c>
      <c r="G254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49" s="3" t="inlineStr">
        <is>
          <t>MC-50.25</t>
        </is>
      </c>
      <c r="I2549" s="4" t="inlineStr">
        <is>
          <t>Thước Cuộn MC-50.25</t>
        </is>
      </c>
      <c r="J2549" s="3" t="inlineStr">
        <is>
          <t>Cái</t>
        </is>
      </c>
      <c r="K2549" s="5" t="n">
        <v>59000</v>
      </c>
      <c r="L2549" s="5" t="n">
        <v>70000</v>
      </c>
      <c r="M2549" s="6" t="n">
        <v>86000</v>
      </c>
      <c r="N2549" s="5" t="n"/>
      <c r="O2549" s="5">
        <f>IF(AND(ISNUMBER(N2549),ISNUMBER(M2549)),N2549-M2549,"")</f>
        <v/>
      </c>
      <c r="P2549" s="7">
        <f>IF(AND(ISNUMBER(N2549),ISNUMBER(M2549),M2549&gt;0),(N2549-M2549)/M2549,"")</f>
        <v/>
      </c>
      <c r="Q2549" s="3">
        <f>IF(P2549="","",IF(P2549&lt;-0.02,"🔴 Bán phá giá sàn",IF(P2549&gt;0.05,"🔵 Bán cao hơn","🟢 Đúng giá sàn TMĐT")))</f>
        <v/>
      </c>
      <c r="R2549" s="3" t="n"/>
      <c r="S2549" s="4" t="n"/>
      <c r="T2549" s="4" t="n"/>
    </row>
    <row r="2550">
      <c r="A2550" s="3" t="n">
        <v>2549</v>
      </c>
      <c r="B2550" s="3" t="inlineStr">
        <is>
          <t>DL022</t>
        </is>
      </c>
      <c r="C2550" s="4" t="inlineStr">
        <is>
          <t>ĐL Đà Nẵng - Phú Vinh</t>
        </is>
      </c>
      <c r="D2550" s="3" t="inlineStr">
        <is>
          <t>Đà Nẵng</t>
        </is>
      </c>
      <c r="E2550" s="3" t="inlineStr">
        <is>
          <t>THÙY TRANG</t>
        </is>
      </c>
      <c r="F2550" s="3" t="inlineStr">
        <is>
          <t>Shopee, Tiktok</t>
        </is>
      </c>
      <c r="G255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0" s="3" t="inlineStr">
        <is>
          <t>MC-80.25</t>
        </is>
      </c>
      <c r="I2550" s="4" t="inlineStr">
        <is>
          <t>Thước Cuộn MC-80.25</t>
        </is>
      </c>
      <c r="J2550" s="3" t="inlineStr">
        <is>
          <t>Cái</t>
        </is>
      </c>
      <c r="K2550" s="5" t="n">
        <v>79000</v>
      </c>
      <c r="L2550" s="5" t="n">
        <v>93000</v>
      </c>
      <c r="M2550" s="6" t="n">
        <v>115000</v>
      </c>
      <c r="N2550" s="5" t="n"/>
      <c r="O2550" s="5">
        <f>IF(AND(ISNUMBER(N2550),ISNUMBER(M2550)),N2550-M2550,"")</f>
        <v/>
      </c>
      <c r="P2550" s="7">
        <f>IF(AND(ISNUMBER(N2550),ISNUMBER(M2550),M2550&gt;0),(N2550-M2550)/M2550,"")</f>
        <v/>
      </c>
      <c r="Q2550" s="3">
        <f>IF(P2550="","",IF(P2550&lt;-0.02,"🔴 Bán phá giá sàn",IF(P2550&gt;0.05,"🔵 Bán cao hơn","🟢 Đúng giá sàn TMĐT")))</f>
        <v/>
      </c>
      <c r="R2550" s="3" t="n"/>
      <c r="S2550" s="4" t="n"/>
      <c r="T2550" s="4" t="n"/>
    </row>
    <row r="2551">
      <c r="A2551" s="3" t="n">
        <v>2550</v>
      </c>
      <c r="B2551" s="3" t="inlineStr">
        <is>
          <t>DL022</t>
        </is>
      </c>
      <c r="C2551" s="4" t="inlineStr">
        <is>
          <t>ĐL Đà Nẵng - Phú Vinh</t>
        </is>
      </c>
      <c r="D2551" s="3" t="inlineStr">
        <is>
          <t>Đà Nẵng</t>
        </is>
      </c>
      <c r="E2551" s="3" t="inlineStr">
        <is>
          <t>THÙY TRANG</t>
        </is>
      </c>
      <c r="F2551" s="3" t="inlineStr">
        <is>
          <t>Shopee, Tiktok</t>
        </is>
      </c>
      <c r="G255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1" s="3" t="inlineStr">
        <is>
          <t>MD-50.25</t>
        </is>
      </c>
      <c r="I2551" s="4" t="inlineStr">
        <is>
          <t>Thước Cuộn tự hãm MD-50.25</t>
        </is>
      </c>
      <c r="J2551" s="3" t="inlineStr">
        <is>
          <t>Cái</t>
        </is>
      </c>
      <c r="K2551" s="5" t="n">
        <v>64000</v>
      </c>
      <c r="L2551" s="5" t="n">
        <v>76000</v>
      </c>
      <c r="M2551" s="6" t="n">
        <v>93000</v>
      </c>
      <c r="N2551" s="5" t="n"/>
      <c r="O2551" s="5">
        <f>IF(AND(ISNUMBER(N2551),ISNUMBER(M2551)),N2551-M2551,"")</f>
        <v/>
      </c>
      <c r="P2551" s="7">
        <f>IF(AND(ISNUMBER(N2551),ISNUMBER(M2551),M2551&gt;0),(N2551-M2551)/M2551,"")</f>
        <v/>
      </c>
      <c r="Q2551" s="3">
        <f>IF(P2551="","",IF(P2551&lt;-0.02,"🔴 Bán phá giá sàn",IF(P2551&gt;0.05,"🔵 Bán cao hơn","🟢 Đúng giá sàn TMĐT")))</f>
        <v/>
      </c>
      <c r="R2551" s="3" t="n"/>
      <c r="S2551" s="4" t="n"/>
      <c r="T2551" s="4" t="n"/>
    </row>
    <row r="2552">
      <c r="A2552" s="3" t="n">
        <v>2551</v>
      </c>
      <c r="B2552" s="3" t="inlineStr">
        <is>
          <t>DL022</t>
        </is>
      </c>
      <c r="C2552" s="4" t="inlineStr">
        <is>
          <t>ĐL Đà Nẵng - Phú Vinh</t>
        </is>
      </c>
      <c r="D2552" s="3" t="inlineStr">
        <is>
          <t>Đà Nẵng</t>
        </is>
      </c>
      <c r="E2552" s="3" t="inlineStr">
        <is>
          <t>THÙY TRANG</t>
        </is>
      </c>
      <c r="F2552" s="3" t="inlineStr">
        <is>
          <t>Shopee, Tiktok</t>
        </is>
      </c>
      <c r="G255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2" s="3" t="inlineStr">
        <is>
          <t>MD-80.25</t>
        </is>
      </c>
      <c r="I2552" s="4" t="inlineStr">
        <is>
          <t>Thước Cuộn tự hãm MD-80.25</t>
        </is>
      </c>
      <c r="J2552" s="3" t="inlineStr">
        <is>
          <t>Cái</t>
        </is>
      </c>
      <c r="K2552" s="5" t="n">
        <v>81000</v>
      </c>
      <c r="L2552" s="5" t="n">
        <v>96000</v>
      </c>
      <c r="M2552" s="6" t="n">
        <v>118000</v>
      </c>
      <c r="N2552" s="5" t="n"/>
      <c r="O2552" s="5">
        <f>IF(AND(ISNUMBER(N2552),ISNUMBER(M2552)),N2552-M2552,"")</f>
        <v/>
      </c>
      <c r="P2552" s="7">
        <f>IF(AND(ISNUMBER(N2552),ISNUMBER(M2552),M2552&gt;0),(N2552-M2552)/M2552,"")</f>
        <v/>
      </c>
      <c r="Q2552" s="3">
        <f>IF(P2552="","",IF(P2552&lt;-0.02,"🔴 Bán phá giá sàn",IF(P2552&gt;0.05,"🔵 Bán cao hơn","🟢 Đúng giá sàn TMĐT")))</f>
        <v/>
      </c>
      <c r="R2552" s="3" t="n"/>
      <c r="S2552" s="4" t="n"/>
      <c r="T2552" s="4" t="n"/>
    </row>
    <row r="2553">
      <c r="A2553" s="3" t="n">
        <v>2552</v>
      </c>
      <c r="B2553" s="3" t="inlineStr">
        <is>
          <t>DL022</t>
        </is>
      </c>
      <c r="C2553" s="4" t="inlineStr">
        <is>
          <t>ĐL Đà Nẵng - Phú Vinh</t>
        </is>
      </c>
      <c r="D2553" s="3" t="inlineStr">
        <is>
          <t>Đà Nẵng</t>
        </is>
      </c>
      <c r="E2553" s="3" t="inlineStr">
        <is>
          <t>THÙY TRANG</t>
        </is>
      </c>
      <c r="F2553" s="3" t="inlineStr">
        <is>
          <t>Shopee, Tiktok</t>
        </is>
      </c>
      <c r="G255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3" s="3" t="inlineStr">
        <is>
          <t>KNZ-100X</t>
        </is>
      </c>
      <c r="I2553" s="4" t="inlineStr">
        <is>
          <t>Thước đo khoảng cách laser KNZ-100X</t>
        </is>
      </c>
      <c r="J2553" s="3" t="inlineStr">
        <is>
          <t>Cái</t>
        </is>
      </c>
      <c r="K2553" s="5" t="n">
        <v>730000</v>
      </c>
      <c r="L2553" s="5" t="n">
        <v>810000</v>
      </c>
      <c r="M2553" s="6" t="n">
        <v>940000</v>
      </c>
      <c r="N2553" s="5" t="n"/>
      <c r="O2553" s="5">
        <f>IF(AND(ISNUMBER(N2553),ISNUMBER(M2553)),N2553-M2553,"")</f>
        <v/>
      </c>
      <c r="P2553" s="7">
        <f>IF(AND(ISNUMBER(N2553),ISNUMBER(M2553),M2553&gt;0),(N2553-M2553)/M2553,"")</f>
        <v/>
      </c>
      <c r="Q2553" s="3">
        <f>IF(P2553="","",IF(P2553&lt;-0.02,"🔴 Bán phá giá sàn",IF(P2553&gt;0.05,"🔵 Bán cao hơn","🟢 Đúng giá sàn TMĐT")))</f>
        <v/>
      </c>
      <c r="R2553" s="3" t="n"/>
      <c r="S2553" s="4" t="n"/>
      <c r="T2553" s="4" t="n"/>
    </row>
    <row r="2554">
      <c r="A2554" s="3" t="n">
        <v>2553</v>
      </c>
      <c r="B2554" s="3" t="inlineStr">
        <is>
          <t>DL022</t>
        </is>
      </c>
      <c r="C2554" s="4" t="inlineStr">
        <is>
          <t>ĐL Đà Nẵng - Phú Vinh</t>
        </is>
      </c>
      <c r="D2554" s="3" t="inlineStr">
        <is>
          <t>Đà Nẵng</t>
        </is>
      </c>
      <c r="E2554" s="3" t="inlineStr">
        <is>
          <t>THÙY TRANG</t>
        </is>
      </c>
      <c r="F2554" s="3" t="inlineStr">
        <is>
          <t>Shopee, Tiktok</t>
        </is>
      </c>
      <c r="G255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4" s="3" t="inlineStr">
        <is>
          <t>KNZ-50X</t>
        </is>
      </c>
      <c r="I2554" s="4" t="inlineStr">
        <is>
          <t>Thước đo khoảng cách laser KNZ-50X</t>
        </is>
      </c>
      <c r="J2554" s="3" t="inlineStr">
        <is>
          <t>Cái</t>
        </is>
      </c>
      <c r="K2554" s="5" t="n">
        <v>560000</v>
      </c>
      <c r="L2554" s="5" t="n">
        <v>620000</v>
      </c>
      <c r="M2554" s="6" t="n">
        <v>720000</v>
      </c>
      <c r="N2554" s="5" t="n"/>
      <c r="O2554" s="5">
        <f>IF(AND(ISNUMBER(N2554),ISNUMBER(M2554)),N2554-M2554,"")</f>
        <v/>
      </c>
      <c r="P2554" s="7">
        <f>IF(AND(ISNUMBER(N2554),ISNUMBER(M2554),M2554&gt;0),(N2554-M2554)/M2554,"")</f>
        <v/>
      </c>
      <c r="Q2554" s="3">
        <f>IF(P2554="","",IF(P2554&lt;-0.02,"🔴 Bán phá giá sàn",IF(P2554&gt;0.05,"🔵 Bán cao hơn","🟢 Đúng giá sàn TMĐT")))</f>
        <v/>
      </c>
      <c r="R2554" s="3" t="n"/>
      <c r="S2554" s="4" t="n"/>
      <c r="T2554" s="4" t="n"/>
    </row>
    <row r="2555">
      <c r="A2555" s="3" t="n">
        <v>2554</v>
      </c>
      <c r="B2555" s="3" t="inlineStr">
        <is>
          <t>DL022</t>
        </is>
      </c>
      <c r="C2555" s="4" t="inlineStr">
        <is>
          <t>ĐL Đà Nẵng - Phú Vinh</t>
        </is>
      </c>
      <c r="D2555" s="3" t="inlineStr">
        <is>
          <t>Đà Nẵng</t>
        </is>
      </c>
      <c r="E2555" s="3" t="inlineStr">
        <is>
          <t>THÙY TRANG</t>
        </is>
      </c>
      <c r="F2555" s="3" t="inlineStr">
        <is>
          <t>Shopee, Tiktok</t>
        </is>
      </c>
      <c r="G255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5" s="3" t="inlineStr">
        <is>
          <t>LA-100.25</t>
        </is>
      </c>
      <c r="I2555" s="4" t="inlineStr">
        <is>
          <t>Thước kéo LA-100.25 (new)</t>
        </is>
      </c>
      <c r="J2555" s="3" t="inlineStr">
        <is>
          <t>Cái</t>
        </is>
      </c>
      <c r="K2555" s="5" t="n">
        <v>64000</v>
      </c>
      <c r="L2555" s="5" t="n">
        <v>76000</v>
      </c>
      <c r="M2555" s="6" t="n">
        <v>93000</v>
      </c>
      <c r="N2555" s="5" t="n"/>
      <c r="O2555" s="5">
        <f>IF(AND(ISNUMBER(N2555),ISNUMBER(M2555)),N2555-M2555,"")</f>
        <v/>
      </c>
      <c r="P2555" s="7">
        <f>IF(AND(ISNUMBER(N2555),ISNUMBER(M2555),M2555&gt;0),(N2555-M2555)/M2555,"")</f>
        <v/>
      </c>
      <c r="Q2555" s="3">
        <f>IF(P2555="","",IF(P2555&lt;-0.02,"🔴 Bán phá giá sàn",IF(P2555&gt;0.05,"🔵 Bán cao hơn","🟢 Đúng giá sàn TMĐT")))</f>
        <v/>
      </c>
      <c r="R2555" s="3" t="n"/>
      <c r="S2555" s="4" t="n"/>
      <c r="T2555" s="4" t="n"/>
    </row>
    <row r="2556">
      <c r="A2556" s="3" t="n">
        <v>2555</v>
      </c>
      <c r="B2556" s="3" t="inlineStr">
        <is>
          <t>DL022</t>
        </is>
      </c>
      <c r="C2556" s="4" t="inlineStr">
        <is>
          <t>ĐL Đà Nẵng - Phú Vinh</t>
        </is>
      </c>
      <c r="D2556" s="3" t="inlineStr">
        <is>
          <t>Đà Nẵng</t>
        </is>
      </c>
      <c r="E2556" s="3" t="inlineStr">
        <is>
          <t>THÙY TRANG</t>
        </is>
      </c>
      <c r="F2556" s="3" t="inlineStr">
        <is>
          <t>Shopee, Tiktok</t>
        </is>
      </c>
      <c r="G255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6" s="3" t="inlineStr">
        <is>
          <t>LA-50.19</t>
        </is>
      </c>
      <c r="I2556" s="4" t="inlineStr">
        <is>
          <t>Thước kéo LA-50.19 (new)</t>
        </is>
      </c>
      <c r="J2556" s="3" t="inlineStr">
        <is>
          <t>Cái</t>
        </is>
      </c>
      <c r="K2556" s="5" t="n">
        <v>29000</v>
      </c>
      <c r="L2556" s="5" t="n">
        <v>34000</v>
      </c>
      <c r="M2556" s="6" t="n">
        <v>42000</v>
      </c>
      <c r="N2556" s="5" t="n"/>
      <c r="O2556" s="5">
        <f>IF(AND(ISNUMBER(N2556),ISNUMBER(M2556)),N2556-M2556,"")</f>
        <v/>
      </c>
      <c r="P2556" s="7">
        <f>IF(AND(ISNUMBER(N2556),ISNUMBER(M2556),M2556&gt;0),(N2556-M2556)/M2556,"")</f>
        <v/>
      </c>
      <c r="Q2556" s="3">
        <f>IF(P2556="","",IF(P2556&lt;-0.02,"🔴 Bán phá giá sàn",IF(P2556&gt;0.05,"🔵 Bán cao hơn","🟢 Đúng giá sàn TMĐT")))</f>
        <v/>
      </c>
      <c r="R2556" s="3" t="n"/>
      <c r="S2556" s="4" t="n"/>
      <c r="T2556" s="4" t="n"/>
    </row>
    <row r="2557">
      <c r="A2557" s="3" t="n">
        <v>2556</v>
      </c>
      <c r="B2557" s="3" t="inlineStr">
        <is>
          <t>DL022</t>
        </is>
      </c>
      <c r="C2557" s="4" t="inlineStr">
        <is>
          <t>ĐL Đà Nẵng - Phú Vinh</t>
        </is>
      </c>
      <c r="D2557" s="3" t="inlineStr">
        <is>
          <t>Đà Nẵng</t>
        </is>
      </c>
      <c r="E2557" s="3" t="inlineStr">
        <is>
          <t>THÙY TRANG</t>
        </is>
      </c>
      <c r="F2557" s="3" t="inlineStr">
        <is>
          <t>Shopee, Tiktok</t>
        </is>
      </c>
      <c r="G255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7" s="3" t="inlineStr">
        <is>
          <t>LA-75.25</t>
        </is>
      </c>
      <c r="I2557" s="4" t="inlineStr">
        <is>
          <t>Thước kéo LA-75.25 (new)</t>
        </is>
      </c>
      <c r="J2557" s="3" t="inlineStr">
        <is>
          <t>Cái</t>
        </is>
      </c>
      <c r="K2557" s="5" t="n">
        <v>48000</v>
      </c>
      <c r="L2557" s="5" t="n">
        <v>57000</v>
      </c>
      <c r="M2557" s="6" t="n">
        <v>70000</v>
      </c>
      <c r="N2557" s="5" t="n"/>
      <c r="O2557" s="5">
        <f>IF(AND(ISNUMBER(N2557),ISNUMBER(M2557)),N2557-M2557,"")</f>
        <v/>
      </c>
      <c r="P2557" s="7">
        <f>IF(AND(ISNUMBER(N2557),ISNUMBER(M2557),M2557&gt;0),(N2557-M2557)/M2557,"")</f>
        <v/>
      </c>
      <c r="Q2557" s="3">
        <f>IF(P2557="","",IF(P2557&lt;-0.02,"🔴 Bán phá giá sàn",IF(P2557&gt;0.05,"🔵 Bán cao hơn","🟢 Đúng giá sàn TMĐT")))</f>
        <v/>
      </c>
      <c r="R2557" s="3" t="n"/>
      <c r="S2557" s="4" t="n"/>
      <c r="T2557" s="4" t="n"/>
    </row>
    <row r="2558">
      <c r="A2558" s="3" t="n">
        <v>2557</v>
      </c>
      <c r="B2558" s="3" t="inlineStr">
        <is>
          <t>DL022</t>
        </is>
      </c>
      <c r="C2558" s="4" t="inlineStr">
        <is>
          <t>ĐL Đà Nẵng - Phú Vinh</t>
        </is>
      </c>
      <c r="D2558" s="3" t="inlineStr">
        <is>
          <t>Đà Nẵng</t>
        </is>
      </c>
      <c r="E2558" s="3" t="inlineStr">
        <is>
          <t>THÙY TRANG</t>
        </is>
      </c>
      <c r="F2558" s="3" t="inlineStr">
        <is>
          <t>Shopee, Tiktok</t>
        </is>
      </c>
      <c r="G255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8" s="3" t="inlineStr">
        <is>
          <t>KTT-25A</t>
        </is>
      </c>
      <c r="I2558" s="4" t="inlineStr">
        <is>
          <t>Thước thủy KTT-25A</t>
        </is>
      </c>
      <c r="J2558" s="3" t="inlineStr">
        <is>
          <t>Cái</t>
        </is>
      </c>
      <c r="K2558" s="5" t="n">
        <v>35000</v>
      </c>
      <c r="L2558" s="5" t="n">
        <v>41000</v>
      </c>
      <c r="M2558" s="6" t="n">
        <v>51000</v>
      </c>
      <c r="N2558" s="5" t="n"/>
      <c r="O2558" s="5">
        <f>IF(AND(ISNUMBER(N2558),ISNUMBER(M2558)),N2558-M2558,"")</f>
        <v/>
      </c>
      <c r="P2558" s="7">
        <f>IF(AND(ISNUMBER(N2558),ISNUMBER(M2558),M2558&gt;0),(N2558-M2558)/M2558,"")</f>
        <v/>
      </c>
      <c r="Q2558" s="3">
        <f>IF(P2558="","",IF(P2558&lt;-0.02,"🔴 Bán phá giá sàn",IF(P2558&gt;0.05,"🔵 Bán cao hơn","🟢 Đúng giá sàn TMĐT")))</f>
        <v/>
      </c>
      <c r="R2558" s="3" t="n"/>
      <c r="S2558" s="4" t="n"/>
      <c r="T2558" s="4" t="n"/>
    </row>
    <row r="2559">
      <c r="A2559" s="3" t="n">
        <v>2558</v>
      </c>
      <c r="B2559" s="3" t="inlineStr">
        <is>
          <t>DL022</t>
        </is>
      </c>
      <c r="C2559" s="4" t="inlineStr">
        <is>
          <t>ĐL Đà Nẵng - Phú Vinh</t>
        </is>
      </c>
      <c r="D2559" s="3" t="inlineStr">
        <is>
          <t>Đà Nẵng</t>
        </is>
      </c>
      <c r="E2559" s="3" t="inlineStr">
        <is>
          <t>THÙY TRANG</t>
        </is>
      </c>
      <c r="F2559" s="3" t="inlineStr">
        <is>
          <t>Shopee, Tiktok</t>
        </is>
      </c>
      <c r="G255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59" s="3" t="inlineStr">
        <is>
          <t>KTT-45A</t>
        </is>
      </c>
      <c r="I2559" s="4" t="inlineStr">
        <is>
          <t>Thước thủy KTT-45A</t>
        </is>
      </c>
      <c r="J2559" s="3" t="inlineStr">
        <is>
          <t>Cái</t>
        </is>
      </c>
      <c r="K2559" s="5" t="n">
        <v>101000</v>
      </c>
      <c r="L2559" s="5" t="n">
        <v>119000</v>
      </c>
      <c r="M2559" s="6" t="n">
        <v>147000</v>
      </c>
      <c r="N2559" s="5" t="n"/>
      <c r="O2559" s="5">
        <f>IF(AND(ISNUMBER(N2559),ISNUMBER(M2559)),N2559-M2559,"")</f>
        <v/>
      </c>
      <c r="P2559" s="7">
        <f>IF(AND(ISNUMBER(N2559),ISNUMBER(M2559),M2559&gt;0),(N2559-M2559)/M2559,"")</f>
        <v/>
      </c>
      <c r="Q2559" s="3">
        <f>IF(P2559="","",IF(P2559&lt;-0.02,"🔴 Bán phá giá sàn",IF(P2559&gt;0.05,"🔵 Bán cao hơn","🟢 Đúng giá sàn TMĐT")))</f>
        <v/>
      </c>
      <c r="R2559" s="3" t="n"/>
      <c r="S2559" s="4" t="n"/>
      <c r="T2559" s="4" t="n"/>
    </row>
    <row r="2560">
      <c r="A2560" s="3" t="n">
        <v>2559</v>
      </c>
      <c r="B2560" s="3" t="inlineStr">
        <is>
          <t>DL022</t>
        </is>
      </c>
      <c r="C2560" s="4" t="inlineStr">
        <is>
          <t>ĐL Đà Nẵng - Phú Vinh</t>
        </is>
      </c>
      <c r="D2560" s="3" t="inlineStr">
        <is>
          <t>Đà Nẵng</t>
        </is>
      </c>
      <c r="E2560" s="3" t="inlineStr">
        <is>
          <t>THÙY TRANG</t>
        </is>
      </c>
      <c r="F2560" s="3" t="inlineStr">
        <is>
          <t>Shopee, Tiktok</t>
        </is>
      </c>
      <c r="G256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0" s="3" t="inlineStr">
        <is>
          <t>KTT-60A</t>
        </is>
      </c>
      <c r="I2560" s="4" t="inlineStr">
        <is>
          <t>Thước thủy KTT-60A</t>
        </is>
      </c>
      <c r="J2560" s="3" t="inlineStr">
        <is>
          <t>Cái</t>
        </is>
      </c>
      <c r="K2560" s="5" t="n">
        <v>128000</v>
      </c>
      <c r="L2560" s="5" t="n">
        <v>151000</v>
      </c>
      <c r="M2560" s="6" t="n">
        <v>186000</v>
      </c>
      <c r="N2560" s="5" t="n"/>
      <c r="O2560" s="5">
        <f>IF(AND(ISNUMBER(N2560),ISNUMBER(M2560)),N2560-M2560,"")</f>
        <v/>
      </c>
      <c r="P2560" s="7">
        <f>IF(AND(ISNUMBER(N2560),ISNUMBER(M2560),M2560&gt;0),(N2560-M2560)/M2560,"")</f>
        <v/>
      </c>
      <c r="Q2560" s="3">
        <f>IF(P2560="","",IF(P2560&lt;-0.02,"🔴 Bán phá giá sàn",IF(P2560&gt;0.05,"🔵 Bán cao hơn","🟢 Đúng giá sàn TMĐT")))</f>
        <v/>
      </c>
      <c r="R2560" s="3" t="n"/>
      <c r="S2560" s="4" t="n"/>
      <c r="T2560" s="4" t="n"/>
    </row>
    <row r="2561">
      <c r="A2561" s="3" t="n">
        <v>2560</v>
      </c>
      <c r="B2561" s="3" t="inlineStr">
        <is>
          <t>DL022</t>
        </is>
      </c>
      <c r="C2561" s="4" t="inlineStr">
        <is>
          <t>ĐL Đà Nẵng - Phú Vinh</t>
        </is>
      </c>
      <c r="D2561" s="3" t="inlineStr">
        <is>
          <t>Đà Nẵng</t>
        </is>
      </c>
      <c r="E2561" s="3" t="inlineStr">
        <is>
          <t>THÙY TRANG</t>
        </is>
      </c>
      <c r="F2561" s="3" t="inlineStr">
        <is>
          <t>Shopee, Tiktok</t>
        </is>
      </c>
      <c r="G2561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1" s="3" t="inlineStr">
        <is>
          <t>KV1-6100</t>
        </is>
      </c>
      <c r="I2561" s="4" t="inlineStr">
        <is>
          <t>Tuốc nơ vít 2 đầu KV1-6*100</t>
        </is>
      </c>
      <c r="J2561" s="3" t="inlineStr">
        <is>
          <t>Cái</t>
        </is>
      </c>
      <c r="K2561" s="5" t="n">
        <v>22000</v>
      </c>
      <c r="L2561" s="5" t="n">
        <v>26000</v>
      </c>
      <c r="M2561" s="6" t="n">
        <v>32000</v>
      </c>
      <c r="N2561" s="5" t="n"/>
      <c r="O2561" s="5">
        <f>IF(AND(ISNUMBER(N2561),ISNUMBER(M2561)),N2561-M2561,"")</f>
        <v/>
      </c>
      <c r="P2561" s="7">
        <f>IF(AND(ISNUMBER(N2561),ISNUMBER(M2561),M2561&gt;0),(N2561-M2561)/M2561,"")</f>
        <v/>
      </c>
      <c r="Q2561" s="3">
        <f>IF(P2561="","",IF(P2561&lt;-0.02,"🔴 Bán phá giá sàn",IF(P2561&gt;0.05,"🔵 Bán cao hơn","🟢 Đúng giá sàn TMĐT")))</f>
        <v/>
      </c>
      <c r="R2561" s="3" t="n"/>
      <c r="S2561" s="4" t="n"/>
      <c r="T2561" s="4" t="n"/>
    </row>
    <row r="2562">
      <c r="A2562" s="3" t="n">
        <v>2561</v>
      </c>
      <c r="B2562" s="3" t="inlineStr">
        <is>
          <t>DL022</t>
        </is>
      </c>
      <c r="C2562" s="4" t="inlineStr">
        <is>
          <t>ĐL Đà Nẵng - Phú Vinh</t>
        </is>
      </c>
      <c r="D2562" s="3" t="inlineStr">
        <is>
          <t>Đà Nẵng</t>
        </is>
      </c>
      <c r="E2562" s="3" t="inlineStr">
        <is>
          <t>THÙY TRANG</t>
        </is>
      </c>
      <c r="F2562" s="3" t="inlineStr">
        <is>
          <t>Shopee, Tiktok</t>
        </is>
      </c>
      <c r="G2562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2" s="3" t="inlineStr">
        <is>
          <t>KV1-6150</t>
        </is>
      </c>
      <c r="I2562" s="4" t="inlineStr">
        <is>
          <t>Tuốc nơ vít 2 đầu KV1-6*150</t>
        </is>
      </c>
      <c r="J2562" s="3" t="inlineStr">
        <is>
          <t>Cái</t>
        </is>
      </c>
      <c r="K2562" s="5" t="n">
        <v>25000</v>
      </c>
      <c r="L2562" s="5" t="n">
        <v>29000</v>
      </c>
      <c r="M2562" s="6" t="n">
        <v>36000</v>
      </c>
      <c r="N2562" s="5" t="n"/>
      <c r="O2562" s="5">
        <f>IF(AND(ISNUMBER(N2562),ISNUMBER(M2562)),N2562-M2562,"")</f>
        <v/>
      </c>
      <c r="P2562" s="7">
        <f>IF(AND(ISNUMBER(N2562),ISNUMBER(M2562),M2562&gt;0),(N2562-M2562)/M2562,"")</f>
        <v/>
      </c>
      <c r="Q2562" s="3">
        <f>IF(P2562="","",IF(P2562&lt;-0.02,"🔴 Bán phá giá sàn",IF(P2562&gt;0.05,"🔵 Bán cao hơn","🟢 Đúng giá sàn TMĐT")))</f>
        <v/>
      </c>
      <c r="R2562" s="3" t="n"/>
      <c r="S2562" s="4" t="n"/>
      <c r="T2562" s="4" t="n"/>
    </row>
    <row r="2563">
      <c r="A2563" s="3" t="n">
        <v>2562</v>
      </c>
      <c r="B2563" s="3" t="inlineStr">
        <is>
          <t>DL022</t>
        </is>
      </c>
      <c r="C2563" s="4" t="inlineStr">
        <is>
          <t>ĐL Đà Nẵng - Phú Vinh</t>
        </is>
      </c>
      <c r="D2563" s="3" t="inlineStr">
        <is>
          <t>Đà Nẵng</t>
        </is>
      </c>
      <c r="E2563" s="3" t="inlineStr">
        <is>
          <t>THÙY TRANG</t>
        </is>
      </c>
      <c r="F2563" s="3" t="inlineStr">
        <is>
          <t>Shopee, Tiktok</t>
        </is>
      </c>
      <c r="G256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3" s="3" t="inlineStr">
        <is>
          <t>KV1-6200</t>
        </is>
      </c>
      <c r="I2563" s="4" t="inlineStr">
        <is>
          <t>Tuốc nơ vít 2 đầu KV1-6*200</t>
        </is>
      </c>
      <c r="J2563" s="3" t="inlineStr">
        <is>
          <t>Cái</t>
        </is>
      </c>
      <c r="K2563" s="5" t="n">
        <v>29000</v>
      </c>
      <c r="L2563" s="5" t="n">
        <v>34000</v>
      </c>
      <c r="M2563" s="6" t="n">
        <v>42000</v>
      </c>
      <c r="N2563" s="5" t="n"/>
      <c r="O2563" s="5">
        <f>IF(AND(ISNUMBER(N2563),ISNUMBER(M2563)),N2563-M2563,"")</f>
        <v/>
      </c>
      <c r="P2563" s="7">
        <f>IF(AND(ISNUMBER(N2563),ISNUMBER(M2563),M2563&gt;0),(N2563-M2563)/M2563,"")</f>
        <v/>
      </c>
      <c r="Q2563" s="3">
        <f>IF(P2563="","",IF(P2563&lt;-0.02,"🔴 Bán phá giá sàn",IF(P2563&gt;0.05,"🔵 Bán cao hơn","🟢 Đúng giá sàn TMĐT")))</f>
        <v/>
      </c>
      <c r="R2563" s="3" t="n"/>
      <c r="S2563" s="4" t="n"/>
      <c r="T2563" s="4" t="n"/>
    </row>
    <row r="2564">
      <c r="A2564" s="3" t="n">
        <v>2563</v>
      </c>
      <c r="B2564" s="3" t="inlineStr">
        <is>
          <t>DL022</t>
        </is>
      </c>
      <c r="C2564" s="4" t="inlineStr">
        <is>
          <t>ĐL Đà Nẵng - Phú Vinh</t>
        </is>
      </c>
      <c r="D2564" s="3" t="inlineStr">
        <is>
          <t>Đà Nẵng</t>
        </is>
      </c>
      <c r="E2564" s="3" t="inlineStr">
        <is>
          <t>THÙY TRANG</t>
        </is>
      </c>
      <c r="F2564" s="3" t="inlineStr">
        <is>
          <t>Shopee, Tiktok</t>
        </is>
      </c>
      <c r="G2564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4" s="3" t="inlineStr">
        <is>
          <t>KV3-6150</t>
        </is>
      </c>
      <c r="I2564" s="4" t="inlineStr">
        <is>
          <t>Tuốc nơ vít 2 đầu tịnh tiến KV3-6*150</t>
        </is>
      </c>
      <c r="J2564" s="3" t="inlineStr">
        <is>
          <t>Cái</t>
        </is>
      </c>
      <c r="K2564" s="5" t="n">
        <v>51000</v>
      </c>
      <c r="L2564" s="5" t="n">
        <v>60000</v>
      </c>
      <c r="M2564" s="6" t="n">
        <v>74000</v>
      </c>
      <c r="N2564" s="5" t="n"/>
      <c r="O2564" s="5">
        <f>IF(AND(ISNUMBER(N2564),ISNUMBER(M2564)),N2564-M2564,"")</f>
        <v/>
      </c>
      <c r="P2564" s="7">
        <f>IF(AND(ISNUMBER(N2564),ISNUMBER(M2564),M2564&gt;0),(N2564-M2564)/M2564,"")</f>
        <v/>
      </c>
      <c r="Q2564" s="3">
        <f>IF(P2564="","",IF(P2564&lt;-0.02,"🔴 Bán phá giá sàn",IF(P2564&gt;0.05,"🔵 Bán cao hơn","🟢 Đúng giá sàn TMĐT")))</f>
        <v/>
      </c>
      <c r="R2564" s="3" t="n"/>
      <c r="S2564" s="4" t="n"/>
      <c r="T2564" s="4" t="n"/>
    </row>
    <row r="2565">
      <c r="A2565" s="3" t="n">
        <v>2564</v>
      </c>
      <c r="B2565" s="3" t="inlineStr">
        <is>
          <t>DL022</t>
        </is>
      </c>
      <c r="C2565" s="4" t="inlineStr">
        <is>
          <t>ĐL Đà Nẵng - Phú Vinh</t>
        </is>
      </c>
      <c r="D2565" s="3" t="inlineStr">
        <is>
          <t>Đà Nẵng</t>
        </is>
      </c>
      <c r="E2565" s="3" t="inlineStr">
        <is>
          <t>THÙY TRANG</t>
        </is>
      </c>
      <c r="F2565" s="3" t="inlineStr">
        <is>
          <t>Shopee, Tiktok</t>
        </is>
      </c>
      <c r="G2565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5" s="3" t="inlineStr">
        <is>
          <t>KV2-6100</t>
        </is>
      </c>
      <c r="I2565" s="4" t="inlineStr">
        <is>
          <t>Tuốc nơ vít đa năng S2 KV2-6*100</t>
        </is>
      </c>
      <c r="J2565" s="3" t="inlineStr">
        <is>
          <t>Cái</t>
        </is>
      </c>
      <c r="K2565" s="5" t="n">
        <v>44000</v>
      </c>
      <c r="L2565" s="5" t="n">
        <v>52000</v>
      </c>
      <c r="M2565" s="6" t="n">
        <v>64000</v>
      </c>
      <c r="N2565" s="5" t="n"/>
      <c r="O2565" s="5">
        <f>IF(AND(ISNUMBER(N2565),ISNUMBER(M2565)),N2565-M2565,"")</f>
        <v/>
      </c>
      <c r="P2565" s="7">
        <f>IF(AND(ISNUMBER(N2565),ISNUMBER(M2565),M2565&gt;0),(N2565-M2565)/M2565,"")</f>
        <v/>
      </c>
      <c r="Q2565" s="3">
        <f>IF(P2565="","",IF(P2565&lt;-0.02,"🔴 Bán phá giá sàn",IF(P2565&gt;0.05,"🔵 Bán cao hơn","🟢 Đúng giá sàn TMĐT")))</f>
        <v/>
      </c>
      <c r="R2565" s="3" t="n"/>
      <c r="S2565" s="4" t="n"/>
      <c r="T2565" s="4" t="n"/>
    </row>
    <row r="2566">
      <c r="A2566" s="3" t="n">
        <v>2565</v>
      </c>
      <c r="B2566" s="3" t="inlineStr">
        <is>
          <t>DL022</t>
        </is>
      </c>
      <c r="C2566" s="4" t="inlineStr">
        <is>
          <t>ĐL Đà Nẵng - Phú Vinh</t>
        </is>
      </c>
      <c r="D2566" s="3" t="inlineStr">
        <is>
          <t>Đà Nẵng</t>
        </is>
      </c>
      <c r="E2566" s="3" t="inlineStr">
        <is>
          <t>THÙY TRANG</t>
        </is>
      </c>
      <c r="F2566" s="3" t="inlineStr">
        <is>
          <t>Shopee, Tiktok</t>
        </is>
      </c>
      <c r="G2566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6" s="3" t="inlineStr">
        <is>
          <t>KV2-6150</t>
        </is>
      </c>
      <c r="I2566" s="4" t="inlineStr">
        <is>
          <t>Tuốc nơ vít đa năng S2 KV2-6*150</t>
        </is>
      </c>
      <c r="J2566" s="3" t="inlineStr">
        <is>
          <t>Cái</t>
        </is>
      </c>
      <c r="K2566" s="5" t="n">
        <v>46000</v>
      </c>
      <c r="L2566" s="5" t="n">
        <v>54000</v>
      </c>
      <c r="M2566" s="6" t="n">
        <v>67000</v>
      </c>
      <c r="N2566" s="5" t="n"/>
      <c r="O2566" s="5">
        <f>IF(AND(ISNUMBER(N2566),ISNUMBER(M2566)),N2566-M2566,"")</f>
        <v/>
      </c>
      <c r="P2566" s="7">
        <f>IF(AND(ISNUMBER(N2566),ISNUMBER(M2566),M2566&gt;0),(N2566-M2566)/M2566,"")</f>
        <v/>
      </c>
      <c r="Q2566" s="3">
        <f>IF(P2566="","",IF(P2566&lt;-0.02,"🔴 Bán phá giá sàn",IF(P2566&gt;0.05,"🔵 Bán cao hơn","🟢 Đúng giá sàn TMĐT")))</f>
        <v/>
      </c>
      <c r="R2566" s="3" t="n"/>
      <c r="S2566" s="4" t="n"/>
      <c r="T2566" s="4" t="n"/>
    </row>
    <row r="2567">
      <c r="A2567" s="3" t="n">
        <v>2566</v>
      </c>
      <c r="B2567" s="3" t="inlineStr">
        <is>
          <t>DL022</t>
        </is>
      </c>
      <c r="C2567" s="4" t="inlineStr">
        <is>
          <t>ĐL Đà Nẵng - Phú Vinh</t>
        </is>
      </c>
      <c r="D2567" s="3" t="inlineStr">
        <is>
          <t>Đà Nẵng</t>
        </is>
      </c>
      <c r="E2567" s="3" t="inlineStr">
        <is>
          <t>THÙY TRANG</t>
        </is>
      </c>
      <c r="F2567" s="3" t="inlineStr">
        <is>
          <t>Shopee, Tiktok</t>
        </is>
      </c>
      <c r="G2567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7" s="3" t="inlineStr">
        <is>
          <t>KV2-6200</t>
        </is>
      </c>
      <c r="I2567" s="4" t="inlineStr">
        <is>
          <t>Tuốc nơ vít đa năng S2 KV2-6*200</t>
        </is>
      </c>
      <c r="J2567" s="3" t="inlineStr">
        <is>
          <t>Cái</t>
        </is>
      </c>
      <c r="K2567" s="5" t="n">
        <v>48000</v>
      </c>
      <c r="L2567" s="5" t="n">
        <v>57000</v>
      </c>
      <c r="M2567" s="6" t="n">
        <v>70000</v>
      </c>
      <c r="N2567" s="5" t="n"/>
      <c r="O2567" s="5">
        <f>IF(AND(ISNUMBER(N2567),ISNUMBER(M2567)),N2567-M2567,"")</f>
        <v/>
      </c>
      <c r="P2567" s="7">
        <f>IF(AND(ISNUMBER(N2567),ISNUMBER(M2567),M2567&gt;0),(N2567-M2567)/M2567,"")</f>
        <v/>
      </c>
      <c r="Q2567" s="3">
        <f>IF(P2567="","",IF(P2567&lt;-0.02,"🔴 Bán phá giá sàn",IF(P2567&gt;0.05,"🔵 Bán cao hơn","🟢 Đúng giá sàn TMĐT")))</f>
        <v/>
      </c>
      <c r="R2567" s="3" t="n"/>
      <c r="S2567" s="4" t="n"/>
      <c r="T2567" s="4" t="n"/>
    </row>
    <row r="2568">
      <c r="A2568" s="3" t="n">
        <v>2567</v>
      </c>
      <c r="B2568" s="3" t="inlineStr">
        <is>
          <t>DL022</t>
        </is>
      </c>
      <c r="C2568" s="4" t="inlineStr">
        <is>
          <t>ĐL Đà Nẵng - Phú Vinh</t>
        </is>
      </c>
      <c r="D2568" s="3" t="inlineStr">
        <is>
          <t>Đà Nẵng</t>
        </is>
      </c>
      <c r="E2568" s="3" t="inlineStr">
        <is>
          <t>THÙY TRANG</t>
        </is>
      </c>
      <c r="F2568" s="3" t="inlineStr">
        <is>
          <t>Shopee, Tiktok</t>
        </is>
      </c>
      <c r="G2568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8" s="3" t="inlineStr">
        <is>
          <t>KM12</t>
        </is>
      </c>
      <c r="I2568" s="4" t="inlineStr">
        <is>
          <t>Tuýp KM12</t>
        </is>
      </c>
      <c r="J2568" s="3" t="inlineStr">
        <is>
          <t>Cái</t>
        </is>
      </c>
      <c r="K2568" s="5" t="n">
        <v>17000</v>
      </c>
      <c r="L2568" s="5" t="n">
        <v>20000</v>
      </c>
      <c r="M2568" s="6" t="n">
        <v>25000</v>
      </c>
      <c r="N2568" s="5" t="n"/>
      <c r="O2568" s="5">
        <f>IF(AND(ISNUMBER(N2568),ISNUMBER(M2568)),N2568-M2568,"")</f>
        <v/>
      </c>
      <c r="P2568" s="7">
        <f>IF(AND(ISNUMBER(N2568),ISNUMBER(M2568),M2568&gt;0),(N2568-M2568)/M2568,"")</f>
        <v/>
      </c>
      <c r="Q2568" s="3">
        <f>IF(P2568="","",IF(P2568&lt;-0.02,"🔴 Bán phá giá sàn",IF(P2568&gt;0.05,"🔵 Bán cao hơn","🟢 Đúng giá sàn TMĐT")))</f>
        <v/>
      </c>
      <c r="R2568" s="3" t="n"/>
      <c r="S2568" s="4" t="n"/>
      <c r="T2568" s="4" t="n"/>
    </row>
    <row r="2569">
      <c r="A2569" s="3" t="n">
        <v>2568</v>
      </c>
      <c r="B2569" s="3" t="inlineStr">
        <is>
          <t>DL022</t>
        </is>
      </c>
      <c r="C2569" s="4" t="inlineStr">
        <is>
          <t>ĐL Đà Nẵng - Phú Vinh</t>
        </is>
      </c>
      <c r="D2569" s="3" t="inlineStr">
        <is>
          <t>Đà Nẵng</t>
        </is>
      </c>
      <c r="E2569" s="3" t="inlineStr">
        <is>
          <t>THÙY TRANG</t>
        </is>
      </c>
      <c r="F2569" s="3" t="inlineStr">
        <is>
          <t>Shopee, Tiktok</t>
        </is>
      </c>
      <c r="G2569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69" s="3" t="inlineStr">
        <is>
          <t>KFJ-432</t>
        </is>
      </c>
      <c r="I2569" s="4" t="inlineStr">
        <is>
          <t>Vít bê tông không dùng tắc kê KFJ-432</t>
        </is>
      </c>
      <c r="J2569" s="3" t="inlineStr">
        <is>
          <t>Hộp</t>
        </is>
      </c>
      <c r="K2569" s="5" t="n">
        <v>81000</v>
      </c>
      <c r="L2569" s="5" t="n">
        <v>101000</v>
      </c>
      <c r="M2569" s="6" t="n">
        <v>130000</v>
      </c>
      <c r="N2569" s="5" t="n"/>
      <c r="O2569" s="5">
        <f>IF(AND(ISNUMBER(N2569),ISNUMBER(M2569)),N2569-M2569,"")</f>
        <v/>
      </c>
      <c r="P2569" s="7">
        <f>IF(AND(ISNUMBER(N2569),ISNUMBER(M2569),M2569&gt;0),(N2569-M2569)/M2569,"")</f>
        <v/>
      </c>
      <c r="Q2569" s="3">
        <f>IF(P2569="","",IF(P2569&lt;-0.02,"🔴 Bán phá giá sàn",IF(P2569&gt;0.05,"🔵 Bán cao hơn","🟢 Đúng giá sàn TMĐT")))</f>
        <v/>
      </c>
      <c r="R2569" s="3" t="n"/>
      <c r="S2569" s="4" t="n"/>
      <c r="T2569" s="4" t="n"/>
    </row>
    <row r="2570">
      <c r="A2570" s="3" t="n">
        <v>2569</v>
      </c>
      <c r="B2570" s="3" t="inlineStr">
        <is>
          <t>DL022</t>
        </is>
      </c>
      <c r="C2570" s="4" t="inlineStr">
        <is>
          <t>ĐL Đà Nẵng - Phú Vinh</t>
        </is>
      </c>
      <c r="D2570" s="3" t="inlineStr">
        <is>
          <t>Đà Nẵng</t>
        </is>
      </c>
      <c r="E2570" s="3" t="inlineStr">
        <is>
          <t>THÙY TRANG</t>
        </is>
      </c>
      <c r="F2570" s="3" t="inlineStr">
        <is>
          <t>Shopee, Tiktok</t>
        </is>
      </c>
      <c r="G2570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570" s="3" t="inlineStr">
        <is>
          <t>KFJ-438</t>
        </is>
      </c>
      <c r="I2570" s="4" t="inlineStr">
        <is>
          <t>Vít bê tông không dùng tắc kê KFJ-438</t>
        </is>
      </c>
      <c r="J2570" s="3" t="inlineStr">
        <is>
          <t>Hộp</t>
        </is>
      </c>
      <c r="K2570" s="5" t="n">
        <v>81000</v>
      </c>
      <c r="L2570" s="5" t="n">
        <v>101000</v>
      </c>
      <c r="M2570" s="6" t="n">
        <v>130000</v>
      </c>
      <c r="N2570" s="5" t="n"/>
      <c r="O2570" s="5">
        <f>IF(AND(ISNUMBER(N2570),ISNUMBER(M2570)),N2570-M2570,"")</f>
        <v/>
      </c>
      <c r="P2570" s="7">
        <f>IF(AND(ISNUMBER(N2570),ISNUMBER(M2570),M2570&gt;0),(N2570-M2570)/M2570,"")</f>
        <v/>
      </c>
      <c r="Q2570" s="3">
        <f>IF(P2570="","",IF(P2570&lt;-0.02,"🔴 Bán phá giá sàn",IF(P2570&gt;0.05,"🔵 Bán cao hơn","🟢 Đúng giá sàn TMĐT")))</f>
        <v/>
      </c>
      <c r="R2570" s="3" t="n"/>
      <c r="S2570" s="4" t="n"/>
      <c r="T2570" s="4" t="n"/>
    </row>
    <row r="2571">
      <c r="A2571" s="3" t="n">
        <v>2570</v>
      </c>
      <c r="B2571" s="3" t="inlineStr">
        <is>
          <t>DL023</t>
        </is>
      </c>
      <c r="C2571" s="4" t="inlineStr">
        <is>
          <t>Điện máy Quang Tâm</t>
        </is>
      </c>
      <c r="D2571" s="3" t="inlineStr">
        <is>
          <t>HN</t>
        </is>
      </c>
      <c r="E2571" s="3" t="inlineStr">
        <is>
          <t>ĐIỆP</t>
        </is>
      </c>
      <c r="F2571" s="3" t="inlineStr">
        <is>
          <t>Shopee</t>
        </is>
      </c>
      <c r="G2571" s="4" t="inlineStr">
        <is>
          <t>SHOPEE: https://shopee.vn/dienmaycokhi_quangtam TIKTOK: LAZADA: WEBSITE BÁN HÀNG:</t>
        </is>
      </c>
      <c r="H2571" s="3" t="inlineStr">
        <is>
          <t>KV8-113</t>
        </is>
      </c>
      <c r="I2571" s="4" t="inlineStr">
        <is>
          <t>Bộ tuốc nơ vít ĐN cao cấp 113 chi tiết KV8-113</t>
        </is>
      </c>
      <c r="J2571" s="3" t="inlineStr">
        <is>
          <t>Bộ</t>
        </is>
      </c>
      <c r="K2571" s="5" t="n">
        <v>372000</v>
      </c>
      <c r="L2571" s="5" t="n">
        <v>439000</v>
      </c>
      <c r="M2571" s="6" t="n">
        <v>539000</v>
      </c>
      <c r="N2571" s="5" t="n"/>
      <c r="O2571" s="5">
        <f>IF(AND(ISNUMBER(N2571),ISNUMBER(M2571)),N2571-M2571,"")</f>
        <v/>
      </c>
      <c r="P2571" s="7">
        <f>IF(AND(ISNUMBER(N2571),ISNUMBER(M2571),M2571&gt;0),(N2571-M2571)/M2571,"")</f>
        <v/>
      </c>
      <c r="Q2571" s="3">
        <f>IF(P2571="","",IF(P2571&lt;-0.02,"🔴 Bán phá giá sàn",IF(P2571&gt;0.05,"🔵 Bán cao hơn","🟢 Đúng giá sàn TMĐT")))</f>
        <v/>
      </c>
      <c r="R2571" s="3" t="n"/>
      <c r="S2571" s="4" t="n"/>
      <c r="T2571" s="4" t="n"/>
    </row>
    <row r="2572">
      <c r="A2572" s="3" t="n">
        <v>2571</v>
      </c>
      <c r="B2572" s="3" t="inlineStr">
        <is>
          <t>DL023</t>
        </is>
      </c>
      <c r="C2572" s="4" t="inlineStr">
        <is>
          <t>Điện máy Quang Tâm</t>
        </is>
      </c>
      <c r="D2572" s="3" t="inlineStr">
        <is>
          <t>HN</t>
        </is>
      </c>
      <c r="E2572" s="3" t="inlineStr">
        <is>
          <t>ĐIỆP</t>
        </is>
      </c>
      <c r="F2572" s="3" t="inlineStr">
        <is>
          <t>Shopee</t>
        </is>
      </c>
      <c r="G2572" s="4" t="inlineStr">
        <is>
          <t>SHOPEE: https://shopee.vn/dienmaycokhi_quangtam TIKTOK: LAZADA: WEBSITE BÁN HÀNG:</t>
        </is>
      </c>
      <c r="H2572" s="3" t="inlineStr">
        <is>
          <t>KH3-08</t>
        </is>
      </c>
      <c r="I2572" s="4" t="inlineStr">
        <is>
          <t>Cờ lê vòng miệng tự động ( càng cua đảo chiều) KH3-08</t>
        </is>
      </c>
      <c r="J2572" s="3" t="inlineStr">
        <is>
          <t>Cái</t>
        </is>
      </c>
      <c r="K2572" s="5" t="n">
        <v>54000</v>
      </c>
      <c r="L2572" s="5" t="n">
        <v>64000</v>
      </c>
      <c r="M2572" s="6" t="n">
        <v>78000</v>
      </c>
      <c r="N2572" s="5" t="n"/>
      <c r="O2572" s="5">
        <f>IF(AND(ISNUMBER(N2572),ISNUMBER(M2572)),N2572-M2572,"")</f>
        <v/>
      </c>
      <c r="P2572" s="7">
        <f>IF(AND(ISNUMBER(N2572),ISNUMBER(M2572),M2572&gt;0),(N2572-M2572)/M2572,"")</f>
        <v/>
      </c>
      <c r="Q2572" s="3">
        <f>IF(P2572="","",IF(P2572&lt;-0.02,"🔴 Bán phá giá sàn",IF(P2572&gt;0.05,"🔵 Bán cao hơn","🟢 Đúng giá sàn TMĐT")))</f>
        <v/>
      </c>
      <c r="R2572" s="3" t="n"/>
      <c r="S2572" s="4" t="n"/>
      <c r="T2572" s="4" t="n"/>
    </row>
    <row r="2573">
      <c r="A2573" s="3" t="n">
        <v>2572</v>
      </c>
      <c r="B2573" s="3" t="inlineStr">
        <is>
          <t>DL023</t>
        </is>
      </c>
      <c r="C2573" s="4" t="inlineStr">
        <is>
          <t>Điện máy Quang Tâm</t>
        </is>
      </c>
      <c r="D2573" s="3" t="inlineStr">
        <is>
          <t>HN</t>
        </is>
      </c>
      <c r="E2573" s="3" t="inlineStr">
        <is>
          <t>ĐIỆP</t>
        </is>
      </c>
      <c r="F2573" s="3" t="inlineStr">
        <is>
          <t>Shopee</t>
        </is>
      </c>
      <c r="G2573" s="4" t="inlineStr">
        <is>
          <t>SHOPEE: https://shopee.vn/dienmaycokhi_quangtam TIKTOK: LAZADA: WEBSITE BÁN HÀNG:</t>
        </is>
      </c>
      <c r="H2573" s="3" t="inlineStr">
        <is>
          <t>KH3-10</t>
        </is>
      </c>
      <c r="I2573" s="4" t="inlineStr">
        <is>
          <t>Cờ lê vòng miệng tự động ( càng cua đảo chiều) KH3-10</t>
        </is>
      </c>
      <c r="J2573" s="3" t="inlineStr">
        <is>
          <t>Cái</t>
        </is>
      </c>
      <c r="K2573" s="5" t="n">
        <v>62000</v>
      </c>
      <c r="L2573" s="5" t="n">
        <v>73000</v>
      </c>
      <c r="M2573" s="6" t="n">
        <v>90000</v>
      </c>
      <c r="N2573" s="5" t="n"/>
      <c r="O2573" s="5">
        <f>IF(AND(ISNUMBER(N2573),ISNUMBER(M2573)),N2573-M2573,"")</f>
        <v/>
      </c>
      <c r="P2573" s="7">
        <f>IF(AND(ISNUMBER(N2573),ISNUMBER(M2573),M2573&gt;0),(N2573-M2573)/M2573,"")</f>
        <v/>
      </c>
      <c r="Q2573" s="3">
        <f>IF(P2573="","",IF(P2573&lt;-0.02,"🔴 Bán phá giá sàn",IF(P2573&gt;0.05,"🔵 Bán cao hơn","🟢 Đúng giá sàn TMĐT")))</f>
        <v/>
      </c>
      <c r="R2573" s="3" t="n"/>
      <c r="S2573" s="4" t="n"/>
      <c r="T2573" s="4" t="n"/>
    </row>
    <row r="2574">
      <c r="A2574" s="3" t="n">
        <v>2573</v>
      </c>
      <c r="B2574" s="3" t="inlineStr">
        <is>
          <t>DL023</t>
        </is>
      </c>
      <c r="C2574" s="4" t="inlineStr">
        <is>
          <t>Điện máy Quang Tâm</t>
        </is>
      </c>
      <c r="D2574" s="3" t="inlineStr">
        <is>
          <t>HN</t>
        </is>
      </c>
      <c r="E2574" s="3" t="inlineStr">
        <is>
          <t>ĐIỆP</t>
        </is>
      </c>
      <c r="F2574" s="3" t="inlineStr">
        <is>
          <t>Shopee</t>
        </is>
      </c>
      <c r="G2574" s="4" t="inlineStr">
        <is>
          <t>SHOPEE: https://shopee.vn/dienmaycokhi_quangtam TIKTOK: LAZADA: WEBSITE BÁN HÀNG:</t>
        </is>
      </c>
      <c r="H2574" s="3" t="inlineStr">
        <is>
          <t>KH3-12</t>
        </is>
      </c>
      <c r="I2574" s="4" t="inlineStr">
        <is>
          <t>Cờ lê vòng miệng tự động ( càng cua đảo chiều) KH3-12</t>
        </is>
      </c>
      <c r="J2574" s="3" t="inlineStr">
        <is>
          <t>Cái</t>
        </is>
      </c>
      <c r="K2574" s="5" t="n">
        <v>70000</v>
      </c>
      <c r="L2574" s="5" t="n">
        <v>83000</v>
      </c>
      <c r="M2574" s="6" t="n">
        <v>102000</v>
      </c>
      <c r="N2574" s="5" t="n"/>
      <c r="O2574" s="5">
        <f>IF(AND(ISNUMBER(N2574),ISNUMBER(M2574)),N2574-M2574,"")</f>
        <v/>
      </c>
      <c r="P2574" s="7">
        <f>IF(AND(ISNUMBER(N2574),ISNUMBER(M2574),M2574&gt;0),(N2574-M2574)/M2574,"")</f>
        <v/>
      </c>
      <c r="Q2574" s="3">
        <f>IF(P2574="","",IF(P2574&lt;-0.02,"🔴 Bán phá giá sàn",IF(P2574&gt;0.05,"🔵 Bán cao hơn","🟢 Đúng giá sàn TMĐT")))</f>
        <v/>
      </c>
      <c r="R2574" s="3" t="n"/>
      <c r="S2574" s="4" t="n"/>
      <c r="T2574" s="4" t="n"/>
    </row>
    <row r="2575">
      <c r="A2575" s="3" t="n">
        <v>2574</v>
      </c>
      <c r="B2575" s="3" t="inlineStr">
        <is>
          <t>DL023</t>
        </is>
      </c>
      <c r="C2575" s="4" t="inlineStr">
        <is>
          <t>Điện máy Quang Tâm</t>
        </is>
      </c>
      <c r="D2575" s="3" t="inlineStr">
        <is>
          <t>HN</t>
        </is>
      </c>
      <c r="E2575" s="3" t="inlineStr">
        <is>
          <t>ĐIỆP</t>
        </is>
      </c>
      <c r="F2575" s="3" t="inlineStr">
        <is>
          <t>Shopee</t>
        </is>
      </c>
      <c r="G2575" s="4" t="inlineStr">
        <is>
          <t>SHOPEE: https://shopee.vn/dienmaycokhi_quangtam TIKTOK: LAZADA: WEBSITE BÁN HÀNG:</t>
        </is>
      </c>
      <c r="H2575" s="3" t="inlineStr">
        <is>
          <t>KH3-13</t>
        </is>
      </c>
      <c r="I2575" s="4" t="inlineStr">
        <is>
          <t>Cờ lê vòng miệng tự động ( càng cua đảo chiều) KH3-13</t>
        </is>
      </c>
      <c r="J2575" s="3" t="inlineStr">
        <is>
          <t>Cái</t>
        </is>
      </c>
      <c r="K2575" s="5" t="n">
        <v>75000</v>
      </c>
      <c r="L2575" s="5" t="n">
        <v>89000</v>
      </c>
      <c r="M2575" s="6" t="n">
        <v>109000</v>
      </c>
      <c r="N2575" s="5" t="n"/>
      <c r="O2575" s="5">
        <f>IF(AND(ISNUMBER(N2575),ISNUMBER(M2575)),N2575-M2575,"")</f>
        <v/>
      </c>
      <c r="P2575" s="7">
        <f>IF(AND(ISNUMBER(N2575),ISNUMBER(M2575),M2575&gt;0),(N2575-M2575)/M2575,"")</f>
        <v/>
      </c>
      <c r="Q2575" s="3">
        <f>IF(P2575="","",IF(P2575&lt;-0.02,"🔴 Bán phá giá sàn",IF(P2575&gt;0.05,"🔵 Bán cao hơn","🟢 Đúng giá sàn TMĐT")))</f>
        <v/>
      </c>
      <c r="R2575" s="3" t="n"/>
      <c r="S2575" s="4" t="n"/>
      <c r="T2575" s="4" t="n"/>
    </row>
    <row r="2576">
      <c r="A2576" s="3" t="n">
        <v>2575</v>
      </c>
      <c r="B2576" s="3" t="inlineStr">
        <is>
          <t>DL023</t>
        </is>
      </c>
      <c r="C2576" s="4" t="inlineStr">
        <is>
          <t>Điện máy Quang Tâm</t>
        </is>
      </c>
      <c r="D2576" s="3" t="inlineStr">
        <is>
          <t>HN</t>
        </is>
      </c>
      <c r="E2576" s="3" t="inlineStr">
        <is>
          <t>ĐIỆP</t>
        </is>
      </c>
      <c r="F2576" s="3" t="inlineStr">
        <is>
          <t>Shopee</t>
        </is>
      </c>
      <c r="G2576" s="4" t="inlineStr">
        <is>
          <t>SHOPEE: https://shopee.vn/dienmaycokhi_quangtam TIKTOK: LAZADA: WEBSITE BÁN HÀNG:</t>
        </is>
      </c>
      <c r="H2576" s="3" t="inlineStr">
        <is>
          <t>KH3-14</t>
        </is>
      </c>
      <c r="I2576" s="4" t="inlineStr">
        <is>
          <t>Cờ lê vòng miệng tự động ( càng cua đảo chiều) KH3-14</t>
        </is>
      </c>
      <c r="J2576" s="3" t="inlineStr">
        <is>
          <t>Cái</t>
        </is>
      </c>
      <c r="K2576" s="5" t="n">
        <v>79000</v>
      </c>
      <c r="L2576" s="5" t="n">
        <v>93000</v>
      </c>
      <c r="M2576" s="6" t="n">
        <v>115000</v>
      </c>
      <c r="N2576" s="5" t="n"/>
      <c r="O2576" s="5">
        <f>IF(AND(ISNUMBER(N2576),ISNUMBER(M2576)),N2576-M2576,"")</f>
        <v/>
      </c>
      <c r="P2576" s="7">
        <f>IF(AND(ISNUMBER(N2576),ISNUMBER(M2576),M2576&gt;0),(N2576-M2576)/M2576,"")</f>
        <v/>
      </c>
      <c r="Q2576" s="3">
        <f>IF(P2576="","",IF(P2576&lt;-0.02,"🔴 Bán phá giá sàn",IF(P2576&gt;0.05,"🔵 Bán cao hơn","🟢 Đúng giá sàn TMĐT")))</f>
        <v/>
      </c>
      <c r="R2576" s="3" t="n"/>
      <c r="S2576" s="4" t="n"/>
      <c r="T2576" s="4" t="n"/>
    </row>
    <row r="2577">
      <c r="A2577" s="3" t="n">
        <v>2576</v>
      </c>
      <c r="B2577" s="3" t="inlineStr">
        <is>
          <t>DL023</t>
        </is>
      </c>
      <c r="C2577" s="4" t="inlineStr">
        <is>
          <t>Điện máy Quang Tâm</t>
        </is>
      </c>
      <c r="D2577" s="3" t="inlineStr">
        <is>
          <t>HN</t>
        </is>
      </c>
      <c r="E2577" s="3" t="inlineStr">
        <is>
          <t>ĐIỆP</t>
        </is>
      </c>
      <c r="F2577" s="3" t="inlineStr">
        <is>
          <t>Shopee</t>
        </is>
      </c>
      <c r="G2577" s="4" t="inlineStr">
        <is>
          <t>SHOPEE: https://shopee.vn/dienmaycokhi_quangtam TIKTOK: LAZADA: WEBSITE BÁN HÀNG:</t>
        </is>
      </c>
      <c r="H2577" s="3" t="inlineStr">
        <is>
          <t>KH3-17</t>
        </is>
      </c>
      <c r="I2577" s="4" t="inlineStr">
        <is>
          <t>Cờ lê vòng miệng tự động ( càng cua đảo chiều) KH3-17</t>
        </is>
      </c>
      <c r="J2577" s="3" t="inlineStr">
        <is>
          <t>Cái</t>
        </is>
      </c>
      <c r="K2577" s="5" t="n">
        <v>97000</v>
      </c>
      <c r="L2577" s="5" t="n">
        <v>115000</v>
      </c>
      <c r="M2577" s="6" t="n">
        <v>141000</v>
      </c>
      <c r="N2577" s="5" t="n"/>
      <c r="O2577" s="5">
        <f>IF(AND(ISNUMBER(N2577),ISNUMBER(M2577)),N2577-M2577,"")</f>
        <v/>
      </c>
      <c r="P2577" s="7">
        <f>IF(AND(ISNUMBER(N2577),ISNUMBER(M2577),M2577&gt;0),(N2577-M2577)/M2577,"")</f>
        <v/>
      </c>
      <c r="Q2577" s="3">
        <f>IF(P2577="","",IF(P2577&lt;-0.02,"🔴 Bán phá giá sàn",IF(P2577&gt;0.05,"🔵 Bán cao hơn","🟢 Đúng giá sàn TMĐT")))</f>
        <v/>
      </c>
      <c r="R2577" s="3" t="n"/>
      <c r="S2577" s="4" t="n"/>
      <c r="T2577" s="4" t="n"/>
    </row>
    <row r="2578">
      <c r="A2578" s="3" t="n">
        <v>2577</v>
      </c>
      <c r="B2578" s="3" t="inlineStr">
        <is>
          <t>DL023</t>
        </is>
      </c>
      <c r="C2578" s="4" t="inlineStr">
        <is>
          <t>Điện máy Quang Tâm</t>
        </is>
      </c>
      <c r="D2578" s="3" t="inlineStr">
        <is>
          <t>HN</t>
        </is>
      </c>
      <c r="E2578" s="3" t="inlineStr">
        <is>
          <t>ĐIỆP</t>
        </is>
      </c>
      <c r="F2578" s="3" t="inlineStr">
        <is>
          <t>Shopee</t>
        </is>
      </c>
      <c r="G2578" s="4" t="inlineStr">
        <is>
          <t>SHOPEE: https://shopee.vn/dienmaycokhi_quangtam TIKTOK: LAZADA: WEBSITE BÁN HÀNG:</t>
        </is>
      </c>
      <c r="H2578" s="3" t="inlineStr">
        <is>
          <t>KH3-19</t>
        </is>
      </c>
      <c r="I2578" s="4" t="inlineStr">
        <is>
          <t>Cờ lê vòng miệng tự động ( càng cua đảo chiều) KH3-19</t>
        </is>
      </c>
      <c r="J2578" s="3" t="inlineStr">
        <is>
          <t>Cái</t>
        </is>
      </c>
      <c r="K2578" s="5" t="n">
        <v>108000</v>
      </c>
      <c r="L2578" s="5" t="n">
        <v>128000</v>
      </c>
      <c r="M2578" s="6" t="n">
        <v>157000</v>
      </c>
      <c r="N2578" s="5" t="n"/>
      <c r="O2578" s="5">
        <f>IF(AND(ISNUMBER(N2578),ISNUMBER(M2578)),N2578-M2578,"")</f>
        <v/>
      </c>
      <c r="P2578" s="7">
        <f>IF(AND(ISNUMBER(N2578),ISNUMBER(M2578),M2578&gt;0),(N2578-M2578)/M2578,"")</f>
        <v/>
      </c>
      <c r="Q2578" s="3">
        <f>IF(P2578="","",IF(P2578&lt;-0.02,"🔴 Bán phá giá sàn",IF(P2578&gt;0.05,"🔵 Bán cao hơn","🟢 Đúng giá sàn TMĐT")))</f>
        <v/>
      </c>
      <c r="R2578" s="3" t="n"/>
      <c r="S2578" s="4" t="n"/>
      <c r="T2578" s="4" t="n"/>
    </row>
    <row r="2579">
      <c r="A2579" s="3" t="n">
        <v>2578</v>
      </c>
      <c r="B2579" s="3" t="inlineStr">
        <is>
          <t>DL023</t>
        </is>
      </c>
      <c r="C2579" s="4" t="inlineStr">
        <is>
          <t>Điện máy Quang Tâm</t>
        </is>
      </c>
      <c r="D2579" s="3" t="inlineStr">
        <is>
          <t>HN</t>
        </is>
      </c>
      <c r="E2579" s="3" t="inlineStr">
        <is>
          <t>ĐIỆP</t>
        </is>
      </c>
      <c r="F2579" s="3" t="inlineStr">
        <is>
          <t>Shopee</t>
        </is>
      </c>
      <c r="G2579" s="4" t="inlineStr">
        <is>
          <t>SHOPEE: https://shopee.vn/dienmaycokhi_quangtam TIKTOK: LAZADA: WEBSITE BÁN HÀNG:</t>
        </is>
      </c>
      <c r="H2579" s="3" t="inlineStr">
        <is>
          <t>KPC-242</t>
        </is>
      </c>
      <c r="I2579" s="4" t="inlineStr">
        <is>
          <t>Kéo cắt ống KPC-242</t>
        </is>
      </c>
      <c r="J2579" s="3" t="inlineStr">
        <is>
          <t>Cái</t>
        </is>
      </c>
      <c r="K2579" s="5" t="n">
        <v>172000</v>
      </c>
      <c r="L2579" s="5" t="n">
        <v>203000</v>
      </c>
      <c r="M2579" s="6" t="n">
        <v>249000</v>
      </c>
      <c r="N2579" s="5" t="n"/>
      <c r="O2579" s="5">
        <f>IF(AND(ISNUMBER(N2579),ISNUMBER(M2579)),N2579-M2579,"")</f>
        <v/>
      </c>
      <c r="P2579" s="7">
        <f>IF(AND(ISNUMBER(N2579),ISNUMBER(M2579),M2579&gt;0),(N2579-M2579)/M2579,"")</f>
        <v/>
      </c>
      <c r="Q2579" s="3">
        <f>IF(P2579="","",IF(P2579&lt;-0.02,"🔴 Bán phá giá sàn",IF(P2579&gt;0.05,"🔵 Bán cao hơn","🟢 Đúng giá sàn TMĐT")))</f>
        <v/>
      </c>
      <c r="R2579" s="3" t="n"/>
      <c r="S2579" s="4" t="n"/>
      <c r="T2579" s="4" t="n"/>
    </row>
    <row r="2580">
      <c r="A2580" s="3" t="n">
        <v>2579</v>
      </c>
      <c r="B2580" s="3" t="inlineStr">
        <is>
          <t>DL023</t>
        </is>
      </c>
      <c r="C2580" s="4" t="inlineStr">
        <is>
          <t>Điện máy Quang Tâm</t>
        </is>
      </c>
      <c r="D2580" s="3" t="inlineStr">
        <is>
          <t>HN</t>
        </is>
      </c>
      <c r="E2580" s="3" t="inlineStr">
        <is>
          <t>ĐIỆP</t>
        </is>
      </c>
      <c r="F2580" s="3" t="inlineStr">
        <is>
          <t>Shopee</t>
        </is>
      </c>
      <c r="G2580" s="4" t="inlineStr">
        <is>
          <t>SHOPEE: https://shopee.vn/dienmaycokhi_quangtam TIKTOK: LAZADA: WEBSITE BÁN HÀNG:</t>
        </is>
      </c>
      <c r="H2580" s="3" t="inlineStr">
        <is>
          <t>KND185</t>
        </is>
      </c>
      <c r="I2580" s="4" t="inlineStr">
        <is>
          <t>Kìm bấm Cos vuông KND185</t>
        </is>
      </c>
      <c r="J2580" s="3" t="inlineStr">
        <is>
          <t>Cái</t>
        </is>
      </c>
      <c r="K2580" s="5" t="n">
        <v>182000</v>
      </c>
      <c r="L2580" s="5" t="n">
        <v>215000</v>
      </c>
      <c r="M2580" s="6" t="n">
        <v>264000</v>
      </c>
      <c r="N2580" s="5" t="n"/>
      <c r="O2580" s="5">
        <f>IF(AND(ISNUMBER(N2580),ISNUMBER(M2580)),N2580-M2580,"")</f>
        <v/>
      </c>
      <c r="P2580" s="7">
        <f>IF(AND(ISNUMBER(N2580),ISNUMBER(M2580),M2580&gt;0),(N2580-M2580)/M2580,"")</f>
        <v/>
      </c>
      <c r="Q2580" s="3">
        <f>IF(P2580="","",IF(P2580&lt;-0.02,"🔴 Bán phá giá sàn",IF(P2580&gt;0.05,"🔵 Bán cao hơn","🟢 Đúng giá sàn TMĐT")))</f>
        <v/>
      </c>
      <c r="R2580" s="3" t="n"/>
      <c r="S2580" s="4" t="n"/>
      <c r="T2580" s="4" t="n"/>
    </row>
    <row r="2581">
      <c r="A2581" s="3" t="n">
        <v>2580</v>
      </c>
      <c r="B2581" s="3" t="inlineStr">
        <is>
          <t>DL023</t>
        </is>
      </c>
      <c r="C2581" s="4" t="inlineStr">
        <is>
          <t>Điện máy Quang Tâm</t>
        </is>
      </c>
      <c r="D2581" s="3" t="inlineStr">
        <is>
          <t>HN</t>
        </is>
      </c>
      <c r="E2581" s="3" t="inlineStr">
        <is>
          <t>ĐIỆP</t>
        </is>
      </c>
      <c r="F2581" s="3" t="inlineStr">
        <is>
          <t>Shopee</t>
        </is>
      </c>
      <c r="G2581" s="4" t="inlineStr">
        <is>
          <t>SHOPEE: https://shopee.vn/dienmaycokhi_quangtam TIKTOK: LAZADA: WEBSITE BÁN HÀNG:</t>
        </is>
      </c>
      <c r="H2581" s="3" t="inlineStr">
        <is>
          <t>KC3-09</t>
        </is>
      </c>
      <c r="I2581" s="4" t="inlineStr">
        <is>
          <t>Kìm cắt đa năng KC3-09</t>
        </is>
      </c>
      <c r="J2581" s="3" t="inlineStr">
        <is>
          <t>Cái</t>
        </is>
      </c>
      <c r="K2581" s="5" t="n">
        <v>269000</v>
      </c>
      <c r="L2581" s="5" t="n">
        <v>317000</v>
      </c>
      <c r="M2581" s="6" t="n">
        <v>390000</v>
      </c>
      <c r="N2581" s="5" t="n"/>
      <c r="O2581" s="5">
        <f>IF(AND(ISNUMBER(N2581),ISNUMBER(M2581)),N2581-M2581,"")</f>
        <v/>
      </c>
      <c r="P2581" s="7">
        <f>IF(AND(ISNUMBER(N2581),ISNUMBER(M2581),M2581&gt;0),(N2581-M2581)/M2581,"")</f>
        <v/>
      </c>
      <c r="Q2581" s="3">
        <f>IF(P2581="","",IF(P2581&lt;-0.02,"🔴 Bán phá giá sàn",IF(P2581&gt;0.05,"🔵 Bán cao hơn","🟢 Đúng giá sàn TMĐT")))</f>
        <v/>
      </c>
      <c r="R2581" s="3" t="n"/>
      <c r="S2581" s="4" t="n"/>
      <c r="T2581" s="4" t="n"/>
    </row>
    <row r="2582">
      <c r="A2582" s="3" t="n">
        <v>2581</v>
      </c>
      <c r="B2582" s="3" t="inlineStr">
        <is>
          <t>DL023</t>
        </is>
      </c>
      <c r="C2582" s="4" t="inlineStr">
        <is>
          <t>Điện máy Quang Tâm</t>
        </is>
      </c>
      <c r="D2582" s="3" t="inlineStr">
        <is>
          <t>HN</t>
        </is>
      </c>
      <c r="E2582" s="3" t="inlineStr">
        <is>
          <t>ĐIỆP</t>
        </is>
      </c>
      <c r="F2582" s="3" t="inlineStr">
        <is>
          <t>Shopee</t>
        </is>
      </c>
      <c r="G2582" s="4" t="inlineStr">
        <is>
          <t>SHOPEE: https://shopee.vn/dienmaycokhi_quangtam TIKTOK: LAZADA: WEBSITE BÁN HÀNG:</t>
        </is>
      </c>
      <c r="H2582" s="3" t="inlineStr">
        <is>
          <t>KS2-250</t>
        </is>
      </c>
      <c r="I2582" s="4" t="inlineStr">
        <is>
          <t>Kìm chết KS2-250</t>
        </is>
      </c>
      <c r="J2582" s="3" t="inlineStr">
        <is>
          <t>Cái</t>
        </is>
      </c>
      <c r="K2582" s="5" t="n">
        <v>149000</v>
      </c>
      <c r="L2582" s="5" t="n">
        <v>176000</v>
      </c>
      <c r="M2582" s="6" t="n">
        <v>216000</v>
      </c>
      <c r="N2582" s="5" t="n"/>
      <c r="O2582" s="5">
        <f>IF(AND(ISNUMBER(N2582),ISNUMBER(M2582)),N2582-M2582,"")</f>
        <v/>
      </c>
      <c r="P2582" s="7">
        <f>IF(AND(ISNUMBER(N2582),ISNUMBER(M2582),M2582&gt;0),(N2582-M2582)/M2582,"")</f>
        <v/>
      </c>
      <c r="Q2582" s="3">
        <f>IF(P2582="","",IF(P2582&lt;-0.02,"🔴 Bán phá giá sàn",IF(P2582&gt;0.05,"🔵 Bán cao hơn","🟢 Đúng giá sàn TMĐT")))</f>
        <v/>
      </c>
      <c r="R2582" s="3" t="n"/>
      <c r="S2582" s="4" t="n"/>
      <c r="T2582" s="4" t="n"/>
    </row>
    <row r="2583">
      <c r="A2583" s="3" t="n">
        <v>2582</v>
      </c>
      <c r="B2583" s="3" t="inlineStr">
        <is>
          <t>DL023</t>
        </is>
      </c>
      <c r="C2583" s="4" t="inlineStr">
        <is>
          <t>Điện máy Quang Tâm</t>
        </is>
      </c>
      <c r="D2583" s="3" t="inlineStr">
        <is>
          <t>HN</t>
        </is>
      </c>
      <c r="E2583" s="3" t="inlineStr">
        <is>
          <t>ĐIỆP</t>
        </is>
      </c>
      <c r="F2583" s="3" t="inlineStr">
        <is>
          <t>Shopee</t>
        </is>
      </c>
      <c r="G2583" s="4" t="inlineStr">
        <is>
          <t>SHOPEE: https://shopee.vn/dienmaycokhi_quangtam TIKTOK: LAZADA: WEBSITE BÁN HÀNG:</t>
        </is>
      </c>
      <c r="H2583" s="3" t="inlineStr">
        <is>
          <t>KS4-260</t>
        </is>
      </c>
      <c r="I2583" s="4" t="inlineStr">
        <is>
          <t>Kìm chết ngàm rộng 4 chế độ KS4-260</t>
        </is>
      </c>
      <c r="J2583" s="3" t="inlineStr">
        <is>
          <t>Cái</t>
        </is>
      </c>
      <c r="K2583" s="5" t="n">
        <v>270000</v>
      </c>
      <c r="L2583" s="5" t="n">
        <v>319000</v>
      </c>
      <c r="M2583" s="6" t="n">
        <v>392000</v>
      </c>
      <c r="N2583" s="5" t="n"/>
      <c r="O2583" s="5">
        <f>IF(AND(ISNUMBER(N2583),ISNUMBER(M2583)),N2583-M2583,"")</f>
        <v/>
      </c>
      <c r="P2583" s="7">
        <f>IF(AND(ISNUMBER(N2583),ISNUMBER(M2583),M2583&gt;0),(N2583-M2583)/M2583,"")</f>
        <v/>
      </c>
      <c r="Q2583" s="3">
        <f>IF(P2583="","",IF(P2583&lt;-0.02,"🔴 Bán phá giá sàn",IF(P2583&gt;0.05,"🔵 Bán cao hơn","🟢 Đúng giá sàn TMĐT")))</f>
        <v/>
      </c>
      <c r="R2583" s="3" t="n"/>
      <c r="S2583" s="4" t="n"/>
      <c r="T2583" s="4" t="n"/>
    </row>
    <row r="2584">
      <c r="A2584" s="3" t="n">
        <v>2583</v>
      </c>
      <c r="B2584" s="3" t="inlineStr">
        <is>
          <t>DL023</t>
        </is>
      </c>
      <c r="C2584" s="4" t="inlineStr">
        <is>
          <t>Điện máy Quang Tâm</t>
        </is>
      </c>
      <c r="D2584" s="3" t="inlineStr">
        <is>
          <t>HN</t>
        </is>
      </c>
      <c r="E2584" s="3" t="inlineStr">
        <is>
          <t>ĐIỆP</t>
        </is>
      </c>
      <c r="F2584" s="3" t="inlineStr">
        <is>
          <t>Shopee</t>
        </is>
      </c>
      <c r="G2584" s="4" t="inlineStr">
        <is>
          <t>SHOPEE: https://shopee.vn/dienmaycokhi_quangtam TIKTOK: LAZADA: WEBSITE BÁN HÀNG:</t>
        </is>
      </c>
      <c r="H2584" s="3" t="inlineStr">
        <is>
          <t>KC1-09</t>
        </is>
      </c>
      <c r="I2584" s="4" t="inlineStr">
        <is>
          <t>Kìm điện đa năng KC1-09</t>
        </is>
      </c>
      <c r="J2584" s="3" t="inlineStr">
        <is>
          <t>Cái</t>
        </is>
      </c>
      <c r="K2584" s="5" t="n">
        <v>127000</v>
      </c>
      <c r="L2584" s="5" t="n">
        <v>150000</v>
      </c>
      <c r="M2584" s="6" t="n">
        <v>184000</v>
      </c>
      <c r="N2584" s="5" t="n"/>
      <c r="O2584" s="5">
        <f>IF(AND(ISNUMBER(N2584),ISNUMBER(M2584)),N2584-M2584,"")</f>
        <v/>
      </c>
      <c r="P2584" s="7">
        <f>IF(AND(ISNUMBER(N2584),ISNUMBER(M2584),M2584&gt;0),(N2584-M2584)/M2584,"")</f>
        <v/>
      </c>
      <c r="Q2584" s="3">
        <f>IF(P2584="","",IF(P2584&lt;-0.02,"🔴 Bán phá giá sàn",IF(P2584&gt;0.05,"🔵 Bán cao hơn","🟢 Đúng giá sàn TMĐT")))</f>
        <v/>
      </c>
      <c r="R2584" s="3" t="n"/>
      <c r="S2584" s="4" t="n"/>
      <c r="T2584" s="4" t="n"/>
    </row>
    <row r="2585">
      <c r="A2585" s="3" t="n">
        <v>2584</v>
      </c>
      <c r="B2585" s="3" t="inlineStr">
        <is>
          <t>DL023</t>
        </is>
      </c>
      <c r="C2585" s="4" t="inlineStr">
        <is>
          <t>Điện máy Quang Tâm</t>
        </is>
      </c>
      <c r="D2585" s="3" t="inlineStr">
        <is>
          <t>HN</t>
        </is>
      </c>
      <c r="E2585" s="3" t="inlineStr">
        <is>
          <t>ĐIỆP</t>
        </is>
      </c>
      <c r="F2585" s="3" t="inlineStr">
        <is>
          <t>Shopee</t>
        </is>
      </c>
      <c r="G2585" s="4" t="inlineStr">
        <is>
          <t>SHOPEE: https://shopee.vn/dienmaycokhi_quangtam TIKTOK: LAZADA: WEBSITE BÁN HÀNG:</t>
        </is>
      </c>
      <c r="H2585" s="3" t="inlineStr">
        <is>
          <t>KC1-08</t>
        </is>
      </c>
      <c r="I2585" s="4" t="inlineStr">
        <is>
          <t>Kìm điện KC1-08</t>
        </is>
      </c>
      <c r="J2585" s="3" t="inlineStr">
        <is>
          <t>Cái</t>
        </is>
      </c>
      <c r="K2585" s="5" t="n">
        <v>109000</v>
      </c>
      <c r="L2585" s="5" t="n">
        <v>129000</v>
      </c>
      <c r="M2585" s="6" t="n">
        <v>158000</v>
      </c>
      <c r="N2585" s="5" t="n"/>
      <c r="O2585" s="5">
        <f>IF(AND(ISNUMBER(N2585),ISNUMBER(M2585)),N2585-M2585,"")</f>
        <v/>
      </c>
      <c r="P2585" s="7">
        <f>IF(AND(ISNUMBER(N2585),ISNUMBER(M2585),M2585&gt;0),(N2585-M2585)/M2585,"")</f>
        <v/>
      </c>
      <c r="Q2585" s="3">
        <f>IF(P2585="","",IF(P2585&lt;-0.02,"🔴 Bán phá giá sàn",IF(P2585&gt;0.05,"🔵 Bán cao hơn","🟢 Đúng giá sàn TMĐT")))</f>
        <v/>
      </c>
      <c r="R2585" s="3" t="n"/>
      <c r="S2585" s="4" t="n"/>
      <c r="T2585" s="4" t="n"/>
    </row>
    <row r="2586">
      <c r="A2586" s="3" t="n">
        <v>2585</v>
      </c>
      <c r="B2586" s="3" t="inlineStr">
        <is>
          <t>DL023</t>
        </is>
      </c>
      <c r="C2586" s="4" t="inlineStr">
        <is>
          <t>Điện máy Quang Tâm</t>
        </is>
      </c>
      <c r="D2586" s="3" t="inlineStr">
        <is>
          <t>HN</t>
        </is>
      </c>
      <c r="E2586" s="3" t="inlineStr">
        <is>
          <t>ĐIỆP</t>
        </is>
      </c>
      <c r="F2586" s="3" t="inlineStr">
        <is>
          <t>Shopee</t>
        </is>
      </c>
      <c r="G2586" s="4" t="inlineStr">
        <is>
          <t>SHOPEE: https://shopee.vn/dienmaycokhi_quangtam TIKTOK: LAZADA: WEBSITE BÁN HÀNG:</t>
        </is>
      </c>
      <c r="H2586" s="3" t="inlineStr">
        <is>
          <t>300-500A</t>
        </is>
      </c>
      <c r="I2586" s="4" t="inlineStr">
        <is>
          <t>Kìm hàn  KCH-300  (300-500A)</t>
        </is>
      </c>
      <c r="J2586" s="3" t="inlineStr">
        <is>
          <t>Cái</t>
        </is>
      </c>
      <c r="K2586" s="5" t="n">
        <v>269000</v>
      </c>
      <c r="L2586" s="5" t="n">
        <v>317000</v>
      </c>
      <c r="M2586" s="6" t="n">
        <v>390000</v>
      </c>
      <c r="N2586" s="5" t="n"/>
      <c r="O2586" s="5">
        <f>IF(AND(ISNUMBER(N2586),ISNUMBER(M2586)),N2586-M2586,"")</f>
        <v/>
      </c>
      <c r="P2586" s="7">
        <f>IF(AND(ISNUMBER(N2586),ISNUMBER(M2586),M2586&gt;0),(N2586-M2586)/M2586,"")</f>
        <v/>
      </c>
      <c r="Q2586" s="3">
        <f>IF(P2586="","",IF(P2586&lt;-0.02,"🔴 Bán phá giá sàn",IF(P2586&gt;0.05,"🔵 Bán cao hơn","🟢 Đúng giá sàn TMĐT")))</f>
        <v/>
      </c>
      <c r="R2586" s="3" t="n"/>
      <c r="S2586" s="4" t="n"/>
      <c r="T2586" s="4" t="n"/>
    </row>
    <row r="2587">
      <c r="A2587" s="3" t="n">
        <v>2586</v>
      </c>
      <c r="B2587" s="3" t="inlineStr">
        <is>
          <t>DL023</t>
        </is>
      </c>
      <c r="C2587" s="4" t="inlineStr">
        <is>
          <t>Điện máy Quang Tâm</t>
        </is>
      </c>
      <c r="D2587" s="3" t="inlineStr">
        <is>
          <t>HN</t>
        </is>
      </c>
      <c r="E2587" s="3" t="inlineStr">
        <is>
          <t>ĐIỆP</t>
        </is>
      </c>
      <c r="F2587" s="3" t="inlineStr">
        <is>
          <t>Shopee</t>
        </is>
      </c>
      <c r="G2587" s="4" t="inlineStr">
        <is>
          <t>SHOPEE: https://shopee.vn/dienmaycokhi_quangtam TIKTOK: LAZADA: WEBSITE BÁN HÀNG:</t>
        </is>
      </c>
      <c r="H2587" s="3" t="inlineStr">
        <is>
          <t>600-800A</t>
        </is>
      </c>
      <c r="I2587" s="4" t="inlineStr">
        <is>
          <t>Kìm hàn  KCH-600  (600-800A)</t>
        </is>
      </c>
      <c r="J2587" s="3" t="inlineStr">
        <is>
          <t>Cái</t>
        </is>
      </c>
      <c r="K2587" s="5" t="n">
        <v>269000</v>
      </c>
      <c r="L2587" s="5" t="n">
        <v>317000</v>
      </c>
      <c r="M2587" s="6" t="n">
        <v>390000</v>
      </c>
      <c r="N2587" s="5" t="n"/>
      <c r="O2587" s="5">
        <f>IF(AND(ISNUMBER(N2587),ISNUMBER(M2587)),N2587-M2587,"")</f>
        <v/>
      </c>
      <c r="P2587" s="7">
        <f>IF(AND(ISNUMBER(N2587),ISNUMBER(M2587),M2587&gt;0),(N2587-M2587)/M2587,"")</f>
        <v/>
      </c>
      <c r="Q2587" s="3">
        <f>IF(P2587="","",IF(P2587&lt;-0.02,"🔴 Bán phá giá sàn",IF(P2587&gt;0.05,"🔵 Bán cao hơn","🟢 Đúng giá sàn TMĐT")))</f>
        <v/>
      </c>
      <c r="R2587" s="3" t="n"/>
      <c r="S2587" s="4" t="n"/>
      <c r="T2587" s="4" t="n"/>
    </row>
    <row r="2588">
      <c r="A2588" s="3" t="n">
        <v>2587</v>
      </c>
      <c r="B2588" s="3" t="inlineStr">
        <is>
          <t>DL023</t>
        </is>
      </c>
      <c r="C2588" s="4" t="inlineStr">
        <is>
          <t>Điện máy Quang Tâm</t>
        </is>
      </c>
      <c r="D2588" s="3" t="inlineStr">
        <is>
          <t>HN</t>
        </is>
      </c>
      <c r="E2588" s="3" t="inlineStr">
        <is>
          <t>ĐIỆP</t>
        </is>
      </c>
      <c r="F2588" s="3" t="inlineStr">
        <is>
          <t>Shopee</t>
        </is>
      </c>
      <c r="G2588" s="4" t="inlineStr">
        <is>
          <t>SHOPEE: https://shopee.vn/dienmaycokhi_quangtam TIKTOK: LAZADA: WEBSITE BÁN HÀNG:</t>
        </is>
      </c>
      <c r="H2588" s="3" t="inlineStr">
        <is>
          <t>KND205</t>
        </is>
      </c>
      <c r="I2588" s="4" t="inlineStr">
        <is>
          <t>Kìm tuốt dây điện đa năng KND205</t>
        </is>
      </c>
      <c r="J2588" s="3" t="inlineStr">
        <is>
          <t>Cái</t>
        </is>
      </c>
      <c r="K2588" s="5" t="n">
        <v>160000</v>
      </c>
      <c r="L2588" s="5" t="n">
        <v>189000</v>
      </c>
      <c r="M2588" s="6" t="n">
        <v>232000</v>
      </c>
      <c r="N2588" s="5" t="n"/>
      <c r="O2588" s="5">
        <f>IF(AND(ISNUMBER(N2588),ISNUMBER(M2588)),N2588-M2588,"")</f>
        <v/>
      </c>
      <c r="P2588" s="7">
        <f>IF(AND(ISNUMBER(N2588),ISNUMBER(M2588),M2588&gt;0),(N2588-M2588)/M2588,"")</f>
        <v/>
      </c>
      <c r="Q2588" s="3">
        <f>IF(P2588="","",IF(P2588&lt;-0.02,"🔴 Bán phá giá sàn",IF(P2588&gt;0.05,"🔵 Bán cao hơn","🟢 Đúng giá sàn TMĐT")))</f>
        <v/>
      </c>
      <c r="R2588" s="3" t="n"/>
      <c r="S2588" s="4" t="n"/>
      <c r="T2588" s="4" t="n"/>
    </row>
    <row r="2589">
      <c r="A2589" s="3" t="n">
        <v>2588</v>
      </c>
      <c r="B2589" s="3" t="inlineStr">
        <is>
          <t>DL023</t>
        </is>
      </c>
      <c r="C2589" s="4" t="inlineStr">
        <is>
          <t>Điện máy Quang Tâm</t>
        </is>
      </c>
      <c r="D2589" s="3" t="inlineStr">
        <is>
          <t>HN</t>
        </is>
      </c>
      <c r="E2589" s="3" t="inlineStr">
        <is>
          <t>ĐIỆP</t>
        </is>
      </c>
      <c r="F2589" s="3" t="inlineStr">
        <is>
          <t>Shopee</t>
        </is>
      </c>
      <c r="G2589" s="4" t="inlineStr">
        <is>
          <t>SHOPEE: https://shopee.vn/dienmaycokhi_quangtam TIKTOK: LAZADA: WEBSITE BÁN HÀNG:</t>
        </is>
      </c>
      <c r="H2589" s="3" t="inlineStr">
        <is>
          <t>KD1-300</t>
        </is>
      </c>
      <c r="I2589" s="4" t="inlineStr">
        <is>
          <t>Mỏ lết KD1-300</t>
        </is>
      </c>
      <c r="J2589" s="3" t="inlineStr">
        <is>
          <t>Cái</t>
        </is>
      </c>
      <c r="K2589" s="5" t="n">
        <v>165000</v>
      </c>
      <c r="L2589" s="5" t="n">
        <v>195000</v>
      </c>
      <c r="M2589" s="6" t="n">
        <v>239000</v>
      </c>
      <c r="N2589" s="5" t="n"/>
      <c r="O2589" s="5">
        <f>IF(AND(ISNUMBER(N2589),ISNUMBER(M2589)),N2589-M2589,"")</f>
        <v/>
      </c>
      <c r="P2589" s="7">
        <f>IF(AND(ISNUMBER(N2589),ISNUMBER(M2589),M2589&gt;0),(N2589-M2589)/M2589,"")</f>
        <v/>
      </c>
      <c r="Q2589" s="3">
        <f>IF(P2589="","",IF(P2589&lt;-0.02,"🔴 Bán phá giá sàn",IF(P2589&gt;0.05,"🔵 Bán cao hơn","🟢 Đúng giá sàn TMĐT")))</f>
        <v/>
      </c>
      <c r="R2589" s="3" t="n"/>
      <c r="S2589" s="4" t="n"/>
      <c r="T2589" s="4" t="n"/>
    </row>
    <row r="2590">
      <c r="A2590" s="3" t="n">
        <v>2589</v>
      </c>
      <c r="B2590" s="3" t="inlineStr">
        <is>
          <t>DL023</t>
        </is>
      </c>
      <c r="C2590" s="4" t="inlineStr">
        <is>
          <t>Điện máy Quang Tâm</t>
        </is>
      </c>
      <c r="D2590" s="3" t="inlineStr">
        <is>
          <t>HN</t>
        </is>
      </c>
      <c r="E2590" s="3" t="inlineStr">
        <is>
          <t>ĐIỆP</t>
        </is>
      </c>
      <c r="F2590" s="3" t="inlineStr">
        <is>
          <t>Shopee</t>
        </is>
      </c>
      <c r="G2590" s="4" t="inlineStr">
        <is>
          <t>SHOPEE: https://shopee.vn/dienmaycokhi_quangtam TIKTOK: LAZADA: WEBSITE BÁN HÀNG:</t>
        </is>
      </c>
      <c r="H2590" s="3" t="inlineStr">
        <is>
          <t>KT-13</t>
        </is>
      </c>
      <c r="I2590" s="4" t="inlineStr">
        <is>
          <t>Tay vặn tuýp chữ T KT-13</t>
        </is>
      </c>
      <c r="J2590" s="3" t="inlineStr">
        <is>
          <t>Cái</t>
        </is>
      </c>
      <c r="K2590" s="5" t="n">
        <v>43000</v>
      </c>
      <c r="L2590" s="5" t="n">
        <v>51000</v>
      </c>
      <c r="M2590" s="6" t="n">
        <v>62000</v>
      </c>
      <c r="N2590" s="5" t="n"/>
      <c r="O2590" s="5">
        <f>IF(AND(ISNUMBER(N2590),ISNUMBER(M2590)),N2590-M2590,"")</f>
        <v/>
      </c>
      <c r="P2590" s="7">
        <f>IF(AND(ISNUMBER(N2590),ISNUMBER(M2590),M2590&gt;0),(N2590-M2590)/M2590,"")</f>
        <v/>
      </c>
      <c r="Q2590" s="3">
        <f>IF(P2590="","",IF(P2590&lt;-0.02,"🔴 Bán phá giá sàn",IF(P2590&gt;0.05,"🔵 Bán cao hơn","🟢 Đúng giá sàn TMĐT")))</f>
        <v/>
      </c>
      <c r="R2590" s="3" t="n"/>
      <c r="S2590" s="4" t="n"/>
      <c r="T2590" s="4" t="n"/>
    </row>
    <row r="2591">
      <c r="A2591" s="3" t="n">
        <v>2590</v>
      </c>
      <c r="B2591" s="3" t="inlineStr">
        <is>
          <t>DL023</t>
        </is>
      </c>
      <c r="C2591" s="4" t="inlineStr">
        <is>
          <t>Điện máy Quang Tâm</t>
        </is>
      </c>
      <c r="D2591" s="3" t="inlineStr">
        <is>
          <t>HN</t>
        </is>
      </c>
      <c r="E2591" s="3" t="inlineStr">
        <is>
          <t>ĐIỆP</t>
        </is>
      </c>
      <c r="F2591" s="3" t="inlineStr">
        <is>
          <t>Shopee</t>
        </is>
      </c>
      <c r="G2591" s="4" t="inlineStr">
        <is>
          <t>SHOPEE: https://shopee.vn/dienmaycokhi_quangtam TIKTOK: LAZADA: WEBSITE BÁN HÀNG:</t>
        </is>
      </c>
      <c r="H2591" s="3" t="inlineStr">
        <is>
          <t>KT-17</t>
        </is>
      </c>
      <c r="I2591" s="4" t="inlineStr">
        <is>
          <t>Tay vặn tuýp chữ T KT-17</t>
        </is>
      </c>
      <c r="J2591" s="3" t="inlineStr">
        <is>
          <t>Cái</t>
        </is>
      </c>
      <c r="K2591" s="5" t="n">
        <v>59000</v>
      </c>
      <c r="L2591" s="5" t="n">
        <v>70000</v>
      </c>
      <c r="M2591" s="6" t="n">
        <v>86000</v>
      </c>
      <c r="N2591" s="5" t="n"/>
      <c r="O2591" s="5">
        <f>IF(AND(ISNUMBER(N2591),ISNUMBER(M2591)),N2591-M2591,"")</f>
        <v/>
      </c>
      <c r="P2591" s="7">
        <f>IF(AND(ISNUMBER(N2591),ISNUMBER(M2591),M2591&gt;0),(N2591-M2591)/M2591,"")</f>
        <v/>
      </c>
      <c r="Q2591" s="3">
        <f>IF(P2591="","",IF(P2591&lt;-0.02,"🔴 Bán phá giá sàn",IF(P2591&gt;0.05,"🔵 Bán cao hơn","🟢 Đúng giá sàn TMĐT")))</f>
        <v/>
      </c>
      <c r="R2591" s="3" t="n"/>
      <c r="S2591" s="4" t="n"/>
      <c r="T2591" s="4" t="n"/>
    </row>
    <row r="2592">
      <c r="A2592" s="3" t="n">
        <v>2591</v>
      </c>
      <c r="B2592" s="3" t="inlineStr">
        <is>
          <t>DL023</t>
        </is>
      </c>
      <c r="C2592" s="4" t="inlineStr">
        <is>
          <t>Điện máy Quang Tâm</t>
        </is>
      </c>
      <c r="D2592" s="3" t="inlineStr">
        <is>
          <t>HN</t>
        </is>
      </c>
      <c r="E2592" s="3" t="inlineStr">
        <is>
          <t>ĐIỆP</t>
        </is>
      </c>
      <c r="F2592" s="3" t="inlineStr">
        <is>
          <t>Shopee</t>
        </is>
      </c>
      <c r="G2592" s="4" t="inlineStr">
        <is>
          <t>SHOPEE: https://shopee.vn/dienmaycokhi_quangtam TIKTOK: LAZADA: WEBSITE BÁN HÀNG:</t>
        </is>
      </c>
      <c r="H2592" s="3" t="inlineStr">
        <is>
          <t>KHD20</t>
        </is>
      </c>
      <c r="I2592" s="4" t="inlineStr">
        <is>
          <t>Thùng đựng đồ nghề KHD20</t>
        </is>
      </c>
      <c r="J2592" s="3" t="inlineStr">
        <is>
          <t>Cái</t>
        </is>
      </c>
      <c r="K2592" s="5" t="n">
        <v>396000</v>
      </c>
      <c r="L2592" s="5" t="n">
        <v>452000</v>
      </c>
      <c r="M2592" s="6" t="n">
        <v>535000</v>
      </c>
      <c r="N2592" s="5" t="n"/>
      <c r="O2592" s="5">
        <f>IF(AND(ISNUMBER(N2592),ISNUMBER(M2592)),N2592-M2592,"")</f>
        <v/>
      </c>
      <c r="P2592" s="7">
        <f>IF(AND(ISNUMBER(N2592),ISNUMBER(M2592),M2592&gt;0),(N2592-M2592)/M2592,"")</f>
        <v/>
      </c>
      <c r="Q2592" s="3">
        <f>IF(P2592="","",IF(P2592&lt;-0.02,"🔴 Bán phá giá sàn",IF(P2592&gt;0.05,"🔵 Bán cao hơn","🟢 Đúng giá sàn TMĐT")))</f>
        <v/>
      </c>
      <c r="R2592" s="3" t="n"/>
      <c r="S2592" s="4" t="n"/>
      <c r="T2592" s="4" t="n"/>
    </row>
    <row r="2593">
      <c r="A2593" s="3" t="n">
        <v>2592</v>
      </c>
      <c r="B2593" s="3" t="inlineStr">
        <is>
          <t>DL023</t>
        </is>
      </c>
      <c r="C2593" s="4" t="inlineStr">
        <is>
          <t>Điện máy Quang Tâm</t>
        </is>
      </c>
      <c r="D2593" s="3" t="inlineStr">
        <is>
          <t>HN</t>
        </is>
      </c>
      <c r="E2593" s="3" t="inlineStr">
        <is>
          <t>ĐIỆP</t>
        </is>
      </c>
      <c r="F2593" s="3" t="inlineStr">
        <is>
          <t>Shopee</t>
        </is>
      </c>
      <c r="G2593" s="4" t="inlineStr">
        <is>
          <t>SHOPEE: https://shopee.vn/dienmaycokhi_quangtam TIKTOK: LAZADA: WEBSITE BÁN HÀNG:</t>
        </is>
      </c>
      <c r="H2593" s="3" t="inlineStr">
        <is>
          <t>KHD4216</t>
        </is>
      </c>
      <c r="I2593" s="4" t="inlineStr">
        <is>
          <t>Thùng đựng đồ nghề KHD4216</t>
        </is>
      </c>
      <c r="J2593" s="3" t="inlineStr">
        <is>
          <t>Cái</t>
        </is>
      </c>
      <c r="K2593" s="5" t="n">
        <v>2065</v>
      </c>
      <c r="L2593" s="5" t="n">
        <v>484000</v>
      </c>
      <c r="M2593" s="6" t="n">
        <v>552000</v>
      </c>
      <c r="N2593" s="5" t="n"/>
      <c r="O2593" s="5">
        <f>IF(AND(ISNUMBER(N2593),ISNUMBER(M2593)),N2593-M2593,"")</f>
        <v/>
      </c>
      <c r="P2593" s="7">
        <f>IF(AND(ISNUMBER(N2593),ISNUMBER(M2593),M2593&gt;0),(N2593-M2593)/M2593,"")</f>
        <v/>
      </c>
      <c r="Q2593" s="3">
        <f>IF(P2593="","",IF(P2593&lt;-0.02,"🔴 Bán phá giá sàn",IF(P2593&gt;0.05,"🔵 Bán cao hơn","🟢 Đúng giá sàn TMĐT")))</f>
        <v/>
      </c>
      <c r="R2593" s="3" t="n"/>
      <c r="S2593" s="4" t="n"/>
      <c r="T2593" s="4" t="n"/>
    </row>
    <row r="2594">
      <c r="A2594" s="3" t="n">
        <v>2593</v>
      </c>
      <c r="B2594" s="3" t="inlineStr">
        <is>
          <t>DL023</t>
        </is>
      </c>
      <c r="C2594" s="4" t="inlineStr">
        <is>
          <t>Điện máy Quang Tâm</t>
        </is>
      </c>
      <c r="D2594" s="3" t="inlineStr">
        <is>
          <t>HN</t>
        </is>
      </c>
      <c r="E2594" s="3" t="inlineStr">
        <is>
          <t>ĐIỆP</t>
        </is>
      </c>
      <c r="F2594" s="3" t="inlineStr">
        <is>
          <t>Shopee</t>
        </is>
      </c>
      <c r="G2594" s="4" t="inlineStr">
        <is>
          <t>SHOPEE: https://shopee.vn/dienmaycokhi_quangtam TIKTOK: LAZADA: WEBSITE BÁN HÀNG:</t>
        </is>
      </c>
      <c r="H2594" s="3" t="inlineStr">
        <is>
          <t>KHD4233</t>
        </is>
      </c>
      <c r="I2594" s="4" t="inlineStr">
        <is>
          <t>Thùng đựng đồ nghề KHD4233</t>
        </is>
      </c>
      <c r="J2594" s="3" t="inlineStr">
        <is>
          <t>Cái</t>
        </is>
      </c>
      <c r="K2594" s="5" t="n">
        <v>269000</v>
      </c>
      <c r="L2594" s="5" t="n">
        <v>317000</v>
      </c>
      <c r="M2594" s="6" t="n">
        <v>390000</v>
      </c>
      <c r="N2594" s="5" t="n"/>
      <c r="O2594" s="5">
        <f>IF(AND(ISNUMBER(N2594),ISNUMBER(M2594)),N2594-M2594,"")</f>
        <v/>
      </c>
      <c r="P2594" s="7">
        <f>IF(AND(ISNUMBER(N2594),ISNUMBER(M2594),M2594&gt;0),(N2594-M2594)/M2594,"")</f>
        <v/>
      </c>
      <c r="Q2594" s="3">
        <f>IF(P2594="","",IF(P2594&lt;-0.02,"🔴 Bán phá giá sàn",IF(P2594&gt;0.05,"🔵 Bán cao hơn","🟢 Đúng giá sàn TMĐT")))</f>
        <v/>
      </c>
      <c r="R2594" s="3" t="n"/>
      <c r="S2594" s="4" t="n"/>
      <c r="T2594" s="4" t="n"/>
    </row>
    <row r="2595">
      <c r="A2595" s="3" t="n">
        <v>2594</v>
      </c>
      <c r="B2595" s="3" t="inlineStr">
        <is>
          <t>DL023</t>
        </is>
      </c>
      <c r="C2595" s="4" t="inlineStr">
        <is>
          <t>Điện máy Quang Tâm</t>
        </is>
      </c>
      <c r="D2595" s="3" t="inlineStr">
        <is>
          <t>HN</t>
        </is>
      </c>
      <c r="E2595" s="3" t="inlineStr">
        <is>
          <t>ĐIỆP</t>
        </is>
      </c>
      <c r="F2595" s="3" t="inlineStr">
        <is>
          <t>Shopee</t>
        </is>
      </c>
      <c r="G2595" s="4" t="inlineStr">
        <is>
          <t>SHOPEE: https://shopee.vn/dienmaycokhi_quangtam TIKTOK: LAZADA: WEBSITE BÁN HÀNG:</t>
        </is>
      </c>
      <c r="H2595" s="3" t="inlineStr">
        <is>
          <t>KNZ-100X</t>
        </is>
      </c>
      <c r="I2595" s="4" t="inlineStr">
        <is>
          <t>Thước đo khoảng cách laser KNZ-100X</t>
        </is>
      </c>
      <c r="J2595" s="3" t="inlineStr">
        <is>
          <t>Cái</t>
        </is>
      </c>
      <c r="K2595" s="5" t="n">
        <v>730000</v>
      </c>
      <c r="L2595" s="5" t="n">
        <v>810000</v>
      </c>
      <c r="M2595" s="6" t="n">
        <v>940000</v>
      </c>
      <c r="N2595" s="5" t="n"/>
      <c r="O2595" s="5">
        <f>IF(AND(ISNUMBER(N2595),ISNUMBER(M2595)),N2595-M2595,"")</f>
        <v/>
      </c>
      <c r="P2595" s="7">
        <f>IF(AND(ISNUMBER(N2595),ISNUMBER(M2595),M2595&gt;0),(N2595-M2595)/M2595,"")</f>
        <v/>
      </c>
      <c r="Q2595" s="3">
        <f>IF(P2595="","",IF(P2595&lt;-0.02,"🔴 Bán phá giá sàn",IF(P2595&gt;0.05,"🔵 Bán cao hơn","🟢 Đúng giá sàn TMĐT")))</f>
        <v/>
      </c>
      <c r="R2595" s="3" t="n"/>
      <c r="S2595" s="4" t="n"/>
      <c r="T2595" s="4" t="n"/>
    </row>
    <row r="2596">
      <c r="A2596" s="3" t="n">
        <v>2595</v>
      </c>
      <c r="B2596" s="3" t="inlineStr">
        <is>
          <t>DL023</t>
        </is>
      </c>
      <c r="C2596" s="4" t="inlineStr">
        <is>
          <t>Điện máy Quang Tâm</t>
        </is>
      </c>
      <c r="D2596" s="3" t="inlineStr">
        <is>
          <t>HN</t>
        </is>
      </c>
      <c r="E2596" s="3" t="inlineStr">
        <is>
          <t>ĐIỆP</t>
        </is>
      </c>
      <c r="F2596" s="3" t="inlineStr">
        <is>
          <t>Shopee</t>
        </is>
      </c>
      <c r="G2596" s="4" t="inlineStr">
        <is>
          <t>SHOPEE: https://shopee.vn/dienmaycokhi_quangtam TIKTOK: LAZADA: WEBSITE BÁN HÀNG:</t>
        </is>
      </c>
      <c r="H2596" s="3" t="inlineStr">
        <is>
          <t>KNZ-50X</t>
        </is>
      </c>
      <c r="I2596" s="4" t="inlineStr">
        <is>
          <t>Thước đo khoảng cách laser KNZ-50X</t>
        </is>
      </c>
      <c r="J2596" s="3" t="inlineStr">
        <is>
          <t>Cái</t>
        </is>
      </c>
      <c r="K2596" s="5" t="n">
        <v>560000</v>
      </c>
      <c r="L2596" s="5" t="n">
        <v>620000</v>
      </c>
      <c r="M2596" s="6" t="n">
        <v>720000</v>
      </c>
      <c r="N2596" s="5" t="n"/>
      <c r="O2596" s="5">
        <f>IF(AND(ISNUMBER(N2596),ISNUMBER(M2596)),N2596-M2596,"")</f>
        <v/>
      </c>
      <c r="P2596" s="7">
        <f>IF(AND(ISNUMBER(N2596),ISNUMBER(M2596),M2596&gt;0),(N2596-M2596)/M2596,"")</f>
        <v/>
      </c>
      <c r="Q2596" s="3">
        <f>IF(P2596="","",IF(P2596&lt;-0.02,"🔴 Bán phá giá sàn",IF(P2596&gt;0.05,"🔵 Bán cao hơn","🟢 Đúng giá sàn TMĐT")))</f>
        <v/>
      </c>
      <c r="R2596" s="3" t="n"/>
      <c r="S2596" s="4" t="n"/>
      <c r="T2596" s="4" t="n"/>
    </row>
    <row r="2597">
      <c r="A2597" s="3" t="n">
        <v>2596</v>
      </c>
      <c r="B2597" s="3" t="inlineStr">
        <is>
          <t>DL023</t>
        </is>
      </c>
      <c r="C2597" s="4" t="inlineStr">
        <is>
          <t>Điện máy Quang Tâm</t>
        </is>
      </c>
      <c r="D2597" s="3" t="inlineStr">
        <is>
          <t>HN</t>
        </is>
      </c>
      <c r="E2597" s="3" t="inlineStr">
        <is>
          <t>ĐIỆP</t>
        </is>
      </c>
      <c r="F2597" s="3" t="inlineStr">
        <is>
          <t>Shopee</t>
        </is>
      </c>
      <c r="G2597" s="4" t="inlineStr">
        <is>
          <t>SHOPEE: https://shopee.vn/dienmaycokhi_quangtam TIKTOK: LAZADA: WEBSITE BÁN HÀNG:</t>
        </is>
      </c>
      <c r="H2597" s="3" t="inlineStr">
        <is>
          <t>LA-50.19</t>
        </is>
      </c>
      <c r="I2597" s="4" t="inlineStr">
        <is>
          <t>Thước kéo LA-50.19 (new)</t>
        </is>
      </c>
      <c r="J2597" s="3" t="inlineStr">
        <is>
          <t>Cái</t>
        </is>
      </c>
      <c r="K2597" s="5" t="n">
        <v>29000</v>
      </c>
      <c r="L2597" s="5" t="n">
        <v>34000</v>
      </c>
      <c r="M2597" s="6" t="n">
        <v>42000</v>
      </c>
      <c r="N2597" s="5" t="n"/>
      <c r="O2597" s="5">
        <f>IF(AND(ISNUMBER(N2597),ISNUMBER(M2597)),N2597-M2597,"")</f>
        <v/>
      </c>
      <c r="P2597" s="7">
        <f>IF(AND(ISNUMBER(N2597),ISNUMBER(M2597),M2597&gt;0),(N2597-M2597)/M2597,"")</f>
        <v/>
      </c>
      <c r="Q2597" s="3">
        <f>IF(P2597="","",IF(P2597&lt;-0.02,"🔴 Bán phá giá sàn",IF(P2597&gt;0.05,"🔵 Bán cao hơn","🟢 Đúng giá sàn TMĐT")))</f>
        <v/>
      </c>
      <c r="R2597" s="3" t="n"/>
      <c r="S2597" s="4" t="n"/>
      <c r="T2597" s="4" t="n"/>
    </row>
    <row r="2598">
      <c r="A2598" s="3" t="n">
        <v>2597</v>
      </c>
      <c r="B2598" s="3" t="inlineStr">
        <is>
          <t>DL024</t>
        </is>
      </c>
      <c r="C2598" s="4" t="inlineStr">
        <is>
          <t>ĐL Đà Nẵng - Tân Cảng Decor</t>
        </is>
      </c>
      <c r="D2598" s="3" t="inlineStr">
        <is>
          <t>Đà Nẵng</t>
        </is>
      </c>
      <c r="E2598" s="3" t="inlineStr">
        <is>
          <t>THÙY TRANG</t>
        </is>
      </c>
      <c r="F2598" s="3" t="inlineStr">
        <is>
          <t>Shopee, Tiktok, Website bán hàng</t>
        </is>
      </c>
      <c r="G2598" s="4" t="inlineStr">
        <is>
          <t>SHOPEE: https://shopee.vn/tancangdecorshop TIKTOK: https://www.tiktok.com/@tancangdecor LAZADA: WEBSITE BÁN HÀNG: https://tancangdecor.com/</t>
        </is>
      </c>
      <c r="H2598" s="3" t="inlineStr">
        <is>
          <t>CGS-2400</t>
        </is>
      </c>
      <c r="I2598" s="4" t="inlineStr">
        <is>
          <t>Bàn cắt gạch cao cấp CGS-2400</t>
        </is>
      </c>
      <c r="J2598" s="3" t="inlineStr">
        <is>
          <t>Cái</t>
        </is>
      </c>
      <c r="K2598" s="5" t="n">
        <v>269000</v>
      </c>
      <c r="L2598" s="5" t="n">
        <v>317000</v>
      </c>
      <c r="M2598" s="6" t="n">
        <v>390000</v>
      </c>
      <c r="N2598" s="5" t="n"/>
      <c r="O2598" s="5">
        <f>IF(AND(ISNUMBER(N2598),ISNUMBER(M2598)),N2598-M2598,"")</f>
        <v/>
      </c>
      <c r="P2598" s="7">
        <f>IF(AND(ISNUMBER(N2598),ISNUMBER(M2598),M2598&gt;0),(N2598-M2598)/M2598,"")</f>
        <v/>
      </c>
      <c r="Q2598" s="3">
        <f>IF(P2598="","",IF(P2598&lt;-0.02,"🔴 Bán phá giá sàn",IF(P2598&gt;0.05,"🔵 Bán cao hơn","🟢 Đúng giá sàn TMĐT")))</f>
        <v/>
      </c>
      <c r="R2598" s="3" t="n"/>
      <c r="S2598" s="4" t="n"/>
      <c r="T2598" s="4" t="n"/>
    </row>
    <row r="2599">
      <c r="A2599" s="3" t="n">
        <v>2598</v>
      </c>
      <c r="B2599" s="3" t="inlineStr">
        <is>
          <t>DL024</t>
        </is>
      </c>
      <c r="C2599" s="4" t="inlineStr">
        <is>
          <t>ĐL Đà Nẵng - Tân Cảng Decor</t>
        </is>
      </c>
      <c r="D2599" s="3" t="inlineStr">
        <is>
          <t>Đà Nẵng</t>
        </is>
      </c>
      <c r="E2599" s="3" t="inlineStr">
        <is>
          <t>THÙY TRANG</t>
        </is>
      </c>
      <c r="F2599" s="3" t="inlineStr">
        <is>
          <t>Shopee, Tiktok, Website bán hàng</t>
        </is>
      </c>
      <c r="G2599" s="4" t="inlineStr">
        <is>
          <t>SHOPEE: https://shopee.vn/tancangdecorshop TIKTOK: https://www.tiktok.com/@tancangdecor LAZADA: WEBSITE BÁN HÀNG: https://tancangdecor.com/</t>
        </is>
      </c>
      <c r="H2599" s="3" t="inlineStr">
        <is>
          <t>CG-1200</t>
        </is>
      </c>
      <c r="I2599" s="4" t="inlineStr">
        <is>
          <t>Bàn cắt gạch CG-1200</t>
        </is>
      </c>
      <c r="J2599" s="3" t="inlineStr">
        <is>
          <t>Cái</t>
        </is>
      </c>
      <c r="K2599" s="5" t="n">
        <v>269000</v>
      </c>
      <c r="L2599" s="5" t="n">
        <v>317000</v>
      </c>
      <c r="M2599" s="6" t="n">
        <v>390000</v>
      </c>
      <c r="N2599" s="5" t="n"/>
      <c r="O2599" s="5">
        <f>IF(AND(ISNUMBER(N2599),ISNUMBER(M2599)),N2599-M2599,"")</f>
        <v/>
      </c>
      <c r="P2599" s="7">
        <f>IF(AND(ISNUMBER(N2599),ISNUMBER(M2599),M2599&gt;0),(N2599-M2599)/M2599,"")</f>
        <v/>
      </c>
      <c r="Q2599" s="3">
        <f>IF(P2599="","",IF(P2599&lt;-0.02,"🔴 Bán phá giá sàn",IF(P2599&gt;0.05,"🔵 Bán cao hơn","🟢 Đúng giá sàn TMĐT")))</f>
        <v/>
      </c>
      <c r="R2599" s="3" t="n"/>
      <c r="S2599" s="4" t="n"/>
      <c r="T2599" s="4" t="n"/>
    </row>
    <row r="2600">
      <c r="A2600" s="3" t="n">
        <v>2599</v>
      </c>
      <c r="B2600" s="3" t="inlineStr">
        <is>
          <t>DL024</t>
        </is>
      </c>
      <c r="C2600" s="4" t="inlineStr">
        <is>
          <t>ĐL Đà Nẵng - Tân Cảng Decor</t>
        </is>
      </c>
      <c r="D2600" s="3" t="inlineStr">
        <is>
          <t>Đà Nẵng</t>
        </is>
      </c>
      <c r="E2600" s="3" t="inlineStr">
        <is>
          <t>THÙY TRANG</t>
        </is>
      </c>
      <c r="F2600" s="3" t="inlineStr">
        <is>
          <t>Shopee, Tiktok, Website bán hàng</t>
        </is>
      </c>
      <c r="G2600" s="4" t="inlineStr">
        <is>
          <t>SHOPEE: https://shopee.vn/tancangdecorshop TIKTOK: https://www.tiktok.com/@tancangdecor LAZADA: WEBSITE BÁN HÀNG: https://tancangdecor.com/</t>
        </is>
      </c>
      <c r="H2600" s="3" t="inlineStr">
        <is>
          <t>K10000</t>
        </is>
      </c>
      <c r="I2600" s="4" t="inlineStr">
        <is>
          <t>Bộ bơm lốp, kích bình đa năng K10000</t>
        </is>
      </c>
      <c r="J2600" s="3" t="inlineStr">
        <is>
          <t>Cái</t>
        </is>
      </c>
      <c r="K2600" s="5" t="n">
        <v>269000</v>
      </c>
      <c r="L2600" s="5" t="n">
        <v>317000</v>
      </c>
      <c r="M2600" s="6" t="n">
        <v>390000</v>
      </c>
      <c r="N2600" s="5" t="n"/>
      <c r="O2600" s="5">
        <f>IF(AND(ISNUMBER(N2600),ISNUMBER(M2600)),N2600-M2600,"")</f>
        <v/>
      </c>
      <c r="P2600" s="7">
        <f>IF(AND(ISNUMBER(N2600),ISNUMBER(M2600),M2600&gt;0),(N2600-M2600)/M2600,"")</f>
        <v/>
      </c>
      <c r="Q2600" s="3">
        <f>IF(P2600="","",IF(P2600&lt;-0.02,"🔴 Bán phá giá sàn",IF(P2600&gt;0.05,"🔵 Bán cao hơn","🟢 Đúng giá sàn TMĐT")))</f>
        <v/>
      </c>
      <c r="R2600" s="3" t="n"/>
      <c r="S2600" s="4" t="n"/>
      <c r="T2600" s="4" t="n"/>
    </row>
    <row r="2601">
      <c r="A2601" s="3" t="n">
        <v>2600</v>
      </c>
      <c r="B2601" s="3" t="inlineStr">
        <is>
          <t>DL024</t>
        </is>
      </c>
      <c r="C2601" s="4" t="inlineStr">
        <is>
          <t>ĐL Đà Nẵng - Tân Cảng Decor</t>
        </is>
      </c>
      <c r="D2601" s="3" t="inlineStr">
        <is>
          <t>Đà Nẵng</t>
        </is>
      </c>
      <c r="E2601" s="3" t="inlineStr">
        <is>
          <t>THÙY TRANG</t>
        </is>
      </c>
      <c r="F2601" s="3" t="inlineStr">
        <is>
          <t>Shopee, Tiktok, Website bán hàng</t>
        </is>
      </c>
      <c r="G2601" s="4" t="inlineStr">
        <is>
          <t>SHOPEE: https://shopee.vn/tancangdecorshop TIKTOK: https://www.tiktok.com/@tancangdecor LAZADA: WEBSITE BÁN HÀNG: https://tancangdecor.com/</t>
        </is>
      </c>
      <c r="H2601" s="3" t="inlineStr">
        <is>
          <t>K12000</t>
        </is>
      </c>
      <c r="I2601" s="4" t="inlineStr">
        <is>
          <t>Bộ bơm lốp, kích bình đa năng K12000</t>
        </is>
      </c>
      <c r="J2601" s="3" t="inlineStr">
        <is>
          <t>Cái</t>
        </is>
      </c>
      <c r="K2601" s="5" t="n">
        <v>269000</v>
      </c>
      <c r="L2601" s="5" t="n">
        <v>317000</v>
      </c>
      <c r="M2601" s="6" t="n">
        <v>390000</v>
      </c>
      <c r="N2601" s="5" t="n"/>
      <c r="O2601" s="5">
        <f>IF(AND(ISNUMBER(N2601),ISNUMBER(M2601)),N2601-M2601,"")</f>
        <v/>
      </c>
      <c r="P2601" s="7">
        <f>IF(AND(ISNUMBER(N2601),ISNUMBER(M2601),M2601&gt;0),(N2601-M2601)/M2601,"")</f>
        <v/>
      </c>
      <c r="Q2601" s="3">
        <f>IF(P2601="","",IF(P2601&lt;-0.02,"🔴 Bán phá giá sàn",IF(P2601&gt;0.05,"🔵 Bán cao hơn","🟢 Đúng giá sàn TMĐT")))</f>
        <v/>
      </c>
      <c r="R2601" s="3" t="n"/>
      <c r="S2601" s="4" t="n"/>
      <c r="T2601" s="4" t="n"/>
    </row>
    <row r="2602">
      <c r="A2602" s="3" t="n">
        <v>2601</v>
      </c>
      <c r="B2602" s="3" t="inlineStr">
        <is>
          <t>DL024</t>
        </is>
      </c>
      <c r="C2602" s="4" t="inlineStr">
        <is>
          <t>ĐL Đà Nẵng - Tân Cảng Decor</t>
        </is>
      </c>
      <c r="D2602" s="3" t="inlineStr">
        <is>
          <t>Đà Nẵng</t>
        </is>
      </c>
      <c r="E2602" s="3" t="inlineStr">
        <is>
          <t>THÙY TRANG</t>
        </is>
      </c>
      <c r="F2602" s="3" t="inlineStr">
        <is>
          <t>Shopee, Tiktok, Website bán hàng</t>
        </is>
      </c>
      <c r="G2602" s="4" t="inlineStr">
        <is>
          <t>SHOPEE: https://shopee.vn/tancangdecorshop TIKTOK: https://www.tiktok.com/@tancangdecor LAZADA: WEBSITE BÁN HÀNG: https://tancangdecor.com/</t>
        </is>
      </c>
      <c r="H2602" s="3" t="inlineStr">
        <is>
          <t>KH1-B10</t>
        </is>
      </c>
      <c r="I2602" s="4" t="inlineStr">
        <is>
          <t>Bộ cờ lê KH1-B10</t>
        </is>
      </c>
      <c r="J2602" s="3" t="inlineStr">
        <is>
          <t>Bộ</t>
        </is>
      </c>
      <c r="K2602" s="5" t="n">
        <v>435000</v>
      </c>
      <c r="L2602" s="5" t="n">
        <v>513000</v>
      </c>
      <c r="M2602" s="6" t="n">
        <v>631000</v>
      </c>
      <c r="N2602" s="5" t="n"/>
      <c r="O2602" s="5">
        <f>IF(AND(ISNUMBER(N2602),ISNUMBER(M2602)),N2602-M2602,"")</f>
        <v/>
      </c>
      <c r="P2602" s="7">
        <f>IF(AND(ISNUMBER(N2602),ISNUMBER(M2602),M2602&gt;0),(N2602-M2602)/M2602,"")</f>
        <v/>
      </c>
      <c r="Q2602" s="3">
        <f>IF(P2602="","",IF(P2602&lt;-0.02,"🔴 Bán phá giá sàn",IF(P2602&gt;0.05,"🔵 Bán cao hơn","🟢 Đúng giá sàn TMĐT")))</f>
        <v/>
      </c>
      <c r="R2602" s="3" t="n"/>
      <c r="S2602" s="4" t="n"/>
      <c r="T2602" s="4" t="n"/>
    </row>
    <row r="2603">
      <c r="A2603" s="3" t="n">
        <v>2602</v>
      </c>
      <c r="B2603" s="3" t="inlineStr">
        <is>
          <t>DL024</t>
        </is>
      </c>
      <c r="C2603" s="4" t="inlineStr">
        <is>
          <t>ĐL Đà Nẵng - Tân Cảng Decor</t>
        </is>
      </c>
      <c r="D2603" s="3" t="inlineStr">
        <is>
          <t>Đà Nẵng</t>
        </is>
      </c>
      <c r="E2603" s="3" t="inlineStr">
        <is>
          <t>THÙY TRANG</t>
        </is>
      </c>
      <c r="F2603" s="3" t="inlineStr">
        <is>
          <t>Shopee, Tiktok, Website bán hàng</t>
        </is>
      </c>
      <c r="G2603" s="4" t="inlineStr">
        <is>
          <t>SHOPEE: https://shopee.vn/tancangdecorshop TIKTOK: https://www.tiktok.com/@tancangdecor LAZADA: WEBSITE BÁN HÀNG: https://tancangdecor.com/</t>
        </is>
      </c>
      <c r="H2603" s="3" t="inlineStr">
        <is>
          <t>T9100E</t>
        </is>
      </c>
      <c r="I2603" s="4" t="inlineStr">
        <is>
          <t>Bộ đầu hoa thị T9100E</t>
        </is>
      </c>
      <c r="J2603" s="3" t="inlineStr">
        <is>
          <t>Bộ</t>
        </is>
      </c>
      <c r="K2603" s="5" t="n">
        <v>86000</v>
      </c>
      <c r="L2603" s="5" t="n">
        <v>108000</v>
      </c>
      <c r="M2603" s="6" t="n">
        <v>142000</v>
      </c>
      <c r="N2603" s="5" t="n"/>
      <c r="O2603" s="5">
        <f>IF(AND(ISNUMBER(N2603),ISNUMBER(M2603)),N2603-M2603,"")</f>
        <v/>
      </c>
      <c r="P2603" s="7">
        <f>IF(AND(ISNUMBER(N2603),ISNUMBER(M2603),M2603&gt;0),(N2603-M2603)/M2603,"")</f>
        <v/>
      </c>
      <c r="Q2603" s="3">
        <f>IF(P2603="","",IF(P2603&lt;-0.02,"🔴 Bán phá giá sàn",IF(P2603&gt;0.05,"🔵 Bán cao hơn","🟢 Đúng giá sàn TMĐT")))</f>
        <v/>
      </c>
      <c r="R2603" s="3" t="n"/>
      <c r="S2603" s="4" t="n"/>
      <c r="T2603" s="4" t="n"/>
    </row>
    <row r="2604">
      <c r="A2604" s="3" t="n">
        <v>2603</v>
      </c>
      <c r="B2604" s="3" t="inlineStr">
        <is>
          <t>DL024</t>
        </is>
      </c>
      <c r="C2604" s="4" t="inlineStr">
        <is>
          <t>ĐL Đà Nẵng - Tân Cảng Decor</t>
        </is>
      </c>
      <c r="D2604" s="3" t="inlineStr">
        <is>
          <t>Đà Nẵng</t>
        </is>
      </c>
      <c r="E2604" s="3" t="inlineStr">
        <is>
          <t>THÙY TRANG</t>
        </is>
      </c>
      <c r="F2604" s="3" t="inlineStr">
        <is>
          <t>Shopee, Tiktok, Website bán hàng</t>
        </is>
      </c>
      <c r="G2604" s="4" t="inlineStr">
        <is>
          <t>SHOPEE: https://shopee.vn/tancangdecorshop TIKTOK: https://www.tiktok.com/@tancangdecor LAZADA: WEBSITE BÁN HÀNG: https://tancangdecor.com/</t>
        </is>
      </c>
      <c r="H2604" s="3" t="inlineStr">
        <is>
          <t>L8100E</t>
        </is>
      </c>
      <c r="I2604" s="4" t="inlineStr">
        <is>
          <t>Bộ đầu lục giác L8100E</t>
        </is>
      </c>
      <c r="J2604" s="3" t="inlineStr">
        <is>
          <t>Bộ</t>
        </is>
      </c>
      <c r="K2604" s="5" t="n">
        <v>86000</v>
      </c>
      <c r="L2604" s="5" t="n">
        <v>108000</v>
      </c>
      <c r="M2604" s="6" t="n">
        <v>142000</v>
      </c>
      <c r="N2604" s="5" t="n"/>
      <c r="O2604" s="5">
        <f>IF(AND(ISNUMBER(N2604),ISNUMBER(M2604)),N2604-M2604,"")</f>
        <v/>
      </c>
      <c r="P2604" s="7">
        <f>IF(AND(ISNUMBER(N2604),ISNUMBER(M2604),M2604&gt;0),(N2604-M2604)/M2604,"")</f>
        <v/>
      </c>
      <c r="Q2604" s="3">
        <f>IF(P2604="","",IF(P2604&lt;-0.02,"🔴 Bán phá giá sàn",IF(P2604&gt;0.05,"🔵 Bán cao hơn","🟢 Đúng giá sàn TMĐT")))</f>
        <v/>
      </c>
      <c r="R2604" s="3" t="n"/>
      <c r="S2604" s="4" t="n"/>
      <c r="T2604" s="4" t="n"/>
    </row>
    <row r="2605">
      <c r="A2605" s="3" t="n">
        <v>2604</v>
      </c>
      <c r="B2605" s="3" t="inlineStr">
        <is>
          <t>DL024</t>
        </is>
      </c>
      <c r="C2605" s="4" t="inlineStr">
        <is>
          <t>ĐL Đà Nẵng - Tân Cảng Decor</t>
        </is>
      </c>
      <c r="D2605" s="3" t="inlineStr">
        <is>
          <t>Đà Nẵng</t>
        </is>
      </c>
      <c r="E2605" s="3" t="inlineStr">
        <is>
          <t>THÙY TRANG</t>
        </is>
      </c>
      <c r="F2605" s="3" t="inlineStr">
        <is>
          <t>Shopee, Tiktok, Website bán hàng</t>
        </is>
      </c>
      <c r="G2605" s="4" t="inlineStr">
        <is>
          <t>SHOPEE: https://shopee.vn/tancangdecorshop TIKTOK: https://www.tiktok.com/@tancangdecor LAZADA: WEBSITE BÁN HÀNG: https://tancangdecor.com/</t>
        </is>
      </c>
      <c r="H2605" s="3" t="inlineStr">
        <is>
          <t>KBYT6</t>
        </is>
      </c>
      <c r="I2605" s="4" t="inlineStr">
        <is>
          <t>Bộ lấy ốc gãy KingBlue KBYT6</t>
        </is>
      </c>
      <c r="J2605" s="3" t="inlineStr">
        <is>
          <t>Bộ</t>
        </is>
      </c>
      <c r="K2605" s="5" t="n">
        <v>68000</v>
      </c>
      <c r="L2605" s="5" t="n">
        <v>80000</v>
      </c>
      <c r="M2605" s="6" t="n">
        <v>99000</v>
      </c>
      <c r="N2605" s="5" t="n"/>
      <c r="O2605" s="5">
        <f>IF(AND(ISNUMBER(N2605),ISNUMBER(M2605)),N2605-M2605,"")</f>
        <v/>
      </c>
      <c r="P2605" s="7">
        <f>IF(AND(ISNUMBER(N2605),ISNUMBER(M2605),M2605&gt;0),(N2605-M2605)/M2605,"")</f>
        <v/>
      </c>
      <c r="Q2605" s="3">
        <f>IF(P2605="","",IF(P2605&lt;-0.02,"🔴 Bán phá giá sàn",IF(P2605&gt;0.05,"🔵 Bán cao hơn","🟢 Đúng giá sàn TMĐT")))</f>
        <v/>
      </c>
      <c r="R2605" s="3" t="n"/>
      <c r="S2605" s="4" t="n"/>
      <c r="T2605" s="4" t="n"/>
    </row>
    <row r="2606">
      <c r="A2606" s="3" t="n">
        <v>2605</v>
      </c>
      <c r="B2606" s="3" t="inlineStr">
        <is>
          <t>DL024</t>
        </is>
      </c>
      <c r="C2606" s="4" t="inlineStr">
        <is>
          <t>ĐL Đà Nẵng - Tân Cảng Decor</t>
        </is>
      </c>
      <c r="D2606" s="3" t="inlineStr">
        <is>
          <t>Đà Nẵng</t>
        </is>
      </c>
      <c r="E2606" s="3" t="inlineStr">
        <is>
          <t>THÙY TRANG</t>
        </is>
      </c>
      <c r="F2606" s="3" t="inlineStr">
        <is>
          <t>Shopee, Tiktok, Website bán hàng</t>
        </is>
      </c>
      <c r="G2606" s="4" t="inlineStr">
        <is>
          <t>SHOPEE: https://shopee.vn/tancangdecorshop TIKTOK: https://www.tiktok.com/@tancangdecor LAZADA: WEBSITE BÁN HÀNG: https://tancangdecor.com/</t>
        </is>
      </c>
      <c r="H2606" s="3" t="inlineStr">
        <is>
          <t>KB-R1323</t>
        </is>
      </c>
      <c r="I2606" s="4" t="inlineStr">
        <is>
          <t>Bộ loe ống đồng 2 chức năng KingBlue KB-R1323</t>
        </is>
      </c>
      <c r="J2606" s="3" t="inlineStr">
        <is>
          <t>Cái</t>
        </is>
      </c>
      <c r="K2606" s="5" t="n">
        <v>1720000</v>
      </c>
      <c r="L2606" s="5" t="n">
        <v>1926000</v>
      </c>
      <c r="M2606" s="6" t="n">
        <v>2236000</v>
      </c>
      <c r="N2606" s="5" t="n"/>
      <c r="O2606" s="5">
        <f>IF(AND(ISNUMBER(N2606),ISNUMBER(M2606)),N2606-M2606,"")</f>
        <v/>
      </c>
      <c r="P2606" s="7">
        <f>IF(AND(ISNUMBER(N2606),ISNUMBER(M2606),M2606&gt;0),(N2606-M2606)/M2606,"")</f>
        <v/>
      </c>
      <c r="Q2606" s="3">
        <f>IF(P2606="","",IF(P2606&lt;-0.02,"🔴 Bán phá giá sàn",IF(P2606&gt;0.05,"🔵 Bán cao hơn","🟢 Đúng giá sàn TMĐT")))</f>
        <v/>
      </c>
      <c r="R2606" s="3" t="n"/>
      <c r="S2606" s="4" t="n"/>
      <c r="T2606" s="4" t="n"/>
    </row>
    <row r="2607">
      <c r="A2607" s="3" t="n">
        <v>2606</v>
      </c>
      <c r="B2607" s="3" t="inlineStr">
        <is>
          <t>DL024</t>
        </is>
      </c>
      <c r="C2607" s="4" t="inlineStr">
        <is>
          <t>ĐL Đà Nẵng - Tân Cảng Decor</t>
        </is>
      </c>
      <c r="D2607" s="3" t="inlineStr">
        <is>
          <t>Đà Nẵng</t>
        </is>
      </c>
      <c r="E2607" s="3" t="inlineStr">
        <is>
          <t>THÙY TRANG</t>
        </is>
      </c>
      <c r="F2607" s="3" t="inlineStr">
        <is>
          <t>Shopee, Tiktok, Website bán hàng</t>
        </is>
      </c>
      <c r="G2607" s="4" t="inlineStr">
        <is>
          <t>SHOPEE: https://shopee.vn/tancangdecorshop TIKTOK: https://www.tiktok.com/@tancangdecor LAZADA: WEBSITE BÁN HÀNG: https://tancangdecor.com/</t>
        </is>
      </c>
      <c r="H2607" s="3" t="inlineStr">
        <is>
          <t>KL7-09</t>
        </is>
      </c>
      <c r="I2607" s="4" t="inlineStr">
        <is>
          <t>Bộ lục giác KL7-09 ( đầu bi)</t>
        </is>
      </c>
      <c r="J2607" s="3" t="inlineStr">
        <is>
          <t>Cái</t>
        </is>
      </c>
      <c r="K2607" s="5" t="n">
        <v>269000</v>
      </c>
      <c r="L2607" s="5" t="n">
        <v>317000</v>
      </c>
      <c r="M2607" s="6" t="n">
        <v>390000</v>
      </c>
      <c r="N2607" s="5" t="n"/>
      <c r="O2607" s="5">
        <f>IF(AND(ISNUMBER(N2607),ISNUMBER(M2607)),N2607-M2607,"")</f>
        <v/>
      </c>
      <c r="P2607" s="7">
        <f>IF(AND(ISNUMBER(N2607),ISNUMBER(M2607),M2607&gt;0),(N2607-M2607)/M2607,"")</f>
        <v/>
      </c>
      <c r="Q2607" s="3">
        <f>IF(P2607="","",IF(P2607&lt;-0.02,"🔴 Bán phá giá sàn",IF(P2607&gt;0.05,"🔵 Bán cao hơn","🟢 Đúng giá sàn TMĐT")))</f>
        <v/>
      </c>
      <c r="R2607" s="3" t="n"/>
      <c r="S2607" s="4" t="n"/>
      <c r="T2607" s="4" t="n"/>
    </row>
    <row r="2608">
      <c r="A2608" s="3" t="n">
        <v>2607</v>
      </c>
      <c r="B2608" s="3" t="inlineStr">
        <is>
          <t>DL024</t>
        </is>
      </c>
      <c r="C2608" s="4" t="inlineStr">
        <is>
          <t>ĐL Đà Nẵng - Tân Cảng Decor</t>
        </is>
      </c>
      <c r="D2608" s="3" t="inlineStr">
        <is>
          <t>Đà Nẵng</t>
        </is>
      </c>
      <c r="E2608" s="3" t="inlineStr">
        <is>
          <t>THÙY TRANG</t>
        </is>
      </c>
      <c r="F2608" s="3" t="inlineStr">
        <is>
          <t>Shopee, Tiktok, Website bán hàng</t>
        </is>
      </c>
      <c r="G2608" s="4" t="inlineStr">
        <is>
          <t>SHOPEE: https://shopee.vn/tancangdecorshop TIKTOK: https://www.tiktok.com/@tancangdecor LAZADA: WEBSITE BÁN HÀNG: https://tancangdecor.com/</t>
        </is>
      </c>
      <c r="H2608" s="3" t="inlineStr">
        <is>
          <t>KL9-09</t>
        </is>
      </c>
      <c r="I2608" s="4" t="inlineStr">
        <is>
          <t>Bộ lục giác KL9-09 (đầu hoa thị)</t>
        </is>
      </c>
      <c r="J2608" s="3" t="inlineStr">
        <is>
          <t>Cái</t>
        </is>
      </c>
      <c r="K2608" s="5" t="n">
        <v>269000</v>
      </c>
      <c r="L2608" s="5" t="n">
        <v>317000</v>
      </c>
      <c r="M2608" s="6" t="n">
        <v>390000</v>
      </c>
      <c r="N2608" s="5" t="n"/>
      <c r="O2608" s="5">
        <f>IF(AND(ISNUMBER(N2608),ISNUMBER(M2608)),N2608-M2608,"")</f>
        <v/>
      </c>
      <c r="P2608" s="7">
        <f>IF(AND(ISNUMBER(N2608),ISNUMBER(M2608),M2608&gt;0),(N2608-M2608)/M2608,"")</f>
        <v/>
      </c>
      <c r="Q2608" s="3">
        <f>IF(P2608="","",IF(P2608&lt;-0.02,"🔴 Bán phá giá sàn",IF(P2608&gt;0.05,"🔵 Bán cao hơn","🟢 Đúng giá sàn TMĐT")))</f>
        <v/>
      </c>
      <c r="R2608" s="3" t="n"/>
      <c r="S2608" s="4" t="n"/>
      <c r="T2608" s="4" t="n"/>
    </row>
    <row r="2609">
      <c r="A2609" s="3" t="n">
        <v>2608</v>
      </c>
      <c r="B2609" s="3" t="inlineStr">
        <is>
          <t>DL024</t>
        </is>
      </c>
      <c r="C2609" s="4" t="inlineStr">
        <is>
          <t>ĐL Đà Nẵng - Tân Cảng Decor</t>
        </is>
      </c>
      <c r="D2609" s="3" t="inlineStr">
        <is>
          <t>Đà Nẵng</t>
        </is>
      </c>
      <c r="E2609" s="3" t="inlineStr">
        <is>
          <t>THÙY TRANG</t>
        </is>
      </c>
      <c r="F2609" s="3" t="inlineStr">
        <is>
          <t>Shopee, Tiktok, Website bán hàng</t>
        </is>
      </c>
      <c r="G2609" s="4" t="inlineStr">
        <is>
          <t>SHOPEE: https://shopee.vn/tancangdecorshop TIKTOK: https://www.tiktok.com/@tancangdecor LAZADA: WEBSITE BÁN HÀNG: https://tancangdecor.com/</t>
        </is>
      </c>
      <c r="H2609" s="3" t="inlineStr">
        <is>
          <t>KLJ015</t>
        </is>
      </c>
      <c r="I2609" s="4" t="inlineStr">
        <is>
          <t>Bộ mũi khoan King Blue KLJ015</t>
        </is>
      </c>
      <c r="J2609" s="3" t="inlineStr">
        <is>
          <t>Cái</t>
        </is>
      </c>
      <c r="K2609" s="5" t="n">
        <v>269000</v>
      </c>
      <c r="L2609" s="5" t="n">
        <v>317000</v>
      </c>
      <c r="M2609" s="6" t="n">
        <v>390000</v>
      </c>
      <c r="N2609" s="5" t="n"/>
      <c r="O2609" s="5">
        <f>IF(AND(ISNUMBER(N2609),ISNUMBER(M2609)),N2609-M2609,"")</f>
        <v/>
      </c>
      <c r="P2609" s="7">
        <f>IF(AND(ISNUMBER(N2609),ISNUMBER(M2609),M2609&gt;0),(N2609-M2609)/M2609,"")</f>
        <v/>
      </c>
      <c r="Q2609" s="3">
        <f>IF(P2609="","",IF(P2609&lt;-0.02,"🔴 Bán phá giá sàn",IF(P2609&gt;0.05,"🔵 Bán cao hơn","🟢 Đúng giá sàn TMĐT")))</f>
        <v/>
      </c>
      <c r="R2609" s="3" t="n"/>
      <c r="S2609" s="4" t="n"/>
      <c r="T2609" s="4" t="n"/>
    </row>
    <row r="2610">
      <c r="A2610" s="3" t="n">
        <v>2609</v>
      </c>
      <c r="B2610" s="3" t="inlineStr">
        <is>
          <t>DL024</t>
        </is>
      </c>
      <c r="C2610" s="4" t="inlineStr">
        <is>
          <t>ĐL Đà Nẵng - Tân Cảng Decor</t>
        </is>
      </c>
      <c r="D2610" s="3" t="inlineStr">
        <is>
          <t>Đà Nẵng</t>
        </is>
      </c>
      <c r="E2610" s="3" t="inlineStr">
        <is>
          <t>THÙY TRANG</t>
        </is>
      </c>
      <c r="F2610" s="3" t="inlineStr">
        <is>
          <t>Shopee, Tiktok, Website bán hàng</t>
        </is>
      </c>
      <c r="G2610" s="4" t="inlineStr">
        <is>
          <t>SHOPEE: https://shopee.vn/tancangdecorshop TIKTOK: https://www.tiktok.com/@tancangdecor LAZADA: WEBSITE BÁN HÀNG: https://tancangdecor.com/</t>
        </is>
      </c>
      <c r="H2610" s="3" t="inlineStr">
        <is>
          <t>KB-E5701</t>
        </is>
      </c>
      <c r="I2610" s="4" t="inlineStr">
        <is>
          <t>Bộ tua vít điện KingBlue KB-E5701</t>
        </is>
      </c>
      <c r="J2610" s="3" t="inlineStr">
        <is>
          <t>Cái</t>
        </is>
      </c>
      <c r="K2610" s="5" t="n">
        <v>968000</v>
      </c>
      <c r="L2610" s="5" t="n">
        <v>1104000</v>
      </c>
      <c r="M2610" s="6" t="n">
        <v>1307000</v>
      </c>
      <c r="N2610" s="5" t="n"/>
      <c r="O2610" s="5">
        <f>IF(AND(ISNUMBER(N2610),ISNUMBER(M2610)),N2610-M2610,"")</f>
        <v/>
      </c>
      <c r="P2610" s="7">
        <f>IF(AND(ISNUMBER(N2610),ISNUMBER(M2610),M2610&gt;0),(N2610-M2610)/M2610,"")</f>
        <v/>
      </c>
      <c r="Q2610" s="3">
        <f>IF(P2610="","",IF(P2610&lt;-0.02,"🔴 Bán phá giá sàn",IF(P2610&gt;0.05,"🔵 Bán cao hơn","🟢 Đúng giá sàn TMĐT")))</f>
        <v/>
      </c>
      <c r="R2610" s="3" t="n"/>
      <c r="S2610" s="4" t="n"/>
      <c r="T2610" s="4" t="n"/>
    </row>
    <row r="2611">
      <c r="A2611" s="3" t="n">
        <v>2610</v>
      </c>
      <c r="B2611" s="3" t="inlineStr">
        <is>
          <t>DL024</t>
        </is>
      </c>
      <c r="C2611" s="4" t="inlineStr">
        <is>
          <t>ĐL Đà Nẵng - Tân Cảng Decor</t>
        </is>
      </c>
      <c r="D2611" s="3" t="inlineStr">
        <is>
          <t>Đà Nẵng</t>
        </is>
      </c>
      <c r="E2611" s="3" t="inlineStr">
        <is>
          <t>THÙY TRANG</t>
        </is>
      </c>
      <c r="F2611" s="3" t="inlineStr">
        <is>
          <t>Shopee, Tiktok, Website bán hàng</t>
        </is>
      </c>
      <c r="G2611" s="4" t="inlineStr">
        <is>
          <t>SHOPEE: https://shopee.vn/tancangdecorshop TIKTOK: https://www.tiktok.com/@tancangdecor LAZADA: WEBSITE BÁN HÀNG: https://tancangdecor.com/</t>
        </is>
      </c>
      <c r="H2611" s="3" t="inlineStr">
        <is>
          <t>KLG-16</t>
        </is>
      </c>
      <c r="I2611" s="4" t="inlineStr">
        <is>
          <t>Bộ tuýp cần tự động 16 chi tiết KLG-16</t>
        </is>
      </c>
      <c r="J2611" s="3" t="inlineStr">
        <is>
          <t>Cái</t>
        </is>
      </c>
      <c r="K2611" s="5" t="n">
        <v>269000</v>
      </c>
      <c r="L2611" s="5" t="n">
        <v>317000</v>
      </c>
      <c r="M2611" s="6" t="n">
        <v>390000</v>
      </c>
      <c r="N2611" s="5" t="n"/>
      <c r="O2611" s="5">
        <f>IF(AND(ISNUMBER(N2611),ISNUMBER(M2611)),N2611-M2611,"")</f>
        <v/>
      </c>
      <c r="P2611" s="7">
        <f>IF(AND(ISNUMBER(N2611),ISNUMBER(M2611),M2611&gt;0),(N2611-M2611)/M2611,"")</f>
        <v/>
      </c>
      <c r="Q2611" s="3">
        <f>IF(P2611="","",IF(P2611&lt;-0.02,"🔴 Bán phá giá sàn",IF(P2611&gt;0.05,"🔵 Bán cao hơn","🟢 Đúng giá sàn TMĐT")))</f>
        <v/>
      </c>
      <c r="R2611" s="3" t="n"/>
      <c r="S2611" s="4" t="n"/>
      <c r="T2611" s="4" t="n"/>
    </row>
    <row r="2612">
      <c r="A2612" s="3" t="n">
        <v>2611</v>
      </c>
      <c r="B2612" s="3" t="inlineStr">
        <is>
          <t>DL024</t>
        </is>
      </c>
      <c r="C2612" s="4" t="inlineStr">
        <is>
          <t>ĐL Đà Nẵng - Tân Cảng Decor</t>
        </is>
      </c>
      <c r="D2612" s="3" t="inlineStr">
        <is>
          <t>Đà Nẵng</t>
        </is>
      </c>
      <c r="E2612" s="3" t="inlineStr">
        <is>
          <t>THÙY TRANG</t>
        </is>
      </c>
      <c r="F2612" s="3" t="inlineStr">
        <is>
          <t>Shopee, Tiktok, Website bán hàng</t>
        </is>
      </c>
      <c r="G2612" s="4" t="inlineStr">
        <is>
          <t>SHOPEE: https://shopee.vn/tancangdecorshop TIKTOK: https://www.tiktok.com/@tancangdecor LAZADA: WEBSITE BÁN HÀNG: https://tancangdecor.com/</t>
        </is>
      </c>
      <c r="H2612" s="3" t="inlineStr">
        <is>
          <t>KLG-24</t>
        </is>
      </c>
      <c r="I2612" s="4" t="inlineStr">
        <is>
          <t>Bộ tuýp cần tự động 24 chi tiết KLG-24</t>
        </is>
      </c>
      <c r="J2612" s="3" t="inlineStr">
        <is>
          <t>Cái</t>
        </is>
      </c>
      <c r="K2612" s="5" t="n">
        <v>269000</v>
      </c>
      <c r="L2612" s="5" t="n">
        <v>317000</v>
      </c>
      <c r="M2612" s="6" t="n">
        <v>390000</v>
      </c>
      <c r="N2612" s="5" t="n"/>
      <c r="O2612" s="5">
        <f>IF(AND(ISNUMBER(N2612),ISNUMBER(M2612)),N2612-M2612,"")</f>
        <v/>
      </c>
      <c r="P2612" s="7">
        <f>IF(AND(ISNUMBER(N2612),ISNUMBER(M2612),M2612&gt;0),(N2612-M2612)/M2612,"")</f>
        <v/>
      </c>
      <c r="Q2612" s="3">
        <f>IF(P2612="","",IF(P2612&lt;-0.02,"🔴 Bán phá giá sàn",IF(P2612&gt;0.05,"🔵 Bán cao hơn","🟢 Đúng giá sàn TMĐT")))</f>
        <v/>
      </c>
      <c r="R2612" s="3" t="n"/>
      <c r="S2612" s="4" t="n"/>
      <c r="T2612" s="4" t="n"/>
    </row>
    <row r="2613">
      <c r="A2613" s="3" t="n">
        <v>2612</v>
      </c>
      <c r="B2613" s="3" t="inlineStr">
        <is>
          <t>DL024</t>
        </is>
      </c>
      <c r="C2613" s="4" t="inlineStr">
        <is>
          <t>ĐL Đà Nẵng - Tân Cảng Decor</t>
        </is>
      </c>
      <c r="D2613" s="3" t="inlineStr">
        <is>
          <t>Đà Nẵng</t>
        </is>
      </c>
      <c r="E2613" s="3" t="inlineStr">
        <is>
          <t>THÙY TRANG</t>
        </is>
      </c>
      <c r="F2613" s="3" t="inlineStr">
        <is>
          <t>Shopee, Tiktok, Website bán hàng</t>
        </is>
      </c>
      <c r="G2613" s="4" t="inlineStr">
        <is>
          <t>SHOPEE: https://shopee.vn/tancangdecorshop TIKTOK: https://www.tiktok.com/@tancangdecor LAZADA: WEBSITE BÁN HÀNG: https://tancangdecor.com/</t>
        </is>
      </c>
      <c r="H2613" s="3" t="inlineStr">
        <is>
          <t>KGX-08</t>
        </is>
      </c>
      <c r="I2613" s="4" t="inlineStr">
        <is>
          <t>Cần siết tự động đa năng 8 in 1 KGX-08</t>
        </is>
      </c>
      <c r="J2613" s="3" t="inlineStr">
        <is>
          <t>Cái</t>
        </is>
      </c>
      <c r="K2613" s="5" t="n">
        <v>319000</v>
      </c>
      <c r="L2613" s="5" t="n">
        <v>377000</v>
      </c>
      <c r="M2613" s="6" t="n">
        <v>463000</v>
      </c>
      <c r="N2613" s="5" t="n"/>
      <c r="O2613" s="5">
        <f>IF(AND(ISNUMBER(N2613),ISNUMBER(M2613)),N2613-M2613,"")</f>
        <v/>
      </c>
      <c r="P2613" s="7">
        <f>IF(AND(ISNUMBER(N2613),ISNUMBER(M2613),M2613&gt;0),(N2613-M2613)/M2613,"")</f>
        <v/>
      </c>
      <c r="Q2613" s="3">
        <f>IF(P2613="","",IF(P2613&lt;-0.02,"🔴 Bán phá giá sàn",IF(P2613&gt;0.05,"🔵 Bán cao hơn","🟢 Đúng giá sàn TMĐT")))</f>
        <v/>
      </c>
      <c r="R2613" s="3" t="n"/>
      <c r="S2613" s="4" t="n"/>
      <c r="T2613" s="4" t="n"/>
    </row>
    <row r="2614">
      <c r="A2614" s="3" t="n">
        <v>2613</v>
      </c>
      <c r="B2614" s="3" t="inlineStr">
        <is>
          <t>DL024</t>
        </is>
      </c>
      <c r="C2614" s="4" t="inlineStr">
        <is>
          <t>ĐL Đà Nẵng - Tân Cảng Decor</t>
        </is>
      </c>
      <c r="D2614" s="3" t="inlineStr">
        <is>
          <t>Đà Nẵng</t>
        </is>
      </c>
      <c r="E2614" s="3" t="inlineStr">
        <is>
          <t>THÙY TRANG</t>
        </is>
      </c>
      <c r="F2614" s="3" t="inlineStr">
        <is>
          <t>Shopee, Tiktok, Website bán hàng</t>
        </is>
      </c>
      <c r="G2614" s="4" t="inlineStr">
        <is>
          <t>SHOPEE: https://shopee.vn/tancangdecorshop TIKTOK: https://www.tiktok.com/@tancangdecor LAZADA: WEBSITE BÁN HÀNG: https://tancangdecor.com/</t>
        </is>
      </c>
      <c r="H2614" s="3" t="inlineStr">
        <is>
          <t>KFC8.200</t>
        </is>
      </c>
      <c r="I2614" s="4" t="inlineStr">
        <is>
          <t>Cảo chữ F - KFC8.200</t>
        </is>
      </c>
      <c r="J2614" s="3" t="inlineStr">
        <is>
          <t>Cái</t>
        </is>
      </c>
      <c r="K2614" s="5" t="n">
        <v>269000</v>
      </c>
      <c r="L2614" s="5" t="n">
        <v>317000</v>
      </c>
      <c r="M2614" s="6" t="n">
        <v>390000</v>
      </c>
      <c r="N2614" s="5" t="n"/>
      <c r="O2614" s="5">
        <f>IF(AND(ISNUMBER(N2614),ISNUMBER(M2614)),N2614-M2614,"")</f>
        <v/>
      </c>
      <c r="P2614" s="7">
        <f>IF(AND(ISNUMBER(N2614),ISNUMBER(M2614),M2614&gt;0),(N2614-M2614)/M2614,"")</f>
        <v/>
      </c>
      <c r="Q2614" s="3">
        <f>IF(P2614="","",IF(P2614&lt;-0.02,"🔴 Bán phá giá sàn",IF(P2614&gt;0.05,"🔵 Bán cao hơn","🟢 Đúng giá sàn TMĐT")))</f>
        <v/>
      </c>
      <c r="R2614" s="3" t="n"/>
      <c r="S2614" s="4" t="n"/>
      <c r="T2614" s="4" t="n"/>
    </row>
    <row r="2615">
      <c r="A2615" s="3" t="n">
        <v>2614</v>
      </c>
      <c r="B2615" s="3" t="inlineStr">
        <is>
          <t>DL024</t>
        </is>
      </c>
      <c r="C2615" s="4" t="inlineStr">
        <is>
          <t>ĐL Đà Nẵng - Tân Cảng Decor</t>
        </is>
      </c>
      <c r="D2615" s="3" t="inlineStr">
        <is>
          <t>Đà Nẵng</t>
        </is>
      </c>
      <c r="E2615" s="3" t="inlineStr">
        <is>
          <t>THÙY TRANG</t>
        </is>
      </c>
      <c r="F2615" s="3" t="inlineStr">
        <is>
          <t>Shopee, Tiktok, Website bán hàng</t>
        </is>
      </c>
      <c r="G2615" s="4" t="inlineStr">
        <is>
          <t>SHOPEE: https://shopee.vn/tancangdecorshop TIKTOK: https://www.tiktok.com/@tancangdecor LAZADA: WEBSITE BÁN HÀNG: https://tancangdecor.com/</t>
        </is>
      </c>
      <c r="H2615" s="3" t="inlineStr">
        <is>
          <t>KFC8.300</t>
        </is>
      </c>
      <c r="I2615" s="4" t="inlineStr">
        <is>
          <t>Cảo chữ F - KFC8.300</t>
        </is>
      </c>
      <c r="J2615" s="3" t="inlineStr">
        <is>
          <t>Cái</t>
        </is>
      </c>
      <c r="K2615" s="5" t="n">
        <v>269000</v>
      </c>
      <c r="L2615" s="5" t="n">
        <v>317000</v>
      </c>
      <c r="M2615" s="6" t="n">
        <v>390000</v>
      </c>
      <c r="N2615" s="5" t="n"/>
      <c r="O2615" s="5">
        <f>IF(AND(ISNUMBER(N2615),ISNUMBER(M2615)),N2615-M2615,"")</f>
        <v/>
      </c>
      <c r="P2615" s="7">
        <f>IF(AND(ISNUMBER(N2615),ISNUMBER(M2615),M2615&gt;0),(N2615-M2615)/M2615,"")</f>
        <v/>
      </c>
      <c r="Q2615" s="3">
        <f>IF(P2615="","",IF(P2615&lt;-0.02,"🔴 Bán phá giá sàn",IF(P2615&gt;0.05,"🔵 Bán cao hơn","🟢 Đúng giá sàn TMĐT")))</f>
        <v/>
      </c>
      <c r="R2615" s="3" t="n"/>
      <c r="S2615" s="4" t="n"/>
      <c r="T2615" s="4" t="n"/>
    </row>
    <row r="2616">
      <c r="A2616" s="3" t="n">
        <v>2615</v>
      </c>
      <c r="B2616" s="3" t="inlineStr">
        <is>
          <t>DL024</t>
        </is>
      </c>
      <c r="C2616" s="4" t="inlineStr">
        <is>
          <t>ĐL Đà Nẵng - Tân Cảng Decor</t>
        </is>
      </c>
      <c r="D2616" s="3" t="inlineStr">
        <is>
          <t>Đà Nẵng</t>
        </is>
      </c>
      <c r="E2616" s="3" t="inlineStr">
        <is>
          <t>THÙY TRANG</t>
        </is>
      </c>
      <c r="F2616" s="3" t="inlineStr">
        <is>
          <t>Shopee, Tiktok, Website bán hàng</t>
        </is>
      </c>
      <c r="G2616" s="4" t="inlineStr">
        <is>
          <t>SHOPEE: https://shopee.vn/tancangdecorshop TIKTOK: https://www.tiktok.com/@tancangdecor LAZADA: WEBSITE BÁN HÀNG: https://tancangdecor.com/</t>
        </is>
      </c>
      <c r="H2616" s="3" t="inlineStr">
        <is>
          <t>KFCN10.200</t>
        </is>
      </c>
      <c r="I2616" s="4" t="inlineStr">
        <is>
          <t>Cảo chữ F - KFCN10.200</t>
        </is>
      </c>
      <c r="J2616" s="3" t="inlineStr">
        <is>
          <t>Cái</t>
        </is>
      </c>
      <c r="K2616" s="5" t="n">
        <v>269000</v>
      </c>
      <c r="L2616" s="5" t="n">
        <v>317000</v>
      </c>
      <c r="M2616" s="6" t="n">
        <v>390000</v>
      </c>
      <c r="N2616" s="5" t="n"/>
      <c r="O2616" s="5">
        <f>IF(AND(ISNUMBER(N2616),ISNUMBER(M2616)),N2616-M2616,"")</f>
        <v/>
      </c>
      <c r="P2616" s="7">
        <f>IF(AND(ISNUMBER(N2616),ISNUMBER(M2616),M2616&gt;0),(N2616-M2616)/M2616,"")</f>
        <v/>
      </c>
      <c r="Q2616" s="3">
        <f>IF(P2616="","",IF(P2616&lt;-0.02,"🔴 Bán phá giá sàn",IF(P2616&gt;0.05,"🔵 Bán cao hơn","🟢 Đúng giá sàn TMĐT")))</f>
        <v/>
      </c>
      <c r="R2616" s="3" t="n"/>
      <c r="S2616" s="4" t="n"/>
      <c r="T2616" s="4" t="n"/>
    </row>
    <row r="2617">
      <c r="A2617" s="3" t="n">
        <v>2616</v>
      </c>
      <c r="B2617" s="3" t="inlineStr">
        <is>
          <t>DL024</t>
        </is>
      </c>
      <c r="C2617" s="4" t="inlineStr">
        <is>
          <t>ĐL Đà Nẵng - Tân Cảng Decor</t>
        </is>
      </c>
      <c r="D2617" s="3" t="inlineStr">
        <is>
          <t>Đà Nẵng</t>
        </is>
      </c>
      <c r="E2617" s="3" t="inlineStr">
        <is>
          <t>THÙY TRANG</t>
        </is>
      </c>
      <c r="F2617" s="3" t="inlineStr">
        <is>
          <t>Shopee, Tiktok, Website bán hàng</t>
        </is>
      </c>
      <c r="G2617" s="4" t="inlineStr">
        <is>
          <t>SHOPEE: https://shopee.vn/tancangdecorshop TIKTOK: https://www.tiktok.com/@tancangdecor LAZADA: WEBSITE BÁN HÀNG: https://tancangdecor.com/</t>
        </is>
      </c>
      <c r="H2617" s="3" t="inlineStr">
        <is>
          <t>KB-05X</t>
        </is>
      </c>
      <c r="I2617" s="4" t="inlineStr">
        <is>
          <t>Chân máy laser KB-05X</t>
        </is>
      </c>
      <c r="J2617" s="3" t="inlineStr">
        <is>
          <t>Cái</t>
        </is>
      </c>
      <c r="K2617" s="5" t="n">
        <v>1350000</v>
      </c>
      <c r="L2617" s="5" t="n">
        <v>1510000</v>
      </c>
      <c r="M2617" s="6" t="n">
        <v>1760000</v>
      </c>
      <c r="N2617" s="5" t="n"/>
      <c r="O2617" s="5">
        <f>IF(AND(ISNUMBER(N2617),ISNUMBER(M2617)),N2617-M2617,"")</f>
        <v/>
      </c>
      <c r="P2617" s="7">
        <f>IF(AND(ISNUMBER(N2617),ISNUMBER(M2617),M2617&gt;0),(N2617-M2617)/M2617,"")</f>
        <v/>
      </c>
      <c r="Q2617" s="3">
        <f>IF(P2617="","",IF(P2617&lt;-0.02,"🔴 Bán phá giá sàn",IF(P2617&gt;0.05,"🔵 Bán cao hơn","🟢 Đúng giá sàn TMĐT")))</f>
        <v/>
      </c>
      <c r="R2617" s="3" t="n"/>
      <c r="S2617" s="4" t="n"/>
      <c r="T2617" s="4" t="n"/>
    </row>
    <row r="2618">
      <c r="A2618" s="3" t="n">
        <v>2617</v>
      </c>
      <c r="B2618" s="3" t="inlineStr">
        <is>
          <t>DL024</t>
        </is>
      </c>
      <c r="C2618" s="4" t="inlineStr">
        <is>
          <t>ĐL Đà Nẵng - Tân Cảng Decor</t>
        </is>
      </c>
      <c r="D2618" s="3" t="inlineStr">
        <is>
          <t>Đà Nẵng</t>
        </is>
      </c>
      <c r="E2618" s="3" t="inlineStr">
        <is>
          <t>THÙY TRANG</t>
        </is>
      </c>
      <c r="F2618" s="3" t="inlineStr">
        <is>
          <t>Shopee, Tiktok, Website bán hàng</t>
        </is>
      </c>
      <c r="G2618" s="4" t="inlineStr">
        <is>
          <t>SHOPEE: https://shopee.vn/tancangdecorshop TIKTOK: https://www.tiktok.com/@tancangdecor LAZADA: WEBSITE BÁN HÀNG: https://tancangdecor.com/</t>
        </is>
      </c>
      <c r="H2618" s="3" t="inlineStr"/>
      <c r="I2618" s="4" t="inlineStr">
        <is>
          <t>Cờ lê lực thao tác nhanh 17mm</t>
        </is>
      </c>
      <c r="J2618" s="3" t="inlineStr">
        <is>
          <t>Cái</t>
        </is>
      </c>
      <c r="K2618" s="5" t="n">
        <v>269000</v>
      </c>
      <c r="L2618" s="5" t="n">
        <v>317000</v>
      </c>
      <c r="M2618" s="6" t="n">
        <v>390000</v>
      </c>
      <c r="N2618" s="5" t="n"/>
      <c r="O2618" s="5">
        <f>IF(AND(ISNUMBER(N2618),ISNUMBER(M2618)),N2618-M2618,"")</f>
        <v/>
      </c>
      <c r="P2618" s="7">
        <f>IF(AND(ISNUMBER(N2618),ISNUMBER(M2618),M2618&gt;0),(N2618-M2618)/M2618,"")</f>
        <v/>
      </c>
      <c r="Q2618" s="3">
        <f>IF(P2618="","",IF(P2618&lt;-0.02,"🔴 Bán phá giá sàn",IF(P2618&gt;0.05,"🔵 Bán cao hơn","🟢 Đúng giá sàn TMĐT")))</f>
        <v/>
      </c>
      <c r="R2618" s="3" t="n"/>
      <c r="S2618" s="4" t="n"/>
      <c r="T2618" s="4" t="n"/>
    </row>
    <row r="2619">
      <c r="A2619" s="3" t="n">
        <v>2618</v>
      </c>
      <c r="B2619" s="3" t="inlineStr">
        <is>
          <t>DL024</t>
        </is>
      </c>
      <c r="C2619" s="4" t="inlineStr">
        <is>
          <t>ĐL Đà Nẵng - Tân Cảng Decor</t>
        </is>
      </c>
      <c r="D2619" s="3" t="inlineStr">
        <is>
          <t>Đà Nẵng</t>
        </is>
      </c>
      <c r="E2619" s="3" t="inlineStr">
        <is>
          <t>THÙY TRANG</t>
        </is>
      </c>
      <c r="F2619" s="3" t="inlineStr">
        <is>
          <t>Shopee, Tiktok, Website bán hàng</t>
        </is>
      </c>
      <c r="G2619" s="4" t="inlineStr">
        <is>
          <t>SHOPEE: https://shopee.vn/tancangdecorshop TIKTOK: https://www.tiktok.com/@tancangdecor LAZADA: WEBSITE BÁN HÀNG: https://tancangdecor.com/</t>
        </is>
      </c>
      <c r="H2619" s="3" t="inlineStr"/>
      <c r="I2619" s="4" t="inlineStr">
        <is>
          <t>Cờ lê lực thao tác nhanh 22mm</t>
        </is>
      </c>
      <c r="J2619" s="3" t="inlineStr">
        <is>
          <t>Cái</t>
        </is>
      </c>
      <c r="K2619" s="5" t="n">
        <v>269000</v>
      </c>
      <c r="L2619" s="5" t="n">
        <v>317000</v>
      </c>
      <c r="M2619" s="6" t="n">
        <v>390000</v>
      </c>
      <c r="N2619" s="5" t="n"/>
      <c r="O2619" s="5">
        <f>IF(AND(ISNUMBER(N2619),ISNUMBER(M2619)),N2619-M2619,"")</f>
        <v/>
      </c>
      <c r="P2619" s="7">
        <f>IF(AND(ISNUMBER(N2619),ISNUMBER(M2619),M2619&gt;0),(N2619-M2619)/M2619,"")</f>
        <v/>
      </c>
      <c r="Q2619" s="3">
        <f>IF(P2619="","",IF(P2619&lt;-0.02,"🔴 Bán phá giá sàn",IF(P2619&gt;0.05,"🔵 Bán cao hơn","🟢 Đúng giá sàn TMĐT")))</f>
        <v/>
      </c>
      <c r="R2619" s="3" t="n"/>
      <c r="S2619" s="4" t="n"/>
      <c r="T2619" s="4" t="n"/>
    </row>
    <row r="2620">
      <c r="A2620" s="3" t="n">
        <v>2619</v>
      </c>
      <c r="B2620" s="3" t="inlineStr">
        <is>
          <t>DL024</t>
        </is>
      </c>
      <c r="C2620" s="4" t="inlineStr">
        <is>
          <t>ĐL Đà Nẵng - Tân Cảng Decor</t>
        </is>
      </c>
      <c r="D2620" s="3" t="inlineStr">
        <is>
          <t>Đà Nẵng</t>
        </is>
      </c>
      <c r="E2620" s="3" t="inlineStr">
        <is>
          <t>THÙY TRANG</t>
        </is>
      </c>
      <c r="F2620" s="3" t="inlineStr">
        <is>
          <t>Shopee, Tiktok, Website bán hàng</t>
        </is>
      </c>
      <c r="G2620" s="4" t="inlineStr">
        <is>
          <t>SHOPEE: https://shopee.vn/tancangdecorshop TIKTOK: https://www.tiktok.com/@tancangdecor LAZADA: WEBSITE BÁN HÀNG: https://tancangdecor.com/</t>
        </is>
      </c>
      <c r="H2620" s="3" t="inlineStr">
        <is>
          <t>KH3-10</t>
        </is>
      </c>
      <c r="I2620" s="4" t="inlineStr">
        <is>
          <t>Cờ lê vòng miệng tự động ( càng cua đảo chiều) KH3-10</t>
        </is>
      </c>
      <c r="J2620" s="3" t="inlineStr">
        <is>
          <t>Cái</t>
        </is>
      </c>
      <c r="K2620" s="5" t="n">
        <v>62000</v>
      </c>
      <c r="L2620" s="5" t="n">
        <v>73000</v>
      </c>
      <c r="M2620" s="6" t="n">
        <v>90000</v>
      </c>
      <c r="N2620" s="5" t="n"/>
      <c r="O2620" s="5">
        <f>IF(AND(ISNUMBER(N2620),ISNUMBER(M2620)),N2620-M2620,"")</f>
        <v/>
      </c>
      <c r="P2620" s="7">
        <f>IF(AND(ISNUMBER(N2620),ISNUMBER(M2620),M2620&gt;0),(N2620-M2620)/M2620,"")</f>
        <v/>
      </c>
      <c r="Q2620" s="3">
        <f>IF(P2620="","",IF(P2620&lt;-0.02,"🔴 Bán phá giá sàn",IF(P2620&gt;0.05,"🔵 Bán cao hơn","🟢 Đúng giá sàn TMĐT")))</f>
        <v/>
      </c>
      <c r="R2620" s="3" t="n"/>
      <c r="S2620" s="4" t="n"/>
      <c r="T2620" s="4" t="n"/>
    </row>
    <row r="2621">
      <c r="A2621" s="3" t="n">
        <v>2620</v>
      </c>
      <c r="B2621" s="3" t="inlineStr">
        <is>
          <t>DL024</t>
        </is>
      </c>
      <c r="C2621" s="4" t="inlineStr">
        <is>
          <t>ĐL Đà Nẵng - Tân Cảng Decor</t>
        </is>
      </c>
      <c r="D2621" s="3" t="inlineStr">
        <is>
          <t>Đà Nẵng</t>
        </is>
      </c>
      <c r="E2621" s="3" t="inlineStr">
        <is>
          <t>THÙY TRANG</t>
        </is>
      </c>
      <c r="F2621" s="3" t="inlineStr">
        <is>
          <t>Shopee, Tiktok, Website bán hàng</t>
        </is>
      </c>
      <c r="G2621" s="4" t="inlineStr">
        <is>
          <t>SHOPEE: https://shopee.vn/tancangdecorshop TIKTOK: https://www.tiktok.com/@tancangdecor LAZADA: WEBSITE BÁN HÀNG: https://tancangdecor.com/</t>
        </is>
      </c>
      <c r="H2621" s="3" t="inlineStr">
        <is>
          <t>KH3-13</t>
        </is>
      </c>
      <c r="I2621" s="4" t="inlineStr">
        <is>
          <t>Cờ lê vòng miệng tự động ( càng cua đảo chiều) KH3-13</t>
        </is>
      </c>
      <c r="J2621" s="3" t="inlineStr">
        <is>
          <t>Cái</t>
        </is>
      </c>
      <c r="K2621" s="5" t="n">
        <v>75000</v>
      </c>
      <c r="L2621" s="5" t="n">
        <v>89000</v>
      </c>
      <c r="M2621" s="6" t="n">
        <v>109000</v>
      </c>
      <c r="N2621" s="5" t="n"/>
      <c r="O2621" s="5">
        <f>IF(AND(ISNUMBER(N2621),ISNUMBER(M2621)),N2621-M2621,"")</f>
        <v/>
      </c>
      <c r="P2621" s="7">
        <f>IF(AND(ISNUMBER(N2621),ISNUMBER(M2621),M2621&gt;0),(N2621-M2621)/M2621,"")</f>
        <v/>
      </c>
      <c r="Q2621" s="3">
        <f>IF(P2621="","",IF(P2621&lt;-0.02,"🔴 Bán phá giá sàn",IF(P2621&gt;0.05,"🔵 Bán cao hơn","🟢 Đúng giá sàn TMĐT")))</f>
        <v/>
      </c>
      <c r="R2621" s="3" t="n"/>
      <c r="S2621" s="4" t="n"/>
      <c r="T2621" s="4" t="n"/>
    </row>
    <row r="2622">
      <c r="A2622" s="3" t="n">
        <v>2621</v>
      </c>
      <c r="B2622" s="3" t="inlineStr">
        <is>
          <t>DL024</t>
        </is>
      </c>
      <c r="C2622" s="4" t="inlineStr">
        <is>
          <t>ĐL Đà Nẵng - Tân Cảng Decor</t>
        </is>
      </c>
      <c r="D2622" s="3" t="inlineStr">
        <is>
          <t>Đà Nẵng</t>
        </is>
      </c>
      <c r="E2622" s="3" t="inlineStr">
        <is>
          <t>THÙY TRANG</t>
        </is>
      </c>
      <c r="F2622" s="3" t="inlineStr">
        <is>
          <t>Shopee, Tiktok, Website bán hàng</t>
        </is>
      </c>
      <c r="G2622" s="4" t="inlineStr">
        <is>
          <t>SHOPEE: https://shopee.vn/tancangdecorshop TIKTOK: https://www.tiktok.com/@tancangdecor LAZADA: WEBSITE BÁN HÀNG: https://tancangdecor.com/</t>
        </is>
      </c>
      <c r="H2622" s="3" t="inlineStr">
        <is>
          <t>KH3-17</t>
        </is>
      </c>
      <c r="I2622" s="4" t="inlineStr">
        <is>
          <t>Cờ lê vòng miệng tự động ( càng cua đảo chiều) KH3-17</t>
        </is>
      </c>
      <c r="J2622" s="3" t="inlineStr">
        <is>
          <t>Cái</t>
        </is>
      </c>
      <c r="K2622" s="5" t="n">
        <v>97000</v>
      </c>
      <c r="L2622" s="5" t="n">
        <v>115000</v>
      </c>
      <c r="M2622" s="6" t="n">
        <v>141000</v>
      </c>
      <c r="N2622" s="5" t="n"/>
      <c r="O2622" s="5">
        <f>IF(AND(ISNUMBER(N2622),ISNUMBER(M2622)),N2622-M2622,"")</f>
        <v/>
      </c>
      <c r="P2622" s="7">
        <f>IF(AND(ISNUMBER(N2622),ISNUMBER(M2622),M2622&gt;0),(N2622-M2622)/M2622,"")</f>
        <v/>
      </c>
      <c r="Q2622" s="3">
        <f>IF(P2622="","",IF(P2622&lt;-0.02,"🔴 Bán phá giá sàn",IF(P2622&gt;0.05,"🔵 Bán cao hơn","🟢 Đúng giá sàn TMĐT")))</f>
        <v/>
      </c>
      <c r="R2622" s="3" t="n"/>
      <c r="S2622" s="4" t="n"/>
      <c r="T2622" s="4" t="n"/>
    </row>
    <row r="2623">
      <c r="A2623" s="3" t="n">
        <v>2622</v>
      </c>
      <c r="B2623" s="3" t="inlineStr">
        <is>
          <t>DL024</t>
        </is>
      </c>
      <c r="C2623" s="4" t="inlineStr">
        <is>
          <t>ĐL Đà Nẵng - Tân Cảng Decor</t>
        </is>
      </c>
      <c r="D2623" s="3" t="inlineStr">
        <is>
          <t>Đà Nẵng</t>
        </is>
      </c>
      <c r="E2623" s="3" t="inlineStr">
        <is>
          <t>THÙY TRANG</t>
        </is>
      </c>
      <c r="F2623" s="3" t="inlineStr">
        <is>
          <t>Shopee, Tiktok, Website bán hàng</t>
        </is>
      </c>
      <c r="G2623" s="4" t="inlineStr">
        <is>
          <t>SHOPEE: https://shopee.vn/tancangdecorshop TIKTOK: https://www.tiktok.com/@tancangdecor LAZADA: WEBSITE BÁN HÀNG: https://tancangdecor.com/</t>
        </is>
      </c>
      <c r="H2623" s="3" t="inlineStr">
        <is>
          <t>KB-ST18</t>
        </is>
      </c>
      <c r="I2623" s="4" t="inlineStr">
        <is>
          <t>Công cụ đóng đinh bán tự động KB-ST18</t>
        </is>
      </c>
      <c r="J2623" s="3" t="inlineStr">
        <is>
          <t>Cái</t>
        </is>
      </c>
      <c r="K2623" s="5" t="n">
        <v>242000</v>
      </c>
      <c r="L2623" s="5" t="n">
        <v>286000</v>
      </c>
      <c r="M2623" s="6" t="n">
        <v>351000</v>
      </c>
      <c r="N2623" s="5" t="n"/>
      <c r="O2623" s="5">
        <f>IF(AND(ISNUMBER(N2623),ISNUMBER(M2623)),N2623-M2623,"")</f>
        <v/>
      </c>
      <c r="P2623" s="7">
        <f>IF(AND(ISNUMBER(N2623),ISNUMBER(M2623),M2623&gt;0),(N2623-M2623)/M2623,"")</f>
        <v/>
      </c>
      <c r="Q2623" s="3">
        <f>IF(P2623="","",IF(P2623&lt;-0.02,"🔴 Bán phá giá sàn",IF(P2623&gt;0.05,"🔵 Bán cao hơn","🟢 Đúng giá sàn TMĐT")))</f>
        <v/>
      </c>
      <c r="R2623" s="3" t="n"/>
      <c r="S2623" s="4" t="n"/>
      <c r="T2623" s="4" t="n"/>
    </row>
    <row r="2624">
      <c r="A2624" s="3" t="n">
        <v>2623</v>
      </c>
      <c r="B2624" s="3" t="inlineStr">
        <is>
          <t>DL024</t>
        </is>
      </c>
      <c r="C2624" s="4" t="inlineStr">
        <is>
          <t>ĐL Đà Nẵng - Tân Cảng Decor</t>
        </is>
      </c>
      <c r="D2624" s="3" t="inlineStr">
        <is>
          <t>Đà Nẵng</t>
        </is>
      </c>
      <c r="E2624" s="3" t="inlineStr">
        <is>
          <t>THÙY TRANG</t>
        </is>
      </c>
      <c r="F2624" s="3" t="inlineStr">
        <is>
          <t>Shopee, Tiktok, Website bán hàng</t>
        </is>
      </c>
      <c r="G2624" s="4" t="inlineStr">
        <is>
          <t>SHOPEE: https://shopee.vn/tancangdecorshop TIKTOK: https://www.tiktok.com/@tancangdecor LAZADA: WEBSITE BÁN HÀNG: https://tancangdecor.com/</t>
        </is>
      </c>
      <c r="H2624" s="3" t="inlineStr">
        <is>
          <t>KB-E350</t>
        </is>
      </c>
      <c r="I2624" s="4" t="inlineStr">
        <is>
          <t>Cưa KingBlue KB-E350</t>
        </is>
      </c>
      <c r="J2624" s="3" t="inlineStr">
        <is>
          <t>Cái</t>
        </is>
      </c>
      <c r="K2624" s="5" t="n">
        <v>242000</v>
      </c>
      <c r="L2624" s="5" t="n">
        <v>286000</v>
      </c>
      <c r="M2624" s="6" t="n">
        <v>351000</v>
      </c>
      <c r="N2624" s="5" t="n"/>
      <c r="O2624" s="5">
        <f>IF(AND(ISNUMBER(N2624),ISNUMBER(M2624)),N2624-M2624,"")</f>
        <v/>
      </c>
      <c r="P2624" s="7">
        <f>IF(AND(ISNUMBER(N2624),ISNUMBER(M2624),M2624&gt;0),(N2624-M2624)/M2624,"")</f>
        <v/>
      </c>
      <c r="Q2624" s="3">
        <f>IF(P2624="","",IF(P2624&lt;-0.02,"🔴 Bán phá giá sàn",IF(P2624&gt;0.05,"🔵 Bán cao hơn","🟢 Đúng giá sàn TMĐT")))</f>
        <v/>
      </c>
      <c r="R2624" s="3" t="n"/>
      <c r="S2624" s="4" t="n"/>
      <c r="T2624" s="4" t="n"/>
    </row>
    <row r="2625">
      <c r="A2625" s="3" t="n">
        <v>2624</v>
      </c>
      <c r="B2625" s="3" t="inlineStr">
        <is>
          <t>DL024</t>
        </is>
      </c>
      <c r="C2625" s="4" t="inlineStr">
        <is>
          <t>ĐL Đà Nẵng - Tân Cảng Decor</t>
        </is>
      </c>
      <c r="D2625" s="3" t="inlineStr">
        <is>
          <t>Đà Nẵng</t>
        </is>
      </c>
      <c r="E2625" s="3" t="inlineStr">
        <is>
          <t>THÙY TRANG</t>
        </is>
      </c>
      <c r="F2625" s="3" t="inlineStr">
        <is>
          <t>Shopee, Tiktok, Website bán hàng</t>
        </is>
      </c>
      <c r="G2625" s="4" t="inlineStr">
        <is>
          <t>SHOPEE: https://shopee.vn/tancangdecorshop TIKTOK: https://www.tiktok.com/@tancangdecor LAZADA: WEBSITE BÁN HÀNG: https://tancangdecor.com/</t>
        </is>
      </c>
      <c r="H2625" s="3" t="inlineStr">
        <is>
          <t>KB-S330</t>
        </is>
      </c>
      <c r="I2625" s="4" t="inlineStr">
        <is>
          <t>Cưa KingBlue KB-S330</t>
        </is>
      </c>
      <c r="J2625" s="3" t="inlineStr">
        <is>
          <t>Cái</t>
        </is>
      </c>
      <c r="K2625" s="5" t="n">
        <v>263000</v>
      </c>
      <c r="L2625" s="5" t="n">
        <v>310000</v>
      </c>
      <c r="M2625" s="6" t="n">
        <v>381000</v>
      </c>
      <c r="N2625" s="5" t="n"/>
      <c r="O2625" s="5">
        <f>IF(AND(ISNUMBER(N2625),ISNUMBER(M2625)),N2625-M2625,"")</f>
        <v/>
      </c>
      <c r="P2625" s="7">
        <f>IF(AND(ISNUMBER(N2625),ISNUMBER(M2625),M2625&gt;0),(N2625-M2625)/M2625,"")</f>
        <v/>
      </c>
      <c r="Q2625" s="3">
        <f>IF(P2625="","",IF(P2625&lt;-0.02,"🔴 Bán phá giá sàn",IF(P2625&gt;0.05,"🔵 Bán cao hơn","🟢 Đúng giá sàn TMĐT")))</f>
        <v/>
      </c>
      <c r="R2625" s="3" t="n"/>
      <c r="S2625" s="4" t="n"/>
      <c r="T2625" s="4" t="n"/>
    </row>
    <row r="2626">
      <c r="A2626" s="3" t="n">
        <v>2625</v>
      </c>
      <c r="B2626" s="3" t="inlineStr">
        <is>
          <t>DL024</t>
        </is>
      </c>
      <c r="C2626" s="4" t="inlineStr">
        <is>
          <t>ĐL Đà Nẵng - Tân Cảng Decor</t>
        </is>
      </c>
      <c r="D2626" s="3" t="inlineStr">
        <is>
          <t>Đà Nẵng</t>
        </is>
      </c>
      <c r="E2626" s="3" t="inlineStr">
        <is>
          <t>THÙY TRANG</t>
        </is>
      </c>
      <c r="F2626" s="3" t="inlineStr">
        <is>
          <t>Shopee, Tiktok, Website bán hàng</t>
        </is>
      </c>
      <c r="G2626" s="4" t="inlineStr">
        <is>
          <t>SHOPEE: https://shopee.vn/tancangdecorshop TIKTOK: https://www.tiktok.com/@tancangdecor LAZADA: WEBSITE BÁN HÀNG: https://tancangdecor.com/</t>
        </is>
      </c>
      <c r="H2626" s="3" t="inlineStr">
        <is>
          <t>D3-350x3.0</t>
        </is>
      </c>
      <c r="I2626" s="4" t="inlineStr">
        <is>
          <t>Đá cắt sắt, inox KingBlue D3-350x3.0 S</t>
        </is>
      </c>
      <c r="J2626" s="3" t="inlineStr">
        <is>
          <t>Viên</t>
        </is>
      </c>
      <c r="K2626" s="5" t="n">
        <v>45000</v>
      </c>
      <c r="L2626" s="5" t="n">
        <v>53000</v>
      </c>
      <c r="M2626" s="6" t="n">
        <v>65000</v>
      </c>
      <c r="N2626" s="5" t="n"/>
      <c r="O2626" s="5">
        <f>IF(AND(ISNUMBER(N2626),ISNUMBER(M2626)),N2626-M2626,"")</f>
        <v/>
      </c>
      <c r="P2626" s="7">
        <f>IF(AND(ISNUMBER(N2626),ISNUMBER(M2626),M2626&gt;0),(N2626-M2626)/M2626,"")</f>
        <v/>
      </c>
      <c r="Q2626" s="3">
        <f>IF(P2626="","",IF(P2626&lt;-0.02,"🔴 Bán phá giá sàn",IF(P2626&gt;0.05,"🔵 Bán cao hơn","🟢 Đúng giá sàn TMĐT")))</f>
        <v/>
      </c>
      <c r="R2626" s="3" t="n"/>
      <c r="S2626" s="4" t="n"/>
      <c r="T2626" s="4" t="n"/>
    </row>
    <row r="2627">
      <c r="A2627" s="3" t="n">
        <v>2626</v>
      </c>
      <c r="B2627" s="3" t="inlineStr">
        <is>
          <t>DL024</t>
        </is>
      </c>
      <c r="C2627" s="4" t="inlineStr">
        <is>
          <t>ĐL Đà Nẵng - Tân Cảng Decor</t>
        </is>
      </c>
      <c r="D2627" s="3" t="inlineStr">
        <is>
          <t>Đà Nẵng</t>
        </is>
      </c>
      <c r="E2627" s="3" t="inlineStr">
        <is>
          <t>THÙY TRANG</t>
        </is>
      </c>
      <c r="F2627" s="3" t="inlineStr">
        <is>
          <t>Shopee, Tiktok, Website bán hàng</t>
        </is>
      </c>
      <c r="G2627" s="4" t="inlineStr">
        <is>
          <t>SHOPEE: https://shopee.vn/tancangdecorshop TIKTOK: https://www.tiktok.com/@tancangdecor LAZADA: WEBSITE BÁN HÀNG: https://tancangdecor.com/</t>
        </is>
      </c>
      <c r="H2627" s="3" t="inlineStr">
        <is>
          <t>KJH-04</t>
        </is>
      </c>
      <c r="I2627" s="4" t="inlineStr">
        <is>
          <t>Dao rọc cáp đa năng KJH-04</t>
        </is>
      </c>
      <c r="J2627" s="3" t="inlineStr">
        <is>
          <t>Cái</t>
        </is>
      </c>
      <c r="K2627" s="5" t="n">
        <v>121000</v>
      </c>
      <c r="L2627" s="5" t="n">
        <v>143000</v>
      </c>
      <c r="M2627" s="6" t="n">
        <v>176000</v>
      </c>
      <c r="N2627" s="5" t="n"/>
      <c r="O2627" s="5">
        <f>IF(AND(ISNUMBER(N2627),ISNUMBER(M2627)),N2627-M2627,"")</f>
        <v/>
      </c>
      <c r="P2627" s="7">
        <f>IF(AND(ISNUMBER(N2627),ISNUMBER(M2627),M2627&gt;0),(N2627-M2627)/M2627,"")</f>
        <v/>
      </c>
      <c r="Q2627" s="3">
        <f>IF(P2627="","",IF(P2627&lt;-0.02,"🔴 Bán phá giá sàn",IF(P2627&gt;0.05,"🔵 Bán cao hơn","🟢 Đúng giá sàn TMĐT")))</f>
        <v/>
      </c>
      <c r="R2627" s="3" t="n"/>
      <c r="S2627" s="4" t="n"/>
      <c r="T2627" s="4" t="n"/>
    </row>
    <row r="2628">
      <c r="A2628" s="3" t="n">
        <v>2627</v>
      </c>
      <c r="B2628" s="3" t="inlineStr">
        <is>
          <t>DL024</t>
        </is>
      </c>
      <c r="C2628" s="4" t="inlineStr">
        <is>
          <t>ĐL Đà Nẵng - Tân Cảng Decor</t>
        </is>
      </c>
      <c r="D2628" s="3" t="inlineStr">
        <is>
          <t>Đà Nẵng</t>
        </is>
      </c>
      <c r="E2628" s="3" t="inlineStr">
        <is>
          <t>THÙY TRANG</t>
        </is>
      </c>
      <c r="F2628" s="3" t="inlineStr">
        <is>
          <t>Shopee, Tiktok, Website bán hàng</t>
        </is>
      </c>
      <c r="G2628" s="4" t="inlineStr">
        <is>
          <t>SHOPEE: https://shopee.vn/tancangdecorshop TIKTOK: https://www.tiktok.com/@tancangdecor LAZADA: WEBSITE BÁN HÀNG: https://tancangdecor.com/</t>
        </is>
      </c>
      <c r="H2628" s="3" t="inlineStr">
        <is>
          <t>KJH-05</t>
        </is>
      </c>
      <c r="I2628" s="4" t="inlineStr">
        <is>
          <t>Dao rọc cáp đa năng KJH-05</t>
        </is>
      </c>
      <c r="J2628" s="3" t="inlineStr">
        <is>
          <t>Cái</t>
        </is>
      </c>
      <c r="K2628" s="5" t="n">
        <v>119000</v>
      </c>
      <c r="L2628" s="5" t="n">
        <v>141000</v>
      </c>
      <c r="M2628" s="6" t="n">
        <v>173000</v>
      </c>
      <c r="N2628" s="5" t="n"/>
      <c r="O2628" s="5">
        <f>IF(AND(ISNUMBER(N2628),ISNUMBER(M2628)),N2628-M2628,"")</f>
        <v/>
      </c>
      <c r="P2628" s="7">
        <f>IF(AND(ISNUMBER(N2628),ISNUMBER(M2628),M2628&gt;0),(N2628-M2628)/M2628,"")</f>
        <v/>
      </c>
      <c r="Q2628" s="3">
        <f>IF(P2628="","",IF(P2628&lt;-0.02,"🔴 Bán phá giá sàn",IF(P2628&gt;0.05,"🔵 Bán cao hơn","🟢 Đúng giá sàn TMĐT")))</f>
        <v/>
      </c>
      <c r="R2628" s="3" t="n"/>
      <c r="S2628" s="4" t="n"/>
      <c r="T2628" s="4" t="n"/>
    </row>
    <row r="2629">
      <c r="A2629" s="3" t="n">
        <v>2628</v>
      </c>
      <c r="B2629" s="3" t="inlineStr">
        <is>
          <t>DL024</t>
        </is>
      </c>
      <c r="C2629" s="4" t="inlineStr">
        <is>
          <t>ĐL Đà Nẵng - Tân Cảng Decor</t>
        </is>
      </c>
      <c r="D2629" s="3" t="inlineStr">
        <is>
          <t>Đà Nẵng</t>
        </is>
      </c>
      <c r="E2629" s="3" t="inlineStr">
        <is>
          <t>THÙY TRANG</t>
        </is>
      </c>
      <c r="F2629" s="3" t="inlineStr">
        <is>
          <t>Shopee, Tiktok, Website bán hàng</t>
        </is>
      </c>
      <c r="G2629" s="4" t="inlineStr">
        <is>
          <t>SHOPEE: https://shopee.vn/tancangdecorshop TIKTOK: https://www.tiktok.com/@tancangdecor LAZADA: WEBSITE BÁN HÀNG: https://tancangdecor.com/</t>
        </is>
      </c>
      <c r="H2629" s="3" t="inlineStr">
        <is>
          <t>KJH-06</t>
        </is>
      </c>
      <c r="I2629" s="4" t="inlineStr">
        <is>
          <t>Dao rọc cáp đa năng KJH-06</t>
        </is>
      </c>
      <c r="J2629" s="3" t="inlineStr">
        <is>
          <t>Cái</t>
        </is>
      </c>
      <c r="K2629" s="5" t="n">
        <v>171000</v>
      </c>
      <c r="L2629" s="5" t="n">
        <v>202000</v>
      </c>
      <c r="M2629" s="6" t="n">
        <v>248000</v>
      </c>
      <c r="N2629" s="5" t="n"/>
      <c r="O2629" s="5">
        <f>IF(AND(ISNUMBER(N2629),ISNUMBER(M2629)),N2629-M2629,"")</f>
        <v/>
      </c>
      <c r="P2629" s="7">
        <f>IF(AND(ISNUMBER(N2629),ISNUMBER(M2629),M2629&gt;0),(N2629-M2629)/M2629,"")</f>
        <v/>
      </c>
      <c r="Q2629" s="3">
        <f>IF(P2629="","",IF(P2629&lt;-0.02,"🔴 Bán phá giá sàn",IF(P2629&gt;0.05,"🔵 Bán cao hơn","🟢 Đúng giá sàn TMĐT")))</f>
        <v/>
      </c>
      <c r="R2629" s="3" t="n"/>
      <c r="S2629" s="4" t="n"/>
      <c r="T2629" s="4" t="n"/>
    </row>
    <row r="2630">
      <c r="A2630" s="3" t="n">
        <v>2629</v>
      </c>
      <c r="B2630" s="3" t="inlineStr">
        <is>
          <t>DL024</t>
        </is>
      </c>
      <c r="C2630" s="4" t="inlineStr">
        <is>
          <t>ĐL Đà Nẵng - Tân Cảng Decor</t>
        </is>
      </c>
      <c r="D2630" s="3" t="inlineStr">
        <is>
          <t>Đà Nẵng</t>
        </is>
      </c>
      <c r="E2630" s="3" t="inlineStr">
        <is>
          <t>THÙY TRANG</t>
        </is>
      </c>
      <c r="F2630" s="3" t="inlineStr">
        <is>
          <t>Shopee, Tiktok, Website bán hàng</t>
        </is>
      </c>
      <c r="G2630" s="4" t="inlineStr">
        <is>
          <t>SHOPEE: https://shopee.vn/tancangdecorshop TIKTOK: https://www.tiktok.com/@tancangdecor LAZADA: WEBSITE BÁN HÀNG: https://tancangdecor.com/</t>
        </is>
      </c>
      <c r="H2630" s="3" t="inlineStr">
        <is>
          <t>K49M</t>
        </is>
      </c>
      <c r="I2630" s="4" t="inlineStr">
        <is>
          <t>Đầu khò gas K49M</t>
        </is>
      </c>
      <c r="J2630" s="3" t="inlineStr">
        <is>
          <t>Cái</t>
        </is>
      </c>
      <c r="K2630" s="5" t="n">
        <v>269000</v>
      </c>
      <c r="L2630" s="5" t="n">
        <v>317000</v>
      </c>
      <c r="M2630" s="6" t="n">
        <v>390000</v>
      </c>
      <c r="N2630" s="5" t="n"/>
      <c r="O2630" s="5">
        <f>IF(AND(ISNUMBER(N2630),ISNUMBER(M2630)),N2630-M2630,"")</f>
        <v/>
      </c>
      <c r="P2630" s="7">
        <f>IF(AND(ISNUMBER(N2630),ISNUMBER(M2630),M2630&gt;0),(N2630-M2630)/M2630,"")</f>
        <v/>
      </c>
      <c r="Q2630" s="3">
        <f>IF(P2630="","",IF(P2630&lt;-0.02,"🔴 Bán phá giá sàn",IF(P2630&gt;0.05,"🔵 Bán cao hơn","🟢 Đúng giá sàn TMĐT")))</f>
        <v/>
      </c>
      <c r="R2630" s="3" t="n"/>
      <c r="S2630" s="4" t="n"/>
      <c r="T2630" s="4" t="n"/>
    </row>
    <row r="2631">
      <c r="A2631" s="3" t="n">
        <v>2630</v>
      </c>
      <c r="B2631" s="3" t="inlineStr">
        <is>
          <t>DL024</t>
        </is>
      </c>
      <c r="C2631" s="4" t="inlineStr">
        <is>
          <t>ĐL Đà Nẵng - Tân Cảng Decor</t>
        </is>
      </c>
      <c r="D2631" s="3" t="inlineStr">
        <is>
          <t>Đà Nẵng</t>
        </is>
      </c>
      <c r="E2631" s="3" t="inlineStr">
        <is>
          <t>THÙY TRANG</t>
        </is>
      </c>
      <c r="F2631" s="3" t="inlineStr">
        <is>
          <t>Shopee, Tiktok, Website bán hàng</t>
        </is>
      </c>
      <c r="G2631" s="4" t="inlineStr">
        <is>
          <t>SHOPEE: https://shopee.vn/tancangdecorshop TIKTOK: https://www.tiktok.com/@tancangdecor LAZADA: WEBSITE BÁN HÀNG: https://tancangdecor.com/</t>
        </is>
      </c>
      <c r="H2631" s="3" t="inlineStr"/>
      <c r="I2631" s="4" t="inlineStr">
        <is>
          <t>Đầu nạp gas</t>
        </is>
      </c>
      <c r="J2631" s="3" t="inlineStr">
        <is>
          <t>Cái</t>
        </is>
      </c>
      <c r="K2631" s="5" t="n">
        <v>269000</v>
      </c>
      <c r="L2631" s="5" t="n">
        <v>317000</v>
      </c>
      <c r="M2631" s="6" t="n">
        <v>390000</v>
      </c>
      <c r="N2631" s="5" t="n"/>
      <c r="O2631" s="5">
        <f>IF(AND(ISNUMBER(N2631),ISNUMBER(M2631)),N2631-M2631,"")</f>
        <v/>
      </c>
      <c r="P2631" s="7">
        <f>IF(AND(ISNUMBER(N2631),ISNUMBER(M2631),M2631&gt;0),(N2631-M2631)/M2631,"")</f>
        <v/>
      </c>
      <c r="Q2631" s="3">
        <f>IF(P2631="","",IF(P2631&lt;-0.02,"🔴 Bán phá giá sàn",IF(P2631&gt;0.05,"🔵 Bán cao hơn","🟢 Đúng giá sàn TMĐT")))</f>
        <v/>
      </c>
      <c r="R2631" s="3" t="n"/>
      <c r="S2631" s="4" t="n"/>
      <c r="T2631" s="4" t="n"/>
    </row>
    <row r="2632">
      <c r="A2632" s="3" t="n">
        <v>2631</v>
      </c>
      <c r="B2632" s="3" t="inlineStr">
        <is>
          <t>DL024</t>
        </is>
      </c>
      <c r="C2632" s="4" t="inlineStr">
        <is>
          <t>ĐL Đà Nẵng - Tân Cảng Decor</t>
        </is>
      </c>
      <c r="D2632" s="3" t="inlineStr">
        <is>
          <t>Đà Nẵng</t>
        </is>
      </c>
      <c r="E2632" s="3" t="inlineStr">
        <is>
          <t>THÙY TRANG</t>
        </is>
      </c>
      <c r="F2632" s="3" t="inlineStr">
        <is>
          <t>Shopee, Tiktok, Website bán hàng</t>
        </is>
      </c>
      <c r="G2632" s="4" t="inlineStr">
        <is>
          <t>SHOPEE: https://shopee.vn/tancangdecorshop TIKTOK: https://www.tiktok.com/@tancangdecor LAZADA: WEBSITE BÁN HÀNG: https://tancangdecor.com/</t>
        </is>
      </c>
      <c r="H2632" s="3" t="inlineStr">
        <is>
          <t>LED750</t>
        </is>
      </c>
      <c r="I2632" s="4" t="inlineStr">
        <is>
          <t>Đèn Led cài áo LED750</t>
        </is>
      </c>
      <c r="J2632" s="3" t="inlineStr">
        <is>
          <t>Cái</t>
        </is>
      </c>
      <c r="K2632" s="5" t="n">
        <v>269000</v>
      </c>
      <c r="L2632" s="5" t="n">
        <v>317000</v>
      </c>
      <c r="M2632" s="6" t="n">
        <v>390000</v>
      </c>
      <c r="N2632" s="5" t="n"/>
      <c r="O2632" s="5">
        <f>IF(AND(ISNUMBER(N2632),ISNUMBER(M2632)),N2632-M2632,"")</f>
        <v/>
      </c>
      <c r="P2632" s="7">
        <f>IF(AND(ISNUMBER(N2632),ISNUMBER(M2632),M2632&gt;0),(N2632-M2632)/M2632,"")</f>
        <v/>
      </c>
      <c r="Q2632" s="3">
        <f>IF(P2632="","",IF(P2632&lt;-0.02,"🔴 Bán phá giá sàn",IF(P2632&gt;0.05,"🔵 Bán cao hơn","🟢 Đúng giá sàn TMĐT")))</f>
        <v/>
      </c>
      <c r="R2632" s="3" t="n"/>
      <c r="S2632" s="4" t="n"/>
      <c r="T2632" s="4" t="n"/>
    </row>
    <row r="2633">
      <c r="A2633" s="3" t="n">
        <v>2632</v>
      </c>
      <c r="B2633" s="3" t="inlineStr">
        <is>
          <t>DL024</t>
        </is>
      </c>
      <c r="C2633" s="4" t="inlineStr">
        <is>
          <t>ĐL Đà Nẵng - Tân Cảng Decor</t>
        </is>
      </c>
      <c r="D2633" s="3" t="inlineStr">
        <is>
          <t>Đà Nẵng</t>
        </is>
      </c>
      <c r="E2633" s="3" t="inlineStr">
        <is>
          <t>THÙY TRANG</t>
        </is>
      </c>
      <c r="F2633" s="3" t="inlineStr">
        <is>
          <t>Shopee, Tiktok, Website bán hàng</t>
        </is>
      </c>
      <c r="G2633" s="4" t="inlineStr">
        <is>
          <t>SHOPEE: https://shopee.vn/tancangdecorshop TIKTOK: https://www.tiktok.com/@tancangdecor LAZADA: WEBSITE BÁN HÀNG: https://tancangdecor.com/</t>
        </is>
      </c>
      <c r="H2633" s="3" t="inlineStr">
        <is>
          <t>LED2000</t>
        </is>
      </c>
      <c r="I2633" s="4" t="inlineStr">
        <is>
          <t>Đèn Led cắm trại  LED2000</t>
        </is>
      </c>
      <c r="J2633" s="3" t="inlineStr">
        <is>
          <t>Cái</t>
        </is>
      </c>
      <c r="K2633" s="5" t="n">
        <v>920000</v>
      </c>
      <c r="L2633" s="5" t="n">
        <v>1049000</v>
      </c>
      <c r="M2633" s="6" t="n">
        <v>1242000</v>
      </c>
      <c r="N2633" s="5" t="n"/>
      <c r="O2633" s="5">
        <f>IF(AND(ISNUMBER(N2633),ISNUMBER(M2633)),N2633-M2633,"")</f>
        <v/>
      </c>
      <c r="P2633" s="7">
        <f>IF(AND(ISNUMBER(N2633),ISNUMBER(M2633),M2633&gt;0),(N2633-M2633)/M2633,"")</f>
        <v/>
      </c>
      <c r="Q2633" s="3">
        <f>IF(P2633="","",IF(P2633&lt;-0.02,"🔴 Bán phá giá sàn",IF(P2633&gt;0.05,"🔵 Bán cao hơn","🟢 Đúng giá sàn TMĐT")))</f>
        <v/>
      </c>
      <c r="R2633" s="3" t="n"/>
      <c r="S2633" s="4" t="n"/>
      <c r="T2633" s="4" t="n"/>
    </row>
    <row r="2634">
      <c r="A2634" s="3" t="n">
        <v>2633</v>
      </c>
      <c r="B2634" s="3" t="inlineStr">
        <is>
          <t>DL024</t>
        </is>
      </c>
      <c r="C2634" s="4" t="inlineStr">
        <is>
          <t>ĐL Đà Nẵng - Tân Cảng Decor</t>
        </is>
      </c>
      <c r="D2634" s="3" t="inlineStr">
        <is>
          <t>Đà Nẵng</t>
        </is>
      </c>
      <c r="E2634" s="3" t="inlineStr">
        <is>
          <t>THÙY TRANG</t>
        </is>
      </c>
      <c r="F2634" s="3" t="inlineStr">
        <is>
          <t>Shopee, Tiktok, Website bán hàng</t>
        </is>
      </c>
      <c r="G2634" s="4" t="inlineStr">
        <is>
          <t>SHOPEE: https://shopee.vn/tancangdecorshop TIKTOK: https://www.tiktok.com/@tancangdecor LAZADA: WEBSITE BÁN HÀNG: https://tancangdecor.com/</t>
        </is>
      </c>
      <c r="H2634" s="3" t="inlineStr">
        <is>
          <t>LED6500</t>
        </is>
      </c>
      <c r="I2634" s="4" t="inlineStr">
        <is>
          <t>Đèn Led công trình dùng pin  LED6500</t>
        </is>
      </c>
      <c r="J2634" s="3" t="inlineStr">
        <is>
          <t>Cái</t>
        </is>
      </c>
      <c r="K2634" s="5" t="n">
        <v>1800000</v>
      </c>
      <c r="L2634" s="5" t="n">
        <v>2052000</v>
      </c>
      <c r="M2634" s="6" t="n">
        <v>2430000</v>
      </c>
      <c r="N2634" s="5" t="n"/>
      <c r="O2634" s="5">
        <f>IF(AND(ISNUMBER(N2634),ISNUMBER(M2634)),N2634-M2634,"")</f>
        <v/>
      </c>
      <c r="P2634" s="7">
        <f>IF(AND(ISNUMBER(N2634),ISNUMBER(M2634),M2634&gt;0),(N2634-M2634)/M2634,"")</f>
        <v/>
      </c>
      <c r="Q2634" s="3">
        <f>IF(P2634="","",IF(P2634&lt;-0.02,"🔴 Bán phá giá sàn",IF(P2634&gt;0.05,"🔵 Bán cao hơn","🟢 Đúng giá sàn TMĐT")))</f>
        <v/>
      </c>
      <c r="R2634" s="3" t="n"/>
      <c r="S2634" s="4" t="n"/>
      <c r="T2634" s="4" t="n"/>
    </row>
    <row r="2635">
      <c r="A2635" s="3" t="n">
        <v>2634</v>
      </c>
      <c r="B2635" s="3" t="inlineStr">
        <is>
          <t>DL024</t>
        </is>
      </c>
      <c r="C2635" s="4" t="inlineStr">
        <is>
          <t>ĐL Đà Nẵng - Tân Cảng Decor</t>
        </is>
      </c>
      <c r="D2635" s="3" t="inlineStr">
        <is>
          <t>Đà Nẵng</t>
        </is>
      </c>
      <c r="E2635" s="3" t="inlineStr">
        <is>
          <t>THÙY TRANG</t>
        </is>
      </c>
      <c r="F2635" s="3" t="inlineStr">
        <is>
          <t>Shopee, Tiktok, Website bán hàng</t>
        </is>
      </c>
      <c r="G2635" s="4" t="inlineStr">
        <is>
          <t>SHOPEE: https://shopee.vn/tancangdecorshop TIKTOK: https://www.tiktok.com/@tancangdecor LAZADA: WEBSITE BÁN HÀNG: https://tancangdecor.com/</t>
        </is>
      </c>
      <c r="H2635" s="3" t="inlineStr">
        <is>
          <t>LED600</t>
        </is>
      </c>
      <c r="I2635" s="4" t="inlineStr">
        <is>
          <t>Đèn Led soi sửa chữa máy móc LED600</t>
        </is>
      </c>
      <c r="J2635" s="3" t="inlineStr">
        <is>
          <t>Cái</t>
        </is>
      </c>
      <c r="K2635" s="5" t="n">
        <v>650000</v>
      </c>
      <c r="L2635" s="5" t="n">
        <v>741000</v>
      </c>
      <c r="M2635" s="6" t="n">
        <v>878000</v>
      </c>
      <c r="N2635" s="5" t="n"/>
      <c r="O2635" s="5">
        <f>IF(AND(ISNUMBER(N2635),ISNUMBER(M2635)),N2635-M2635,"")</f>
        <v/>
      </c>
      <c r="P2635" s="7">
        <f>IF(AND(ISNUMBER(N2635),ISNUMBER(M2635),M2635&gt;0),(N2635-M2635)/M2635,"")</f>
        <v/>
      </c>
      <c r="Q2635" s="3">
        <f>IF(P2635="","",IF(P2635&lt;-0.02,"🔴 Bán phá giá sàn",IF(P2635&gt;0.05,"🔵 Bán cao hơn","🟢 Đúng giá sàn TMĐT")))</f>
        <v/>
      </c>
      <c r="R2635" s="3" t="n"/>
      <c r="S2635" s="4" t="n"/>
      <c r="T2635" s="4" t="n"/>
    </row>
    <row r="2636">
      <c r="A2636" s="3" t="n">
        <v>2635</v>
      </c>
      <c r="B2636" s="3" t="inlineStr">
        <is>
          <t>DL024</t>
        </is>
      </c>
      <c r="C2636" s="4" t="inlineStr">
        <is>
          <t>ĐL Đà Nẵng - Tân Cảng Decor</t>
        </is>
      </c>
      <c r="D2636" s="3" t="inlineStr">
        <is>
          <t>Đà Nẵng</t>
        </is>
      </c>
      <c r="E2636" s="3" t="inlineStr">
        <is>
          <t>THÙY TRANG</t>
        </is>
      </c>
      <c r="F2636" s="3" t="inlineStr">
        <is>
          <t>Shopee, Tiktok, Website bán hàng</t>
        </is>
      </c>
      <c r="G2636" s="4" t="inlineStr">
        <is>
          <t>SHOPEE: https://shopee.vn/tancangdecorshop TIKTOK: https://www.tiktok.com/@tancangdecor LAZADA: WEBSITE BÁN HÀNG: https://tancangdecor.com/</t>
        </is>
      </c>
      <c r="H2636" s="3" t="inlineStr">
        <is>
          <t>KIG-600</t>
        </is>
      </c>
      <c r="I2636" s="4" t="inlineStr">
        <is>
          <t>Đồng hồ kẹp dòng vạn năng KIG-600</t>
        </is>
      </c>
      <c r="J2636" s="3" t="inlineStr">
        <is>
          <t>Cái</t>
        </is>
      </c>
      <c r="K2636" s="5" t="n">
        <v>269000</v>
      </c>
      <c r="L2636" s="5" t="n">
        <v>317000</v>
      </c>
      <c r="M2636" s="6" t="n">
        <v>390000</v>
      </c>
      <c r="N2636" s="5" t="n"/>
      <c r="O2636" s="5">
        <f>IF(AND(ISNUMBER(N2636),ISNUMBER(M2636)),N2636-M2636,"")</f>
        <v/>
      </c>
      <c r="P2636" s="7">
        <f>IF(AND(ISNUMBER(N2636),ISNUMBER(M2636),M2636&gt;0),(N2636-M2636)/M2636,"")</f>
        <v/>
      </c>
      <c r="Q2636" s="3">
        <f>IF(P2636="","",IF(P2636&lt;-0.02,"🔴 Bán phá giá sàn",IF(P2636&gt;0.05,"🔵 Bán cao hơn","🟢 Đúng giá sàn TMĐT")))</f>
        <v/>
      </c>
      <c r="R2636" s="3" t="n"/>
      <c r="S2636" s="4" t="n"/>
      <c r="T2636" s="4" t="n"/>
    </row>
    <row r="2637">
      <c r="A2637" s="3" t="n">
        <v>2636</v>
      </c>
      <c r="B2637" s="3" t="inlineStr">
        <is>
          <t>DL024</t>
        </is>
      </c>
      <c r="C2637" s="4" t="inlineStr">
        <is>
          <t>ĐL Đà Nẵng - Tân Cảng Decor</t>
        </is>
      </c>
      <c r="D2637" s="3" t="inlineStr">
        <is>
          <t>Đà Nẵng</t>
        </is>
      </c>
      <c r="E2637" s="3" t="inlineStr">
        <is>
          <t>THÙY TRANG</t>
        </is>
      </c>
      <c r="F2637" s="3" t="inlineStr">
        <is>
          <t>Shopee, Tiktok, Website bán hàng</t>
        </is>
      </c>
      <c r="G2637" s="4" t="inlineStr">
        <is>
          <t>SHOPEE: https://shopee.vn/tancangdecorshop TIKTOK: https://www.tiktok.com/@tancangdecor LAZADA: WEBSITE BÁN HÀNG: https://tancangdecor.com/</t>
        </is>
      </c>
      <c r="H2637" s="3" t="inlineStr">
        <is>
          <t>KIW-600</t>
        </is>
      </c>
      <c r="I2637" s="4" t="inlineStr">
        <is>
          <t>Đồng hồ vạn năng điện tử KIW-600</t>
        </is>
      </c>
      <c r="J2637" s="3" t="inlineStr">
        <is>
          <t>Cái</t>
        </is>
      </c>
      <c r="K2637" s="5" t="n">
        <v>269000</v>
      </c>
      <c r="L2637" s="5" t="n">
        <v>317000</v>
      </c>
      <c r="M2637" s="6" t="n">
        <v>390000</v>
      </c>
      <c r="N2637" s="5" t="n"/>
      <c r="O2637" s="5">
        <f>IF(AND(ISNUMBER(N2637),ISNUMBER(M2637)),N2637-M2637,"")</f>
        <v/>
      </c>
      <c r="P2637" s="7">
        <f>IF(AND(ISNUMBER(N2637),ISNUMBER(M2637),M2637&gt;0),(N2637-M2637)/M2637,"")</f>
        <v/>
      </c>
      <c r="Q2637" s="3">
        <f>IF(P2637="","",IF(P2637&lt;-0.02,"🔴 Bán phá giá sàn",IF(P2637&gt;0.05,"🔵 Bán cao hơn","🟢 Đúng giá sàn TMĐT")))</f>
        <v/>
      </c>
      <c r="R2637" s="3" t="n"/>
      <c r="S2637" s="4" t="n"/>
      <c r="T2637" s="4" t="n"/>
    </row>
    <row r="2638">
      <c r="A2638" s="3" t="n">
        <v>2637</v>
      </c>
      <c r="B2638" s="3" t="inlineStr">
        <is>
          <t>DL024</t>
        </is>
      </c>
      <c r="C2638" s="4" t="inlineStr">
        <is>
          <t>ĐL Đà Nẵng - Tân Cảng Decor</t>
        </is>
      </c>
      <c r="D2638" s="3" t="inlineStr">
        <is>
          <t>Đà Nẵng</t>
        </is>
      </c>
      <c r="E2638" s="3" t="inlineStr">
        <is>
          <t>THÙY TRANG</t>
        </is>
      </c>
      <c r="F2638" s="3" t="inlineStr">
        <is>
          <t>Shopee, Tiktok, Website bán hàng</t>
        </is>
      </c>
      <c r="G2638" s="4" t="inlineStr">
        <is>
          <t>SHOPEE: https://shopee.vn/tancangdecorshop TIKTOK: https://www.tiktok.com/@tancangdecor LAZADA: WEBSITE BÁN HÀNG: https://tancangdecor.com/</t>
        </is>
      </c>
      <c r="H2638" s="3" t="inlineStr">
        <is>
          <t>K54M</t>
        </is>
      </c>
      <c r="I2638" s="4" t="inlineStr">
        <is>
          <t>Dụng cụ khò gas mini K54M</t>
        </is>
      </c>
      <c r="J2638" s="3" t="inlineStr">
        <is>
          <t>Cái</t>
        </is>
      </c>
      <c r="K2638" s="5" t="n">
        <v>209000</v>
      </c>
      <c r="L2638" s="5" t="n">
        <v>247000</v>
      </c>
      <c r="M2638" s="6" t="n">
        <v>303000</v>
      </c>
      <c r="N2638" s="5" t="n"/>
      <c r="O2638" s="5">
        <f>IF(AND(ISNUMBER(N2638),ISNUMBER(M2638)),N2638-M2638,"")</f>
        <v/>
      </c>
      <c r="P2638" s="7">
        <f>IF(AND(ISNUMBER(N2638),ISNUMBER(M2638),M2638&gt;0),(N2638-M2638)/M2638,"")</f>
        <v/>
      </c>
      <c r="Q2638" s="3">
        <f>IF(P2638="","",IF(P2638&lt;-0.02,"🔴 Bán phá giá sàn",IF(P2638&gt;0.05,"🔵 Bán cao hơn","🟢 Đúng giá sàn TMĐT")))</f>
        <v/>
      </c>
      <c r="R2638" s="3" t="n"/>
      <c r="S2638" s="4" t="n"/>
      <c r="T2638" s="4" t="n"/>
    </row>
    <row r="2639">
      <c r="A2639" s="3" t="n">
        <v>2638</v>
      </c>
      <c r="B2639" s="3" t="inlineStr">
        <is>
          <t>DL024</t>
        </is>
      </c>
      <c r="C2639" s="4" t="inlineStr">
        <is>
          <t>ĐL Đà Nẵng - Tân Cảng Decor</t>
        </is>
      </c>
      <c r="D2639" s="3" t="inlineStr">
        <is>
          <t>Đà Nẵng</t>
        </is>
      </c>
      <c r="E2639" s="3" t="inlineStr">
        <is>
          <t>THÙY TRANG</t>
        </is>
      </c>
      <c r="F2639" s="3" t="inlineStr">
        <is>
          <t>Shopee, Tiktok, Website bán hàng</t>
        </is>
      </c>
      <c r="G2639" s="4" t="inlineStr">
        <is>
          <t>SHOPEE: https://shopee.vn/tancangdecorshop TIKTOK: https://www.tiktok.com/@tancangdecor LAZADA: WEBSITE BÁN HÀNG: https://tancangdecor.com/</t>
        </is>
      </c>
      <c r="H2639" s="3" t="inlineStr">
        <is>
          <t>KFG-1.2/8/11.3</t>
        </is>
      </c>
      <c r="I2639" s="4" t="inlineStr">
        <is>
          <t>Ghim KFG-1.2/8/11.3</t>
        </is>
      </c>
      <c r="J2639" s="3" t="inlineStr">
        <is>
          <t>Hộp</t>
        </is>
      </c>
      <c r="K2639" s="5" t="n">
        <v>52000</v>
      </c>
      <c r="L2639" s="5" t="n">
        <v>61000</v>
      </c>
      <c r="M2639" s="6" t="n">
        <v>75000</v>
      </c>
      <c r="N2639" s="5" t="n"/>
      <c r="O2639" s="5">
        <f>IF(AND(ISNUMBER(N2639),ISNUMBER(M2639)),N2639-M2639,"")</f>
        <v/>
      </c>
      <c r="P2639" s="7">
        <f>IF(AND(ISNUMBER(N2639),ISNUMBER(M2639),M2639&gt;0),(N2639-M2639)/M2639,"")</f>
        <v/>
      </c>
      <c r="Q2639" s="3">
        <f>IF(P2639="","",IF(P2639&lt;-0.02,"🔴 Bán phá giá sàn",IF(P2639&gt;0.05,"🔵 Bán cao hơn","🟢 Đúng giá sàn TMĐT")))</f>
        <v/>
      </c>
      <c r="R2639" s="3" t="n"/>
      <c r="S2639" s="4" t="n"/>
      <c r="T2639" s="4" t="n"/>
    </row>
    <row r="2640">
      <c r="A2640" s="3" t="n">
        <v>2639</v>
      </c>
      <c r="B2640" s="3" t="inlineStr">
        <is>
          <t>DL024</t>
        </is>
      </c>
      <c r="C2640" s="4" t="inlineStr">
        <is>
          <t>ĐL Đà Nẵng - Tân Cảng Decor</t>
        </is>
      </c>
      <c r="D2640" s="3" t="inlineStr">
        <is>
          <t>Đà Nẵng</t>
        </is>
      </c>
      <c r="E2640" s="3" t="inlineStr">
        <is>
          <t>THÙY TRANG</t>
        </is>
      </c>
      <c r="F2640" s="3" t="inlineStr">
        <is>
          <t>Shopee, Tiktok, Website bán hàng</t>
        </is>
      </c>
      <c r="G2640" s="4" t="inlineStr">
        <is>
          <t>SHOPEE: https://shopee.vn/tancangdecorshop TIKTOK: https://www.tiktok.com/@tancangdecor LAZADA: WEBSITE BÁN HÀNG: https://tancangdecor.com/</t>
        </is>
      </c>
      <c r="H2640" s="3" t="inlineStr">
        <is>
          <t>KFG-13/6</t>
        </is>
      </c>
      <c r="I2640" s="4" t="inlineStr">
        <is>
          <t>Ghim KFG-13/6</t>
        </is>
      </c>
      <c r="J2640" s="3" t="inlineStr">
        <is>
          <t>Hộp</t>
        </is>
      </c>
      <c r="K2640" s="5" t="n">
        <v>26000</v>
      </c>
      <c r="L2640" s="5" t="n">
        <v>31000</v>
      </c>
      <c r="M2640" s="6" t="n">
        <v>38000</v>
      </c>
      <c r="N2640" s="5" t="n"/>
      <c r="O2640" s="5">
        <f>IF(AND(ISNUMBER(N2640),ISNUMBER(M2640)),N2640-M2640,"")</f>
        <v/>
      </c>
      <c r="P2640" s="7">
        <f>IF(AND(ISNUMBER(N2640),ISNUMBER(M2640),M2640&gt;0),(N2640-M2640)/M2640,"")</f>
        <v/>
      </c>
      <c r="Q2640" s="3">
        <f>IF(P2640="","",IF(P2640&lt;-0.02,"🔴 Bán phá giá sàn",IF(P2640&gt;0.05,"🔵 Bán cao hơn","🟢 Đúng giá sàn TMĐT")))</f>
        <v/>
      </c>
      <c r="R2640" s="3" t="n"/>
      <c r="S2640" s="4" t="n"/>
      <c r="T2640" s="4" t="n"/>
    </row>
    <row r="2641">
      <c r="A2641" s="3" t="n">
        <v>2640</v>
      </c>
      <c r="B2641" s="3" t="inlineStr">
        <is>
          <t>DL024</t>
        </is>
      </c>
      <c r="C2641" s="4" t="inlineStr">
        <is>
          <t>ĐL Đà Nẵng - Tân Cảng Decor</t>
        </is>
      </c>
      <c r="D2641" s="3" t="inlineStr">
        <is>
          <t>Đà Nẵng</t>
        </is>
      </c>
      <c r="E2641" s="3" t="inlineStr">
        <is>
          <t>THÙY TRANG</t>
        </is>
      </c>
      <c r="F2641" s="3" t="inlineStr">
        <is>
          <t>Shopee, Tiktok, Website bán hàng</t>
        </is>
      </c>
      <c r="G2641" s="4" t="inlineStr">
        <is>
          <t>SHOPEE: https://shopee.vn/tancangdecorshop TIKTOK: https://www.tiktok.com/@tancangdecor LAZADA: WEBSITE BÁN HÀNG: https://tancangdecor.com/</t>
        </is>
      </c>
      <c r="H2641" s="3" t="inlineStr">
        <is>
          <t>KFG-16/6</t>
        </is>
      </c>
      <c r="I2641" s="4" t="inlineStr">
        <is>
          <t>Ghim KFG-16/6</t>
        </is>
      </c>
      <c r="J2641" s="3" t="inlineStr">
        <is>
          <t>Hộp</t>
        </is>
      </c>
      <c r="K2641" s="5" t="n">
        <v>27000</v>
      </c>
      <c r="L2641" s="5" t="n">
        <v>32000</v>
      </c>
      <c r="M2641" s="6" t="n">
        <v>39000</v>
      </c>
      <c r="N2641" s="5" t="n"/>
      <c r="O2641" s="5">
        <f>IF(AND(ISNUMBER(N2641),ISNUMBER(M2641)),N2641-M2641,"")</f>
        <v/>
      </c>
      <c r="P2641" s="7">
        <f>IF(AND(ISNUMBER(N2641),ISNUMBER(M2641),M2641&gt;0),(N2641-M2641)/M2641,"")</f>
        <v/>
      </c>
      <c r="Q2641" s="3">
        <f>IF(P2641="","",IF(P2641&lt;-0.02,"🔴 Bán phá giá sàn",IF(P2641&gt;0.05,"🔵 Bán cao hơn","🟢 Đúng giá sàn TMĐT")))</f>
        <v/>
      </c>
      <c r="R2641" s="3" t="n"/>
      <c r="S2641" s="4" t="n"/>
      <c r="T2641" s="4" t="n"/>
    </row>
    <row r="2642">
      <c r="A2642" s="3" t="n">
        <v>2641</v>
      </c>
      <c r="B2642" s="3" t="inlineStr">
        <is>
          <t>DL024</t>
        </is>
      </c>
      <c r="C2642" s="4" t="inlineStr">
        <is>
          <t>ĐL Đà Nẵng - Tân Cảng Decor</t>
        </is>
      </c>
      <c r="D2642" s="3" t="inlineStr">
        <is>
          <t>Đà Nẵng</t>
        </is>
      </c>
      <c r="E2642" s="3" t="inlineStr">
        <is>
          <t>THÙY TRANG</t>
        </is>
      </c>
      <c r="F2642" s="3" t="inlineStr">
        <is>
          <t>Shopee, Tiktok, Website bán hàng</t>
        </is>
      </c>
      <c r="G2642" s="4" t="inlineStr">
        <is>
          <t>SHOPEE: https://shopee.vn/tancangdecorshop TIKTOK: https://www.tiktok.com/@tancangdecor LAZADA: WEBSITE BÁN HÀNG: https://tancangdecor.com/</t>
        </is>
      </c>
      <c r="H2642" s="3" t="inlineStr">
        <is>
          <t>KFG-16/8</t>
        </is>
      </c>
      <c r="I2642" s="4" t="inlineStr">
        <is>
          <t>Ghim KFG-16/8</t>
        </is>
      </c>
      <c r="J2642" s="3" t="inlineStr">
        <is>
          <t>Hộp</t>
        </is>
      </c>
      <c r="K2642" s="5" t="n">
        <v>31000</v>
      </c>
      <c r="L2642" s="5" t="n">
        <v>37000</v>
      </c>
      <c r="M2642" s="6" t="n">
        <v>45000</v>
      </c>
      <c r="N2642" s="5" t="n"/>
      <c r="O2642" s="5">
        <f>IF(AND(ISNUMBER(N2642),ISNUMBER(M2642)),N2642-M2642,"")</f>
        <v/>
      </c>
      <c r="P2642" s="7">
        <f>IF(AND(ISNUMBER(N2642),ISNUMBER(M2642),M2642&gt;0),(N2642-M2642)/M2642,"")</f>
        <v/>
      </c>
      <c r="Q2642" s="3">
        <f>IF(P2642="","",IF(P2642&lt;-0.02,"🔴 Bán phá giá sàn",IF(P2642&gt;0.05,"🔵 Bán cao hơn","🟢 Đúng giá sàn TMĐT")))</f>
        <v/>
      </c>
      <c r="R2642" s="3" t="n"/>
      <c r="S2642" s="4" t="n"/>
      <c r="T2642" s="4" t="n"/>
    </row>
    <row r="2643">
      <c r="A2643" s="3" t="n">
        <v>2642</v>
      </c>
      <c r="B2643" s="3" t="inlineStr">
        <is>
          <t>DL024</t>
        </is>
      </c>
      <c r="C2643" s="4" t="inlineStr">
        <is>
          <t>ĐL Đà Nẵng - Tân Cảng Decor</t>
        </is>
      </c>
      <c r="D2643" s="3" t="inlineStr">
        <is>
          <t>Đà Nẵng</t>
        </is>
      </c>
      <c r="E2643" s="3" t="inlineStr">
        <is>
          <t>THÙY TRANG</t>
        </is>
      </c>
      <c r="F2643" s="3" t="inlineStr">
        <is>
          <t>Shopee, Tiktok, Website bán hàng</t>
        </is>
      </c>
      <c r="G2643" s="4" t="inlineStr">
        <is>
          <t>SHOPEE: https://shopee.vn/tancangdecorshop TIKTOK: https://www.tiktok.com/@tancangdecor LAZADA: WEBSITE BÁN HÀNG: https://tancangdecor.com/</t>
        </is>
      </c>
      <c r="H2643" s="3" t="inlineStr">
        <is>
          <t>HKE-924</t>
        </is>
      </c>
      <c r="I2643" s="4" t="inlineStr">
        <is>
          <t>Hít gạch điện tử HKE-924</t>
        </is>
      </c>
      <c r="J2643" s="3" t="inlineStr">
        <is>
          <t>Cái</t>
        </is>
      </c>
      <c r="K2643" s="5" t="n">
        <v>680000</v>
      </c>
      <c r="L2643" s="5" t="n">
        <v>789000</v>
      </c>
      <c r="M2643" s="6" t="n">
        <v>952000</v>
      </c>
      <c r="N2643" s="5" t="n"/>
      <c r="O2643" s="5">
        <f>IF(AND(ISNUMBER(N2643),ISNUMBER(M2643)),N2643-M2643,"")</f>
        <v/>
      </c>
      <c r="P2643" s="7">
        <f>IF(AND(ISNUMBER(N2643),ISNUMBER(M2643),M2643&gt;0),(N2643-M2643)/M2643,"")</f>
        <v/>
      </c>
      <c r="Q2643" s="3">
        <f>IF(P2643="","",IF(P2643&lt;-0.02,"🔴 Bán phá giá sàn",IF(P2643&gt;0.05,"🔵 Bán cao hơn","🟢 Đúng giá sàn TMĐT")))</f>
        <v/>
      </c>
      <c r="R2643" s="3" t="n"/>
      <c r="S2643" s="4" t="n"/>
      <c r="T2643" s="4" t="n"/>
    </row>
    <row r="2644">
      <c r="A2644" s="3" t="n">
        <v>2643</v>
      </c>
      <c r="B2644" s="3" t="inlineStr">
        <is>
          <t>DL024</t>
        </is>
      </c>
      <c r="C2644" s="4" t="inlineStr">
        <is>
          <t>ĐL Đà Nẵng - Tân Cảng Decor</t>
        </is>
      </c>
      <c r="D2644" s="3" t="inlineStr">
        <is>
          <t>Đà Nẵng</t>
        </is>
      </c>
      <c r="E2644" s="3" t="inlineStr">
        <is>
          <t>THÙY TRANG</t>
        </is>
      </c>
      <c r="F2644" s="3" t="inlineStr">
        <is>
          <t>Shopee, Tiktok, Website bán hàng</t>
        </is>
      </c>
      <c r="G2644" s="4" t="inlineStr">
        <is>
          <t>SHOPEE: https://shopee.vn/tancangdecorshop TIKTOK: https://www.tiktok.com/@tancangdecor LAZADA: WEBSITE BÁN HÀNG: https://tancangdecor.com/</t>
        </is>
      </c>
      <c r="H2644" s="3" t="inlineStr">
        <is>
          <t>HKE-200</t>
        </is>
      </c>
      <c r="I2644" s="4" t="inlineStr">
        <is>
          <t>Hít kính điện tử HKE-200</t>
        </is>
      </c>
      <c r="J2644" s="3" t="inlineStr">
        <is>
          <t>Cái</t>
        </is>
      </c>
      <c r="K2644" s="5" t="n">
        <v>583000</v>
      </c>
      <c r="L2644" s="5" t="n">
        <v>676000</v>
      </c>
      <c r="M2644" s="6" t="n">
        <v>816000</v>
      </c>
      <c r="N2644" s="5" t="n"/>
      <c r="O2644" s="5">
        <f>IF(AND(ISNUMBER(N2644),ISNUMBER(M2644)),N2644-M2644,"")</f>
        <v/>
      </c>
      <c r="P2644" s="7">
        <f>IF(AND(ISNUMBER(N2644),ISNUMBER(M2644),M2644&gt;0),(N2644-M2644)/M2644,"")</f>
        <v/>
      </c>
      <c r="Q2644" s="3">
        <f>IF(P2644="","",IF(P2644&lt;-0.02,"🔴 Bán phá giá sàn",IF(P2644&gt;0.05,"🔵 Bán cao hơn","🟢 Đúng giá sàn TMĐT")))</f>
        <v/>
      </c>
      <c r="R2644" s="3" t="n"/>
      <c r="S2644" s="4" t="n"/>
      <c r="T2644" s="4" t="n"/>
    </row>
    <row r="2645">
      <c r="A2645" s="3" t="n">
        <v>2644</v>
      </c>
      <c r="B2645" s="3" t="inlineStr">
        <is>
          <t>DL024</t>
        </is>
      </c>
      <c r="C2645" s="4" t="inlineStr">
        <is>
          <t>ĐL Đà Nẵng - Tân Cảng Decor</t>
        </is>
      </c>
      <c r="D2645" s="3" t="inlineStr">
        <is>
          <t>Đà Nẵng</t>
        </is>
      </c>
      <c r="E2645" s="3" t="inlineStr">
        <is>
          <t>THÙY TRANG</t>
        </is>
      </c>
      <c r="F2645" s="3" t="inlineStr">
        <is>
          <t>Shopee, Tiktok, Website bán hàng</t>
        </is>
      </c>
      <c r="G2645" s="4" t="inlineStr">
        <is>
          <t>SHOPEE: https://shopee.vn/tancangdecorshop TIKTOK: https://www.tiktok.com/@tancangdecor LAZADA: WEBSITE BÁN HÀNG: https://tancangdecor.com/</t>
        </is>
      </c>
      <c r="H2645" s="3" t="inlineStr">
        <is>
          <t>HK1-50</t>
        </is>
      </c>
      <c r="I2645" s="4" t="inlineStr">
        <is>
          <t>Hít kính HK1-50</t>
        </is>
      </c>
      <c r="J2645" s="3" t="inlineStr">
        <is>
          <t>Cái</t>
        </is>
      </c>
      <c r="K2645" s="5" t="n">
        <v>182000</v>
      </c>
      <c r="L2645" s="5" t="n">
        <v>215000</v>
      </c>
      <c r="M2645" s="6" t="n">
        <v>264000</v>
      </c>
      <c r="N2645" s="5" t="n"/>
      <c r="O2645" s="5">
        <f>IF(AND(ISNUMBER(N2645),ISNUMBER(M2645)),N2645-M2645,"")</f>
        <v/>
      </c>
      <c r="P2645" s="7">
        <f>IF(AND(ISNUMBER(N2645),ISNUMBER(M2645),M2645&gt;0),(N2645-M2645)/M2645,"")</f>
        <v/>
      </c>
      <c r="Q2645" s="3">
        <f>IF(P2645="","",IF(P2645&lt;-0.02,"🔴 Bán phá giá sàn",IF(P2645&gt;0.05,"🔵 Bán cao hơn","🟢 Đúng giá sàn TMĐT")))</f>
        <v/>
      </c>
      <c r="R2645" s="3" t="n"/>
      <c r="S2645" s="4" t="n"/>
      <c r="T2645" s="4" t="n"/>
    </row>
    <row r="2646">
      <c r="A2646" s="3" t="n">
        <v>2645</v>
      </c>
      <c r="B2646" s="3" t="inlineStr">
        <is>
          <t>DL024</t>
        </is>
      </c>
      <c r="C2646" s="4" t="inlineStr">
        <is>
          <t>ĐL Đà Nẵng - Tân Cảng Decor</t>
        </is>
      </c>
      <c r="D2646" s="3" t="inlineStr">
        <is>
          <t>Đà Nẵng</t>
        </is>
      </c>
      <c r="E2646" s="3" t="inlineStr">
        <is>
          <t>THÙY TRANG</t>
        </is>
      </c>
      <c r="F2646" s="3" t="inlineStr">
        <is>
          <t>Shopee, Tiktok, Website bán hàng</t>
        </is>
      </c>
      <c r="G2646" s="4" t="inlineStr">
        <is>
          <t>SHOPEE: https://shopee.vn/tancangdecorshop TIKTOK: https://www.tiktok.com/@tancangdecor LAZADA: WEBSITE BÁN HÀNG: https://tancangdecor.com/</t>
        </is>
      </c>
      <c r="H2646" s="3" t="inlineStr">
        <is>
          <t>HK2-130</t>
        </is>
      </c>
      <c r="I2646" s="4" t="inlineStr">
        <is>
          <t>Hít kính HK2-130</t>
        </is>
      </c>
      <c r="J2646" s="3" t="inlineStr">
        <is>
          <t>Cái</t>
        </is>
      </c>
      <c r="K2646" s="5" t="n">
        <v>308000</v>
      </c>
      <c r="L2646" s="5" t="n">
        <v>364000</v>
      </c>
      <c r="M2646" s="6" t="n">
        <v>447000</v>
      </c>
      <c r="N2646" s="5" t="n"/>
      <c r="O2646" s="5">
        <f>IF(AND(ISNUMBER(N2646),ISNUMBER(M2646)),N2646-M2646,"")</f>
        <v/>
      </c>
      <c r="P2646" s="7">
        <f>IF(AND(ISNUMBER(N2646),ISNUMBER(M2646),M2646&gt;0),(N2646-M2646)/M2646,"")</f>
        <v/>
      </c>
      <c r="Q2646" s="3">
        <f>IF(P2646="","",IF(P2646&lt;-0.02,"🔴 Bán phá giá sàn",IF(P2646&gt;0.05,"🔵 Bán cao hơn","🟢 Đúng giá sàn TMĐT")))</f>
        <v/>
      </c>
      <c r="R2646" s="3" t="n"/>
      <c r="S2646" s="4" t="n"/>
      <c r="T2646" s="4" t="n"/>
    </row>
    <row r="2647">
      <c r="A2647" s="3" t="n">
        <v>2646</v>
      </c>
      <c r="B2647" s="3" t="inlineStr">
        <is>
          <t>DL024</t>
        </is>
      </c>
      <c r="C2647" s="4" t="inlineStr">
        <is>
          <t>ĐL Đà Nẵng - Tân Cảng Decor</t>
        </is>
      </c>
      <c r="D2647" s="3" t="inlineStr">
        <is>
          <t>Đà Nẵng</t>
        </is>
      </c>
      <c r="E2647" s="3" t="inlineStr">
        <is>
          <t>THÙY TRANG</t>
        </is>
      </c>
      <c r="F2647" s="3" t="inlineStr">
        <is>
          <t>Shopee, Tiktok, Website bán hàng</t>
        </is>
      </c>
      <c r="G2647" s="4" t="inlineStr">
        <is>
          <t>SHOPEE: https://shopee.vn/tancangdecorshop TIKTOK: https://www.tiktok.com/@tancangdecor LAZADA: WEBSITE BÁN HÀNG: https://tancangdecor.com/</t>
        </is>
      </c>
      <c r="H2647" s="3" t="inlineStr">
        <is>
          <t>QC4</t>
        </is>
      </c>
      <c r="I2647" s="4" t="inlineStr">
        <is>
          <t>Kéo cắt đa năng QC4</t>
        </is>
      </c>
      <c r="J2647" s="3" t="inlineStr">
        <is>
          <t>Cái</t>
        </is>
      </c>
      <c r="K2647" s="5" t="n">
        <v>103000</v>
      </c>
      <c r="L2647" s="5" t="n">
        <v>121000</v>
      </c>
      <c r="M2647" s="6" t="n">
        <v>149000</v>
      </c>
      <c r="N2647" s="5" t="n"/>
      <c r="O2647" s="5">
        <f>IF(AND(ISNUMBER(N2647),ISNUMBER(M2647)),N2647-M2647,"")</f>
        <v/>
      </c>
      <c r="P2647" s="7">
        <f>IF(AND(ISNUMBER(N2647),ISNUMBER(M2647),M2647&gt;0),(N2647-M2647)/M2647,"")</f>
        <v/>
      </c>
      <c r="Q2647" s="3">
        <f>IF(P2647="","",IF(P2647&lt;-0.02,"🔴 Bán phá giá sàn",IF(P2647&gt;0.05,"🔵 Bán cao hơn","🟢 Đúng giá sàn TMĐT")))</f>
        <v/>
      </c>
      <c r="R2647" s="3" t="n"/>
      <c r="S2647" s="4" t="n"/>
      <c r="T2647" s="4" t="n"/>
    </row>
    <row r="2648">
      <c r="A2648" s="3" t="n">
        <v>2647</v>
      </c>
      <c r="B2648" s="3" t="inlineStr">
        <is>
          <t>DL024</t>
        </is>
      </c>
      <c r="C2648" s="4" t="inlineStr">
        <is>
          <t>ĐL Đà Nẵng - Tân Cảng Decor</t>
        </is>
      </c>
      <c r="D2648" s="3" t="inlineStr">
        <is>
          <t>Đà Nẵng</t>
        </is>
      </c>
      <c r="E2648" s="3" t="inlineStr">
        <is>
          <t>THÙY TRANG</t>
        </is>
      </c>
      <c r="F2648" s="3" t="inlineStr">
        <is>
          <t>Shopee, Tiktok, Website bán hàng</t>
        </is>
      </c>
      <c r="G2648" s="4" t="inlineStr">
        <is>
          <t>SHOPEE: https://shopee.vn/tancangdecorshop TIKTOK: https://www.tiktok.com/@tancangdecor LAZADA: WEBSITE BÁN HÀNG: https://tancangdecor.com/</t>
        </is>
      </c>
      <c r="H2648" s="3" t="inlineStr">
        <is>
          <t>KPQ-32</t>
        </is>
      </c>
      <c r="I2648" s="4" t="inlineStr">
        <is>
          <t>Kéo cắt góc nẹp điện KPQ-32</t>
        </is>
      </c>
      <c r="J2648" s="3" t="inlineStr">
        <is>
          <t>Cái</t>
        </is>
      </c>
      <c r="K2648" s="5" t="n">
        <v>163000</v>
      </c>
      <c r="L2648" s="5" t="n">
        <v>192000</v>
      </c>
      <c r="M2648" s="6" t="n">
        <v>236000</v>
      </c>
      <c r="N2648" s="5" t="n"/>
      <c r="O2648" s="5">
        <f>IF(AND(ISNUMBER(N2648),ISNUMBER(M2648)),N2648-M2648,"")</f>
        <v/>
      </c>
      <c r="P2648" s="7">
        <f>IF(AND(ISNUMBER(N2648),ISNUMBER(M2648),M2648&gt;0),(N2648-M2648)/M2648,"")</f>
        <v/>
      </c>
      <c r="Q2648" s="3">
        <f>IF(P2648="","",IF(P2648&lt;-0.02,"🔴 Bán phá giá sàn",IF(P2648&gt;0.05,"🔵 Bán cao hơn","🟢 Đúng giá sàn TMĐT")))</f>
        <v/>
      </c>
      <c r="R2648" s="3" t="n"/>
      <c r="S2648" s="4" t="n"/>
      <c r="T2648" s="4" t="n"/>
    </row>
    <row r="2649">
      <c r="A2649" s="3" t="n">
        <v>2648</v>
      </c>
      <c r="B2649" s="3" t="inlineStr">
        <is>
          <t>DL024</t>
        </is>
      </c>
      <c r="C2649" s="4" t="inlineStr">
        <is>
          <t>ĐL Đà Nẵng - Tân Cảng Decor</t>
        </is>
      </c>
      <c r="D2649" s="3" t="inlineStr">
        <is>
          <t>Đà Nẵng</t>
        </is>
      </c>
      <c r="E2649" s="3" t="inlineStr">
        <is>
          <t>THÙY TRANG</t>
        </is>
      </c>
      <c r="F2649" s="3" t="inlineStr">
        <is>
          <t>Shopee, Tiktok, Website bán hàng</t>
        </is>
      </c>
      <c r="G2649" s="4" t="inlineStr">
        <is>
          <t>SHOPEE: https://shopee.vn/tancangdecorshop TIKTOK: https://www.tiktok.com/@tancangdecor LAZADA: WEBSITE BÁN HÀNG: https://tancangdecor.com/</t>
        </is>
      </c>
      <c r="H2649" s="3" t="inlineStr">
        <is>
          <t>KPC-132</t>
        </is>
      </c>
      <c r="I2649" s="4" t="inlineStr">
        <is>
          <t>Kéo cắt ống KPC-132</t>
        </is>
      </c>
      <c r="J2649" s="3" t="inlineStr">
        <is>
          <t>Cái</t>
        </is>
      </c>
      <c r="K2649" s="5" t="n">
        <v>101000</v>
      </c>
      <c r="L2649" s="5" t="n">
        <v>119000</v>
      </c>
      <c r="M2649" s="6" t="n">
        <v>147000</v>
      </c>
      <c r="N2649" s="5" t="n"/>
      <c r="O2649" s="5">
        <f>IF(AND(ISNUMBER(N2649),ISNUMBER(M2649)),N2649-M2649,"")</f>
        <v/>
      </c>
      <c r="P2649" s="7">
        <f>IF(AND(ISNUMBER(N2649),ISNUMBER(M2649),M2649&gt;0),(N2649-M2649)/M2649,"")</f>
        <v/>
      </c>
      <c r="Q2649" s="3">
        <f>IF(P2649="","",IF(P2649&lt;-0.02,"🔴 Bán phá giá sàn",IF(P2649&gt;0.05,"🔵 Bán cao hơn","🟢 Đúng giá sàn TMĐT")))</f>
        <v/>
      </c>
      <c r="R2649" s="3" t="n"/>
      <c r="S2649" s="4" t="n"/>
      <c r="T2649" s="4" t="n"/>
    </row>
    <row r="2650">
      <c r="A2650" s="3" t="n">
        <v>2649</v>
      </c>
      <c r="B2650" s="3" t="inlineStr">
        <is>
          <t>DL024</t>
        </is>
      </c>
      <c r="C2650" s="4" t="inlineStr">
        <is>
          <t>ĐL Đà Nẵng - Tân Cảng Decor</t>
        </is>
      </c>
      <c r="D2650" s="3" t="inlineStr">
        <is>
          <t>Đà Nẵng</t>
        </is>
      </c>
      <c r="E2650" s="3" t="inlineStr">
        <is>
          <t>THÙY TRANG</t>
        </is>
      </c>
      <c r="F2650" s="3" t="inlineStr">
        <is>
          <t>Shopee, Tiktok, Website bán hàng</t>
        </is>
      </c>
      <c r="G2650" s="4" t="inlineStr">
        <is>
          <t>SHOPEE: https://shopee.vn/tancangdecorshop TIKTOK: https://www.tiktok.com/@tancangdecor LAZADA: WEBSITE BÁN HÀNG: https://tancangdecor.com/</t>
        </is>
      </c>
      <c r="H2650" s="3" t="inlineStr">
        <is>
          <t>KPC-142</t>
        </is>
      </c>
      <c r="I2650" s="4" t="inlineStr">
        <is>
          <t>Kéo cắt ống KPC-142 (NEW)</t>
        </is>
      </c>
      <c r="J2650" s="3" t="inlineStr">
        <is>
          <t>Cái</t>
        </is>
      </c>
      <c r="K2650" s="5" t="n">
        <v>269000</v>
      </c>
      <c r="L2650" s="5" t="n">
        <v>317000</v>
      </c>
      <c r="M2650" s="6" t="n">
        <v>390000</v>
      </c>
      <c r="N2650" s="5" t="n"/>
      <c r="O2650" s="5">
        <f>IF(AND(ISNUMBER(N2650),ISNUMBER(M2650)),N2650-M2650,"")</f>
        <v/>
      </c>
      <c r="P2650" s="7">
        <f>IF(AND(ISNUMBER(N2650),ISNUMBER(M2650),M2650&gt;0),(N2650-M2650)/M2650,"")</f>
        <v/>
      </c>
      <c r="Q2650" s="3">
        <f>IF(P2650="","",IF(P2650&lt;-0.02,"🔴 Bán phá giá sàn",IF(P2650&gt;0.05,"🔵 Bán cao hơn","🟢 Đúng giá sàn TMĐT")))</f>
        <v/>
      </c>
      <c r="R2650" s="3" t="n"/>
      <c r="S2650" s="4" t="n"/>
      <c r="T2650" s="4" t="n"/>
    </row>
    <row r="2651">
      <c r="A2651" s="3" t="n">
        <v>2650</v>
      </c>
      <c r="B2651" s="3" t="inlineStr">
        <is>
          <t>DL024</t>
        </is>
      </c>
      <c r="C2651" s="4" t="inlineStr">
        <is>
          <t>ĐL Đà Nẵng - Tân Cảng Decor</t>
        </is>
      </c>
      <c r="D2651" s="3" t="inlineStr">
        <is>
          <t>Đà Nẵng</t>
        </is>
      </c>
      <c r="E2651" s="3" t="inlineStr">
        <is>
          <t>THÙY TRANG</t>
        </is>
      </c>
      <c r="F2651" s="3" t="inlineStr">
        <is>
          <t>Shopee, Tiktok, Website bán hàng</t>
        </is>
      </c>
      <c r="G2651" s="4" t="inlineStr">
        <is>
          <t>SHOPEE: https://shopee.vn/tancangdecorshop TIKTOK: https://www.tiktok.com/@tancangdecor LAZADA: WEBSITE BÁN HÀNG: https://tancangdecor.com/</t>
        </is>
      </c>
      <c r="H2651" s="3" t="inlineStr">
        <is>
          <t>KPC-242</t>
        </is>
      </c>
      <c r="I2651" s="4" t="inlineStr">
        <is>
          <t>Kéo cắt ống KPC-242</t>
        </is>
      </c>
      <c r="J2651" s="3" t="inlineStr">
        <is>
          <t>Cái</t>
        </is>
      </c>
      <c r="K2651" s="5" t="n">
        <v>172000</v>
      </c>
      <c r="L2651" s="5" t="n">
        <v>203000</v>
      </c>
      <c r="M2651" s="6" t="n">
        <v>249000</v>
      </c>
      <c r="N2651" s="5" t="n"/>
      <c r="O2651" s="5">
        <f>IF(AND(ISNUMBER(N2651),ISNUMBER(M2651)),N2651-M2651,"")</f>
        <v/>
      </c>
      <c r="P2651" s="7">
        <f>IF(AND(ISNUMBER(N2651),ISNUMBER(M2651),M2651&gt;0),(N2651-M2651)/M2651,"")</f>
        <v/>
      </c>
      <c r="Q2651" s="3">
        <f>IF(P2651="","",IF(P2651&lt;-0.02,"🔴 Bán phá giá sàn",IF(P2651&gt;0.05,"🔵 Bán cao hơn","🟢 Đúng giá sàn TMĐT")))</f>
        <v/>
      </c>
      <c r="R2651" s="3" t="n"/>
      <c r="S2651" s="4" t="n"/>
      <c r="T2651" s="4" t="n"/>
    </row>
    <row r="2652">
      <c r="A2652" s="3" t="n">
        <v>2651</v>
      </c>
      <c r="B2652" s="3" t="inlineStr">
        <is>
          <t>DL024</t>
        </is>
      </c>
      <c r="C2652" s="4" t="inlineStr">
        <is>
          <t>ĐL Đà Nẵng - Tân Cảng Decor</t>
        </is>
      </c>
      <c r="D2652" s="3" t="inlineStr">
        <is>
          <t>Đà Nẵng</t>
        </is>
      </c>
      <c r="E2652" s="3" t="inlineStr">
        <is>
          <t>THÙY TRANG</t>
        </is>
      </c>
      <c r="F2652" s="3" t="inlineStr">
        <is>
          <t>Shopee, Tiktok, Website bán hàng</t>
        </is>
      </c>
      <c r="G2652" s="4" t="inlineStr">
        <is>
          <t>SHOPEE: https://shopee.vn/tancangdecorshop TIKTOK: https://www.tiktok.com/@tancangdecor LAZADA: WEBSITE BÁN HÀNG: https://tancangdecor.com/</t>
        </is>
      </c>
      <c r="H2652" s="3" t="inlineStr">
        <is>
          <t>KB001-B7</t>
        </is>
      </c>
      <c r="I2652" s="4" t="inlineStr">
        <is>
          <t>Kéo KB001-B7</t>
        </is>
      </c>
      <c r="J2652" s="3" t="inlineStr">
        <is>
          <t>Cái</t>
        </is>
      </c>
      <c r="K2652" s="5" t="n">
        <v>98000</v>
      </c>
      <c r="L2652" s="5" t="n">
        <v>116000</v>
      </c>
      <c r="M2652" s="6" t="n">
        <v>142000</v>
      </c>
      <c r="N2652" s="5" t="n"/>
      <c r="O2652" s="5">
        <f>IF(AND(ISNUMBER(N2652),ISNUMBER(M2652)),N2652-M2652,"")</f>
        <v/>
      </c>
      <c r="P2652" s="7">
        <f>IF(AND(ISNUMBER(N2652),ISNUMBER(M2652),M2652&gt;0),(N2652-M2652)/M2652,"")</f>
        <v/>
      </c>
      <c r="Q2652" s="3">
        <f>IF(P2652="","",IF(P2652&lt;-0.02,"🔴 Bán phá giá sàn",IF(P2652&gt;0.05,"🔵 Bán cao hơn","🟢 Đúng giá sàn TMĐT")))</f>
        <v/>
      </c>
      <c r="R2652" s="3" t="n"/>
      <c r="S2652" s="4" t="n"/>
      <c r="T2652" s="4" t="n"/>
    </row>
    <row r="2653">
      <c r="A2653" s="3" t="n">
        <v>2652</v>
      </c>
      <c r="B2653" s="3" t="inlineStr">
        <is>
          <t>DL024</t>
        </is>
      </c>
      <c r="C2653" s="4" t="inlineStr">
        <is>
          <t>ĐL Đà Nẵng - Tân Cảng Decor</t>
        </is>
      </c>
      <c r="D2653" s="3" t="inlineStr">
        <is>
          <t>Đà Nẵng</t>
        </is>
      </c>
      <c r="E2653" s="3" t="inlineStr">
        <is>
          <t>THÙY TRANG</t>
        </is>
      </c>
      <c r="F2653" s="3" t="inlineStr">
        <is>
          <t>Shopee, Tiktok, Website bán hàng</t>
        </is>
      </c>
      <c r="G2653" s="4" t="inlineStr">
        <is>
          <t>SHOPEE: https://shopee.vn/tancangdecorshop TIKTOK: https://www.tiktok.com/@tancangdecor LAZADA: WEBSITE BÁN HÀNG: https://tancangdecor.com/</t>
        </is>
      </c>
      <c r="H2653" s="3" t="inlineStr">
        <is>
          <t>KB004-S8</t>
        </is>
      </c>
      <c r="I2653" s="4" t="inlineStr">
        <is>
          <t>Kéo KB004-S8</t>
        </is>
      </c>
      <c r="J2653" s="3" t="inlineStr">
        <is>
          <t>Cái</t>
        </is>
      </c>
      <c r="K2653" s="5" t="n">
        <v>244000</v>
      </c>
      <c r="L2653" s="5" t="n">
        <v>288000</v>
      </c>
      <c r="M2653" s="6" t="n">
        <v>354000</v>
      </c>
      <c r="N2653" s="5" t="n"/>
      <c r="O2653" s="5">
        <f>IF(AND(ISNUMBER(N2653),ISNUMBER(M2653)),N2653-M2653,"")</f>
        <v/>
      </c>
      <c r="P2653" s="7">
        <f>IF(AND(ISNUMBER(N2653),ISNUMBER(M2653),M2653&gt;0),(N2653-M2653)/M2653,"")</f>
        <v/>
      </c>
      <c r="Q2653" s="3">
        <f>IF(P2653="","",IF(P2653&lt;-0.02,"🔴 Bán phá giá sàn",IF(P2653&gt;0.05,"🔵 Bán cao hơn","🟢 Đúng giá sàn TMĐT")))</f>
        <v/>
      </c>
      <c r="R2653" s="3" t="n"/>
      <c r="S2653" s="4" t="n"/>
      <c r="T2653" s="4" t="n"/>
    </row>
    <row r="2654">
      <c r="A2654" s="3" t="n">
        <v>2653</v>
      </c>
      <c r="B2654" s="3" t="inlineStr">
        <is>
          <t>DL024</t>
        </is>
      </c>
      <c r="C2654" s="4" t="inlineStr">
        <is>
          <t>ĐL Đà Nẵng - Tân Cảng Decor</t>
        </is>
      </c>
      <c r="D2654" s="3" t="inlineStr">
        <is>
          <t>Đà Nẵng</t>
        </is>
      </c>
      <c r="E2654" s="3" t="inlineStr">
        <is>
          <t>THÙY TRANG</t>
        </is>
      </c>
      <c r="F2654" s="3" t="inlineStr">
        <is>
          <t>Shopee, Tiktok, Website bán hàng</t>
        </is>
      </c>
      <c r="G2654" s="4" t="inlineStr">
        <is>
          <t>SHOPEE: https://shopee.vn/tancangdecorshop TIKTOK: https://www.tiktok.com/@tancangdecor LAZADA: WEBSITE BÁN HÀNG: https://tancangdecor.com/</t>
        </is>
      </c>
      <c r="H2654" s="3" t="inlineStr">
        <is>
          <t>KBY3-030CO</t>
        </is>
      </c>
      <c r="I2654" s="4" t="inlineStr">
        <is>
          <t>Khoan inox chuôi lục KBY3-030CO</t>
        </is>
      </c>
      <c r="J2654" s="3" t="inlineStr">
        <is>
          <t>Vỉ</t>
        </is>
      </c>
      <c r="K2654" s="5" t="n">
        <v>31000</v>
      </c>
      <c r="L2654" s="5" t="n">
        <v>39000</v>
      </c>
      <c r="M2654" s="6" t="n">
        <v>50000</v>
      </c>
      <c r="N2654" s="5" t="n"/>
      <c r="O2654" s="5">
        <f>IF(AND(ISNUMBER(N2654),ISNUMBER(M2654)),N2654-M2654,"")</f>
        <v/>
      </c>
      <c r="P2654" s="7">
        <f>IF(AND(ISNUMBER(N2654),ISNUMBER(M2654),M2654&gt;0),(N2654-M2654)/M2654,"")</f>
        <v/>
      </c>
      <c r="Q2654" s="3">
        <f>IF(P2654="","",IF(P2654&lt;-0.02,"🔴 Bán phá giá sàn",IF(P2654&gt;0.05,"🔵 Bán cao hơn","🟢 Đúng giá sàn TMĐT")))</f>
        <v/>
      </c>
      <c r="R2654" s="3" t="n"/>
      <c r="S2654" s="4" t="n"/>
      <c r="T2654" s="4" t="n"/>
    </row>
    <row r="2655">
      <c r="A2655" s="3" t="n">
        <v>2654</v>
      </c>
      <c r="B2655" s="3" t="inlineStr">
        <is>
          <t>DL024</t>
        </is>
      </c>
      <c r="C2655" s="4" t="inlineStr">
        <is>
          <t>ĐL Đà Nẵng - Tân Cảng Decor</t>
        </is>
      </c>
      <c r="D2655" s="3" t="inlineStr">
        <is>
          <t>Đà Nẵng</t>
        </is>
      </c>
      <c r="E2655" s="3" t="inlineStr">
        <is>
          <t>THÙY TRANG</t>
        </is>
      </c>
      <c r="F2655" s="3" t="inlineStr">
        <is>
          <t>Shopee, Tiktok, Website bán hàng</t>
        </is>
      </c>
      <c r="G2655" s="4" t="inlineStr">
        <is>
          <t>SHOPEE: https://shopee.vn/tancangdecorshop TIKTOK: https://www.tiktok.com/@tancangdecor LAZADA: WEBSITE BÁN HÀNG: https://tancangdecor.com/</t>
        </is>
      </c>
      <c r="H2655" s="3" t="inlineStr">
        <is>
          <t>KBY3-035CO</t>
        </is>
      </c>
      <c r="I2655" s="4" t="inlineStr">
        <is>
          <t>Khoan inox chuôi lục KBY3-035CO</t>
        </is>
      </c>
      <c r="J2655" s="3" t="inlineStr">
        <is>
          <t>Vỉ</t>
        </is>
      </c>
      <c r="K2655" s="5" t="n">
        <v>36000</v>
      </c>
      <c r="L2655" s="5" t="n">
        <v>45000</v>
      </c>
      <c r="M2655" s="6" t="n">
        <v>58000</v>
      </c>
      <c r="N2655" s="5" t="n"/>
      <c r="O2655" s="5">
        <f>IF(AND(ISNUMBER(N2655),ISNUMBER(M2655)),N2655-M2655,"")</f>
        <v/>
      </c>
      <c r="P2655" s="7">
        <f>IF(AND(ISNUMBER(N2655),ISNUMBER(M2655),M2655&gt;0),(N2655-M2655)/M2655,"")</f>
        <v/>
      </c>
      <c r="Q2655" s="3">
        <f>IF(P2655="","",IF(P2655&lt;-0.02,"🔴 Bán phá giá sàn",IF(P2655&gt;0.05,"🔵 Bán cao hơn","🟢 Đúng giá sàn TMĐT")))</f>
        <v/>
      </c>
      <c r="R2655" s="3" t="n"/>
      <c r="S2655" s="4" t="n"/>
      <c r="T2655" s="4" t="n"/>
    </row>
    <row r="2656">
      <c r="A2656" s="3" t="n">
        <v>2655</v>
      </c>
      <c r="B2656" s="3" t="inlineStr">
        <is>
          <t>DL024</t>
        </is>
      </c>
      <c r="C2656" s="4" t="inlineStr">
        <is>
          <t>ĐL Đà Nẵng - Tân Cảng Decor</t>
        </is>
      </c>
      <c r="D2656" s="3" t="inlineStr">
        <is>
          <t>Đà Nẵng</t>
        </is>
      </c>
      <c r="E2656" s="3" t="inlineStr">
        <is>
          <t>THÙY TRANG</t>
        </is>
      </c>
      <c r="F2656" s="3" t="inlineStr">
        <is>
          <t>Shopee, Tiktok, Website bán hàng</t>
        </is>
      </c>
      <c r="G2656" s="4" t="inlineStr">
        <is>
          <t>SHOPEE: https://shopee.vn/tancangdecorshop TIKTOK: https://www.tiktok.com/@tancangdecor LAZADA: WEBSITE BÁN HÀNG: https://tancangdecor.com/</t>
        </is>
      </c>
      <c r="H2656" s="3" t="inlineStr">
        <is>
          <t>KBY3-040CO</t>
        </is>
      </c>
      <c r="I2656" s="4" t="inlineStr">
        <is>
          <t>Khoan inox chuôi lục KBY3-040CO</t>
        </is>
      </c>
      <c r="J2656" s="3" t="inlineStr">
        <is>
          <t>Vỉ</t>
        </is>
      </c>
      <c r="K2656" s="5" t="n">
        <v>40000</v>
      </c>
      <c r="L2656" s="5" t="n">
        <v>50000</v>
      </c>
      <c r="M2656" s="6" t="n">
        <v>64000</v>
      </c>
      <c r="N2656" s="5" t="n"/>
      <c r="O2656" s="5">
        <f>IF(AND(ISNUMBER(N2656),ISNUMBER(M2656)),N2656-M2656,"")</f>
        <v/>
      </c>
      <c r="P2656" s="7">
        <f>IF(AND(ISNUMBER(N2656),ISNUMBER(M2656),M2656&gt;0),(N2656-M2656)/M2656,"")</f>
        <v/>
      </c>
      <c r="Q2656" s="3">
        <f>IF(P2656="","",IF(P2656&lt;-0.02,"🔴 Bán phá giá sàn",IF(P2656&gt;0.05,"🔵 Bán cao hơn","🟢 Đúng giá sàn TMĐT")))</f>
        <v/>
      </c>
      <c r="R2656" s="3" t="n"/>
      <c r="S2656" s="4" t="n"/>
      <c r="T2656" s="4" t="n"/>
    </row>
    <row r="2657">
      <c r="A2657" s="3" t="n">
        <v>2656</v>
      </c>
      <c r="B2657" s="3" t="inlineStr">
        <is>
          <t>DL024</t>
        </is>
      </c>
      <c r="C2657" s="4" t="inlineStr">
        <is>
          <t>ĐL Đà Nẵng - Tân Cảng Decor</t>
        </is>
      </c>
      <c r="D2657" s="3" t="inlineStr">
        <is>
          <t>Đà Nẵng</t>
        </is>
      </c>
      <c r="E2657" s="3" t="inlineStr">
        <is>
          <t>THÙY TRANG</t>
        </is>
      </c>
      <c r="F2657" s="3" t="inlineStr">
        <is>
          <t>Shopee, Tiktok, Website bán hàng</t>
        </is>
      </c>
      <c r="G2657" s="4" t="inlineStr">
        <is>
          <t>SHOPEE: https://shopee.vn/tancangdecorshop TIKTOK: https://www.tiktok.com/@tancangdecor LAZADA: WEBSITE BÁN HÀNG: https://tancangdecor.com/</t>
        </is>
      </c>
      <c r="H2657" s="3" t="inlineStr">
        <is>
          <t>KBB-50MM</t>
        </is>
      </c>
      <c r="I2657" s="4" t="inlineStr">
        <is>
          <t>Khoan Kính KingBlue KBB-50MM</t>
        </is>
      </c>
      <c r="J2657" s="3" t="inlineStr">
        <is>
          <t>Cái</t>
        </is>
      </c>
      <c r="K2657" s="5" t="n">
        <v>269000</v>
      </c>
      <c r="L2657" s="5" t="n">
        <v>317000</v>
      </c>
      <c r="M2657" s="6" t="n">
        <v>390000</v>
      </c>
      <c r="N2657" s="5" t="n"/>
      <c r="O2657" s="5">
        <f>IF(AND(ISNUMBER(N2657),ISNUMBER(M2657)),N2657-M2657,"")</f>
        <v/>
      </c>
      <c r="P2657" s="7">
        <f>IF(AND(ISNUMBER(N2657),ISNUMBER(M2657),M2657&gt;0),(N2657-M2657)/M2657,"")</f>
        <v/>
      </c>
      <c r="Q2657" s="3">
        <f>IF(P2657="","",IF(P2657&lt;-0.02,"🔴 Bán phá giá sàn",IF(P2657&gt;0.05,"🔵 Bán cao hơn","🟢 Đúng giá sàn TMĐT")))</f>
        <v/>
      </c>
      <c r="R2657" s="3" t="n"/>
      <c r="S2657" s="4" t="n"/>
      <c r="T2657" s="4" t="n"/>
    </row>
    <row r="2658">
      <c r="A2658" s="3" t="n">
        <v>2657</v>
      </c>
      <c r="B2658" s="3" t="inlineStr">
        <is>
          <t>DL024</t>
        </is>
      </c>
      <c r="C2658" s="4" t="inlineStr">
        <is>
          <t>ĐL Đà Nẵng - Tân Cảng Decor</t>
        </is>
      </c>
      <c r="D2658" s="3" t="inlineStr">
        <is>
          <t>Đà Nẵng</t>
        </is>
      </c>
      <c r="E2658" s="3" t="inlineStr">
        <is>
          <t>THÙY TRANG</t>
        </is>
      </c>
      <c r="F2658" s="3" t="inlineStr">
        <is>
          <t>Shopee, Tiktok, Website bán hàng</t>
        </is>
      </c>
      <c r="G2658" s="4" t="inlineStr">
        <is>
          <t>SHOPEE: https://shopee.vn/tancangdecorshop TIKTOK: https://www.tiktok.com/@tancangdecor LAZADA: WEBSITE BÁN HÀNG: https://tancangdecor.com/</t>
        </is>
      </c>
      <c r="H2658" s="3" t="inlineStr">
        <is>
          <t>KND185</t>
        </is>
      </c>
      <c r="I2658" s="4" t="inlineStr">
        <is>
          <t>Kìm bấm Cos vuông KND185</t>
        </is>
      </c>
      <c r="J2658" s="3" t="inlineStr">
        <is>
          <t>Cái</t>
        </is>
      </c>
      <c r="K2658" s="5" t="n">
        <v>182000</v>
      </c>
      <c r="L2658" s="5" t="n">
        <v>215000</v>
      </c>
      <c r="M2658" s="6" t="n">
        <v>264000</v>
      </c>
      <c r="N2658" s="5" t="n"/>
      <c r="O2658" s="5">
        <f>IF(AND(ISNUMBER(N2658),ISNUMBER(M2658)),N2658-M2658,"")</f>
        <v/>
      </c>
      <c r="P2658" s="7">
        <f>IF(AND(ISNUMBER(N2658),ISNUMBER(M2658),M2658&gt;0),(N2658-M2658)/M2658,"")</f>
        <v/>
      </c>
      <c r="Q2658" s="3">
        <f>IF(P2658="","",IF(P2658&lt;-0.02,"🔴 Bán phá giá sàn",IF(P2658&gt;0.05,"🔵 Bán cao hơn","🟢 Đúng giá sàn TMĐT")))</f>
        <v/>
      </c>
      <c r="R2658" s="3" t="n"/>
      <c r="S2658" s="4" t="n"/>
      <c r="T2658" s="4" t="n"/>
    </row>
    <row r="2659">
      <c r="A2659" s="3" t="n">
        <v>2658</v>
      </c>
      <c r="B2659" s="3" t="inlineStr">
        <is>
          <t>DL024</t>
        </is>
      </c>
      <c r="C2659" s="4" t="inlineStr">
        <is>
          <t>ĐL Đà Nẵng - Tân Cảng Decor</t>
        </is>
      </c>
      <c r="D2659" s="3" t="inlineStr">
        <is>
          <t>Đà Nẵng</t>
        </is>
      </c>
      <c r="E2659" s="3" t="inlineStr">
        <is>
          <t>THÙY TRANG</t>
        </is>
      </c>
      <c r="F2659" s="3" t="inlineStr">
        <is>
          <t>Shopee, Tiktok, Website bán hàng</t>
        </is>
      </c>
      <c r="G2659" s="4" t="inlineStr">
        <is>
          <t>SHOPEE: https://shopee.vn/tancangdecorshop TIKTOK: https://www.tiktok.com/@tancangdecor LAZADA: WEBSITE BÁN HÀNG: https://tancangdecor.com/</t>
        </is>
      </c>
      <c r="H2659" s="3" t="inlineStr">
        <is>
          <t>KS3-208</t>
        </is>
      </c>
      <c r="I2659" s="4" t="inlineStr">
        <is>
          <t>Kìm chữ C KS3-208</t>
        </is>
      </c>
      <c r="J2659" s="3" t="inlineStr">
        <is>
          <t>Cái</t>
        </is>
      </c>
      <c r="K2659" s="5" t="n">
        <v>132000</v>
      </c>
      <c r="L2659" s="5" t="n">
        <v>156000</v>
      </c>
      <c r="M2659" s="6" t="n">
        <v>191000</v>
      </c>
      <c r="N2659" s="5" t="n"/>
      <c r="O2659" s="5">
        <f>IF(AND(ISNUMBER(N2659),ISNUMBER(M2659)),N2659-M2659,"")</f>
        <v/>
      </c>
      <c r="P2659" s="7">
        <f>IF(AND(ISNUMBER(N2659),ISNUMBER(M2659),M2659&gt;0),(N2659-M2659)/M2659,"")</f>
        <v/>
      </c>
      <c r="Q2659" s="3">
        <f>IF(P2659="","",IF(P2659&lt;-0.02,"🔴 Bán phá giá sàn",IF(P2659&gt;0.05,"🔵 Bán cao hơn","🟢 Đúng giá sàn TMĐT")))</f>
        <v/>
      </c>
      <c r="R2659" s="3" t="n"/>
      <c r="S2659" s="4" t="n"/>
      <c r="T2659" s="4" t="n"/>
    </row>
    <row r="2660">
      <c r="A2660" s="3" t="n">
        <v>2659</v>
      </c>
      <c r="B2660" s="3" t="inlineStr">
        <is>
          <t>DL024</t>
        </is>
      </c>
      <c r="C2660" s="4" t="inlineStr">
        <is>
          <t>ĐL Đà Nẵng - Tân Cảng Decor</t>
        </is>
      </c>
      <c r="D2660" s="3" t="inlineStr">
        <is>
          <t>Đà Nẵng</t>
        </is>
      </c>
      <c r="E2660" s="3" t="inlineStr">
        <is>
          <t>THÙY TRANG</t>
        </is>
      </c>
      <c r="F2660" s="3" t="inlineStr">
        <is>
          <t>Shopee, Tiktok, Website bán hàng</t>
        </is>
      </c>
      <c r="G2660" s="4" t="inlineStr">
        <is>
          <t>SHOPEE: https://shopee.vn/tancangdecorshop TIKTOK: https://www.tiktok.com/@tancangdecor LAZADA: WEBSITE BÁN HÀNG: https://tancangdecor.com/</t>
        </is>
      </c>
      <c r="H2660" s="3" t="inlineStr">
        <is>
          <t>KC4-250</t>
        </is>
      </c>
      <c r="I2660" s="4" t="inlineStr">
        <is>
          <t>Kìm mỏ quạ KC4-250</t>
        </is>
      </c>
      <c r="J2660" s="3" t="inlineStr">
        <is>
          <t>Cái</t>
        </is>
      </c>
      <c r="K2660" s="5" t="n">
        <v>152000</v>
      </c>
      <c r="L2660" s="5" t="n">
        <v>179000</v>
      </c>
      <c r="M2660" s="6" t="n">
        <v>220000</v>
      </c>
      <c r="N2660" s="5" t="n"/>
      <c r="O2660" s="5">
        <f>IF(AND(ISNUMBER(N2660),ISNUMBER(M2660)),N2660-M2660,"")</f>
        <v/>
      </c>
      <c r="P2660" s="7">
        <f>IF(AND(ISNUMBER(N2660),ISNUMBER(M2660),M2660&gt;0),(N2660-M2660)/M2660,"")</f>
        <v/>
      </c>
      <c r="Q2660" s="3">
        <f>IF(P2660="","",IF(P2660&lt;-0.02,"🔴 Bán phá giá sàn",IF(P2660&gt;0.05,"🔵 Bán cao hơn","🟢 Đúng giá sàn TMĐT")))</f>
        <v/>
      </c>
      <c r="R2660" s="3" t="n"/>
      <c r="S2660" s="4" t="n"/>
      <c r="T2660" s="4" t="n"/>
    </row>
    <row r="2661">
      <c r="A2661" s="3" t="n">
        <v>2660</v>
      </c>
      <c r="B2661" s="3" t="inlineStr">
        <is>
          <t>DL024</t>
        </is>
      </c>
      <c r="C2661" s="4" t="inlineStr">
        <is>
          <t>ĐL Đà Nẵng - Tân Cảng Decor</t>
        </is>
      </c>
      <c r="D2661" s="3" t="inlineStr">
        <is>
          <t>Đà Nẵng</t>
        </is>
      </c>
      <c r="E2661" s="3" t="inlineStr">
        <is>
          <t>THÙY TRANG</t>
        </is>
      </c>
      <c r="F2661" s="3" t="inlineStr">
        <is>
          <t>Shopee, Tiktok, Website bán hàng</t>
        </is>
      </c>
      <c r="G2661" s="4" t="inlineStr">
        <is>
          <t>SHOPEE: https://shopee.vn/tancangdecorshop TIKTOK: https://www.tiktok.com/@tancangdecor LAZADA: WEBSITE BÁN HÀNG: https://tancangdecor.com/</t>
        </is>
      </c>
      <c r="H2661" s="3" t="inlineStr">
        <is>
          <t>T1-400R</t>
        </is>
      </c>
      <c r="I2661" s="4" t="inlineStr">
        <is>
          <t>Lưỡi cắt KingBlue T1-400R</t>
        </is>
      </c>
      <c r="J2661" s="3" t="inlineStr">
        <is>
          <t>Cái</t>
        </is>
      </c>
      <c r="K2661" s="5" t="n">
        <v>857000</v>
      </c>
      <c r="L2661" s="5" t="n">
        <v>1011000</v>
      </c>
      <c r="M2661" s="6" t="n">
        <v>1243000</v>
      </c>
      <c r="N2661" s="5" t="n"/>
      <c r="O2661" s="5">
        <f>IF(AND(ISNUMBER(N2661),ISNUMBER(M2661)),N2661-M2661,"")</f>
        <v/>
      </c>
      <c r="P2661" s="7">
        <f>IF(AND(ISNUMBER(N2661),ISNUMBER(M2661),M2661&gt;0),(N2661-M2661)/M2661,"")</f>
        <v/>
      </c>
      <c r="Q2661" s="3">
        <f>IF(P2661="","",IF(P2661&lt;-0.02,"🔴 Bán phá giá sàn",IF(P2661&gt;0.05,"🔵 Bán cao hơn","🟢 Đúng giá sàn TMĐT")))</f>
        <v/>
      </c>
      <c r="R2661" s="3" t="n"/>
      <c r="S2661" s="4" t="n"/>
      <c r="T2661" s="4" t="n"/>
    </row>
    <row r="2662">
      <c r="A2662" s="3" t="n">
        <v>2661</v>
      </c>
      <c r="B2662" s="3" t="inlineStr">
        <is>
          <t>DL024</t>
        </is>
      </c>
      <c r="C2662" s="4" t="inlineStr">
        <is>
          <t>ĐL Đà Nẵng - Tân Cảng Decor</t>
        </is>
      </c>
      <c r="D2662" s="3" t="inlineStr">
        <is>
          <t>Đà Nẵng</t>
        </is>
      </c>
      <c r="E2662" s="3" t="inlineStr">
        <is>
          <t>THÙY TRANG</t>
        </is>
      </c>
      <c r="F2662" s="3" t="inlineStr">
        <is>
          <t>Shopee, Tiktok, Website bán hàng</t>
        </is>
      </c>
      <c r="G2662" s="4" t="inlineStr">
        <is>
          <t>SHOPEE: https://shopee.vn/tancangdecorshop TIKTOK: https://www.tiktok.com/@tancangdecor LAZADA: WEBSITE BÁN HÀNG: https://tancangdecor.com/</t>
        </is>
      </c>
      <c r="H2662" s="3" t="inlineStr">
        <is>
          <t>K1-185x32T</t>
        </is>
      </c>
      <c r="I2662" s="4" t="inlineStr">
        <is>
          <t>Lưỡi cưa kim loại KingBlue K1-185x32T (Cưa sắt)</t>
        </is>
      </c>
      <c r="J2662" s="3" t="inlineStr">
        <is>
          <t>Cái</t>
        </is>
      </c>
      <c r="K2662" s="5" t="n">
        <v>273000</v>
      </c>
      <c r="L2662" s="5" t="n">
        <v>322000</v>
      </c>
      <c r="M2662" s="6" t="n">
        <v>396000</v>
      </c>
      <c r="N2662" s="5" t="n"/>
      <c r="O2662" s="5">
        <f>IF(AND(ISNUMBER(N2662),ISNUMBER(M2662)),N2662-M2662,"")</f>
        <v/>
      </c>
      <c r="P2662" s="7">
        <f>IF(AND(ISNUMBER(N2662),ISNUMBER(M2662),M2662&gt;0),(N2662-M2662)/M2662,"")</f>
        <v/>
      </c>
      <c r="Q2662" s="3">
        <f>IF(P2662="","",IF(P2662&lt;-0.02,"🔴 Bán phá giá sàn",IF(P2662&gt;0.05,"🔵 Bán cao hơn","🟢 Đúng giá sàn TMĐT")))</f>
        <v/>
      </c>
      <c r="R2662" s="3" t="n"/>
      <c r="S2662" s="4" t="n"/>
      <c r="T2662" s="4" t="n"/>
    </row>
    <row r="2663">
      <c r="A2663" s="3" t="n">
        <v>2662</v>
      </c>
      <c r="B2663" s="3" t="inlineStr">
        <is>
          <t>DL024</t>
        </is>
      </c>
      <c r="C2663" s="4" t="inlineStr">
        <is>
          <t>ĐL Đà Nẵng - Tân Cảng Decor</t>
        </is>
      </c>
      <c r="D2663" s="3" t="inlineStr">
        <is>
          <t>Đà Nẵng</t>
        </is>
      </c>
      <c r="E2663" s="3" t="inlineStr">
        <is>
          <t>THÙY TRANG</t>
        </is>
      </c>
      <c r="F2663" s="3" t="inlineStr">
        <is>
          <t>Shopee, Tiktok, Website bán hàng</t>
        </is>
      </c>
      <c r="G2663" s="4" t="inlineStr">
        <is>
          <t>SHOPEE: https://shopee.vn/tancangdecorshop TIKTOK: https://www.tiktok.com/@tancangdecor LAZADA: WEBSITE BÁN HÀNG: https://tancangdecor.com/</t>
        </is>
      </c>
      <c r="H2663" s="3" t="inlineStr">
        <is>
          <t>M42A</t>
        </is>
      </c>
      <c r="I2663" s="4" t="inlineStr">
        <is>
          <t>Lưỡi cưa KingBlue HSS M42A 300x1.6x260T</t>
        </is>
      </c>
      <c r="J2663" s="3" t="inlineStr">
        <is>
          <t>Cái</t>
        </is>
      </c>
      <c r="K2663" s="5" t="n">
        <v>1452000</v>
      </c>
      <c r="L2663" s="5" t="n">
        <v>1713000</v>
      </c>
      <c r="M2663" s="6" t="n">
        <v>2105000</v>
      </c>
      <c r="N2663" s="5" t="n"/>
      <c r="O2663" s="5">
        <f>IF(AND(ISNUMBER(N2663),ISNUMBER(M2663)),N2663-M2663,"")</f>
        <v/>
      </c>
      <c r="P2663" s="7">
        <f>IF(AND(ISNUMBER(N2663),ISNUMBER(M2663),M2663&gt;0),(N2663-M2663)/M2663,"")</f>
        <v/>
      </c>
      <c r="Q2663" s="3">
        <f>IF(P2663="","",IF(P2663&lt;-0.02,"🔴 Bán phá giá sàn",IF(P2663&gt;0.05,"🔵 Bán cao hơn","🟢 Đúng giá sàn TMĐT")))</f>
        <v/>
      </c>
      <c r="R2663" s="3" t="n"/>
      <c r="S2663" s="4" t="n"/>
      <c r="T2663" s="4" t="n"/>
    </row>
    <row r="2664">
      <c r="A2664" s="3" t="n">
        <v>2663</v>
      </c>
      <c r="B2664" s="3" t="inlineStr">
        <is>
          <t>DL024</t>
        </is>
      </c>
      <c r="C2664" s="4" t="inlineStr">
        <is>
          <t>ĐL Đà Nẵng - Tân Cảng Decor</t>
        </is>
      </c>
      <c r="D2664" s="3" t="inlineStr">
        <is>
          <t>Đà Nẵng</t>
        </is>
      </c>
      <c r="E2664" s="3" t="inlineStr">
        <is>
          <t>THÙY TRANG</t>
        </is>
      </c>
      <c r="F2664" s="3" t="inlineStr">
        <is>
          <t>Shopee, Tiktok, Website bán hàng</t>
        </is>
      </c>
      <c r="G2664" s="4" t="inlineStr">
        <is>
          <t>SHOPEE: https://shopee.vn/tancangdecorshop TIKTOK: https://www.tiktok.com/@tancangdecor LAZADA: WEBSITE BÁN HÀNG: https://tancangdecor.com/</t>
        </is>
      </c>
      <c r="H2664" s="3" t="inlineStr">
        <is>
          <t>M42A</t>
        </is>
      </c>
      <c r="I2664" s="4" t="inlineStr">
        <is>
          <t>Lưỡi cưa KingBlue HSS M42A 350x2.0x220T</t>
        </is>
      </c>
      <c r="J2664" s="3" t="inlineStr">
        <is>
          <t>Cái</t>
        </is>
      </c>
      <c r="K2664" s="5" t="n">
        <v>1452000</v>
      </c>
      <c r="L2664" s="5" t="n">
        <v>1713000</v>
      </c>
      <c r="M2664" s="6" t="n">
        <v>2105000</v>
      </c>
      <c r="N2664" s="5" t="n"/>
      <c r="O2664" s="5">
        <f>IF(AND(ISNUMBER(N2664),ISNUMBER(M2664)),N2664-M2664,"")</f>
        <v/>
      </c>
      <c r="P2664" s="7">
        <f>IF(AND(ISNUMBER(N2664),ISNUMBER(M2664),M2664&gt;0),(N2664-M2664)/M2664,"")</f>
        <v/>
      </c>
      <c r="Q2664" s="3">
        <f>IF(P2664="","",IF(P2664&lt;-0.02,"🔴 Bán phá giá sàn",IF(P2664&gt;0.05,"🔵 Bán cao hơn","🟢 Đúng giá sàn TMĐT")))</f>
        <v/>
      </c>
      <c r="R2664" s="3" t="n"/>
      <c r="S2664" s="4" t="n"/>
      <c r="T2664" s="4" t="n"/>
    </row>
    <row r="2665">
      <c r="A2665" s="3" t="n">
        <v>2664</v>
      </c>
      <c r="B2665" s="3" t="inlineStr">
        <is>
          <t>DL024</t>
        </is>
      </c>
      <c r="C2665" s="4" t="inlineStr">
        <is>
          <t>ĐL Đà Nẵng - Tân Cảng Decor</t>
        </is>
      </c>
      <c r="D2665" s="3" t="inlineStr">
        <is>
          <t>Đà Nẵng</t>
        </is>
      </c>
      <c r="E2665" s="3" t="inlineStr">
        <is>
          <t>THÙY TRANG</t>
        </is>
      </c>
      <c r="F2665" s="3" t="inlineStr">
        <is>
          <t>Shopee, Tiktok, Website bán hàng</t>
        </is>
      </c>
      <c r="G2665" s="4" t="inlineStr">
        <is>
          <t>SHOPEE: https://shopee.vn/tancangdecorshop TIKTOK: https://www.tiktok.com/@tancangdecor LAZADA: WEBSITE BÁN HÀNG: https://tancangdecor.com/</t>
        </is>
      </c>
      <c r="H2665" s="3" t="inlineStr">
        <is>
          <t>JH-06</t>
        </is>
      </c>
      <c r="I2665" s="4" t="inlineStr">
        <is>
          <t>Lưỡi dao rọc cáp đa năng JH-06</t>
        </is>
      </c>
      <c r="J2665" s="3" t="inlineStr">
        <is>
          <t>Vỉ</t>
        </is>
      </c>
      <c r="K2665" s="5" t="n">
        <v>22000</v>
      </c>
      <c r="L2665" s="5" t="n">
        <v>26000</v>
      </c>
      <c r="M2665" s="6" t="n">
        <v>32000</v>
      </c>
      <c r="N2665" s="5" t="n"/>
      <c r="O2665" s="5">
        <f>IF(AND(ISNUMBER(N2665),ISNUMBER(M2665)),N2665-M2665,"")</f>
        <v/>
      </c>
      <c r="P2665" s="7">
        <f>IF(AND(ISNUMBER(N2665),ISNUMBER(M2665),M2665&gt;0),(N2665-M2665)/M2665,"")</f>
        <v/>
      </c>
      <c r="Q2665" s="3">
        <f>IF(P2665="","",IF(P2665&lt;-0.02,"🔴 Bán phá giá sàn",IF(P2665&gt;0.05,"🔵 Bán cao hơn","🟢 Đúng giá sàn TMĐT")))</f>
        <v/>
      </c>
      <c r="R2665" s="3" t="n"/>
      <c r="S2665" s="4" t="n"/>
      <c r="T2665" s="4" t="n"/>
    </row>
    <row r="2666">
      <c r="A2666" s="3" t="n">
        <v>2665</v>
      </c>
      <c r="B2666" s="3" t="inlineStr">
        <is>
          <t>DL024</t>
        </is>
      </c>
      <c r="C2666" s="4" t="inlineStr">
        <is>
          <t>ĐL Đà Nẵng - Tân Cảng Decor</t>
        </is>
      </c>
      <c r="D2666" s="3" t="inlineStr">
        <is>
          <t>Đà Nẵng</t>
        </is>
      </c>
      <c r="E2666" s="3" t="inlineStr">
        <is>
          <t>THÙY TRANG</t>
        </is>
      </c>
      <c r="F2666" s="3" t="inlineStr">
        <is>
          <t>Shopee, Tiktok, Website bán hàng</t>
        </is>
      </c>
      <c r="G2666" s="4" t="inlineStr">
        <is>
          <t>SHOPEE: https://shopee.vn/tancangdecorshop TIKTOK: https://www.tiktok.com/@tancangdecor LAZADA: WEBSITE BÁN HÀNG: https://tancangdecor.com/</t>
        </is>
      </c>
      <c r="H2666" s="3" t="inlineStr">
        <is>
          <t>KB-02XS</t>
        </is>
      </c>
      <c r="I2666" s="4" t="inlineStr">
        <is>
          <t>Máy cân bằng KB-02XS</t>
        </is>
      </c>
      <c r="J2666" s="3" t="inlineStr">
        <is>
          <t>Cái</t>
        </is>
      </c>
      <c r="K2666" s="5" t="n">
        <v>269000</v>
      </c>
      <c r="L2666" s="5" t="n">
        <v>317000</v>
      </c>
      <c r="M2666" s="6" t="n">
        <v>390000</v>
      </c>
      <c r="N2666" s="5" t="n"/>
      <c r="O2666" s="5">
        <f>IF(AND(ISNUMBER(N2666),ISNUMBER(M2666)),N2666-M2666,"")</f>
        <v/>
      </c>
      <c r="P2666" s="7">
        <f>IF(AND(ISNUMBER(N2666),ISNUMBER(M2666),M2666&gt;0),(N2666-M2666)/M2666,"")</f>
        <v/>
      </c>
      <c r="Q2666" s="3">
        <f>IF(P2666="","",IF(P2666&lt;-0.02,"🔴 Bán phá giá sàn",IF(P2666&gt;0.05,"🔵 Bán cao hơn","🟢 Đúng giá sàn TMĐT")))</f>
        <v/>
      </c>
      <c r="R2666" s="3" t="n"/>
      <c r="S2666" s="4" t="n"/>
      <c r="T2666" s="4" t="n"/>
    </row>
    <row r="2667">
      <c r="A2667" s="3" t="n">
        <v>2666</v>
      </c>
      <c r="B2667" s="3" t="inlineStr">
        <is>
          <t>DL024</t>
        </is>
      </c>
      <c r="C2667" s="4" t="inlineStr">
        <is>
          <t>ĐL Đà Nẵng - Tân Cảng Decor</t>
        </is>
      </c>
      <c r="D2667" s="3" t="inlineStr">
        <is>
          <t>Đà Nẵng</t>
        </is>
      </c>
      <c r="E2667" s="3" t="inlineStr">
        <is>
          <t>THÙY TRANG</t>
        </is>
      </c>
      <c r="F2667" s="3" t="inlineStr">
        <is>
          <t>Shopee, Tiktok, Website bán hàng</t>
        </is>
      </c>
      <c r="G2667" s="4" t="inlineStr">
        <is>
          <t>SHOPEE: https://shopee.vn/tancangdecorshop TIKTOK: https://www.tiktok.com/@tancangdecor LAZADA: WEBSITE BÁN HÀNG: https://tancangdecor.com/</t>
        </is>
      </c>
      <c r="H2667" s="3" t="inlineStr">
        <is>
          <t>KB-05X</t>
        </is>
      </c>
      <c r="I2667" s="4" t="inlineStr">
        <is>
          <t>Máy cân bằng KB-05X (NEW)</t>
        </is>
      </c>
      <c r="J2667" s="3" t="inlineStr">
        <is>
          <t>Cái</t>
        </is>
      </c>
      <c r="K2667" s="5" t="n">
        <v>1350000</v>
      </c>
      <c r="L2667" s="5" t="n">
        <v>1510000</v>
      </c>
      <c r="M2667" s="6" t="n">
        <v>1760000</v>
      </c>
      <c r="N2667" s="5" t="n"/>
      <c r="O2667" s="5">
        <f>IF(AND(ISNUMBER(N2667),ISNUMBER(M2667)),N2667-M2667,"")</f>
        <v/>
      </c>
      <c r="P2667" s="7">
        <f>IF(AND(ISNUMBER(N2667),ISNUMBER(M2667),M2667&gt;0),(N2667-M2667)/M2667,"")</f>
        <v/>
      </c>
      <c r="Q2667" s="3">
        <f>IF(P2667="","",IF(P2667&lt;-0.02,"🔴 Bán phá giá sàn",IF(P2667&gt;0.05,"🔵 Bán cao hơn","🟢 Đúng giá sàn TMĐT")))</f>
        <v/>
      </c>
      <c r="R2667" s="3" t="n"/>
      <c r="S2667" s="4" t="n"/>
      <c r="T2667" s="4" t="n"/>
    </row>
    <row r="2668">
      <c r="A2668" s="3" t="n">
        <v>2667</v>
      </c>
      <c r="B2668" s="3" t="inlineStr">
        <is>
          <t>DL024</t>
        </is>
      </c>
      <c r="C2668" s="4" t="inlineStr">
        <is>
          <t>ĐL Đà Nẵng - Tân Cảng Decor</t>
        </is>
      </c>
      <c r="D2668" s="3" t="inlineStr">
        <is>
          <t>Đà Nẵng</t>
        </is>
      </c>
      <c r="E2668" s="3" t="inlineStr">
        <is>
          <t>THÙY TRANG</t>
        </is>
      </c>
      <c r="F2668" s="3" t="inlineStr">
        <is>
          <t>Shopee, Tiktok, Website bán hàng</t>
        </is>
      </c>
      <c r="G2668" s="4" t="inlineStr">
        <is>
          <t>SHOPEE: https://shopee.vn/tancangdecorshop TIKTOK: https://www.tiktok.com/@tancangdecor LAZADA: WEBSITE BÁN HÀNG: https://tancangdecor.com/</t>
        </is>
      </c>
      <c r="H2668" s="3" t="inlineStr">
        <is>
          <t>KB-2.5CFM</t>
        </is>
      </c>
      <c r="I2668" s="4" t="inlineStr">
        <is>
          <t>Máy hút chân không dùng pin KingBlue KB-2.5CFM</t>
        </is>
      </c>
      <c r="J2668" s="3" t="inlineStr">
        <is>
          <t>Cái</t>
        </is>
      </c>
      <c r="K2668" s="5" t="n">
        <v>269000</v>
      </c>
      <c r="L2668" s="5" t="n">
        <v>317000</v>
      </c>
      <c r="M2668" s="6" t="n">
        <v>390000</v>
      </c>
      <c r="N2668" s="5" t="n"/>
      <c r="O2668" s="5">
        <f>IF(AND(ISNUMBER(N2668),ISNUMBER(M2668)),N2668-M2668,"")</f>
        <v/>
      </c>
      <c r="P2668" s="7">
        <f>IF(AND(ISNUMBER(N2668),ISNUMBER(M2668),M2668&gt;0),(N2668-M2668)/M2668,"")</f>
        <v/>
      </c>
      <c r="Q2668" s="3">
        <f>IF(P2668="","",IF(P2668&lt;-0.02,"🔴 Bán phá giá sàn",IF(P2668&gt;0.05,"🔵 Bán cao hơn","🟢 Đúng giá sàn TMĐT")))</f>
        <v/>
      </c>
      <c r="R2668" s="3" t="n"/>
      <c r="S2668" s="4" t="n"/>
      <c r="T2668" s="4" t="n"/>
    </row>
    <row r="2669">
      <c r="A2669" s="3" t="n">
        <v>2668</v>
      </c>
      <c r="B2669" s="3" t="inlineStr">
        <is>
          <t>DL024</t>
        </is>
      </c>
      <c r="C2669" s="4" t="inlineStr">
        <is>
          <t>ĐL Đà Nẵng - Tân Cảng Decor</t>
        </is>
      </c>
      <c r="D2669" s="3" t="inlineStr">
        <is>
          <t>Đà Nẵng</t>
        </is>
      </c>
      <c r="E2669" s="3" t="inlineStr">
        <is>
          <t>THÙY TRANG</t>
        </is>
      </c>
      <c r="F2669" s="3" t="inlineStr">
        <is>
          <t>Shopee, Tiktok, Website bán hàng</t>
        </is>
      </c>
      <c r="G2669" s="4" t="inlineStr">
        <is>
          <t>SHOPEE: https://shopee.vn/tancangdecorshop TIKTOK: https://www.tiktok.com/@tancangdecor LAZADA: WEBSITE BÁN HÀNG: https://tancangdecor.com/</t>
        </is>
      </c>
      <c r="H2669" s="3" t="inlineStr">
        <is>
          <t>K18QES</t>
        </is>
      </c>
      <c r="I2669" s="4" t="inlineStr">
        <is>
          <t>Máy Khoan 3 Chức Năng 18V K18QES</t>
        </is>
      </c>
      <c r="J2669" s="3" t="inlineStr">
        <is>
          <t>Cái</t>
        </is>
      </c>
      <c r="K2669" s="5" t="n">
        <v>2380000</v>
      </c>
      <c r="L2669" s="5" t="n">
        <v>2610000</v>
      </c>
      <c r="M2669" s="6" t="n">
        <v>2970000</v>
      </c>
      <c r="N2669" s="5" t="n"/>
      <c r="O2669" s="5">
        <f>IF(AND(ISNUMBER(N2669),ISNUMBER(M2669)),N2669-M2669,"")</f>
        <v/>
      </c>
      <c r="P2669" s="7">
        <f>IF(AND(ISNUMBER(N2669),ISNUMBER(M2669),M2669&gt;0),(N2669-M2669)/M2669,"")</f>
        <v/>
      </c>
      <c r="Q2669" s="3">
        <f>IF(P2669="","",IF(P2669&lt;-0.02,"🔴 Bán phá giá sàn",IF(P2669&gt;0.05,"🔵 Bán cao hơn","🟢 Đúng giá sàn TMĐT")))</f>
        <v/>
      </c>
      <c r="R2669" s="3" t="n"/>
      <c r="S2669" s="4" t="n"/>
      <c r="T2669" s="4" t="n"/>
    </row>
    <row r="2670">
      <c r="A2670" s="3" t="n">
        <v>2669</v>
      </c>
      <c r="B2670" s="3" t="inlineStr">
        <is>
          <t>DL024</t>
        </is>
      </c>
      <c r="C2670" s="4" t="inlineStr">
        <is>
          <t>ĐL Đà Nẵng - Tân Cảng Decor</t>
        </is>
      </c>
      <c r="D2670" s="3" t="inlineStr">
        <is>
          <t>Đà Nẵng</t>
        </is>
      </c>
      <c r="E2670" s="3" t="inlineStr">
        <is>
          <t>THÙY TRANG</t>
        </is>
      </c>
      <c r="F2670" s="3" t="inlineStr">
        <is>
          <t>Shopee, Tiktok, Website bán hàng</t>
        </is>
      </c>
      <c r="G2670" s="4" t="inlineStr">
        <is>
          <t>SHOPEE: https://shopee.vn/tancangdecorshop TIKTOK: https://www.tiktok.com/@tancangdecor LAZADA: WEBSITE BÁN HÀNG: https://tancangdecor.com/</t>
        </is>
      </c>
      <c r="H2670" s="3" t="inlineStr">
        <is>
          <t>KBA-I1500</t>
        </is>
      </c>
      <c r="I2670" s="4" t="inlineStr">
        <is>
          <t>Máy rửa xe KBA-I1500</t>
        </is>
      </c>
      <c r="J2670" s="3" t="inlineStr">
        <is>
          <t>Cái</t>
        </is>
      </c>
      <c r="K2670" s="5" t="n">
        <v>2050000</v>
      </c>
      <c r="L2670" s="5" t="n">
        <v>2300000</v>
      </c>
      <c r="M2670" s="6" t="n">
        <v>2670000</v>
      </c>
      <c r="N2670" s="5" t="n"/>
      <c r="O2670" s="5">
        <f>IF(AND(ISNUMBER(N2670),ISNUMBER(M2670)),N2670-M2670,"")</f>
        <v/>
      </c>
      <c r="P2670" s="7">
        <f>IF(AND(ISNUMBER(N2670),ISNUMBER(M2670),M2670&gt;0),(N2670-M2670)/M2670,"")</f>
        <v/>
      </c>
      <c r="Q2670" s="3">
        <f>IF(P2670="","",IF(P2670&lt;-0.02,"🔴 Bán phá giá sàn",IF(P2670&gt;0.05,"🔵 Bán cao hơn","🟢 Đúng giá sàn TMĐT")))</f>
        <v/>
      </c>
      <c r="R2670" s="3" t="n"/>
      <c r="S2670" s="4" t="n"/>
      <c r="T2670" s="4" t="n"/>
    </row>
    <row r="2671">
      <c r="A2671" s="3" t="n">
        <v>2670</v>
      </c>
      <c r="B2671" s="3" t="inlineStr">
        <is>
          <t>DL024</t>
        </is>
      </c>
      <c r="C2671" s="4" t="inlineStr">
        <is>
          <t>ĐL Đà Nẵng - Tân Cảng Decor</t>
        </is>
      </c>
      <c r="D2671" s="3" t="inlineStr">
        <is>
          <t>Đà Nẵng</t>
        </is>
      </c>
      <c r="E2671" s="3" t="inlineStr">
        <is>
          <t>THÙY TRANG</t>
        </is>
      </c>
      <c r="F2671" s="3" t="inlineStr">
        <is>
          <t>Shopee, Tiktok, Website bán hàng</t>
        </is>
      </c>
      <c r="G2671" s="4" t="inlineStr">
        <is>
          <t>SHOPEE: https://shopee.vn/tancangdecorshop TIKTOK: https://www.tiktok.com/@tancangdecor LAZADA: WEBSITE BÁN HÀNG: https://tancangdecor.com/</t>
        </is>
      </c>
      <c r="H2671" s="3" t="inlineStr">
        <is>
          <t>KM18-HR1</t>
        </is>
      </c>
      <c r="I2671" s="4" t="inlineStr">
        <is>
          <t>Máy rung ốp lát gạch KM18-HR1</t>
        </is>
      </c>
      <c r="J2671" s="3" t="inlineStr">
        <is>
          <t>Cái</t>
        </is>
      </c>
      <c r="K2671" s="5" t="n">
        <v>269000</v>
      </c>
      <c r="L2671" s="5" t="n">
        <v>317000</v>
      </c>
      <c r="M2671" s="6" t="n">
        <v>390000</v>
      </c>
      <c r="N2671" s="5" t="n"/>
      <c r="O2671" s="5">
        <f>IF(AND(ISNUMBER(N2671),ISNUMBER(M2671)),N2671-M2671,"")</f>
        <v/>
      </c>
      <c r="P2671" s="7">
        <f>IF(AND(ISNUMBER(N2671),ISNUMBER(M2671),M2671&gt;0),(N2671-M2671)/M2671,"")</f>
        <v/>
      </c>
      <c r="Q2671" s="3">
        <f>IF(P2671="","",IF(P2671&lt;-0.02,"🔴 Bán phá giá sàn",IF(P2671&gt;0.05,"🔵 Bán cao hơn","🟢 Đúng giá sàn TMĐT")))</f>
        <v/>
      </c>
      <c r="R2671" s="3" t="n"/>
      <c r="S2671" s="4" t="n"/>
      <c r="T2671" s="4" t="n"/>
    </row>
    <row r="2672">
      <c r="A2672" s="3" t="n">
        <v>2671</v>
      </c>
      <c r="B2672" s="3" t="inlineStr">
        <is>
          <t>DL024</t>
        </is>
      </c>
      <c r="C2672" s="4" t="inlineStr">
        <is>
          <t>ĐL Đà Nẵng - Tân Cảng Decor</t>
        </is>
      </c>
      <c r="D2672" s="3" t="inlineStr">
        <is>
          <t>Đà Nẵng</t>
        </is>
      </c>
      <c r="E2672" s="3" t="inlineStr">
        <is>
          <t>THÙY TRANG</t>
        </is>
      </c>
      <c r="F2672" s="3" t="inlineStr">
        <is>
          <t>Shopee, Tiktok, Website bán hàng</t>
        </is>
      </c>
      <c r="G2672" s="4" t="inlineStr">
        <is>
          <t>SHOPEE: https://shopee.vn/tancangdecorshop TIKTOK: https://www.tiktok.com/@tancangdecor LAZADA: WEBSITE BÁN HÀNG: https://tancangdecor.com/</t>
        </is>
      </c>
      <c r="H2672" s="3" t="inlineStr">
        <is>
          <t>KD18SE</t>
        </is>
      </c>
      <c r="I2672" s="4" t="inlineStr">
        <is>
          <t>Máy siết bulon 18V KD18SE</t>
        </is>
      </c>
      <c r="J2672" s="3" t="inlineStr">
        <is>
          <t>Cái</t>
        </is>
      </c>
      <c r="K2672" s="5" t="n">
        <v>2110000</v>
      </c>
      <c r="L2672" s="5" t="n">
        <v>2320000</v>
      </c>
      <c r="M2672" s="6" t="n">
        <v>2640000</v>
      </c>
      <c r="N2672" s="5" t="n"/>
      <c r="O2672" s="5">
        <f>IF(AND(ISNUMBER(N2672),ISNUMBER(M2672)),N2672-M2672,"")</f>
        <v/>
      </c>
      <c r="P2672" s="7">
        <f>IF(AND(ISNUMBER(N2672),ISNUMBER(M2672),M2672&gt;0),(N2672-M2672)/M2672,"")</f>
        <v/>
      </c>
      <c r="Q2672" s="3">
        <f>IF(P2672="","",IF(P2672&lt;-0.02,"🔴 Bán phá giá sàn",IF(P2672&gt;0.05,"🔵 Bán cao hơn","🟢 Đúng giá sàn TMĐT")))</f>
        <v/>
      </c>
      <c r="R2672" s="3" t="n"/>
      <c r="S2672" s="4" t="n"/>
      <c r="T2672" s="4" t="n"/>
    </row>
    <row r="2673">
      <c r="A2673" s="3" t="n">
        <v>2672</v>
      </c>
      <c r="B2673" s="3" t="inlineStr">
        <is>
          <t>DL024</t>
        </is>
      </c>
      <c r="C2673" s="4" t="inlineStr">
        <is>
          <t>ĐL Đà Nẵng - Tân Cảng Decor</t>
        </is>
      </c>
      <c r="D2673" s="3" t="inlineStr">
        <is>
          <t>Đà Nẵng</t>
        </is>
      </c>
      <c r="E2673" s="3" t="inlineStr">
        <is>
          <t>THÙY TRANG</t>
        </is>
      </c>
      <c r="F2673" s="3" t="inlineStr">
        <is>
          <t>Shopee, Tiktok, Website bán hàng</t>
        </is>
      </c>
      <c r="G2673" s="4" t="inlineStr">
        <is>
          <t>SHOPEE: https://shopee.vn/tancangdecorshop TIKTOK: https://www.tiktok.com/@tancangdecor LAZADA: WEBSITE BÁN HÀNG: https://tancangdecor.com/</t>
        </is>
      </c>
      <c r="H2673" s="3" t="inlineStr">
        <is>
          <t>K18PLS</t>
        </is>
      </c>
      <c r="I2673" s="4" t="inlineStr">
        <is>
          <t>Máy thổi phản lực 18V K18PLS</t>
        </is>
      </c>
      <c r="J2673" s="3" t="inlineStr">
        <is>
          <t>Cái</t>
        </is>
      </c>
      <c r="K2673" s="5" t="n">
        <v>990000</v>
      </c>
      <c r="L2673" s="5" t="n">
        <v>1090000</v>
      </c>
      <c r="M2673" s="6" t="n">
        <v>1240000</v>
      </c>
      <c r="N2673" s="5" t="n"/>
      <c r="O2673" s="5">
        <f>IF(AND(ISNUMBER(N2673),ISNUMBER(M2673)),N2673-M2673,"")</f>
        <v/>
      </c>
      <c r="P2673" s="7">
        <f>IF(AND(ISNUMBER(N2673),ISNUMBER(M2673),M2673&gt;0),(N2673-M2673)/M2673,"")</f>
        <v/>
      </c>
      <c r="Q2673" s="3">
        <f>IF(P2673="","",IF(P2673&lt;-0.02,"🔴 Bán phá giá sàn",IF(P2673&gt;0.05,"🔵 Bán cao hơn","🟢 Đúng giá sàn TMĐT")))</f>
        <v/>
      </c>
      <c r="R2673" s="3" t="n"/>
      <c r="S2673" s="4" t="n"/>
      <c r="T2673" s="4" t="n"/>
    </row>
    <row r="2674">
      <c r="A2674" s="3" t="n">
        <v>2673</v>
      </c>
      <c r="B2674" s="3" t="inlineStr">
        <is>
          <t>DL024</t>
        </is>
      </c>
      <c r="C2674" s="4" t="inlineStr">
        <is>
          <t>ĐL Đà Nẵng - Tân Cảng Decor</t>
        </is>
      </c>
      <c r="D2674" s="3" t="inlineStr">
        <is>
          <t>Đà Nẵng</t>
        </is>
      </c>
      <c r="E2674" s="3" t="inlineStr">
        <is>
          <t>THÙY TRANG</t>
        </is>
      </c>
      <c r="F2674" s="3" t="inlineStr">
        <is>
          <t>Shopee, Tiktok, Website bán hàng</t>
        </is>
      </c>
      <c r="G2674" s="4" t="inlineStr">
        <is>
          <t>SHOPEE: https://shopee.vn/tancangdecorshop TIKTOK: https://www.tiktok.com/@tancangdecor LAZADA: WEBSITE BÁN HÀNG: https://tancangdecor.com/</t>
        </is>
      </c>
      <c r="H2674" s="3" t="inlineStr">
        <is>
          <t>KD1-250</t>
        </is>
      </c>
      <c r="I2674" s="4" t="inlineStr">
        <is>
          <t>Mỏ lết KD1-250</t>
        </is>
      </c>
      <c r="J2674" s="3" t="inlineStr">
        <is>
          <t>Cái</t>
        </is>
      </c>
      <c r="K2674" s="5" t="n">
        <v>121000</v>
      </c>
      <c r="L2674" s="5" t="n">
        <v>143000</v>
      </c>
      <c r="M2674" s="6" t="n">
        <v>176000</v>
      </c>
      <c r="N2674" s="5" t="n"/>
      <c r="O2674" s="5">
        <f>IF(AND(ISNUMBER(N2674),ISNUMBER(M2674)),N2674-M2674,"")</f>
        <v/>
      </c>
      <c r="P2674" s="7">
        <f>IF(AND(ISNUMBER(N2674),ISNUMBER(M2674),M2674&gt;0),(N2674-M2674)/M2674,"")</f>
        <v/>
      </c>
      <c r="Q2674" s="3">
        <f>IF(P2674="","",IF(P2674&lt;-0.02,"🔴 Bán phá giá sàn",IF(P2674&gt;0.05,"🔵 Bán cao hơn","🟢 Đúng giá sàn TMĐT")))</f>
        <v/>
      </c>
      <c r="R2674" s="3" t="n"/>
      <c r="S2674" s="4" t="n"/>
      <c r="T2674" s="4" t="n"/>
    </row>
    <row r="2675">
      <c r="A2675" s="3" t="n">
        <v>2674</v>
      </c>
      <c r="B2675" s="3" t="inlineStr">
        <is>
          <t>DL024</t>
        </is>
      </c>
      <c r="C2675" s="4" t="inlineStr">
        <is>
          <t>ĐL Đà Nẵng - Tân Cảng Decor</t>
        </is>
      </c>
      <c r="D2675" s="3" t="inlineStr">
        <is>
          <t>Đà Nẵng</t>
        </is>
      </c>
      <c r="E2675" s="3" t="inlineStr">
        <is>
          <t>THÙY TRANG</t>
        </is>
      </c>
      <c r="F2675" s="3" t="inlineStr">
        <is>
          <t>Shopee, Tiktok, Website bán hàng</t>
        </is>
      </c>
      <c r="G2675" s="4" t="inlineStr">
        <is>
          <t>SHOPEE: https://shopee.vn/tancangdecorshop TIKTOK: https://www.tiktok.com/@tancangdecor LAZADA: WEBSITE BÁN HÀNG: https://tancangdecor.com/</t>
        </is>
      </c>
      <c r="H2675" s="3" t="inlineStr">
        <is>
          <t>KD5-250</t>
        </is>
      </c>
      <c r="I2675" s="4" t="inlineStr">
        <is>
          <t>Mỏ lết KD5-250</t>
        </is>
      </c>
      <c r="J2675" s="3" t="inlineStr">
        <is>
          <t>Cái</t>
        </is>
      </c>
      <c r="K2675" s="5" t="n">
        <v>292000</v>
      </c>
      <c r="L2675" s="5" t="n">
        <v>344000</v>
      </c>
      <c r="M2675" s="6" t="n">
        <v>423000</v>
      </c>
      <c r="N2675" s="5" t="n"/>
      <c r="O2675" s="5">
        <f>IF(AND(ISNUMBER(N2675),ISNUMBER(M2675)),N2675-M2675,"")</f>
        <v/>
      </c>
      <c r="P2675" s="7">
        <f>IF(AND(ISNUMBER(N2675),ISNUMBER(M2675),M2675&gt;0),(N2675-M2675)/M2675,"")</f>
        <v/>
      </c>
      <c r="Q2675" s="3">
        <f>IF(P2675="","",IF(P2675&lt;-0.02,"🔴 Bán phá giá sàn",IF(P2675&gt;0.05,"🔵 Bán cao hơn","🟢 Đúng giá sàn TMĐT")))</f>
        <v/>
      </c>
      <c r="R2675" s="3" t="n"/>
      <c r="S2675" s="4" t="n"/>
      <c r="T2675" s="4" t="n"/>
    </row>
    <row r="2676">
      <c r="A2676" s="3" t="n">
        <v>2675</v>
      </c>
      <c r="B2676" s="3" t="inlineStr">
        <is>
          <t>DL024</t>
        </is>
      </c>
      <c r="C2676" s="4" t="inlineStr">
        <is>
          <t>ĐL Đà Nẵng - Tân Cảng Decor</t>
        </is>
      </c>
      <c r="D2676" s="3" t="inlineStr">
        <is>
          <t>Đà Nẵng</t>
        </is>
      </c>
      <c r="E2676" s="3" t="inlineStr">
        <is>
          <t>THÙY TRANG</t>
        </is>
      </c>
      <c r="F2676" s="3" t="inlineStr">
        <is>
          <t>Shopee, Tiktok, Website bán hàng</t>
        </is>
      </c>
      <c r="G2676" s="4" t="inlineStr">
        <is>
          <t>SHOPEE: https://shopee.vn/tancangdecorshop TIKTOK: https://www.tiktok.com/@tancangdecor LAZADA: WEBSITE BÁN HÀNG: https://tancangdecor.com/</t>
        </is>
      </c>
      <c r="H2676" s="3" t="inlineStr">
        <is>
          <t>V100R</t>
        </is>
      </c>
      <c r="I2676" s="4" t="inlineStr">
        <is>
          <t>Mũi bắn vít chống trượt KingBlue V100R</t>
        </is>
      </c>
      <c r="J2676" s="3" t="inlineStr">
        <is>
          <t>Vỉ</t>
        </is>
      </c>
      <c r="K2676" s="5" t="n">
        <v>29000</v>
      </c>
      <c r="L2676" s="5" t="n">
        <v>37000</v>
      </c>
      <c r="M2676" s="6" t="n">
        <v>48000</v>
      </c>
      <c r="N2676" s="5" t="n"/>
      <c r="O2676" s="5">
        <f>IF(AND(ISNUMBER(N2676),ISNUMBER(M2676)),N2676-M2676,"")</f>
        <v/>
      </c>
      <c r="P2676" s="7">
        <f>IF(AND(ISNUMBER(N2676),ISNUMBER(M2676),M2676&gt;0),(N2676-M2676)/M2676,"")</f>
        <v/>
      </c>
      <c r="Q2676" s="3">
        <f>IF(P2676="","",IF(P2676&lt;-0.02,"🔴 Bán phá giá sàn",IF(P2676&gt;0.05,"🔵 Bán cao hơn","🟢 Đúng giá sàn TMĐT")))</f>
        <v/>
      </c>
      <c r="R2676" s="3" t="n"/>
      <c r="S2676" s="4" t="n"/>
      <c r="T2676" s="4" t="n"/>
    </row>
    <row r="2677">
      <c r="A2677" s="3" t="n">
        <v>2676</v>
      </c>
      <c r="B2677" s="3" t="inlineStr">
        <is>
          <t>DL024</t>
        </is>
      </c>
      <c r="C2677" s="4" t="inlineStr">
        <is>
          <t>ĐL Đà Nẵng - Tân Cảng Decor</t>
        </is>
      </c>
      <c r="D2677" s="3" t="inlineStr">
        <is>
          <t>Đà Nẵng</t>
        </is>
      </c>
      <c r="E2677" s="3" t="inlineStr">
        <is>
          <t>THÙY TRANG</t>
        </is>
      </c>
      <c r="F2677" s="3" t="inlineStr">
        <is>
          <t>Shopee, Tiktok, Website bán hàng</t>
        </is>
      </c>
      <c r="G2677" s="4" t="inlineStr">
        <is>
          <t>SHOPEE: https://shopee.vn/tancangdecorshop TIKTOK: https://www.tiktok.com/@tancangdecor LAZADA: WEBSITE BÁN HÀNG: https://tancangdecor.com/</t>
        </is>
      </c>
      <c r="H2677" s="3" t="inlineStr">
        <is>
          <t>V65R</t>
        </is>
      </c>
      <c r="I2677" s="4" t="inlineStr">
        <is>
          <t>Mũi bắn vít chống trượt KingBlue V65R</t>
        </is>
      </c>
      <c r="J2677" s="3" t="inlineStr">
        <is>
          <t>Vỉ</t>
        </is>
      </c>
      <c r="K2677" s="5" t="n">
        <v>20000</v>
      </c>
      <c r="L2677" s="5" t="n">
        <v>25000</v>
      </c>
      <c r="M2677" s="6" t="n">
        <v>33000</v>
      </c>
      <c r="N2677" s="5" t="n"/>
      <c r="O2677" s="5">
        <f>IF(AND(ISNUMBER(N2677),ISNUMBER(M2677)),N2677-M2677,"")</f>
        <v/>
      </c>
      <c r="P2677" s="7">
        <f>IF(AND(ISNUMBER(N2677),ISNUMBER(M2677),M2677&gt;0),(N2677-M2677)/M2677,"")</f>
        <v/>
      </c>
      <c r="Q2677" s="3">
        <f>IF(P2677="","",IF(P2677&lt;-0.02,"🔴 Bán phá giá sàn",IF(P2677&gt;0.05,"🔵 Bán cao hơn","🟢 Đúng giá sàn TMĐT")))</f>
        <v/>
      </c>
      <c r="R2677" s="3" t="n"/>
      <c r="S2677" s="4" t="n"/>
      <c r="T2677" s="4" t="n"/>
    </row>
    <row r="2678">
      <c r="A2678" s="3" t="n">
        <v>2677</v>
      </c>
      <c r="B2678" s="3" t="inlineStr">
        <is>
          <t>DL024</t>
        </is>
      </c>
      <c r="C2678" s="4" t="inlineStr">
        <is>
          <t>ĐL Đà Nẵng - Tân Cảng Decor</t>
        </is>
      </c>
      <c r="D2678" s="3" t="inlineStr">
        <is>
          <t>Đà Nẵng</t>
        </is>
      </c>
      <c r="E2678" s="3" t="inlineStr">
        <is>
          <t>THÙY TRANG</t>
        </is>
      </c>
      <c r="F2678" s="3" t="inlineStr">
        <is>
          <t>Shopee, Tiktok, Website bán hàng</t>
        </is>
      </c>
      <c r="G2678" s="4" t="inlineStr">
        <is>
          <t>SHOPEE: https://shopee.vn/tancangdecorshop TIKTOK: https://www.tiktok.com/@tancangdecor LAZADA: WEBSITE BÁN HÀNG: https://tancangdecor.com/</t>
        </is>
      </c>
      <c r="H2678" s="3" t="inlineStr"/>
      <c r="I2678" s="4" t="inlineStr">
        <is>
          <t>Mũi định tâm</t>
        </is>
      </c>
      <c r="J2678" s="3" t="inlineStr">
        <is>
          <t>Cái</t>
        </is>
      </c>
      <c r="K2678" s="5" t="n">
        <v>269000</v>
      </c>
      <c r="L2678" s="5" t="n">
        <v>317000</v>
      </c>
      <c r="M2678" s="6" t="n">
        <v>390000</v>
      </c>
      <c r="N2678" s="5" t="n"/>
      <c r="O2678" s="5">
        <f>IF(AND(ISNUMBER(N2678),ISNUMBER(M2678)),N2678-M2678,"")</f>
        <v/>
      </c>
      <c r="P2678" s="7">
        <f>IF(AND(ISNUMBER(N2678),ISNUMBER(M2678),M2678&gt;0),(N2678-M2678)/M2678,"")</f>
        <v/>
      </c>
      <c r="Q2678" s="3">
        <f>IF(P2678="","",IF(P2678&lt;-0.02,"🔴 Bán phá giá sàn",IF(P2678&gt;0.05,"🔵 Bán cao hơn","🟢 Đúng giá sàn TMĐT")))</f>
        <v/>
      </c>
      <c r="R2678" s="3" t="n"/>
      <c r="S2678" s="4" t="n"/>
      <c r="T2678" s="4" t="n"/>
    </row>
    <row r="2679">
      <c r="A2679" s="3" t="n">
        <v>2678</v>
      </c>
      <c r="B2679" s="3" t="inlineStr">
        <is>
          <t>DL024</t>
        </is>
      </c>
      <c r="C2679" s="4" t="inlineStr">
        <is>
          <t>ĐL Đà Nẵng - Tân Cảng Decor</t>
        </is>
      </c>
      <c r="D2679" s="3" t="inlineStr">
        <is>
          <t>Đà Nẵng</t>
        </is>
      </c>
      <c r="E2679" s="3" t="inlineStr">
        <is>
          <t>THÙY TRANG</t>
        </is>
      </c>
      <c r="F2679" s="3" t="inlineStr">
        <is>
          <t>Shopee, Tiktok, Website bán hàng</t>
        </is>
      </c>
      <c r="G2679" s="4" t="inlineStr">
        <is>
          <t>SHOPEE: https://shopee.vn/tancangdecorshop TIKTOK: https://www.tiktok.com/@tancangdecor LAZADA: WEBSITE BÁN HÀNG: https://tancangdecor.com/</t>
        </is>
      </c>
      <c r="H2679" s="3" t="inlineStr"/>
      <c r="I2679" s="4" t="inlineStr">
        <is>
          <t>Mũi định tâm chuôi dài NEW</t>
        </is>
      </c>
      <c r="J2679" s="3" t="inlineStr">
        <is>
          <t>Cái</t>
        </is>
      </c>
      <c r="K2679" s="5" t="n">
        <v>269000</v>
      </c>
      <c r="L2679" s="5" t="n">
        <v>317000</v>
      </c>
      <c r="M2679" s="6" t="n">
        <v>390000</v>
      </c>
      <c r="N2679" s="5" t="n"/>
      <c r="O2679" s="5">
        <f>IF(AND(ISNUMBER(N2679),ISNUMBER(M2679)),N2679-M2679,"")</f>
        <v/>
      </c>
      <c r="P2679" s="7">
        <f>IF(AND(ISNUMBER(N2679),ISNUMBER(M2679),M2679&gt;0),(N2679-M2679)/M2679,"")</f>
        <v/>
      </c>
      <c r="Q2679" s="3">
        <f>IF(P2679="","",IF(P2679&lt;-0.02,"🔴 Bán phá giá sàn",IF(P2679&gt;0.05,"🔵 Bán cao hơn","🟢 Đúng giá sàn TMĐT")))</f>
        <v/>
      </c>
      <c r="R2679" s="3" t="n"/>
      <c r="S2679" s="4" t="n"/>
      <c r="T2679" s="4" t="n"/>
    </row>
    <row r="2680">
      <c r="A2680" s="3" t="n">
        <v>2679</v>
      </c>
      <c r="B2680" s="3" t="inlineStr">
        <is>
          <t>DL024</t>
        </is>
      </c>
      <c r="C2680" s="4" t="inlineStr">
        <is>
          <t>ĐL Đà Nẵng - Tân Cảng Decor</t>
        </is>
      </c>
      <c r="D2680" s="3" t="inlineStr">
        <is>
          <t>Đà Nẵng</t>
        </is>
      </c>
      <c r="E2680" s="3" t="inlineStr">
        <is>
          <t>THÙY TRANG</t>
        </is>
      </c>
      <c r="F2680" s="3" t="inlineStr">
        <is>
          <t>Shopee, Tiktok, Website bán hàng</t>
        </is>
      </c>
      <c r="G2680" s="4" t="inlineStr">
        <is>
          <t>SHOPEE: https://shopee.vn/tancangdecorshop TIKTOK: https://www.tiktok.com/@tancangdecor LAZADA: WEBSITE BÁN HÀNG: https://tancangdecor.com/</t>
        </is>
      </c>
      <c r="H2680" s="3" t="inlineStr">
        <is>
          <t>KBH2F-0695</t>
        </is>
      </c>
      <c r="I2680" s="4" t="inlineStr">
        <is>
          <t>Mũi khoan ĐN lục giác 2 cạnh KBH2F-06*95</t>
        </is>
      </c>
      <c r="J2680" s="3" t="inlineStr">
        <is>
          <t>Cái</t>
        </is>
      </c>
      <c r="K2680" s="5" t="n">
        <v>26000</v>
      </c>
      <c r="L2680" s="5" t="n">
        <v>32000</v>
      </c>
      <c r="M2680" s="6" t="n">
        <v>42000</v>
      </c>
      <c r="N2680" s="5" t="n"/>
      <c r="O2680" s="5">
        <f>IF(AND(ISNUMBER(N2680),ISNUMBER(M2680)),N2680-M2680,"")</f>
        <v/>
      </c>
      <c r="P2680" s="7">
        <f>IF(AND(ISNUMBER(N2680),ISNUMBER(M2680),M2680&gt;0),(N2680-M2680)/M2680,"")</f>
        <v/>
      </c>
      <c r="Q2680" s="3">
        <f>IF(P2680="","",IF(P2680&lt;-0.02,"🔴 Bán phá giá sàn",IF(P2680&gt;0.05,"🔵 Bán cao hơn","🟢 Đúng giá sàn TMĐT")))</f>
        <v/>
      </c>
      <c r="R2680" s="3" t="n"/>
      <c r="S2680" s="4" t="n"/>
      <c r="T2680" s="4" t="n"/>
    </row>
    <row r="2681">
      <c r="A2681" s="3" t="n">
        <v>2680</v>
      </c>
      <c r="B2681" s="3" t="inlineStr">
        <is>
          <t>DL024</t>
        </is>
      </c>
      <c r="C2681" s="4" t="inlineStr">
        <is>
          <t>ĐL Đà Nẵng - Tân Cảng Decor</t>
        </is>
      </c>
      <c r="D2681" s="3" t="inlineStr">
        <is>
          <t>Đà Nẵng</t>
        </is>
      </c>
      <c r="E2681" s="3" t="inlineStr">
        <is>
          <t>THÙY TRANG</t>
        </is>
      </c>
      <c r="F2681" s="3" t="inlineStr">
        <is>
          <t>Shopee, Tiktok, Website bán hàng</t>
        </is>
      </c>
      <c r="G2681" s="4" t="inlineStr">
        <is>
          <t>SHOPEE: https://shopee.vn/tancangdecorshop TIKTOK: https://www.tiktok.com/@tancangdecor LAZADA: WEBSITE BÁN HÀNG: https://tancangdecor.com/</t>
        </is>
      </c>
      <c r="H2681" s="3" t="inlineStr">
        <is>
          <t>KBH2F-0895</t>
        </is>
      </c>
      <c r="I2681" s="4" t="inlineStr">
        <is>
          <t>Mũi khoan ĐN lục giác 2 cạnh KBH2F-08*95</t>
        </is>
      </c>
      <c r="J2681" s="3" t="inlineStr">
        <is>
          <t>Cái</t>
        </is>
      </c>
      <c r="K2681" s="5" t="n">
        <v>33000</v>
      </c>
      <c r="L2681" s="5" t="n">
        <v>41000</v>
      </c>
      <c r="M2681" s="6" t="n">
        <v>53000</v>
      </c>
      <c r="N2681" s="5" t="n"/>
      <c r="O2681" s="5">
        <f>IF(AND(ISNUMBER(N2681),ISNUMBER(M2681)),N2681-M2681,"")</f>
        <v/>
      </c>
      <c r="P2681" s="7">
        <f>IF(AND(ISNUMBER(N2681),ISNUMBER(M2681),M2681&gt;0),(N2681-M2681)/M2681,"")</f>
        <v/>
      </c>
      <c r="Q2681" s="3">
        <f>IF(P2681="","",IF(P2681&lt;-0.02,"🔴 Bán phá giá sàn",IF(P2681&gt;0.05,"🔵 Bán cao hơn","🟢 Đúng giá sàn TMĐT")))</f>
        <v/>
      </c>
      <c r="R2681" s="3" t="n"/>
      <c r="S2681" s="4" t="n"/>
      <c r="T2681" s="4" t="n"/>
    </row>
    <row r="2682">
      <c r="A2682" s="3" t="n">
        <v>2681</v>
      </c>
      <c r="B2682" s="3" t="inlineStr">
        <is>
          <t>DL024</t>
        </is>
      </c>
      <c r="C2682" s="4" t="inlineStr">
        <is>
          <t>ĐL Đà Nẵng - Tân Cảng Decor</t>
        </is>
      </c>
      <c r="D2682" s="3" t="inlineStr">
        <is>
          <t>Đà Nẵng</t>
        </is>
      </c>
      <c r="E2682" s="3" t="inlineStr">
        <is>
          <t>THÙY TRANG</t>
        </is>
      </c>
      <c r="F2682" s="3" t="inlineStr">
        <is>
          <t>Shopee, Tiktok, Website bán hàng</t>
        </is>
      </c>
      <c r="G2682" s="4" t="inlineStr">
        <is>
          <t>SHOPEE: https://shopee.vn/tancangdecorshop TIKTOK: https://www.tiktok.com/@tancangdecor LAZADA: WEBSITE BÁN HÀNG: https://tancangdecor.com/</t>
        </is>
      </c>
      <c r="H2682" s="3" t="inlineStr">
        <is>
          <t>KBH2F-1095</t>
        </is>
      </c>
      <c r="I2682" s="4" t="inlineStr">
        <is>
          <t>Mũi khoan ĐN lục giác 2 cạnh KBH2F-10*95</t>
        </is>
      </c>
      <c r="J2682" s="3" t="inlineStr">
        <is>
          <t>Cái</t>
        </is>
      </c>
      <c r="K2682" s="5" t="n">
        <v>42000</v>
      </c>
      <c r="L2682" s="5" t="n">
        <v>52000</v>
      </c>
      <c r="M2682" s="6" t="n">
        <v>67000</v>
      </c>
      <c r="N2682" s="5" t="n"/>
      <c r="O2682" s="5">
        <f>IF(AND(ISNUMBER(N2682),ISNUMBER(M2682)),N2682-M2682,"")</f>
        <v/>
      </c>
      <c r="P2682" s="7">
        <f>IF(AND(ISNUMBER(N2682),ISNUMBER(M2682),M2682&gt;0),(N2682-M2682)/M2682,"")</f>
        <v/>
      </c>
      <c r="Q2682" s="3">
        <f>IF(P2682="","",IF(P2682&lt;-0.02,"🔴 Bán phá giá sàn",IF(P2682&gt;0.05,"🔵 Bán cao hơn","🟢 Đúng giá sàn TMĐT")))</f>
        <v/>
      </c>
      <c r="R2682" s="3" t="n"/>
      <c r="S2682" s="4" t="n"/>
      <c r="T2682" s="4" t="n"/>
    </row>
    <row r="2683">
      <c r="A2683" s="3" t="n">
        <v>2682</v>
      </c>
      <c r="B2683" s="3" t="inlineStr">
        <is>
          <t>DL024</t>
        </is>
      </c>
      <c r="C2683" s="4" t="inlineStr">
        <is>
          <t>ĐL Đà Nẵng - Tân Cảng Decor</t>
        </is>
      </c>
      <c r="D2683" s="3" t="inlineStr">
        <is>
          <t>Đà Nẵng</t>
        </is>
      </c>
      <c r="E2683" s="3" t="inlineStr">
        <is>
          <t>THÙY TRANG</t>
        </is>
      </c>
      <c r="F2683" s="3" t="inlineStr">
        <is>
          <t>Shopee, Tiktok, Website bán hàng</t>
        </is>
      </c>
      <c r="G2683" s="4" t="inlineStr">
        <is>
          <t>SHOPEE: https://shopee.vn/tancangdecorshop TIKTOK: https://www.tiktok.com/@tancangdecor LAZADA: WEBSITE BÁN HÀNG: https://tancangdecor.com/</t>
        </is>
      </c>
      <c r="H2683" s="3" t="inlineStr">
        <is>
          <t>KRS-27155</t>
        </is>
      </c>
      <c r="I2683" s="4" t="inlineStr">
        <is>
          <t>Mũi khoan rút lõi khô KRS-27*155</t>
        </is>
      </c>
      <c r="J2683" s="3" t="inlineStr">
        <is>
          <t>Cái</t>
        </is>
      </c>
      <c r="K2683" s="5" t="n">
        <v>269000</v>
      </c>
      <c r="L2683" s="5" t="n">
        <v>317000</v>
      </c>
      <c r="M2683" s="6" t="n">
        <v>390000</v>
      </c>
      <c r="N2683" s="5" t="n"/>
      <c r="O2683" s="5">
        <f>IF(AND(ISNUMBER(N2683),ISNUMBER(M2683)),N2683-M2683,"")</f>
        <v/>
      </c>
      <c r="P2683" s="7">
        <f>IF(AND(ISNUMBER(N2683),ISNUMBER(M2683),M2683&gt;0),(N2683-M2683)/M2683,"")</f>
        <v/>
      </c>
      <c r="Q2683" s="3">
        <f>IF(P2683="","",IF(P2683&lt;-0.02,"🔴 Bán phá giá sàn",IF(P2683&gt;0.05,"🔵 Bán cao hơn","🟢 Đúng giá sàn TMĐT")))</f>
        <v/>
      </c>
      <c r="R2683" s="3" t="n"/>
      <c r="S2683" s="4" t="n"/>
      <c r="T2683" s="4" t="n"/>
    </row>
    <row r="2684">
      <c r="A2684" s="3" t="n">
        <v>2683</v>
      </c>
      <c r="B2684" s="3" t="inlineStr">
        <is>
          <t>DL024</t>
        </is>
      </c>
      <c r="C2684" s="4" t="inlineStr">
        <is>
          <t>ĐL Đà Nẵng - Tân Cảng Decor</t>
        </is>
      </c>
      <c r="D2684" s="3" t="inlineStr">
        <is>
          <t>Đà Nẵng</t>
        </is>
      </c>
      <c r="E2684" s="3" t="inlineStr">
        <is>
          <t>THÙY TRANG</t>
        </is>
      </c>
      <c r="F2684" s="3" t="inlineStr">
        <is>
          <t>Shopee, Tiktok, Website bán hàng</t>
        </is>
      </c>
      <c r="G2684" s="4" t="inlineStr">
        <is>
          <t>SHOPEE: https://shopee.vn/tancangdecorshop TIKTOK: https://www.tiktok.com/@tancangdecor LAZADA: WEBSITE BÁN HÀNG: https://tancangdecor.com/</t>
        </is>
      </c>
      <c r="H2684" s="3" t="inlineStr">
        <is>
          <t>KRS-36155</t>
        </is>
      </c>
      <c r="I2684" s="4" t="inlineStr">
        <is>
          <t>Mũi khoan rút lõi khô KRS-36*155</t>
        </is>
      </c>
      <c r="J2684" s="3" t="inlineStr">
        <is>
          <t>Cái</t>
        </is>
      </c>
      <c r="K2684" s="5" t="n">
        <v>269000</v>
      </c>
      <c r="L2684" s="5" t="n">
        <v>317000</v>
      </c>
      <c r="M2684" s="6" t="n">
        <v>390000</v>
      </c>
      <c r="N2684" s="5" t="n"/>
      <c r="O2684" s="5">
        <f>IF(AND(ISNUMBER(N2684),ISNUMBER(M2684)),N2684-M2684,"")</f>
        <v/>
      </c>
      <c r="P2684" s="7">
        <f>IF(AND(ISNUMBER(N2684),ISNUMBER(M2684),M2684&gt;0),(N2684-M2684)/M2684,"")</f>
        <v/>
      </c>
      <c r="Q2684" s="3">
        <f>IF(P2684="","",IF(P2684&lt;-0.02,"🔴 Bán phá giá sàn",IF(P2684&gt;0.05,"🔵 Bán cao hơn","🟢 Đúng giá sàn TMĐT")))</f>
        <v/>
      </c>
      <c r="R2684" s="3" t="n"/>
      <c r="S2684" s="4" t="n"/>
      <c r="T2684" s="4" t="n"/>
    </row>
    <row r="2685">
      <c r="A2685" s="3" t="n">
        <v>2684</v>
      </c>
      <c r="B2685" s="3" t="inlineStr">
        <is>
          <t>DL024</t>
        </is>
      </c>
      <c r="C2685" s="4" t="inlineStr">
        <is>
          <t>ĐL Đà Nẵng - Tân Cảng Decor</t>
        </is>
      </c>
      <c r="D2685" s="3" t="inlineStr">
        <is>
          <t>Đà Nẵng</t>
        </is>
      </c>
      <c r="E2685" s="3" t="inlineStr">
        <is>
          <t>THÙY TRANG</t>
        </is>
      </c>
      <c r="F2685" s="3" t="inlineStr">
        <is>
          <t>Shopee, Tiktok, Website bán hàng</t>
        </is>
      </c>
      <c r="G2685" s="4" t="inlineStr">
        <is>
          <t>SHOPEE: https://shopee.vn/tancangdecorshop TIKTOK: https://www.tiktok.com/@tancangdecor LAZADA: WEBSITE BÁN HÀNG: https://tancangdecor.com/</t>
        </is>
      </c>
      <c r="H2685" s="3" t="inlineStr">
        <is>
          <t>KRS-40155</t>
        </is>
      </c>
      <c r="I2685" s="4" t="inlineStr">
        <is>
          <t>Mũi khoan rút lõi khô KRS-40*155</t>
        </is>
      </c>
      <c r="J2685" s="3" t="inlineStr">
        <is>
          <t>Cái</t>
        </is>
      </c>
      <c r="K2685" s="5" t="n">
        <v>269000</v>
      </c>
      <c r="L2685" s="5" t="n">
        <v>317000</v>
      </c>
      <c r="M2685" s="6" t="n">
        <v>390000</v>
      </c>
      <c r="N2685" s="5" t="n"/>
      <c r="O2685" s="5">
        <f>IF(AND(ISNUMBER(N2685),ISNUMBER(M2685)),N2685-M2685,"")</f>
        <v/>
      </c>
      <c r="P2685" s="7">
        <f>IF(AND(ISNUMBER(N2685),ISNUMBER(M2685),M2685&gt;0),(N2685-M2685)/M2685,"")</f>
        <v/>
      </c>
      <c r="Q2685" s="3">
        <f>IF(P2685="","",IF(P2685&lt;-0.02,"🔴 Bán phá giá sàn",IF(P2685&gt;0.05,"🔵 Bán cao hơn","🟢 Đúng giá sàn TMĐT")))</f>
        <v/>
      </c>
      <c r="R2685" s="3" t="n"/>
      <c r="S2685" s="4" t="n"/>
      <c r="T2685" s="4" t="n"/>
    </row>
    <row r="2686">
      <c r="A2686" s="3" t="n">
        <v>2685</v>
      </c>
      <c r="B2686" s="3" t="inlineStr">
        <is>
          <t>DL024</t>
        </is>
      </c>
      <c r="C2686" s="4" t="inlineStr">
        <is>
          <t>ĐL Đà Nẵng - Tân Cảng Decor</t>
        </is>
      </c>
      <c r="D2686" s="3" t="inlineStr">
        <is>
          <t>Đà Nẵng</t>
        </is>
      </c>
      <c r="E2686" s="3" t="inlineStr">
        <is>
          <t>THÙY TRANG</t>
        </is>
      </c>
      <c r="F2686" s="3" t="inlineStr">
        <is>
          <t>Shopee, Tiktok, Website bán hàng</t>
        </is>
      </c>
      <c r="G2686" s="4" t="inlineStr">
        <is>
          <t>SHOPEE: https://shopee.vn/tancangdecorshop TIKTOK: https://www.tiktok.com/@tancangdecor LAZADA: WEBSITE BÁN HÀNG: https://tancangdecor.com/</t>
        </is>
      </c>
      <c r="H2686" s="3" t="inlineStr">
        <is>
          <t>KBT-0412</t>
        </is>
      </c>
      <c r="I2686" s="4" t="inlineStr">
        <is>
          <t>Mũi khoan tháp M2 KBT-04*12</t>
        </is>
      </c>
      <c r="J2686" s="3" t="inlineStr">
        <is>
          <t>Cái</t>
        </is>
      </c>
      <c r="K2686" s="5" t="n">
        <v>88000</v>
      </c>
      <c r="L2686" s="5" t="n">
        <v>109000</v>
      </c>
      <c r="M2686" s="6" t="n">
        <v>141000</v>
      </c>
      <c r="N2686" s="5" t="n"/>
      <c r="O2686" s="5">
        <f>IF(AND(ISNUMBER(N2686),ISNUMBER(M2686)),N2686-M2686,"")</f>
        <v/>
      </c>
      <c r="P2686" s="7">
        <f>IF(AND(ISNUMBER(N2686),ISNUMBER(M2686),M2686&gt;0),(N2686-M2686)/M2686,"")</f>
        <v/>
      </c>
      <c r="Q2686" s="3">
        <f>IF(P2686="","",IF(P2686&lt;-0.02,"🔴 Bán phá giá sàn",IF(P2686&gt;0.05,"🔵 Bán cao hơn","🟢 Đúng giá sàn TMĐT")))</f>
        <v/>
      </c>
      <c r="R2686" s="3" t="n"/>
      <c r="S2686" s="4" t="n"/>
      <c r="T2686" s="4" t="n"/>
    </row>
    <row r="2687">
      <c r="A2687" s="3" t="n">
        <v>2686</v>
      </c>
      <c r="B2687" s="3" t="inlineStr">
        <is>
          <t>DL024</t>
        </is>
      </c>
      <c r="C2687" s="4" t="inlineStr">
        <is>
          <t>ĐL Đà Nẵng - Tân Cảng Decor</t>
        </is>
      </c>
      <c r="D2687" s="3" t="inlineStr">
        <is>
          <t>Đà Nẵng</t>
        </is>
      </c>
      <c r="E2687" s="3" t="inlineStr">
        <is>
          <t>THÙY TRANG</t>
        </is>
      </c>
      <c r="F2687" s="3" t="inlineStr">
        <is>
          <t>Shopee, Tiktok, Website bán hàng</t>
        </is>
      </c>
      <c r="G2687" s="4" t="inlineStr">
        <is>
          <t>SHOPEE: https://shopee.vn/tancangdecorshop TIKTOK: https://www.tiktok.com/@tancangdecor LAZADA: WEBSITE BÁN HÀNG: https://tancangdecor.com/</t>
        </is>
      </c>
      <c r="H2687" s="3" t="inlineStr">
        <is>
          <t>KBT-0420</t>
        </is>
      </c>
      <c r="I2687" s="4" t="inlineStr">
        <is>
          <t>Mũi khoan tháp M2 KBT-04*20</t>
        </is>
      </c>
      <c r="J2687" s="3" t="inlineStr">
        <is>
          <t>Cái</t>
        </is>
      </c>
      <c r="K2687" s="5" t="n">
        <v>170000</v>
      </c>
      <c r="L2687" s="5" t="n">
        <v>211000</v>
      </c>
      <c r="M2687" s="6" t="n">
        <v>272000</v>
      </c>
      <c r="N2687" s="5" t="n"/>
      <c r="O2687" s="5">
        <f>IF(AND(ISNUMBER(N2687),ISNUMBER(M2687)),N2687-M2687,"")</f>
        <v/>
      </c>
      <c r="P2687" s="7">
        <f>IF(AND(ISNUMBER(N2687),ISNUMBER(M2687),M2687&gt;0),(N2687-M2687)/M2687,"")</f>
        <v/>
      </c>
      <c r="Q2687" s="3">
        <f>IF(P2687="","",IF(P2687&lt;-0.02,"🔴 Bán phá giá sàn",IF(P2687&gt;0.05,"🔵 Bán cao hơn","🟢 Đúng giá sàn TMĐT")))</f>
        <v/>
      </c>
      <c r="R2687" s="3" t="n"/>
      <c r="S2687" s="4" t="n"/>
      <c r="T2687" s="4" t="n"/>
    </row>
    <row r="2688">
      <c r="A2688" s="3" t="n">
        <v>2687</v>
      </c>
      <c r="B2688" s="3" t="inlineStr">
        <is>
          <t>DL024</t>
        </is>
      </c>
      <c r="C2688" s="4" t="inlineStr">
        <is>
          <t>ĐL Đà Nẵng - Tân Cảng Decor</t>
        </is>
      </c>
      <c r="D2688" s="3" t="inlineStr">
        <is>
          <t>Đà Nẵng</t>
        </is>
      </c>
      <c r="E2688" s="3" t="inlineStr">
        <is>
          <t>THÙY TRANG</t>
        </is>
      </c>
      <c r="F2688" s="3" t="inlineStr">
        <is>
          <t>Shopee, Tiktok, Website bán hàng</t>
        </is>
      </c>
      <c r="G2688" s="4" t="inlineStr">
        <is>
          <t>SHOPEE: https://shopee.vn/tancangdecorshop TIKTOK: https://www.tiktok.com/@tancangdecor LAZADA: WEBSITE BÁN HÀNG: https://tancangdecor.com/</t>
        </is>
      </c>
      <c r="H2688" s="3" t="inlineStr">
        <is>
          <t>KBT-0432</t>
        </is>
      </c>
      <c r="I2688" s="4" t="inlineStr">
        <is>
          <t>Mũi khoan tháp M2 KBT-04*32</t>
        </is>
      </c>
      <c r="J2688" s="3" t="inlineStr">
        <is>
          <t>Cái</t>
        </is>
      </c>
      <c r="K2688" s="5" t="n">
        <v>319000</v>
      </c>
      <c r="L2688" s="5" t="n">
        <v>395000</v>
      </c>
      <c r="M2688" s="6" t="n">
        <v>510000</v>
      </c>
      <c r="N2688" s="5" t="n"/>
      <c r="O2688" s="5">
        <f>IF(AND(ISNUMBER(N2688),ISNUMBER(M2688)),N2688-M2688,"")</f>
        <v/>
      </c>
      <c r="P2688" s="7">
        <f>IF(AND(ISNUMBER(N2688),ISNUMBER(M2688),M2688&gt;0),(N2688-M2688)/M2688,"")</f>
        <v/>
      </c>
      <c r="Q2688" s="3">
        <f>IF(P2688="","",IF(P2688&lt;-0.02,"🔴 Bán phá giá sàn",IF(P2688&gt;0.05,"🔵 Bán cao hơn","🟢 Đúng giá sàn TMĐT")))</f>
        <v/>
      </c>
      <c r="R2688" s="3" t="n"/>
      <c r="S2688" s="4" t="n"/>
      <c r="T2688" s="4" t="n"/>
    </row>
    <row r="2689">
      <c r="A2689" s="3" t="n">
        <v>2688</v>
      </c>
      <c r="B2689" s="3" t="inlineStr">
        <is>
          <t>DL024</t>
        </is>
      </c>
      <c r="C2689" s="4" t="inlineStr">
        <is>
          <t>ĐL Đà Nẵng - Tân Cảng Decor</t>
        </is>
      </c>
      <c r="D2689" s="3" t="inlineStr">
        <is>
          <t>Đà Nẵng</t>
        </is>
      </c>
      <c r="E2689" s="3" t="inlineStr">
        <is>
          <t>THÙY TRANG</t>
        </is>
      </c>
      <c r="F2689" s="3" t="inlineStr">
        <is>
          <t>Shopee, Tiktok, Website bán hàng</t>
        </is>
      </c>
      <c r="G2689" s="4" t="inlineStr">
        <is>
          <t>SHOPEE: https://shopee.vn/tancangdecorshop TIKTOK: https://www.tiktok.com/@tancangdecor LAZADA: WEBSITE BÁN HÀNG: https://tancangdecor.com/</t>
        </is>
      </c>
      <c r="H2689" s="3" t="inlineStr">
        <is>
          <t>KBX2-15</t>
        </is>
      </c>
      <c r="I2689" s="4" t="inlineStr">
        <is>
          <t>Mũi khoét gỗ KBX2-15</t>
        </is>
      </c>
      <c r="J2689" s="3" t="inlineStr">
        <is>
          <t>Cái</t>
        </is>
      </c>
      <c r="K2689" s="5" t="n">
        <v>59000</v>
      </c>
      <c r="L2689" s="5" t="n">
        <v>70000</v>
      </c>
      <c r="M2689" s="6" t="n">
        <v>86000</v>
      </c>
      <c r="N2689" s="5" t="n"/>
      <c r="O2689" s="5">
        <f>IF(AND(ISNUMBER(N2689),ISNUMBER(M2689)),N2689-M2689,"")</f>
        <v/>
      </c>
      <c r="P2689" s="7">
        <f>IF(AND(ISNUMBER(N2689),ISNUMBER(M2689),M2689&gt;0),(N2689-M2689)/M2689,"")</f>
        <v/>
      </c>
      <c r="Q2689" s="3">
        <f>IF(P2689="","",IF(P2689&lt;-0.02,"🔴 Bán phá giá sàn",IF(P2689&gt;0.05,"🔵 Bán cao hơn","🟢 Đúng giá sàn TMĐT")))</f>
        <v/>
      </c>
      <c r="R2689" s="3" t="n"/>
      <c r="S2689" s="4" t="n"/>
      <c r="T2689" s="4" t="n"/>
    </row>
    <row r="2690">
      <c r="A2690" s="3" t="n">
        <v>2689</v>
      </c>
      <c r="B2690" s="3" t="inlineStr">
        <is>
          <t>DL024</t>
        </is>
      </c>
      <c r="C2690" s="4" t="inlineStr">
        <is>
          <t>ĐL Đà Nẵng - Tân Cảng Decor</t>
        </is>
      </c>
      <c r="D2690" s="3" t="inlineStr">
        <is>
          <t>Đà Nẵng</t>
        </is>
      </c>
      <c r="E2690" s="3" t="inlineStr">
        <is>
          <t>THÙY TRANG</t>
        </is>
      </c>
      <c r="F2690" s="3" t="inlineStr">
        <is>
          <t>Shopee, Tiktok, Website bán hàng</t>
        </is>
      </c>
      <c r="G2690" s="4" t="inlineStr">
        <is>
          <t>SHOPEE: https://shopee.vn/tancangdecorshop TIKTOK: https://www.tiktok.com/@tancangdecor LAZADA: WEBSITE BÁN HÀNG: https://tancangdecor.com/</t>
        </is>
      </c>
      <c r="H2690" s="3" t="inlineStr">
        <is>
          <t>KBX2-18</t>
        </is>
      </c>
      <c r="I2690" s="4" t="inlineStr">
        <is>
          <t>Mũi khoét gỗ KBX2-18</t>
        </is>
      </c>
      <c r="J2690" s="3" t="inlineStr">
        <is>
          <t>Cái</t>
        </is>
      </c>
      <c r="K2690" s="5" t="n">
        <v>59000</v>
      </c>
      <c r="L2690" s="5" t="n">
        <v>70000</v>
      </c>
      <c r="M2690" s="6" t="n">
        <v>86000</v>
      </c>
      <c r="N2690" s="5" t="n"/>
      <c r="O2690" s="5">
        <f>IF(AND(ISNUMBER(N2690),ISNUMBER(M2690)),N2690-M2690,"")</f>
        <v/>
      </c>
      <c r="P2690" s="7">
        <f>IF(AND(ISNUMBER(N2690),ISNUMBER(M2690),M2690&gt;0),(N2690-M2690)/M2690,"")</f>
        <v/>
      </c>
      <c r="Q2690" s="3">
        <f>IF(P2690="","",IF(P2690&lt;-0.02,"🔴 Bán phá giá sàn",IF(P2690&gt;0.05,"🔵 Bán cao hơn","🟢 Đúng giá sàn TMĐT")))</f>
        <v/>
      </c>
      <c r="R2690" s="3" t="n"/>
      <c r="S2690" s="4" t="n"/>
      <c r="T2690" s="4" t="n"/>
    </row>
    <row r="2691">
      <c r="A2691" s="3" t="n">
        <v>2690</v>
      </c>
      <c r="B2691" s="3" t="inlineStr">
        <is>
          <t>DL024</t>
        </is>
      </c>
      <c r="C2691" s="4" t="inlineStr">
        <is>
          <t>ĐL Đà Nẵng - Tân Cảng Decor</t>
        </is>
      </c>
      <c r="D2691" s="3" t="inlineStr">
        <is>
          <t>Đà Nẵng</t>
        </is>
      </c>
      <c r="E2691" s="3" t="inlineStr">
        <is>
          <t>THÙY TRANG</t>
        </is>
      </c>
      <c r="F2691" s="3" t="inlineStr">
        <is>
          <t>Shopee, Tiktok, Website bán hàng</t>
        </is>
      </c>
      <c r="G2691" s="4" t="inlineStr">
        <is>
          <t>SHOPEE: https://shopee.vn/tancangdecorshop TIKTOK: https://www.tiktok.com/@tancangdecor LAZADA: WEBSITE BÁN HÀNG: https://tancangdecor.com/</t>
        </is>
      </c>
      <c r="H2691" s="3" t="inlineStr">
        <is>
          <t>KBX2-19</t>
        </is>
      </c>
      <c r="I2691" s="4" t="inlineStr">
        <is>
          <t>Mũi khoét gỗ KBX2-19</t>
        </is>
      </c>
      <c r="J2691" s="3" t="inlineStr">
        <is>
          <t>Cái</t>
        </is>
      </c>
      <c r="K2691" s="5" t="n">
        <v>65000</v>
      </c>
      <c r="L2691" s="5" t="n">
        <v>77000</v>
      </c>
      <c r="M2691" s="6" t="n">
        <v>94000</v>
      </c>
      <c r="N2691" s="5" t="n"/>
      <c r="O2691" s="5">
        <f>IF(AND(ISNUMBER(N2691),ISNUMBER(M2691)),N2691-M2691,"")</f>
        <v/>
      </c>
      <c r="P2691" s="7">
        <f>IF(AND(ISNUMBER(N2691),ISNUMBER(M2691),M2691&gt;0),(N2691-M2691)/M2691,"")</f>
        <v/>
      </c>
      <c r="Q2691" s="3">
        <f>IF(P2691="","",IF(P2691&lt;-0.02,"🔴 Bán phá giá sàn",IF(P2691&gt;0.05,"🔵 Bán cao hơn","🟢 Đúng giá sàn TMĐT")))</f>
        <v/>
      </c>
      <c r="R2691" s="3" t="n"/>
      <c r="S2691" s="4" t="n"/>
      <c r="T2691" s="4" t="n"/>
    </row>
    <row r="2692">
      <c r="A2692" s="3" t="n">
        <v>2691</v>
      </c>
      <c r="B2692" s="3" t="inlineStr">
        <is>
          <t>DL024</t>
        </is>
      </c>
      <c r="C2692" s="4" t="inlineStr">
        <is>
          <t>ĐL Đà Nẵng - Tân Cảng Decor</t>
        </is>
      </c>
      <c r="D2692" s="3" t="inlineStr">
        <is>
          <t>Đà Nẵng</t>
        </is>
      </c>
      <c r="E2692" s="3" t="inlineStr">
        <is>
          <t>THÙY TRANG</t>
        </is>
      </c>
      <c r="F2692" s="3" t="inlineStr">
        <is>
          <t>Shopee, Tiktok, Website bán hàng</t>
        </is>
      </c>
      <c r="G2692" s="4" t="inlineStr">
        <is>
          <t>SHOPEE: https://shopee.vn/tancangdecorshop TIKTOK: https://www.tiktok.com/@tancangdecor LAZADA: WEBSITE BÁN HÀNG: https://tancangdecor.com/</t>
        </is>
      </c>
      <c r="H2692" s="3" t="inlineStr">
        <is>
          <t>KBX2-27</t>
        </is>
      </c>
      <c r="I2692" s="4" t="inlineStr">
        <is>
          <t>Mũi khoét gỗ KBX2-27</t>
        </is>
      </c>
      <c r="J2692" s="3" t="inlineStr">
        <is>
          <t>Cái</t>
        </is>
      </c>
      <c r="K2692" s="5" t="n">
        <v>92000</v>
      </c>
      <c r="L2692" s="5" t="n">
        <v>108000</v>
      </c>
      <c r="M2692" s="6" t="n">
        <v>133000</v>
      </c>
      <c r="N2692" s="5" t="n"/>
      <c r="O2692" s="5">
        <f>IF(AND(ISNUMBER(N2692),ISNUMBER(M2692)),N2692-M2692,"")</f>
        <v/>
      </c>
      <c r="P2692" s="7">
        <f>IF(AND(ISNUMBER(N2692),ISNUMBER(M2692),M2692&gt;0),(N2692-M2692)/M2692,"")</f>
        <v/>
      </c>
      <c r="Q2692" s="3">
        <f>IF(P2692="","",IF(P2692&lt;-0.02,"🔴 Bán phá giá sàn",IF(P2692&gt;0.05,"🔵 Bán cao hơn","🟢 Đúng giá sàn TMĐT")))</f>
        <v/>
      </c>
      <c r="R2692" s="3" t="n"/>
      <c r="S2692" s="4" t="n"/>
      <c r="T2692" s="4" t="n"/>
    </row>
    <row r="2693">
      <c r="A2693" s="3" t="n">
        <v>2692</v>
      </c>
      <c r="B2693" s="3" t="inlineStr">
        <is>
          <t>DL024</t>
        </is>
      </c>
      <c r="C2693" s="4" t="inlineStr">
        <is>
          <t>ĐL Đà Nẵng - Tân Cảng Decor</t>
        </is>
      </c>
      <c r="D2693" s="3" t="inlineStr">
        <is>
          <t>Đà Nẵng</t>
        </is>
      </c>
      <c r="E2693" s="3" t="inlineStr">
        <is>
          <t>THÙY TRANG</t>
        </is>
      </c>
      <c r="F2693" s="3" t="inlineStr">
        <is>
          <t>Shopee, Tiktok, Website bán hàng</t>
        </is>
      </c>
      <c r="G2693" s="4" t="inlineStr">
        <is>
          <t>SHOPEE: https://shopee.vn/tancangdecorshop TIKTOK: https://www.tiktok.com/@tancangdecor LAZADA: WEBSITE BÁN HÀNG: https://tancangdecor.com/</t>
        </is>
      </c>
      <c r="H2693" s="3" t="inlineStr">
        <is>
          <t>KBX2-30</t>
        </is>
      </c>
      <c r="I2693" s="4" t="inlineStr">
        <is>
          <t>Mũi khoét gỗ KBX2-30</t>
        </is>
      </c>
      <c r="J2693" s="3" t="inlineStr">
        <is>
          <t>Cái</t>
        </is>
      </c>
      <c r="K2693" s="5" t="n">
        <v>103000</v>
      </c>
      <c r="L2693" s="5" t="n">
        <v>121000</v>
      </c>
      <c r="M2693" s="6" t="n">
        <v>149000</v>
      </c>
      <c r="N2693" s="5" t="n"/>
      <c r="O2693" s="5">
        <f>IF(AND(ISNUMBER(N2693),ISNUMBER(M2693)),N2693-M2693,"")</f>
        <v/>
      </c>
      <c r="P2693" s="7">
        <f>IF(AND(ISNUMBER(N2693),ISNUMBER(M2693),M2693&gt;0),(N2693-M2693)/M2693,"")</f>
        <v/>
      </c>
      <c r="Q2693" s="3">
        <f>IF(P2693="","",IF(P2693&lt;-0.02,"🔴 Bán phá giá sàn",IF(P2693&gt;0.05,"🔵 Bán cao hơn","🟢 Đúng giá sàn TMĐT")))</f>
        <v/>
      </c>
      <c r="R2693" s="3" t="n"/>
      <c r="S2693" s="4" t="n"/>
      <c r="T2693" s="4" t="n"/>
    </row>
    <row r="2694">
      <c r="A2694" s="3" t="n">
        <v>2693</v>
      </c>
      <c r="B2694" s="3" t="inlineStr">
        <is>
          <t>DL024</t>
        </is>
      </c>
      <c r="C2694" s="4" t="inlineStr">
        <is>
          <t>ĐL Đà Nẵng - Tân Cảng Decor</t>
        </is>
      </c>
      <c r="D2694" s="3" t="inlineStr">
        <is>
          <t>Đà Nẵng</t>
        </is>
      </c>
      <c r="E2694" s="3" t="inlineStr">
        <is>
          <t>THÙY TRANG</t>
        </is>
      </c>
      <c r="F2694" s="3" t="inlineStr">
        <is>
          <t>Shopee, Tiktok, Website bán hàng</t>
        </is>
      </c>
      <c r="G2694" s="4" t="inlineStr">
        <is>
          <t>SHOPEE: https://shopee.vn/tancangdecorshop TIKTOK: https://www.tiktok.com/@tancangdecor LAZADA: WEBSITE BÁN HÀNG: https://tancangdecor.com/</t>
        </is>
      </c>
      <c r="H2694" s="3" t="inlineStr">
        <is>
          <t>KBX2-35</t>
        </is>
      </c>
      <c r="I2694" s="4" t="inlineStr">
        <is>
          <t>Mũi khoét gỗ KBX2-35</t>
        </is>
      </c>
      <c r="J2694" s="3" t="inlineStr">
        <is>
          <t>Cái</t>
        </is>
      </c>
      <c r="K2694" s="5" t="n">
        <v>119000</v>
      </c>
      <c r="L2694" s="5" t="n">
        <v>141000</v>
      </c>
      <c r="M2694" s="6" t="n">
        <v>173000</v>
      </c>
      <c r="N2694" s="5" t="n"/>
      <c r="O2694" s="5">
        <f>IF(AND(ISNUMBER(N2694),ISNUMBER(M2694)),N2694-M2694,"")</f>
        <v/>
      </c>
      <c r="P2694" s="7">
        <f>IF(AND(ISNUMBER(N2694),ISNUMBER(M2694),M2694&gt;0),(N2694-M2694)/M2694,"")</f>
        <v/>
      </c>
      <c r="Q2694" s="3">
        <f>IF(P2694="","",IF(P2694&lt;-0.02,"🔴 Bán phá giá sàn",IF(P2694&gt;0.05,"🔵 Bán cao hơn","🟢 Đúng giá sàn TMĐT")))</f>
        <v/>
      </c>
      <c r="R2694" s="3" t="n"/>
      <c r="S2694" s="4" t="n"/>
      <c r="T2694" s="4" t="n"/>
    </row>
    <row r="2695">
      <c r="A2695" s="3" t="n">
        <v>2694</v>
      </c>
      <c r="B2695" s="3" t="inlineStr">
        <is>
          <t>DL024</t>
        </is>
      </c>
      <c r="C2695" s="4" t="inlineStr">
        <is>
          <t>ĐL Đà Nẵng - Tân Cảng Decor</t>
        </is>
      </c>
      <c r="D2695" s="3" t="inlineStr">
        <is>
          <t>Đà Nẵng</t>
        </is>
      </c>
      <c r="E2695" s="3" t="inlineStr">
        <is>
          <t>THÙY TRANG</t>
        </is>
      </c>
      <c r="F2695" s="3" t="inlineStr">
        <is>
          <t>Shopee, Tiktok, Website bán hàng</t>
        </is>
      </c>
      <c r="G2695" s="4" t="inlineStr">
        <is>
          <t>SHOPEE: https://shopee.vn/tancangdecorshop TIKTOK: https://www.tiktok.com/@tancangdecor LAZADA: WEBSITE BÁN HÀNG: https://tancangdecor.com/</t>
        </is>
      </c>
      <c r="H2695" s="3" t="inlineStr">
        <is>
          <t>KBX-25</t>
        </is>
      </c>
      <c r="I2695" s="4" t="inlineStr">
        <is>
          <t>Mũi khoét gỗ KBX-25</t>
        </is>
      </c>
      <c r="J2695" s="3" t="inlineStr">
        <is>
          <t>Cái</t>
        </is>
      </c>
      <c r="K2695" s="5" t="n">
        <v>34000</v>
      </c>
      <c r="L2695" s="5" t="n">
        <v>40000</v>
      </c>
      <c r="M2695" s="6" t="n">
        <v>49000</v>
      </c>
      <c r="N2695" s="5" t="n"/>
      <c r="O2695" s="5">
        <f>IF(AND(ISNUMBER(N2695),ISNUMBER(M2695)),N2695-M2695,"")</f>
        <v/>
      </c>
      <c r="P2695" s="7">
        <f>IF(AND(ISNUMBER(N2695),ISNUMBER(M2695),M2695&gt;0),(N2695-M2695)/M2695,"")</f>
        <v/>
      </c>
      <c r="Q2695" s="3">
        <f>IF(P2695="","",IF(P2695&lt;-0.02,"🔴 Bán phá giá sàn",IF(P2695&gt;0.05,"🔵 Bán cao hơn","🟢 Đúng giá sàn TMĐT")))</f>
        <v/>
      </c>
      <c r="R2695" s="3" t="n"/>
      <c r="S2695" s="4" t="n"/>
      <c r="T2695" s="4" t="n"/>
    </row>
    <row r="2696">
      <c r="A2696" s="3" t="n">
        <v>2695</v>
      </c>
      <c r="B2696" s="3" t="inlineStr">
        <is>
          <t>DL024</t>
        </is>
      </c>
      <c r="C2696" s="4" t="inlineStr">
        <is>
          <t>ĐL Đà Nẵng - Tân Cảng Decor</t>
        </is>
      </c>
      <c r="D2696" s="3" t="inlineStr">
        <is>
          <t>Đà Nẵng</t>
        </is>
      </c>
      <c r="E2696" s="3" t="inlineStr">
        <is>
          <t>THÙY TRANG</t>
        </is>
      </c>
      <c r="F2696" s="3" t="inlineStr">
        <is>
          <t>Shopee, Tiktok, Website bán hàng</t>
        </is>
      </c>
      <c r="G2696" s="4" t="inlineStr">
        <is>
          <t>SHOPEE: https://shopee.vn/tancangdecorshop TIKTOK: https://www.tiktok.com/@tancangdecor LAZADA: WEBSITE BÁN HÀNG: https://tancangdecor.com/</t>
        </is>
      </c>
      <c r="H2696" s="3" t="inlineStr">
        <is>
          <t>KBX2-60</t>
        </is>
      </c>
      <c r="I2696" s="4" t="inlineStr">
        <is>
          <t>Mũi khoét gỗ KBX2-60</t>
        </is>
      </c>
      <c r="J2696" s="3" t="inlineStr">
        <is>
          <t>Cái</t>
        </is>
      </c>
      <c r="K2696" s="5" t="n">
        <v>191000</v>
      </c>
      <c r="L2696" s="5" t="n">
        <v>225000</v>
      </c>
      <c r="M2696" s="6" t="n">
        <v>277000</v>
      </c>
      <c r="N2696" s="5" t="n"/>
      <c r="O2696" s="5">
        <f>IF(AND(ISNUMBER(N2696),ISNUMBER(M2696)),N2696-M2696,"")</f>
        <v/>
      </c>
      <c r="P2696" s="7">
        <f>IF(AND(ISNUMBER(N2696),ISNUMBER(M2696),M2696&gt;0),(N2696-M2696)/M2696,"")</f>
        <v/>
      </c>
      <c r="Q2696" s="3">
        <f>IF(P2696="","",IF(P2696&lt;-0.02,"🔴 Bán phá giá sàn",IF(P2696&gt;0.05,"🔵 Bán cao hơn","🟢 Đúng giá sàn TMĐT")))</f>
        <v/>
      </c>
      <c r="R2696" s="3" t="n"/>
      <c r="S2696" s="4" t="n"/>
      <c r="T2696" s="4" t="n"/>
    </row>
    <row r="2697">
      <c r="A2697" s="3" t="n">
        <v>2696</v>
      </c>
      <c r="B2697" s="3" t="inlineStr">
        <is>
          <t>DL024</t>
        </is>
      </c>
      <c r="C2697" s="4" t="inlineStr">
        <is>
          <t>ĐL Đà Nẵng - Tân Cảng Decor</t>
        </is>
      </c>
      <c r="D2697" s="3" t="inlineStr">
        <is>
          <t>Đà Nẵng</t>
        </is>
      </c>
      <c r="E2697" s="3" t="inlineStr">
        <is>
          <t>THÙY TRANG</t>
        </is>
      </c>
      <c r="F2697" s="3" t="inlineStr">
        <is>
          <t>Shopee, Tiktok, Website bán hàng</t>
        </is>
      </c>
      <c r="G2697" s="4" t="inlineStr">
        <is>
          <t>SHOPEE: https://shopee.vn/tancangdecorshop TIKTOK: https://www.tiktok.com/@tancangdecor LAZADA: WEBSITE BÁN HÀNG: https://tancangdecor.com/</t>
        </is>
      </c>
      <c r="H2697" s="3" t="inlineStr">
        <is>
          <t>KBX-60</t>
        </is>
      </c>
      <c r="I2697" s="4" t="inlineStr">
        <is>
          <t>Mũi khoét gỗ KBX-60 (NEW)</t>
        </is>
      </c>
      <c r="J2697" s="3" t="inlineStr">
        <is>
          <t>Cái</t>
        </is>
      </c>
      <c r="K2697" s="5" t="n">
        <v>64000</v>
      </c>
      <c r="L2697" s="5" t="n">
        <v>76000</v>
      </c>
      <c r="M2697" s="6" t="n">
        <v>93000</v>
      </c>
      <c r="N2697" s="5" t="n"/>
      <c r="O2697" s="5">
        <f>IF(AND(ISNUMBER(N2697),ISNUMBER(M2697)),N2697-M2697,"")</f>
        <v/>
      </c>
      <c r="P2697" s="7">
        <f>IF(AND(ISNUMBER(N2697),ISNUMBER(M2697),M2697&gt;0),(N2697-M2697)/M2697,"")</f>
        <v/>
      </c>
      <c r="Q2697" s="3">
        <f>IF(P2697="","",IF(P2697&lt;-0.02,"🔴 Bán phá giá sàn",IF(P2697&gt;0.05,"🔵 Bán cao hơn","🟢 Đúng giá sàn TMĐT")))</f>
        <v/>
      </c>
      <c r="R2697" s="3" t="n"/>
      <c r="S2697" s="4" t="n"/>
      <c r="T2697" s="4" t="n"/>
    </row>
    <row r="2698">
      <c r="A2698" s="3" t="n">
        <v>2697</v>
      </c>
      <c r="B2698" s="3" t="inlineStr">
        <is>
          <t>DL024</t>
        </is>
      </c>
      <c r="C2698" s="4" t="inlineStr">
        <is>
          <t>ĐL Đà Nẵng - Tân Cảng Decor</t>
        </is>
      </c>
      <c r="D2698" s="3" t="inlineStr">
        <is>
          <t>Đà Nẵng</t>
        </is>
      </c>
      <c r="E2698" s="3" t="inlineStr">
        <is>
          <t>THÙY TRANG</t>
        </is>
      </c>
      <c r="F2698" s="3" t="inlineStr">
        <is>
          <t>Shopee, Tiktok, Website bán hàng</t>
        </is>
      </c>
      <c r="G2698" s="4" t="inlineStr">
        <is>
          <t>SHOPEE: https://shopee.vn/tancangdecorshop TIKTOK: https://www.tiktok.com/@tancangdecor LAZADA: WEBSITE BÁN HÀNG: https://tancangdecor.com/</t>
        </is>
      </c>
      <c r="H2698" s="3" t="inlineStr">
        <is>
          <t>R1-22/25</t>
        </is>
      </c>
      <c r="I2698" s="4" t="inlineStr">
        <is>
          <t>Mũi khoét hợp kim Kingblue R1-22/25</t>
        </is>
      </c>
      <c r="J2698" s="3" t="inlineStr">
        <is>
          <t>Cái</t>
        </is>
      </c>
      <c r="K2698" s="5" t="n">
        <v>82000</v>
      </c>
      <c r="L2698" s="5" t="n">
        <v>100000</v>
      </c>
      <c r="M2698" s="6" t="n">
        <v>127000</v>
      </c>
      <c r="N2698" s="5" t="n"/>
      <c r="O2698" s="5">
        <f>IF(AND(ISNUMBER(N2698),ISNUMBER(M2698)),N2698-M2698,"")</f>
        <v/>
      </c>
      <c r="P2698" s="7">
        <f>IF(AND(ISNUMBER(N2698),ISNUMBER(M2698),M2698&gt;0),(N2698-M2698)/M2698,"")</f>
        <v/>
      </c>
      <c r="Q2698" s="3">
        <f>IF(P2698="","",IF(P2698&lt;-0.02,"🔴 Bán phá giá sàn",IF(P2698&gt;0.05,"🔵 Bán cao hơn","🟢 Đúng giá sàn TMĐT")))</f>
        <v/>
      </c>
      <c r="R2698" s="3" t="n"/>
      <c r="S2698" s="4" t="n"/>
      <c r="T2698" s="4" t="n"/>
    </row>
    <row r="2699">
      <c r="A2699" s="3" t="n">
        <v>2698</v>
      </c>
      <c r="B2699" s="3" t="inlineStr">
        <is>
          <t>DL024</t>
        </is>
      </c>
      <c r="C2699" s="4" t="inlineStr">
        <is>
          <t>ĐL Đà Nẵng - Tân Cảng Decor</t>
        </is>
      </c>
      <c r="D2699" s="3" t="inlineStr">
        <is>
          <t>Đà Nẵng</t>
        </is>
      </c>
      <c r="E2699" s="3" t="inlineStr">
        <is>
          <t>THÙY TRANG</t>
        </is>
      </c>
      <c r="F2699" s="3" t="inlineStr">
        <is>
          <t>Shopee, Tiktok, Website bán hàng</t>
        </is>
      </c>
      <c r="G2699" s="4" t="inlineStr">
        <is>
          <t>SHOPEE: https://shopee.vn/tancangdecorshop TIKTOK: https://www.tiktok.com/@tancangdecor LAZADA: WEBSITE BÁN HÀNG: https://tancangdecor.com/</t>
        </is>
      </c>
      <c r="H2699" s="3" t="inlineStr">
        <is>
          <t>KB-1304</t>
        </is>
      </c>
      <c r="I2699" s="4" t="inlineStr">
        <is>
          <t>Mũi nong ống đồng KingBlue KB-1304</t>
        </is>
      </c>
      <c r="J2699" s="3" t="inlineStr">
        <is>
          <t>Cái</t>
        </is>
      </c>
      <c r="K2699" s="5" t="n">
        <v>215000</v>
      </c>
      <c r="L2699" s="5" t="n">
        <v>254000</v>
      </c>
      <c r="M2699" s="6" t="n">
        <v>312000</v>
      </c>
      <c r="N2699" s="5" t="n"/>
      <c r="O2699" s="5">
        <f>IF(AND(ISNUMBER(N2699),ISNUMBER(M2699)),N2699-M2699,"")</f>
        <v/>
      </c>
      <c r="P2699" s="7">
        <f>IF(AND(ISNUMBER(N2699),ISNUMBER(M2699),M2699&gt;0),(N2699-M2699)/M2699,"")</f>
        <v/>
      </c>
      <c r="Q2699" s="3">
        <f>IF(P2699="","",IF(P2699&lt;-0.02,"🔴 Bán phá giá sàn",IF(P2699&gt;0.05,"🔵 Bán cao hơn","🟢 Đúng giá sàn TMĐT")))</f>
        <v/>
      </c>
      <c r="R2699" s="3" t="n"/>
      <c r="S2699" s="4" t="n"/>
      <c r="T2699" s="4" t="n"/>
    </row>
    <row r="2700">
      <c r="A2700" s="3" t="n">
        <v>2699</v>
      </c>
      <c r="B2700" s="3" t="inlineStr">
        <is>
          <t>DL024</t>
        </is>
      </c>
      <c r="C2700" s="4" t="inlineStr">
        <is>
          <t>ĐL Đà Nẵng - Tân Cảng Decor</t>
        </is>
      </c>
      <c r="D2700" s="3" t="inlineStr">
        <is>
          <t>Đà Nẵng</t>
        </is>
      </c>
      <c r="E2700" s="3" t="inlineStr">
        <is>
          <t>THÙY TRANG</t>
        </is>
      </c>
      <c r="F2700" s="3" t="inlineStr">
        <is>
          <t>Shopee, Tiktok, Website bán hàng</t>
        </is>
      </c>
      <c r="G2700" s="4" t="inlineStr">
        <is>
          <t>SHOPEE: https://shopee.vn/tancangdecorshop TIKTOK: https://www.tiktok.com/@tancangdecor LAZADA: WEBSITE BÁN HÀNG: https://tancangdecor.com/</t>
        </is>
      </c>
      <c r="H2700" s="3" t="inlineStr"/>
      <c r="I2700" s="4" t="inlineStr">
        <is>
          <t>Pin máy cân bằng</t>
        </is>
      </c>
      <c r="J2700" s="3" t="inlineStr">
        <is>
          <t>Cái</t>
        </is>
      </c>
      <c r="K2700" s="5" t="n">
        <v>269000</v>
      </c>
      <c r="L2700" s="5" t="n">
        <v>317000</v>
      </c>
      <c r="M2700" s="6" t="n">
        <v>390000</v>
      </c>
      <c r="N2700" s="5" t="n"/>
      <c r="O2700" s="5">
        <f>IF(AND(ISNUMBER(N2700),ISNUMBER(M2700)),N2700-M2700,"")</f>
        <v/>
      </c>
      <c r="P2700" s="7">
        <f>IF(AND(ISNUMBER(N2700),ISNUMBER(M2700),M2700&gt;0),(N2700-M2700)/M2700,"")</f>
        <v/>
      </c>
      <c r="Q2700" s="3">
        <f>IF(P2700="","",IF(P2700&lt;-0.02,"🔴 Bán phá giá sàn",IF(P2700&gt;0.05,"🔵 Bán cao hơn","🟢 Đúng giá sàn TMĐT")))</f>
        <v/>
      </c>
      <c r="R2700" s="3" t="n"/>
      <c r="S2700" s="4" t="n"/>
      <c r="T2700" s="4" t="n"/>
    </row>
    <row r="2701">
      <c r="A2701" s="3" t="n">
        <v>2700</v>
      </c>
      <c r="B2701" s="3" t="inlineStr">
        <is>
          <t>DL024</t>
        </is>
      </c>
      <c r="C2701" s="4" t="inlineStr">
        <is>
          <t>ĐL Đà Nẵng - Tân Cảng Decor</t>
        </is>
      </c>
      <c r="D2701" s="3" t="inlineStr">
        <is>
          <t>Đà Nẵng</t>
        </is>
      </c>
      <c r="E2701" s="3" t="inlineStr">
        <is>
          <t>THÙY TRANG</t>
        </is>
      </c>
      <c r="F2701" s="3" t="inlineStr">
        <is>
          <t>Shopee, Tiktok, Website bán hàng</t>
        </is>
      </c>
      <c r="G2701" s="4" t="inlineStr">
        <is>
          <t>SHOPEE: https://shopee.vn/tancangdecorshop TIKTOK: https://www.tiktok.com/@tancangdecor LAZADA: WEBSITE BÁN HÀNG: https://tancangdecor.com/</t>
        </is>
      </c>
      <c r="H2701" s="3" t="inlineStr">
        <is>
          <t>MP4018</t>
        </is>
      </c>
      <c r="I2701" s="4" t="inlineStr">
        <is>
          <t>Pin MP4018</t>
        </is>
      </c>
      <c r="J2701" s="3" t="inlineStr">
        <is>
          <t>Cái</t>
        </is>
      </c>
      <c r="K2701" s="5" t="n">
        <v>730000</v>
      </c>
      <c r="L2701" s="5" t="n">
        <v>818000</v>
      </c>
      <c r="M2701" s="6" t="n">
        <v>949000</v>
      </c>
      <c r="N2701" s="5" t="n"/>
      <c r="O2701" s="5">
        <f>IF(AND(ISNUMBER(N2701),ISNUMBER(M2701)),N2701-M2701,"")</f>
        <v/>
      </c>
      <c r="P2701" s="7">
        <f>IF(AND(ISNUMBER(N2701),ISNUMBER(M2701),M2701&gt;0),(N2701-M2701)/M2701,"")</f>
        <v/>
      </c>
      <c r="Q2701" s="3">
        <f>IF(P2701="","",IF(P2701&lt;-0.02,"🔴 Bán phá giá sàn",IF(P2701&gt;0.05,"🔵 Bán cao hơn","🟢 Đúng giá sàn TMĐT")))</f>
        <v/>
      </c>
      <c r="R2701" s="3" t="n"/>
      <c r="S2701" s="4" t="n"/>
      <c r="T2701" s="4" t="n"/>
    </row>
    <row r="2702">
      <c r="A2702" s="3" t="n">
        <v>2701</v>
      </c>
      <c r="B2702" s="3" t="inlineStr">
        <is>
          <t>DL024</t>
        </is>
      </c>
      <c r="C2702" s="4" t="inlineStr">
        <is>
          <t>ĐL Đà Nẵng - Tân Cảng Decor</t>
        </is>
      </c>
      <c r="D2702" s="3" t="inlineStr">
        <is>
          <t>Đà Nẵng</t>
        </is>
      </c>
      <c r="E2702" s="3" t="inlineStr">
        <is>
          <t>THÙY TRANG</t>
        </is>
      </c>
      <c r="F2702" s="3" t="inlineStr">
        <is>
          <t>Shopee, Tiktok, Website bán hàng</t>
        </is>
      </c>
      <c r="G2702" s="4" t="inlineStr">
        <is>
          <t>SHOPEE: https://shopee.vn/tancangdecorshop TIKTOK: https://www.tiktok.com/@tancangdecor LAZADA: WEBSITE BÁN HÀNG: https://tancangdecor.com/</t>
        </is>
      </c>
      <c r="H2702" s="3" t="inlineStr">
        <is>
          <t>MP6018</t>
        </is>
      </c>
      <c r="I2702" s="4" t="inlineStr">
        <is>
          <t>Pin MP6018</t>
        </is>
      </c>
      <c r="J2702" s="3" t="inlineStr">
        <is>
          <t>Cái</t>
        </is>
      </c>
      <c r="K2702" s="5" t="n">
        <v>1045000</v>
      </c>
      <c r="L2702" s="5" t="n">
        <v>1171000</v>
      </c>
      <c r="M2702" s="6" t="n">
        <v>1359000</v>
      </c>
      <c r="N2702" s="5" t="n"/>
      <c r="O2702" s="5">
        <f>IF(AND(ISNUMBER(N2702),ISNUMBER(M2702)),N2702-M2702,"")</f>
        <v/>
      </c>
      <c r="P2702" s="7">
        <f>IF(AND(ISNUMBER(N2702),ISNUMBER(M2702),M2702&gt;0),(N2702-M2702)/M2702,"")</f>
        <v/>
      </c>
      <c r="Q2702" s="3">
        <f>IF(P2702="","",IF(P2702&lt;-0.02,"🔴 Bán phá giá sàn",IF(P2702&gt;0.05,"🔵 Bán cao hơn","🟢 Đúng giá sàn TMĐT")))</f>
        <v/>
      </c>
      <c r="R2702" s="3" t="n"/>
      <c r="S2702" s="4" t="n"/>
      <c r="T2702" s="4" t="n"/>
    </row>
    <row r="2703">
      <c r="A2703" s="3" t="n">
        <v>2702</v>
      </c>
      <c r="B2703" s="3" t="inlineStr">
        <is>
          <t>DL024</t>
        </is>
      </c>
      <c r="C2703" s="4" t="inlineStr">
        <is>
          <t>ĐL Đà Nẵng - Tân Cảng Decor</t>
        </is>
      </c>
      <c r="D2703" s="3" t="inlineStr">
        <is>
          <t>Đà Nẵng</t>
        </is>
      </c>
      <c r="E2703" s="3" t="inlineStr">
        <is>
          <t>THÙY TRANG</t>
        </is>
      </c>
      <c r="F2703" s="3" t="inlineStr">
        <is>
          <t>Shopee, Tiktok, Website bán hàng</t>
        </is>
      </c>
      <c r="G2703" s="4" t="inlineStr">
        <is>
          <t>SHOPEE: https://shopee.vn/tancangdecorshop TIKTOK: https://www.tiktok.com/@tancangdecor LAZADA: WEBSITE BÁN HÀNG: https://tancangdecor.com/</t>
        </is>
      </c>
      <c r="H2703" s="3" t="inlineStr">
        <is>
          <t>MS2A18</t>
        </is>
      </c>
      <c r="I2703" s="4" t="inlineStr">
        <is>
          <t>Sạc MS2A18</t>
        </is>
      </c>
      <c r="J2703" s="3" t="inlineStr">
        <is>
          <t>Cái</t>
        </is>
      </c>
      <c r="K2703" s="5" t="n">
        <v>290000</v>
      </c>
      <c r="L2703" s="5" t="n">
        <v>325000</v>
      </c>
      <c r="M2703" s="6" t="n">
        <v>377000</v>
      </c>
      <c r="N2703" s="5" t="n"/>
      <c r="O2703" s="5">
        <f>IF(AND(ISNUMBER(N2703),ISNUMBER(M2703)),N2703-M2703,"")</f>
        <v/>
      </c>
      <c r="P2703" s="7">
        <f>IF(AND(ISNUMBER(N2703),ISNUMBER(M2703),M2703&gt;0),(N2703-M2703)/M2703,"")</f>
        <v/>
      </c>
      <c r="Q2703" s="3">
        <f>IF(P2703="","",IF(P2703&lt;-0.02,"🔴 Bán phá giá sàn",IF(P2703&gt;0.05,"🔵 Bán cao hơn","🟢 Đúng giá sàn TMĐT")))</f>
        <v/>
      </c>
      <c r="R2703" s="3" t="n"/>
      <c r="S2703" s="4" t="n"/>
      <c r="T2703" s="4" t="n"/>
    </row>
    <row r="2704">
      <c r="A2704" s="3" t="n">
        <v>2703</v>
      </c>
      <c r="B2704" s="3" t="inlineStr">
        <is>
          <t>DL024</t>
        </is>
      </c>
      <c r="C2704" s="4" t="inlineStr">
        <is>
          <t>ĐL Đà Nẵng - Tân Cảng Decor</t>
        </is>
      </c>
      <c r="D2704" s="3" t="inlineStr">
        <is>
          <t>Đà Nẵng</t>
        </is>
      </c>
      <c r="E2704" s="3" t="inlineStr">
        <is>
          <t>THÙY TRANG</t>
        </is>
      </c>
      <c r="F2704" s="3" t="inlineStr">
        <is>
          <t>Shopee, Tiktok, Website bán hàng</t>
        </is>
      </c>
      <c r="G2704" s="4" t="inlineStr">
        <is>
          <t>SHOPEE: https://shopee.vn/tancangdecorshop TIKTOK: https://www.tiktok.com/@tancangdecor LAZADA: WEBSITE BÁN HÀNG: https://tancangdecor.com/</t>
        </is>
      </c>
      <c r="H2704" s="3" t="inlineStr">
        <is>
          <t>ST08x42V</t>
        </is>
      </c>
      <c r="I2704" s="4" t="inlineStr">
        <is>
          <t>Siết tôn King Blue ST08x42V</t>
        </is>
      </c>
      <c r="J2704" s="3" t="inlineStr">
        <is>
          <t>Vỉ</t>
        </is>
      </c>
      <c r="K2704" s="5" t="n">
        <v>22000</v>
      </c>
      <c r="L2704" s="5" t="n">
        <v>28000</v>
      </c>
      <c r="M2704" s="6" t="n">
        <v>36000</v>
      </c>
      <c r="N2704" s="5" t="n"/>
      <c r="O2704" s="5">
        <f>IF(AND(ISNUMBER(N2704),ISNUMBER(M2704)),N2704-M2704,"")</f>
        <v/>
      </c>
      <c r="P2704" s="7">
        <f>IF(AND(ISNUMBER(N2704),ISNUMBER(M2704),M2704&gt;0),(N2704-M2704)/M2704,"")</f>
        <v/>
      </c>
      <c r="Q2704" s="3">
        <f>IF(P2704="","",IF(P2704&lt;-0.02,"🔴 Bán phá giá sàn",IF(P2704&gt;0.05,"🔵 Bán cao hơn","🟢 Đúng giá sàn TMĐT")))</f>
        <v/>
      </c>
      <c r="R2704" s="3" t="n"/>
      <c r="S2704" s="4" t="n"/>
      <c r="T2704" s="4" t="n"/>
    </row>
    <row r="2705">
      <c r="A2705" s="3" t="n">
        <v>2704</v>
      </c>
      <c r="B2705" s="3" t="inlineStr">
        <is>
          <t>DL024</t>
        </is>
      </c>
      <c r="C2705" s="4" t="inlineStr">
        <is>
          <t>ĐL Đà Nẵng - Tân Cảng Decor</t>
        </is>
      </c>
      <c r="D2705" s="3" t="inlineStr">
        <is>
          <t>Đà Nẵng</t>
        </is>
      </c>
      <c r="E2705" s="3" t="inlineStr">
        <is>
          <t>THÙY TRANG</t>
        </is>
      </c>
      <c r="F2705" s="3" t="inlineStr">
        <is>
          <t>Shopee, Tiktok, Website bán hàng</t>
        </is>
      </c>
      <c r="G2705" s="4" t="inlineStr">
        <is>
          <t>SHOPEE: https://shopee.vn/tancangdecorshop TIKTOK: https://www.tiktok.com/@tancangdecor LAZADA: WEBSITE BÁN HÀNG: https://tancangdecor.com/</t>
        </is>
      </c>
      <c r="H2705" s="3" t="inlineStr">
        <is>
          <t>KBO-ST64</t>
        </is>
      </c>
      <c r="I2705" s="4" t="inlineStr">
        <is>
          <t>Súng bắn đinh bê tông KBO-ST64</t>
        </is>
      </c>
      <c r="J2705" s="3" t="inlineStr">
        <is>
          <t>Cái</t>
        </is>
      </c>
      <c r="K2705" s="5" t="n">
        <v>946000</v>
      </c>
      <c r="L2705" s="5" t="n">
        <v>1097000</v>
      </c>
      <c r="M2705" s="6" t="n">
        <v>1324000</v>
      </c>
      <c r="N2705" s="5" t="n"/>
      <c r="O2705" s="5">
        <f>IF(AND(ISNUMBER(N2705),ISNUMBER(M2705)),N2705-M2705,"")</f>
        <v/>
      </c>
      <c r="P2705" s="7">
        <f>IF(AND(ISNUMBER(N2705),ISNUMBER(M2705),M2705&gt;0),(N2705-M2705)/M2705,"")</f>
        <v/>
      </c>
      <c r="Q2705" s="3">
        <f>IF(P2705="","",IF(P2705&lt;-0.02,"🔴 Bán phá giá sàn",IF(P2705&gt;0.05,"🔵 Bán cao hơn","🟢 Đúng giá sàn TMĐT")))</f>
        <v/>
      </c>
      <c r="R2705" s="3" t="n"/>
      <c r="S2705" s="4" t="n"/>
      <c r="T2705" s="4" t="n"/>
    </row>
    <row r="2706">
      <c r="A2706" s="3" t="n">
        <v>2705</v>
      </c>
      <c r="B2706" s="3" t="inlineStr">
        <is>
          <t>DL024</t>
        </is>
      </c>
      <c r="C2706" s="4" t="inlineStr">
        <is>
          <t>ĐL Đà Nẵng - Tân Cảng Decor</t>
        </is>
      </c>
      <c r="D2706" s="3" t="inlineStr">
        <is>
          <t>Đà Nẵng</t>
        </is>
      </c>
      <c r="E2706" s="3" t="inlineStr">
        <is>
          <t>THÙY TRANG</t>
        </is>
      </c>
      <c r="F2706" s="3" t="inlineStr">
        <is>
          <t>Shopee, Tiktok, Website bán hàng</t>
        </is>
      </c>
      <c r="G2706" s="4" t="inlineStr">
        <is>
          <t>SHOPEE: https://shopee.vn/tancangdecorshop TIKTOK: https://www.tiktok.com/@tancangdecor LAZADA: WEBSITE BÁN HÀNG: https://tancangdecor.com/</t>
        </is>
      </c>
      <c r="H2706" s="3" t="inlineStr">
        <is>
          <t>KBO-FG30</t>
        </is>
      </c>
      <c r="I2706" s="4" t="inlineStr">
        <is>
          <t>Súng bắn đinh hơi KBO-FG30</t>
        </is>
      </c>
      <c r="J2706" s="3" t="inlineStr">
        <is>
          <t>Cái</t>
        </is>
      </c>
      <c r="K2706" s="5" t="n">
        <v>426000</v>
      </c>
      <c r="L2706" s="5" t="n">
        <v>494000</v>
      </c>
      <c r="M2706" s="6" t="n">
        <v>596000</v>
      </c>
      <c r="N2706" s="5" t="n"/>
      <c r="O2706" s="5">
        <f>IF(AND(ISNUMBER(N2706),ISNUMBER(M2706)),N2706-M2706,"")</f>
        <v/>
      </c>
      <c r="P2706" s="7">
        <f>IF(AND(ISNUMBER(N2706),ISNUMBER(M2706),M2706&gt;0),(N2706-M2706)/M2706,"")</f>
        <v/>
      </c>
      <c r="Q2706" s="3">
        <f>IF(P2706="","",IF(P2706&lt;-0.02,"🔴 Bán phá giá sàn",IF(P2706&gt;0.05,"🔵 Bán cao hơn","🟢 Đúng giá sàn TMĐT")))</f>
        <v/>
      </c>
      <c r="R2706" s="3" t="n"/>
      <c r="S2706" s="4" t="n"/>
      <c r="T2706" s="4" t="n"/>
    </row>
    <row r="2707">
      <c r="A2707" s="3" t="n">
        <v>2706</v>
      </c>
      <c r="B2707" s="3" t="inlineStr">
        <is>
          <t>DL024</t>
        </is>
      </c>
      <c r="C2707" s="4" t="inlineStr">
        <is>
          <t>ĐL Đà Nẵng - Tân Cảng Decor</t>
        </is>
      </c>
      <c r="D2707" s="3" t="inlineStr">
        <is>
          <t>Đà Nẵng</t>
        </is>
      </c>
      <c r="E2707" s="3" t="inlineStr">
        <is>
          <t>THÙY TRANG</t>
        </is>
      </c>
      <c r="F2707" s="3" t="inlineStr">
        <is>
          <t>Shopee, Tiktok, Website bán hàng</t>
        </is>
      </c>
      <c r="G2707" s="4" t="inlineStr">
        <is>
          <t>SHOPEE: https://shopee.vn/tancangdecorshop TIKTOK: https://www.tiktok.com/@tancangdecor LAZADA: WEBSITE BÁN HÀNG: https://tancangdecor.com/</t>
        </is>
      </c>
      <c r="H2707" s="3" t="inlineStr">
        <is>
          <t>KF-103</t>
        </is>
      </c>
      <c r="I2707" s="4" t="inlineStr">
        <is>
          <t>Súng bắn ghim KF-103</t>
        </is>
      </c>
      <c r="J2707" s="3" t="inlineStr">
        <is>
          <t>Cái</t>
        </is>
      </c>
      <c r="K2707" s="5" t="n">
        <v>143000</v>
      </c>
      <c r="L2707" s="5" t="n">
        <v>169000</v>
      </c>
      <c r="M2707" s="6" t="n">
        <v>207000</v>
      </c>
      <c r="N2707" s="5" t="n"/>
      <c r="O2707" s="5">
        <f>IF(AND(ISNUMBER(N2707),ISNUMBER(M2707)),N2707-M2707,"")</f>
        <v/>
      </c>
      <c r="P2707" s="7">
        <f>IF(AND(ISNUMBER(N2707),ISNUMBER(M2707),M2707&gt;0),(N2707-M2707)/M2707,"")</f>
        <v/>
      </c>
      <c r="Q2707" s="3">
        <f>IF(P2707="","",IF(P2707&lt;-0.02,"🔴 Bán phá giá sàn",IF(P2707&gt;0.05,"🔵 Bán cao hơn","🟢 Đúng giá sàn TMĐT")))</f>
        <v/>
      </c>
      <c r="R2707" s="3" t="n"/>
      <c r="S2707" s="4" t="n"/>
      <c r="T2707" s="4" t="n"/>
    </row>
    <row r="2708">
      <c r="A2708" s="3" t="n">
        <v>2707</v>
      </c>
      <c r="B2708" s="3" t="inlineStr">
        <is>
          <t>DL024</t>
        </is>
      </c>
      <c r="C2708" s="4" t="inlineStr">
        <is>
          <t>ĐL Đà Nẵng - Tân Cảng Decor</t>
        </is>
      </c>
      <c r="D2708" s="3" t="inlineStr">
        <is>
          <t>Đà Nẵng</t>
        </is>
      </c>
      <c r="E2708" s="3" t="inlineStr">
        <is>
          <t>THÙY TRANG</t>
        </is>
      </c>
      <c r="F2708" s="3" t="inlineStr">
        <is>
          <t>Shopee, Tiktok, Website bán hàng</t>
        </is>
      </c>
      <c r="G2708" s="4" t="inlineStr">
        <is>
          <t>SHOPEE: https://shopee.vn/tancangdecorshop TIKTOK: https://www.tiktok.com/@tancangdecor LAZADA: WEBSITE BÁN HÀNG: https://tancangdecor.com/</t>
        </is>
      </c>
      <c r="H2708" s="3" t="inlineStr">
        <is>
          <t>KF-301</t>
        </is>
      </c>
      <c r="I2708" s="4" t="inlineStr">
        <is>
          <t>Súng bắn ghim KF-301</t>
        </is>
      </c>
      <c r="J2708" s="3" t="inlineStr">
        <is>
          <t>Cái</t>
        </is>
      </c>
      <c r="K2708" s="5" t="n">
        <v>242000</v>
      </c>
      <c r="L2708" s="5" t="n">
        <v>286000</v>
      </c>
      <c r="M2708" s="6" t="n">
        <v>351000</v>
      </c>
      <c r="N2708" s="5" t="n"/>
      <c r="O2708" s="5">
        <f>IF(AND(ISNUMBER(N2708),ISNUMBER(M2708)),N2708-M2708,"")</f>
        <v/>
      </c>
      <c r="P2708" s="7">
        <f>IF(AND(ISNUMBER(N2708),ISNUMBER(M2708),M2708&gt;0),(N2708-M2708)/M2708,"")</f>
        <v/>
      </c>
      <c r="Q2708" s="3">
        <f>IF(P2708="","",IF(P2708&lt;-0.02,"🔴 Bán phá giá sàn",IF(P2708&gt;0.05,"🔵 Bán cao hơn","🟢 Đúng giá sàn TMĐT")))</f>
        <v/>
      </c>
      <c r="R2708" s="3" t="n"/>
      <c r="S2708" s="4" t="n"/>
      <c r="T2708" s="4" t="n"/>
    </row>
    <row r="2709">
      <c r="A2709" s="3" t="n">
        <v>2708</v>
      </c>
      <c r="B2709" s="3" t="inlineStr">
        <is>
          <t>DL024</t>
        </is>
      </c>
      <c r="C2709" s="4" t="inlineStr">
        <is>
          <t>ĐL Đà Nẵng - Tân Cảng Decor</t>
        </is>
      </c>
      <c r="D2709" s="3" t="inlineStr">
        <is>
          <t>Đà Nẵng</t>
        </is>
      </c>
      <c r="E2709" s="3" t="inlineStr">
        <is>
          <t>THÙY TRANG</t>
        </is>
      </c>
      <c r="F2709" s="3" t="inlineStr">
        <is>
          <t>Shopee, Tiktok, Website bán hàng</t>
        </is>
      </c>
      <c r="G2709" s="4" t="inlineStr">
        <is>
          <t>SHOPEE: https://shopee.vn/tancangdecorshop TIKTOK: https://www.tiktok.com/@tancangdecor LAZADA: WEBSITE BÁN HÀNG: https://tancangdecor.com/</t>
        </is>
      </c>
      <c r="H2709" s="3" t="inlineStr">
        <is>
          <t>KAC100</t>
        </is>
      </c>
      <c r="I2709" s="4" t="inlineStr">
        <is>
          <t>Súng bắn keo nến KAC100</t>
        </is>
      </c>
      <c r="J2709" s="3" t="inlineStr">
        <is>
          <t>Cái</t>
        </is>
      </c>
      <c r="K2709" s="5" t="n">
        <v>149000</v>
      </c>
      <c r="L2709" s="5" t="n">
        <v>176000</v>
      </c>
      <c r="M2709" s="6" t="n">
        <v>216000</v>
      </c>
      <c r="N2709" s="5" t="n"/>
      <c r="O2709" s="5">
        <f>IF(AND(ISNUMBER(N2709),ISNUMBER(M2709)),N2709-M2709,"")</f>
        <v/>
      </c>
      <c r="P2709" s="7">
        <f>IF(AND(ISNUMBER(N2709),ISNUMBER(M2709),M2709&gt;0),(N2709-M2709)/M2709,"")</f>
        <v/>
      </c>
      <c r="Q2709" s="3">
        <f>IF(P2709="","",IF(P2709&lt;-0.02,"🔴 Bán phá giá sàn",IF(P2709&gt;0.05,"🔵 Bán cao hơn","🟢 Đúng giá sàn TMĐT")))</f>
        <v/>
      </c>
      <c r="R2709" s="3" t="n"/>
      <c r="S2709" s="4" t="n"/>
      <c r="T2709" s="4" t="n"/>
    </row>
    <row r="2710">
      <c r="A2710" s="3" t="n">
        <v>2709</v>
      </c>
      <c r="B2710" s="3" t="inlineStr">
        <is>
          <t>DL024</t>
        </is>
      </c>
      <c r="C2710" s="4" t="inlineStr">
        <is>
          <t>ĐL Đà Nẵng - Tân Cảng Decor</t>
        </is>
      </c>
      <c r="D2710" s="3" t="inlineStr">
        <is>
          <t>Đà Nẵng</t>
        </is>
      </c>
      <c r="E2710" s="3" t="inlineStr">
        <is>
          <t>THÙY TRANG</t>
        </is>
      </c>
      <c r="F2710" s="3" t="inlineStr">
        <is>
          <t>Shopee, Tiktok, Website bán hàng</t>
        </is>
      </c>
      <c r="G2710" s="4" t="inlineStr">
        <is>
          <t>SHOPEE: https://shopee.vn/tancangdecorshop TIKTOK: https://www.tiktok.com/@tancangdecor LAZADA: WEBSITE BÁN HÀNG: https://tancangdecor.com/</t>
        </is>
      </c>
      <c r="H2710" s="3" t="inlineStr">
        <is>
          <t>KHD20</t>
        </is>
      </c>
      <c r="I2710" s="4" t="inlineStr">
        <is>
          <t>Thùng đựng đồ nghề KHD20</t>
        </is>
      </c>
      <c r="J2710" s="3" t="inlineStr">
        <is>
          <t>Cái</t>
        </is>
      </c>
      <c r="K2710" s="5" t="n">
        <v>396000</v>
      </c>
      <c r="L2710" s="5" t="n">
        <v>452000</v>
      </c>
      <c r="M2710" s="6" t="n">
        <v>535000</v>
      </c>
      <c r="N2710" s="5" t="n"/>
      <c r="O2710" s="5">
        <f>IF(AND(ISNUMBER(N2710),ISNUMBER(M2710)),N2710-M2710,"")</f>
        <v/>
      </c>
      <c r="P2710" s="7">
        <f>IF(AND(ISNUMBER(N2710),ISNUMBER(M2710),M2710&gt;0),(N2710-M2710)/M2710,"")</f>
        <v/>
      </c>
      <c r="Q2710" s="3">
        <f>IF(P2710="","",IF(P2710&lt;-0.02,"🔴 Bán phá giá sàn",IF(P2710&gt;0.05,"🔵 Bán cao hơn","🟢 Đúng giá sàn TMĐT")))</f>
        <v/>
      </c>
      <c r="R2710" s="3" t="n"/>
      <c r="S2710" s="4" t="n"/>
      <c r="T2710" s="4" t="n"/>
    </row>
    <row r="2711">
      <c r="A2711" s="3" t="n">
        <v>2710</v>
      </c>
      <c r="B2711" s="3" t="inlineStr">
        <is>
          <t>DL024</t>
        </is>
      </c>
      <c r="C2711" s="4" t="inlineStr">
        <is>
          <t>ĐL Đà Nẵng - Tân Cảng Decor</t>
        </is>
      </c>
      <c r="D2711" s="3" t="inlineStr">
        <is>
          <t>Đà Nẵng</t>
        </is>
      </c>
      <c r="E2711" s="3" t="inlineStr">
        <is>
          <t>THÙY TRANG</t>
        </is>
      </c>
      <c r="F2711" s="3" t="inlineStr">
        <is>
          <t>Shopee, Tiktok, Website bán hàng</t>
        </is>
      </c>
      <c r="G2711" s="4" t="inlineStr">
        <is>
          <t>SHOPEE: https://shopee.vn/tancangdecorshop TIKTOK: https://www.tiktok.com/@tancangdecor LAZADA: WEBSITE BÁN HÀNG: https://tancangdecor.com/</t>
        </is>
      </c>
      <c r="H2711" s="3" t="inlineStr">
        <is>
          <t>KHD4212</t>
        </is>
      </c>
      <c r="I2711" s="4" t="inlineStr">
        <is>
          <t>Thùng đựng đồ nghề KHD4212</t>
        </is>
      </c>
      <c r="J2711" s="3" t="inlineStr">
        <is>
          <t>Cái</t>
        </is>
      </c>
      <c r="K2711" s="5" t="n">
        <v>1996</v>
      </c>
      <c r="L2711" s="5" t="n">
        <v>539000</v>
      </c>
      <c r="M2711" s="6" t="n">
        <v>615000</v>
      </c>
      <c r="N2711" s="5" t="n"/>
      <c r="O2711" s="5">
        <f>IF(AND(ISNUMBER(N2711),ISNUMBER(M2711)),N2711-M2711,"")</f>
        <v/>
      </c>
      <c r="P2711" s="7">
        <f>IF(AND(ISNUMBER(N2711),ISNUMBER(M2711),M2711&gt;0),(N2711-M2711)/M2711,"")</f>
        <v/>
      </c>
      <c r="Q2711" s="3">
        <f>IF(P2711="","",IF(P2711&lt;-0.02,"🔴 Bán phá giá sàn",IF(P2711&gt;0.05,"🔵 Bán cao hơn","🟢 Đúng giá sàn TMĐT")))</f>
        <v/>
      </c>
      <c r="R2711" s="3" t="n"/>
      <c r="S2711" s="4" t="n"/>
      <c r="T2711" s="4" t="n"/>
    </row>
    <row r="2712">
      <c r="A2712" s="3" t="n">
        <v>2711</v>
      </c>
      <c r="B2712" s="3" t="inlineStr">
        <is>
          <t>DL024</t>
        </is>
      </c>
      <c r="C2712" s="4" t="inlineStr">
        <is>
          <t>ĐL Đà Nẵng - Tân Cảng Decor</t>
        </is>
      </c>
      <c r="D2712" s="3" t="inlineStr">
        <is>
          <t>Đà Nẵng</t>
        </is>
      </c>
      <c r="E2712" s="3" t="inlineStr">
        <is>
          <t>THÙY TRANG</t>
        </is>
      </c>
      <c r="F2712" s="3" t="inlineStr">
        <is>
          <t>Shopee, Tiktok, Website bán hàng</t>
        </is>
      </c>
      <c r="G2712" s="4" t="inlineStr">
        <is>
          <t>SHOPEE: https://shopee.vn/tancangdecorshop TIKTOK: https://www.tiktok.com/@tancangdecor LAZADA: WEBSITE BÁN HÀNG: https://tancangdecor.com/</t>
        </is>
      </c>
      <c r="H2712" s="3" t="inlineStr">
        <is>
          <t>KHD4216</t>
        </is>
      </c>
      <c r="I2712" s="4" t="inlineStr">
        <is>
          <t>Thùng đựng đồ nghề KHD4216</t>
        </is>
      </c>
      <c r="J2712" s="3" t="inlineStr">
        <is>
          <t>Cái</t>
        </is>
      </c>
      <c r="K2712" s="5" t="n">
        <v>2065</v>
      </c>
      <c r="L2712" s="5" t="n">
        <v>484000</v>
      </c>
      <c r="M2712" s="6" t="n">
        <v>552000</v>
      </c>
      <c r="N2712" s="5" t="n"/>
      <c r="O2712" s="5">
        <f>IF(AND(ISNUMBER(N2712),ISNUMBER(M2712)),N2712-M2712,"")</f>
        <v/>
      </c>
      <c r="P2712" s="7">
        <f>IF(AND(ISNUMBER(N2712),ISNUMBER(M2712),M2712&gt;0),(N2712-M2712)/M2712,"")</f>
        <v/>
      </c>
      <c r="Q2712" s="3">
        <f>IF(P2712="","",IF(P2712&lt;-0.02,"🔴 Bán phá giá sàn",IF(P2712&gt;0.05,"🔵 Bán cao hơn","🟢 Đúng giá sàn TMĐT")))</f>
        <v/>
      </c>
      <c r="R2712" s="3" t="n"/>
      <c r="S2712" s="4" t="n"/>
      <c r="T2712" s="4" t="n"/>
    </row>
    <row r="2713">
      <c r="A2713" s="3" t="n">
        <v>2712</v>
      </c>
      <c r="B2713" s="3" t="inlineStr">
        <is>
          <t>DL024</t>
        </is>
      </c>
      <c r="C2713" s="4" t="inlineStr">
        <is>
          <t>ĐL Đà Nẵng - Tân Cảng Decor</t>
        </is>
      </c>
      <c r="D2713" s="3" t="inlineStr">
        <is>
          <t>Đà Nẵng</t>
        </is>
      </c>
      <c r="E2713" s="3" t="inlineStr">
        <is>
          <t>THÙY TRANG</t>
        </is>
      </c>
      <c r="F2713" s="3" t="inlineStr">
        <is>
          <t>Shopee, Tiktok, Website bán hàng</t>
        </is>
      </c>
      <c r="G2713" s="4" t="inlineStr">
        <is>
          <t>SHOPEE: https://shopee.vn/tancangdecorshop TIKTOK: https://www.tiktok.com/@tancangdecor LAZADA: WEBSITE BÁN HÀNG: https://tancangdecor.com/</t>
        </is>
      </c>
      <c r="H2713" s="3" t="inlineStr">
        <is>
          <t>KHD4233</t>
        </is>
      </c>
      <c r="I2713" s="4" t="inlineStr">
        <is>
          <t>Thùng đựng đồ nghề KHD4233</t>
        </is>
      </c>
      <c r="J2713" s="3" t="inlineStr">
        <is>
          <t>Cái</t>
        </is>
      </c>
      <c r="K2713" s="5" t="n">
        <v>269000</v>
      </c>
      <c r="L2713" s="5" t="n">
        <v>317000</v>
      </c>
      <c r="M2713" s="6" t="n">
        <v>390000</v>
      </c>
      <c r="N2713" s="5" t="n"/>
      <c r="O2713" s="5">
        <f>IF(AND(ISNUMBER(N2713),ISNUMBER(M2713)),N2713-M2713,"")</f>
        <v/>
      </c>
      <c r="P2713" s="7">
        <f>IF(AND(ISNUMBER(N2713),ISNUMBER(M2713),M2713&gt;0),(N2713-M2713)/M2713,"")</f>
        <v/>
      </c>
      <c r="Q2713" s="3">
        <f>IF(P2713="","",IF(P2713&lt;-0.02,"🔴 Bán phá giá sàn",IF(P2713&gt;0.05,"🔵 Bán cao hơn","🟢 Đúng giá sàn TMĐT")))</f>
        <v/>
      </c>
      <c r="R2713" s="3" t="n"/>
      <c r="S2713" s="4" t="n"/>
      <c r="T2713" s="4" t="n"/>
    </row>
    <row r="2714">
      <c r="A2714" s="3" t="n">
        <v>2713</v>
      </c>
      <c r="B2714" s="3" t="inlineStr">
        <is>
          <t>DL024</t>
        </is>
      </c>
      <c r="C2714" s="4" t="inlineStr">
        <is>
          <t>ĐL Đà Nẵng - Tân Cảng Decor</t>
        </is>
      </c>
      <c r="D2714" s="3" t="inlineStr">
        <is>
          <t>Đà Nẵng</t>
        </is>
      </c>
      <c r="E2714" s="3" t="inlineStr">
        <is>
          <t>THÙY TRANG</t>
        </is>
      </c>
      <c r="F2714" s="3" t="inlineStr">
        <is>
          <t>Shopee, Tiktok, Website bán hàng</t>
        </is>
      </c>
      <c r="G2714" s="4" t="inlineStr">
        <is>
          <t>SHOPEE: https://shopee.vn/tancangdecorshop TIKTOK: https://www.tiktok.com/@tancangdecor LAZADA: WEBSITE BÁN HÀNG: https://tancangdecor.com/</t>
        </is>
      </c>
      <c r="H2714" s="3" t="inlineStr">
        <is>
          <t>MD-50.25</t>
        </is>
      </c>
      <c r="I2714" s="4" t="inlineStr">
        <is>
          <t>Thước Cuộn tự hãm MD-50.25</t>
        </is>
      </c>
      <c r="J2714" s="3" t="inlineStr">
        <is>
          <t>Cái</t>
        </is>
      </c>
      <c r="K2714" s="5" t="n">
        <v>64000</v>
      </c>
      <c r="L2714" s="5" t="n">
        <v>76000</v>
      </c>
      <c r="M2714" s="6" t="n">
        <v>93000</v>
      </c>
      <c r="N2714" s="5" t="n"/>
      <c r="O2714" s="5">
        <f>IF(AND(ISNUMBER(N2714),ISNUMBER(M2714)),N2714-M2714,"")</f>
        <v/>
      </c>
      <c r="P2714" s="7">
        <f>IF(AND(ISNUMBER(N2714),ISNUMBER(M2714),M2714&gt;0),(N2714-M2714)/M2714,"")</f>
        <v/>
      </c>
      <c r="Q2714" s="3">
        <f>IF(P2714="","",IF(P2714&lt;-0.02,"🔴 Bán phá giá sàn",IF(P2714&gt;0.05,"🔵 Bán cao hơn","🟢 Đúng giá sàn TMĐT")))</f>
        <v/>
      </c>
      <c r="R2714" s="3" t="n"/>
      <c r="S2714" s="4" t="n"/>
      <c r="T2714" s="4" t="n"/>
    </row>
    <row r="2715">
      <c r="A2715" s="3" t="n">
        <v>2714</v>
      </c>
      <c r="B2715" s="3" t="inlineStr">
        <is>
          <t>DL024</t>
        </is>
      </c>
      <c r="C2715" s="4" t="inlineStr">
        <is>
          <t>ĐL Đà Nẵng - Tân Cảng Decor</t>
        </is>
      </c>
      <c r="D2715" s="3" t="inlineStr">
        <is>
          <t>Đà Nẵng</t>
        </is>
      </c>
      <c r="E2715" s="3" t="inlineStr">
        <is>
          <t>THÙY TRANG</t>
        </is>
      </c>
      <c r="F2715" s="3" t="inlineStr">
        <is>
          <t>Shopee, Tiktok, Website bán hàng</t>
        </is>
      </c>
      <c r="G2715" s="4" t="inlineStr">
        <is>
          <t>SHOPEE: https://shopee.vn/tancangdecorshop TIKTOK: https://www.tiktok.com/@tancangdecor LAZADA: WEBSITE BÁN HÀNG: https://tancangdecor.com/</t>
        </is>
      </c>
      <c r="H2715" s="3" t="inlineStr">
        <is>
          <t>MD-80.25</t>
        </is>
      </c>
      <c r="I2715" s="4" t="inlineStr">
        <is>
          <t>Thước Cuộn tự hãm MD-80.25</t>
        </is>
      </c>
      <c r="J2715" s="3" t="inlineStr">
        <is>
          <t>Cái</t>
        </is>
      </c>
      <c r="K2715" s="5" t="n">
        <v>81000</v>
      </c>
      <c r="L2715" s="5" t="n">
        <v>96000</v>
      </c>
      <c r="M2715" s="6" t="n">
        <v>118000</v>
      </c>
      <c r="N2715" s="5" t="n"/>
      <c r="O2715" s="5">
        <f>IF(AND(ISNUMBER(N2715),ISNUMBER(M2715)),N2715-M2715,"")</f>
        <v/>
      </c>
      <c r="P2715" s="7">
        <f>IF(AND(ISNUMBER(N2715),ISNUMBER(M2715),M2715&gt;0),(N2715-M2715)/M2715,"")</f>
        <v/>
      </c>
      <c r="Q2715" s="3">
        <f>IF(P2715="","",IF(P2715&lt;-0.02,"🔴 Bán phá giá sàn",IF(P2715&gt;0.05,"🔵 Bán cao hơn","🟢 Đúng giá sàn TMĐT")))</f>
        <v/>
      </c>
      <c r="R2715" s="3" t="n"/>
      <c r="S2715" s="4" t="n"/>
      <c r="T2715" s="4" t="n"/>
    </row>
    <row r="2716">
      <c r="A2716" s="3" t="n">
        <v>2715</v>
      </c>
      <c r="B2716" s="3" t="inlineStr">
        <is>
          <t>DL024</t>
        </is>
      </c>
      <c r="C2716" s="4" t="inlineStr">
        <is>
          <t>ĐL Đà Nẵng - Tân Cảng Decor</t>
        </is>
      </c>
      <c r="D2716" s="3" t="inlineStr">
        <is>
          <t>Đà Nẵng</t>
        </is>
      </c>
      <c r="E2716" s="3" t="inlineStr">
        <is>
          <t>THÙY TRANG</t>
        </is>
      </c>
      <c r="F2716" s="3" t="inlineStr">
        <is>
          <t>Shopee, Tiktok, Website bán hàng</t>
        </is>
      </c>
      <c r="G2716" s="4" t="inlineStr">
        <is>
          <t>SHOPEE: https://shopee.vn/tancangdecorshop TIKTOK: https://www.tiktok.com/@tancangdecor LAZADA: WEBSITE BÁN HÀNG: https://tancangdecor.com/</t>
        </is>
      </c>
      <c r="H2716" s="3" t="inlineStr">
        <is>
          <t>KNZ-50X</t>
        </is>
      </c>
      <c r="I2716" s="4" t="inlineStr">
        <is>
          <t>Thước đo khoảng cách laser KNZ-50X</t>
        </is>
      </c>
      <c r="J2716" s="3" t="inlineStr">
        <is>
          <t>Cái</t>
        </is>
      </c>
      <c r="K2716" s="5" t="n">
        <v>560000</v>
      </c>
      <c r="L2716" s="5" t="n">
        <v>620000</v>
      </c>
      <c r="M2716" s="6" t="n">
        <v>720000</v>
      </c>
      <c r="N2716" s="5" t="n"/>
      <c r="O2716" s="5">
        <f>IF(AND(ISNUMBER(N2716),ISNUMBER(M2716)),N2716-M2716,"")</f>
        <v/>
      </c>
      <c r="P2716" s="7">
        <f>IF(AND(ISNUMBER(N2716),ISNUMBER(M2716),M2716&gt;0),(N2716-M2716)/M2716,"")</f>
        <v/>
      </c>
      <c r="Q2716" s="3">
        <f>IF(P2716="","",IF(P2716&lt;-0.02,"🔴 Bán phá giá sàn",IF(P2716&gt;0.05,"🔵 Bán cao hơn","🟢 Đúng giá sàn TMĐT")))</f>
        <v/>
      </c>
      <c r="R2716" s="3" t="n"/>
      <c r="S2716" s="4" t="n"/>
      <c r="T2716" s="4" t="n"/>
    </row>
    <row r="2717">
      <c r="A2717" s="3" t="n">
        <v>2716</v>
      </c>
      <c r="B2717" s="3" t="inlineStr">
        <is>
          <t>DL024</t>
        </is>
      </c>
      <c r="C2717" s="4" t="inlineStr">
        <is>
          <t>ĐL Đà Nẵng - Tân Cảng Decor</t>
        </is>
      </c>
      <c r="D2717" s="3" t="inlineStr">
        <is>
          <t>Đà Nẵng</t>
        </is>
      </c>
      <c r="E2717" s="3" t="inlineStr">
        <is>
          <t>THÙY TRANG</t>
        </is>
      </c>
      <c r="F2717" s="3" t="inlineStr">
        <is>
          <t>Shopee, Tiktok, Website bán hàng</t>
        </is>
      </c>
      <c r="G2717" s="4" t="inlineStr">
        <is>
          <t>SHOPEE: https://shopee.vn/tancangdecorshop TIKTOK: https://www.tiktok.com/@tancangdecor LAZADA: WEBSITE BÁN HÀNG: https://tancangdecor.com/</t>
        </is>
      </c>
      <c r="H2717" s="3" t="inlineStr">
        <is>
          <t>TKE-150</t>
        </is>
      </c>
      <c r="I2717" s="4" t="inlineStr">
        <is>
          <t>Thước kẹp điện tử TKE-150</t>
        </is>
      </c>
      <c r="J2717" s="3" t="inlineStr">
        <is>
          <t>Cái</t>
        </is>
      </c>
      <c r="K2717" s="5" t="n">
        <v>539000</v>
      </c>
      <c r="L2717" s="5" t="n">
        <v>636000</v>
      </c>
      <c r="M2717" s="6" t="n">
        <v>782000</v>
      </c>
      <c r="N2717" s="5" t="n"/>
      <c r="O2717" s="5">
        <f>IF(AND(ISNUMBER(N2717),ISNUMBER(M2717)),N2717-M2717,"")</f>
        <v/>
      </c>
      <c r="P2717" s="7">
        <f>IF(AND(ISNUMBER(N2717),ISNUMBER(M2717),M2717&gt;0),(N2717-M2717)/M2717,"")</f>
        <v/>
      </c>
      <c r="Q2717" s="3">
        <f>IF(P2717="","",IF(P2717&lt;-0.02,"🔴 Bán phá giá sàn",IF(P2717&gt;0.05,"🔵 Bán cao hơn","🟢 Đúng giá sàn TMĐT")))</f>
        <v/>
      </c>
      <c r="R2717" s="3" t="n"/>
      <c r="S2717" s="4" t="n"/>
      <c r="T2717" s="4" t="n"/>
    </row>
    <row r="2718">
      <c r="A2718" s="3" t="n">
        <v>2717</v>
      </c>
      <c r="B2718" s="3" t="inlineStr">
        <is>
          <t>DL024</t>
        </is>
      </c>
      <c r="C2718" s="4" t="inlineStr">
        <is>
          <t>ĐL Đà Nẵng - Tân Cảng Decor</t>
        </is>
      </c>
      <c r="D2718" s="3" t="inlineStr">
        <is>
          <t>Đà Nẵng</t>
        </is>
      </c>
      <c r="E2718" s="3" t="inlineStr">
        <is>
          <t>THÙY TRANG</t>
        </is>
      </c>
      <c r="F2718" s="3" t="inlineStr">
        <is>
          <t>Shopee, Tiktok, Website bán hàng</t>
        </is>
      </c>
      <c r="G2718" s="4" t="inlineStr">
        <is>
          <t>SHOPEE: https://shopee.vn/tancangdecorshop TIKTOK: https://www.tiktok.com/@tancangdecor LAZADA: WEBSITE BÁN HÀNG: https://tancangdecor.com/</t>
        </is>
      </c>
      <c r="H2718" s="3" t="inlineStr">
        <is>
          <t>KCR-200</t>
        </is>
      </c>
      <c r="I2718" s="4" t="inlineStr">
        <is>
          <t>Tời điện nâng hạ KCR-200</t>
        </is>
      </c>
      <c r="J2718" s="3" t="inlineStr">
        <is>
          <t>Cái</t>
        </is>
      </c>
      <c r="K2718" s="5" t="n">
        <v>269000</v>
      </c>
      <c r="L2718" s="5" t="n">
        <v>317000</v>
      </c>
      <c r="M2718" s="6" t="n">
        <v>390000</v>
      </c>
      <c r="N2718" s="5" t="n"/>
      <c r="O2718" s="5">
        <f>IF(AND(ISNUMBER(N2718),ISNUMBER(M2718)),N2718-M2718,"")</f>
        <v/>
      </c>
      <c r="P2718" s="7">
        <f>IF(AND(ISNUMBER(N2718),ISNUMBER(M2718),M2718&gt;0),(N2718-M2718)/M2718,"")</f>
        <v/>
      </c>
      <c r="Q2718" s="3">
        <f>IF(P2718="","",IF(P2718&lt;-0.02,"🔴 Bán phá giá sàn",IF(P2718&gt;0.05,"🔵 Bán cao hơn","🟢 Đúng giá sàn TMĐT")))</f>
        <v/>
      </c>
      <c r="R2718" s="3" t="n"/>
      <c r="S2718" s="4" t="n"/>
      <c r="T2718" s="4" t="n"/>
    </row>
    <row r="2719">
      <c r="A2719" s="3" t="n">
        <v>2718</v>
      </c>
      <c r="B2719" s="3" t="inlineStr">
        <is>
          <t>DL024</t>
        </is>
      </c>
      <c r="C2719" s="4" t="inlineStr">
        <is>
          <t>ĐL Đà Nẵng - Tân Cảng Decor</t>
        </is>
      </c>
      <c r="D2719" s="3" t="inlineStr">
        <is>
          <t>Đà Nẵng</t>
        </is>
      </c>
      <c r="E2719" s="3" t="inlineStr">
        <is>
          <t>THÙY TRANG</t>
        </is>
      </c>
      <c r="F2719" s="3" t="inlineStr">
        <is>
          <t>Shopee, Tiktok, Website bán hàng</t>
        </is>
      </c>
      <c r="G2719" s="4" t="inlineStr">
        <is>
          <t>SHOPEE: https://shopee.vn/tancangdecorshop TIKTOK: https://www.tiktok.com/@tancangdecor LAZADA: WEBSITE BÁN HÀNG: https://tancangdecor.com/</t>
        </is>
      </c>
      <c r="H2719" s="3" t="inlineStr">
        <is>
          <t>KCS-200</t>
        </is>
      </c>
      <c r="I2719" s="4" t="inlineStr">
        <is>
          <t>Tời điện nâng hạ KCS-200</t>
        </is>
      </c>
      <c r="J2719" s="3" t="inlineStr">
        <is>
          <t>Cái</t>
        </is>
      </c>
      <c r="K2719" s="5" t="n">
        <v>269000</v>
      </c>
      <c r="L2719" s="5" t="n">
        <v>317000</v>
      </c>
      <c r="M2719" s="6" t="n">
        <v>390000</v>
      </c>
      <c r="N2719" s="5" t="n"/>
      <c r="O2719" s="5">
        <f>IF(AND(ISNUMBER(N2719),ISNUMBER(M2719)),N2719-M2719,"")</f>
        <v/>
      </c>
      <c r="P2719" s="7">
        <f>IF(AND(ISNUMBER(N2719),ISNUMBER(M2719),M2719&gt;0),(N2719-M2719)/M2719,"")</f>
        <v/>
      </c>
      <c r="Q2719" s="3">
        <f>IF(P2719="","",IF(P2719&lt;-0.02,"🔴 Bán phá giá sàn",IF(P2719&gt;0.05,"🔵 Bán cao hơn","🟢 Đúng giá sàn TMĐT")))</f>
        <v/>
      </c>
      <c r="R2719" s="3" t="n"/>
      <c r="S2719" s="4" t="n"/>
      <c r="T2719" s="4" t="n"/>
    </row>
    <row r="2720">
      <c r="A2720" s="3" t="n">
        <v>2719</v>
      </c>
      <c r="B2720" s="3" t="inlineStr">
        <is>
          <t>DL024</t>
        </is>
      </c>
      <c r="C2720" s="4" t="inlineStr">
        <is>
          <t>ĐL Đà Nẵng - Tân Cảng Decor</t>
        </is>
      </c>
      <c r="D2720" s="3" t="inlineStr">
        <is>
          <t>Đà Nẵng</t>
        </is>
      </c>
      <c r="E2720" s="3" t="inlineStr">
        <is>
          <t>THÙY TRANG</t>
        </is>
      </c>
      <c r="F2720" s="3" t="inlineStr">
        <is>
          <t>Shopee, Tiktok, Website bán hàng</t>
        </is>
      </c>
      <c r="G2720" s="4" t="inlineStr">
        <is>
          <t>SHOPEE: https://shopee.vn/tancangdecorshop TIKTOK: https://www.tiktok.com/@tancangdecor LAZADA: WEBSITE BÁN HÀNG: https://tancangdecor.com/</t>
        </is>
      </c>
      <c r="H2720" s="3" t="inlineStr">
        <is>
          <t>KV4-6150</t>
        </is>
      </c>
      <c r="I2720" s="4" t="inlineStr">
        <is>
          <t>Tuốc nơ vít tự động 3 chức năng S2 KV4-6*150</t>
        </is>
      </c>
      <c r="J2720" s="3" t="inlineStr">
        <is>
          <t>Cái</t>
        </is>
      </c>
      <c r="K2720" s="5" t="n">
        <v>83000</v>
      </c>
      <c r="L2720" s="5" t="n">
        <v>98000</v>
      </c>
      <c r="M2720" s="6" t="n">
        <v>120000</v>
      </c>
      <c r="N2720" s="5" t="n"/>
      <c r="O2720" s="5">
        <f>IF(AND(ISNUMBER(N2720),ISNUMBER(M2720)),N2720-M2720,"")</f>
        <v/>
      </c>
      <c r="P2720" s="7">
        <f>IF(AND(ISNUMBER(N2720),ISNUMBER(M2720),M2720&gt;0),(N2720-M2720)/M2720,"")</f>
        <v/>
      </c>
      <c r="Q2720" s="3">
        <f>IF(P2720="","",IF(P2720&lt;-0.02,"🔴 Bán phá giá sàn",IF(P2720&gt;0.05,"🔵 Bán cao hơn","🟢 Đúng giá sàn TMĐT")))</f>
        <v/>
      </c>
      <c r="R2720" s="3" t="n"/>
      <c r="S2720" s="4" t="n"/>
      <c r="T2720" s="4" t="n"/>
    </row>
    <row r="2721">
      <c r="A2721" s="3" t="n">
        <v>2720</v>
      </c>
      <c r="B2721" s="3" t="inlineStr">
        <is>
          <t>DL025</t>
        </is>
      </c>
      <c r="C2721" s="4" t="inlineStr">
        <is>
          <t>Công ty cổ phần thiết bị kỹ thuật Tulex</t>
        </is>
      </c>
      <c r="D2721" s="3" t="inlineStr">
        <is>
          <t>HN</t>
        </is>
      </c>
      <c r="E2721" s="3" t="inlineStr">
        <is>
          <t>Lan</t>
        </is>
      </c>
      <c r="F2721" s="3" t="inlineStr">
        <is>
          <t>Website bán hàng</t>
        </is>
      </c>
      <c r="G2721" s="4" t="inlineStr">
        <is>
          <t>SHOPEE: TIKTOK: LAZADA: WEBSITE BÁN HÀNG: https://thietbitulex.com.vn/?srsltid=AU7gw4V3B543TL4FBNebsYEGpVie5EA6SPp6pgBovwWE13c7f_ty9e6R</t>
        </is>
      </c>
      <c r="H2721" s="3" t="inlineStr">
        <is>
          <t>KL5-09</t>
        </is>
      </c>
      <c r="I2721" s="4" t="inlineStr">
        <is>
          <t>Bộ lục giác KL5-09 ( đầu bi)</t>
        </is>
      </c>
      <c r="J2721" s="3" t="inlineStr">
        <is>
          <t>Cái</t>
        </is>
      </c>
      <c r="K2721" s="5" t="n">
        <v>269000</v>
      </c>
      <c r="L2721" s="5" t="n">
        <v>317000</v>
      </c>
      <c r="M2721" s="6" t="n">
        <v>390000</v>
      </c>
      <c r="N2721" s="5" t="n"/>
      <c r="O2721" s="5">
        <f>IF(AND(ISNUMBER(N2721),ISNUMBER(M2721)),N2721-M2721,"")</f>
        <v/>
      </c>
      <c r="P2721" s="7">
        <f>IF(AND(ISNUMBER(N2721),ISNUMBER(M2721),M2721&gt;0),(N2721-M2721)/M2721,"")</f>
        <v/>
      </c>
      <c r="Q2721" s="3">
        <f>IF(P2721="","",IF(P2721&lt;-0.02,"🔴 Bán phá giá sàn",IF(P2721&gt;0.05,"🔵 Bán cao hơn","🟢 Đúng giá sàn TMĐT")))</f>
        <v/>
      </c>
      <c r="R2721" s="3" t="n"/>
      <c r="S2721" s="4" t="n"/>
      <c r="T2721" s="4" t="n"/>
    </row>
    <row r="2722">
      <c r="A2722" s="3" t="n">
        <v>2721</v>
      </c>
      <c r="B2722" s="3" t="inlineStr">
        <is>
          <t>DL025</t>
        </is>
      </c>
      <c r="C2722" s="4" t="inlineStr">
        <is>
          <t>Công ty cổ phần thiết bị kỹ thuật Tulex</t>
        </is>
      </c>
      <c r="D2722" s="3" t="inlineStr">
        <is>
          <t>HN</t>
        </is>
      </c>
      <c r="E2722" s="3" t="inlineStr">
        <is>
          <t>Lan</t>
        </is>
      </c>
      <c r="F2722" s="3" t="inlineStr">
        <is>
          <t>Website bán hàng</t>
        </is>
      </c>
      <c r="G2722" s="4" t="inlineStr">
        <is>
          <t>SHOPEE: TIKTOK: LAZADA: WEBSITE BÁN HÀNG: https://thietbitulex.com.vn/?srsltid=AU7gw4V3B543TL4FBNebsYEGpVie5EA6SPp6pgBovwWE13c7f_ty9e6R</t>
        </is>
      </c>
      <c r="H2722" s="3" t="inlineStr">
        <is>
          <t>KL7-09</t>
        </is>
      </c>
      <c r="I2722" s="4" t="inlineStr">
        <is>
          <t>Bộ lục giác KL7-09 ( đầu bi)</t>
        </is>
      </c>
      <c r="J2722" s="3" t="inlineStr">
        <is>
          <t>Cái</t>
        </is>
      </c>
      <c r="K2722" s="5" t="n">
        <v>269000</v>
      </c>
      <c r="L2722" s="5" t="n">
        <v>317000</v>
      </c>
      <c r="M2722" s="6" t="n">
        <v>390000</v>
      </c>
      <c r="N2722" s="5" t="n"/>
      <c r="O2722" s="5">
        <f>IF(AND(ISNUMBER(N2722),ISNUMBER(M2722)),N2722-M2722,"")</f>
        <v/>
      </c>
      <c r="P2722" s="7">
        <f>IF(AND(ISNUMBER(N2722),ISNUMBER(M2722),M2722&gt;0),(N2722-M2722)/M2722,"")</f>
        <v/>
      </c>
      <c r="Q2722" s="3">
        <f>IF(P2722="","",IF(P2722&lt;-0.02,"🔴 Bán phá giá sàn",IF(P2722&gt;0.05,"🔵 Bán cao hơn","🟢 Đúng giá sàn TMĐT")))</f>
        <v/>
      </c>
      <c r="R2722" s="3" t="n"/>
      <c r="S2722" s="4" t="n"/>
      <c r="T2722" s="4" t="n"/>
    </row>
    <row r="2723">
      <c r="A2723" s="3" t="n">
        <v>2722</v>
      </c>
      <c r="B2723" s="3" t="inlineStr">
        <is>
          <t>DL025</t>
        </is>
      </c>
      <c r="C2723" s="4" t="inlineStr">
        <is>
          <t>Công ty cổ phần thiết bị kỹ thuật Tulex</t>
        </is>
      </c>
      <c r="D2723" s="3" t="inlineStr">
        <is>
          <t>HN</t>
        </is>
      </c>
      <c r="E2723" s="3" t="inlineStr">
        <is>
          <t>Lan</t>
        </is>
      </c>
      <c r="F2723" s="3" t="inlineStr">
        <is>
          <t>Website bán hàng</t>
        </is>
      </c>
      <c r="G2723" s="4" t="inlineStr">
        <is>
          <t>SHOPEE: TIKTOK: LAZADA: WEBSITE BÁN HÀNG: https://thietbitulex.com.vn/?srsltid=AU7gw4V3B543TL4FBNebsYEGpVie5EA6SPp6pgBovwWE13c7f_ty9e6R</t>
        </is>
      </c>
      <c r="H2723" s="3" t="inlineStr">
        <is>
          <t>KL9-09</t>
        </is>
      </c>
      <c r="I2723" s="4" t="inlineStr">
        <is>
          <t>Bộ lục giác KL9-09 (đầu hoa thị)</t>
        </is>
      </c>
      <c r="J2723" s="3" t="inlineStr">
        <is>
          <t>Cái</t>
        </is>
      </c>
      <c r="K2723" s="5" t="n">
        <v>269000</v>
      </c>
      <c r="L2723" s="5" t="n">
        <v>317000</v>
      </c>
      <c r="M2723" s="6" t="n">
        <v>390000</v>
      </c>
      <c r="N2723" s="5" t="n"/>
      <c r="O2723" s="5">
        <f>IF(AND(ISNUMBER(N2723),ISNUMBER(M2723)),N2723-M2723,"")</f>
        <v/>
      </c>
      <c r="P2723" s="7">
        <f>IF(AND(ISNUMBER(N2723),ISNUMBER(M2723),M2723&gt;0),(N2723-M2723)/M2723,"")</f>
        <v/>
      </c>
      <c r="Q2723" s="3">
        <f>IF(P2723="","",IF(P2723&lt;-0.02,"🔴 Bán phá giá sàn",IF(P2723&gt;0.05,"🔵 Bán cao hơn","🟢 Đúng giá sàn TMĐT")))</f>
        <v/>
      </c>
      <c r="R2723" s="3" t="n"/>
      <c r="S2723" s="4" t="n"/>
      <c r="T2723" s="4" t="n"/>
    </row>
    <row r="2724">
      <c r="A2724" s="3" t="n">
        <v>2723</v>
      </c>
      <c r="B2724" s="3" t="inlineStr">
        <is>
          <t>DL025</t>
        </is>
      </c>
      <c r="C2724" s="4" t="inlineStr">
        <is>
          <t>Công ty cổ phần thiết bị kỹ thuật Tulex</t>
        </is>
      </c>
      <c r="D2724" s="3" t="inlineStr">
        <is>
          <t>HN</t>
        </is>
      </c>
      <c r="E2724" s="3" t="inlineStr">
        <is>
          <t>Lan</t>
        </is>
      </c>
      <c r="F2724" s="3" t="inlineStr">
        <is>
          <t>Website bán hàng</t>
        </is>
      </c>
      <c r="G2724" s="4" t="inlineStr">
        <is>
          <t>SHOPEE: TIKTOK: LAZADA: WEBSITE BÁN HÀNG: https://thietbitulex.com.vn/?srsltid=AU7gw4V3B543TL4FBNebsYEGpVie5EA6SPp6pgBovwWE13c7f_ty9e6R</t>
        </is>
      </c>
      <c r="H2724" s="3" t="inlineStr">
        <is>
          <t>KIC140</t>
        </is>
      </c>
      <c r="I2724" s="4" t="inlineStr">
        <is>
          <t>Bút thử điện KIC140</t>
        </is>
      </c>
      <c r="J2724" s="3" t="inlineStr">
        <is>
          <t>Cái</t>
        </is>
      </c>
      <c r="K2724" s="5" t="n">
        <v>14000</v>
      </c>
      <c r="L2724" s="5" t="n">
        <v>16000</v>
      </c>
      <c r="M2724" s="6" t="n">
        <v>20000</v>
      </c>
      <c r="N2724" s="5" t="n"/>
      <c r="O2724" s="5">
        <f>IF(AND(ISNUMBER(N2724),ISNUMBER(M2724)),N2724-M2724,"")</f>
        <v/>
      </c>
      <c r="P2724" s="7">
        <f>IF(AND(ISNUMBER(N2724),ISNUMBER(M2724),M2724&gt;0),(N2724-M2724)/M2724,"")</f>
        <v/>
      </c>
      <c r="Q2724" s="3">
        <f>IF(P2724="","",IF(P2724&lt;-0.02,"🔴 Bán phá giá sàn",IF(P2724&gt;0.05,"🔵 Bán cao hơn","🟢 Đúng giá sàn TMĐT")))</f>
        <v/>
      </c>
      <c r="R2724" s="3" t="n"/>
      <c r="S2724" s="4" t="n"/>
      <c r="T2724" s="4" t="n"/>
    </row>
    <row r="2725">
      <c r="A2725" s="3" t="n">
        <v>2724</v>
      </c>
      <c r="B2725" s="3" t="inlineStr">
        <is>
          <t>DL025</t>
        </is>
      </c>
      <c r="C2725" s="4" t="inlineStr">
        <is>
          <t>Công ty cổ phần thiết bị kỹ thuật Tulex</t>
        </is>
      </c>
      <c r="D2725" s="3" t="inlineStr">
        <is>
          <t>HN</t>
        </is>
      </c>
      <c r="E2725" s="3" t="inlineStr">
        <is>
          <t>Lan</t>
        </is>
      </c>
      <c r="F2725" s="3" t="inlineStr">
        <is>
          <t>Website bán hàng</t>
        </is>
      </c>
      <c r="G2725" s="4" t="inlineStr">
        <is>
          <t>SHOPEE: TIKTOK: LAZADA: WEBSITE BÁN HÀNG: https://thietbitulex.com.vn/?srsltid=AU7gw4V3B543TL4FBNebsYEGpVie5EA6SPp6pgBovwWE13c7f_ty9e6R</t>
        </is>
      </c>
      <c r="H2725" s="3" t="inlineStr">
        <is>
          <t>SDST-M22</t>
        </is>
      </c>
      <c r="I2725" s="4" t="inlineStr">
        <is>
          <t>Chuôi khoan rút lõi gài SDST-M22</t>
        </is>
      </c>
      <c r="J2725" s="3" t="inlineStr">
        <is>
          <t>Cái</t>
        </is>
      </c>
      <c r="K2725" s="5" t="n">
        <v>24000</v>
      </c>
      <c r="L2725" s="5" t="n">
        <v>30000</v>
      </c>
      <c r="M2725" s="6" t="n">
        <v>38000</v>
      </c>
      <c r="N2725" s="5" t="n"/>
      <c r="O2725" s="5">
        <f>IF(AND(ISNUMBER(N2725),ISNUMBER(M2725)),N2725-M2725,"")</f>
        <v/>
      </c>
      <c r="P2725" s="7">
        <f>IF(AND(ISNUMBER(N2725),ISNUMBER(M2725),M2725&gt;0),(N2725-M2725)/M2725,"")</f>
        <v/>
      </c>
      <c r="Q2725" s="3">
        <f>IF(P2725="","",IF(P2725&lt;-0.02,"🔴 Bán phá giá sàn",IF(P2725&gt;0.05,"🔵 Bán cao hơn","🟢 Đúng giá sàn TMĐT")))</f>
        <v/>
      </c>
      <c r="R2725" s="3" t="n"/>
      <c r="S2725" s="4" t="n"/>
      <c r="T2725" s="4" t="n"/>
    </row>
    <row r="2726">
      <c r="A2726" s="3" t="n">
        <v>2725</v>
      </c>
      <c r="B2726" s="3" t="inlineStr">
        <is>
          <t>DL025</t>
        </is>
      </c>
      <c r="C2726" s="4" t="inlineStr">
        <is>
          <t>Công ty cổ phần thiết bị kỹ thuật Tulex</t>
        </is>
      </c>
      <c r="D2726" s="3" t="inlineStr">
        <is>
          <t>HN</t>
        </is>
      </c>
      <c r="E2726" s="3" t="inlineStr">
        <is>
          <t>Lan</t>
        </is>
      </c>
      <c r="F2726" s="3" t="inlineStr">
        <is>
          <t>Website bán hàng</t>
        </is>
      </c>
      <c r="G2726" s="4" t="inlineStr">
        <is>
          <t>SHOPEE: TIKTOK: LAZADA: WEBSITE BÁN HÀNG: https://thietbitulex.com.vn/?srsltid=AU7gw4V3B543TL4FBNebsYEGpVie5EA6SPp6pgBovwWE13c7f_ty9e6R</t>
        </is>
      </c>
      <c r="H2726" s="3" t="inlineStr">
        <is>
          <t>KH1-10</t>
        </is>
      </c>
      <c r="I2726" s="4" t="inlineStr">
        <is>
          <t>Cờ lê KH1-10</t>
        </is>
      </c>
      <c r="J2726" s="3" t="inlineStr">
        <is>
          <t>Cái</t>
        </is>
      </c>
      <c r="K2726" s="5" t="n">
        <v>24000</v>
      </c>
      <c r="L2726" s="5" t="n">
        <v>28000</v>
      </c>
      <c r="M2726" s="6" t="n">
        <v>35000</v>
      </c>
      <c r="N2726" s="5" t="n"/>
      <c r="O2726" s="5">
        <f>IF(AND(ISNUMBER(N2726),ISNUMBER(M2726)),N2726-M2726,"")</f>
        <v/>
      </c>
      <c r="P2726" s="7">
        <f>IF(AND(ISNUMBER(N2726),ISNUMBER(M2726),M2726&gt;0),(N2726-M2726)/M2726,"")</f>
        <v/>
      </c>
      <c r="Q2726" s="3">
        <f>IF(P2726="","",IF(P2726&lt;-0.02,"🔴 Bán phá giá sàn",IF(P2726&gt;0.05,"🔵 Bán cao hơn","🟢 Đúng giá sàn TMĐT")))</f>
        <v/>
      </c>
      <c r="R2726" s="3" t="n"/>
      <c r="S2726" s="4" t="n"/>
      <c r="T2726" s="4" t="n"/>
    </row>
    <row r="2727">
      <c r="A2727" s="3" t="n">
        <v>2726</v>
      </c>
      <c r="B2727" s="3" t="inlineStr">
        <is>
          <t>DL025</t>
        </is>
      </c>
      <c r="C2727" s="4" t="inlineStr">
        <is>
          <t>Công ty cổ phần thiết bị kỹ thuật Tulex</t>
        </is>
      </c>
      <c r="D2727" s="3" t="inlineStr">
        <is>
          <t>HN</t>
        </is>
      </c>
      <c r="E2727" s="3" t="inlineStr">
        <is>
          <t>Lan</t>
        </is>
      </c>
      <c r="F2727" s="3" t="inlineStr">
        <is>
          <t>Website bán hàng</t>
        </is>
      </c>
      <c r="G2727" s="4" t="inlineStr">
        <is>
          <t>SHOPEE: TIKTOK: LAZADA: WEBSITE BÁN HÀNG: https://thietbitulex.com.vn/?srsltid=AU7gw4V3B543TL4FBNebsYEGpVie5EA6SPp6pgBovwWE13c7f_ty9e6R</t>
        </is>
      </c>
      <c r="H2727" s="3" t="inlineStr">
        <is>
          <t>KH1-13</t>
        </is>
      </c>
      <c r="I2727" s="4" t="inlineStr">
        <is>
          <t>Cờ lê KH1-13</t>
        </is>
      </c>
      <c r="J2727" s="3" t="inlineStr">
        <is>
          <t>Cái</t>
        </is>
      </c>
      <c r="K2727" s="5" t="n">
        <v>28000</v>
      </c>
      <c r="L2727" s="5" t="n">
        <v>33000</v>
      </c>
      <c r="M2727" s="6" t="n">
        <v>41000</v>
      </c>
      <c r="N2727" s="5" t="n"/>
      <c r="O2727" s="5">
        <f>IF(AND(ISNUMBER(N2727),ISNUMBER(M2727)),N2727-M2727,"")</f>
        <v/>
      </c>
      <c r="P2727" s="7">
        <f>IF(AND(ISNUMBER(N2727),ISNUMBER(M2727),M2727&gt;0),(N2727-M2727)/M2727,"")</f>
        <v/>
      </c>
      <c r="Q2727" s="3">
        <f>IF(P2727="","",IF(P2727&lt;-0.02,"🔴 Bán phá giá sàn",IF(P2727&gt;0.05,"🔵 Bán cao hơn","🟢 Đúng giá sàn TMĐT")))</f>
        <v/>
      </c>
      <c r="R2727" s="3" t="n"/>
      <c r="S2727" s="4" t="n"/>
      <c r="T2727" s="4" t="n"/>
    </row>
    <row r="2728">
      <c r="A2728" s="3" t="n">
        <v>2727</v>
      </c>
      <c r="B2728" s="3" t="inlineStr">
        <is>
          <t>DL025</t>
        </is>
      </c>
      <c r="C2728" s="4" t="inlineStr">
        <is>
          <t>Công ty cổ phần thiết bị kỹ thuật Tulex</t>
        </is>
      </c>
      <c r="D2728" s="3" t="inlineStr">
        <is>
          <t>HN</t>
        </is>
      </c>
      <c r="E2728" s="3" t="inlineStr">
        <is>
          <t>Lan</t>
        </is>
      </c>
      <c r="F2728" s="3" t="inlineStr">
        <is>
          <t>Website bán hàng</t>
        </is>
      </c>
      <c r="G2728" s="4" t="inlineStr">
        <is>
          <t>SHOPEE: TIKTOK: LAZADA: WEBSITE BÁN HÀNG: https://thietbitulex.com.vn/?srsltid=AU7gw4V3B543TL4FBNebsYEGpVie5EA6SPp6pgBovwWE13c7f_ty9e6R</t>
        </is>
      </c>
      <c r="H2728" s="3" t="inlineStr">
        <is>
          <t>KH1-17</t>
        </is>
      </c>
      <c r="I2728" s="4" t="inlineStr">
        <is>
          <t>Cờ lê KH1-17</t>
        </is>
      </c>
      <c r="J2728" s="3" t="inlineStr">
        <is>
          <t>Cái</t>
        </is>
      </c>
      <c r="K2728" s="5" t="n">
        <v>40000</v>
      </c>
      <c r="L2728" s="5" t="n">
        <v>47000</v>
      </c>
      <c r="M2728" s="6" t="n">
        <v>58000</v>
      </c>
      <c r="N2728" s="5" t="n"/>
      <c r="O2728" s="5">
        <f>IF(AND(ISNUMBER(N2728),ISNUMBER(M2728)),N2728-M2728,"")</f>
        <v/>
      </c>
      <c r="P2728" s="7">
        <f>IF(AND(ISNUMBER(N2728),ISNUMBER(M2728),M2728&gt;0),(N2728-M2728)/M2728,"")</f>
        <v/>
      </c>
      <c r="Q2728" s="3">
        <f>IF(P2728="","",IF(P2728&lt;-0.02,"🔴 Bán phá giá sàn",IF(P2728&gt;0.05,"🔵 Bán cao hơn","🟢 Đúng giá sàn TMĐT")))</f>
        <v/>
      </c>
      <c r="R2728" s="3" t="n"/>
      <c r="S2728" s="4" t="n"/>
      <c r="T2728" s="4" t="n"/>
    </row>
    <row r="2729">
      <c r="A2729" s="3" t="n">
        <v>2728</v>
      </c>
      <c r="B2729" s="3" t="inlineStr">
        <is>
          <t>DL025</t>
        </is>
      </c>
      <c r="C2729" s="4" t="inlineStr">
        <is>
          <t>Công ty cổ phần thiết bị kỹ thuật Tulex</t>
        </is>
      </c>
      <c r="D2729" s="3" t="inlineStr">
        <is>
          <t>HN</t>
        </is>
      </c>
      <c r="E2729" s="3" t="inlineStr">
        <is>
          <t>Lan</t>
        </is>
      </c>
      <c r="F2729" s="3" t="inlineStr">
        <is>
          <t>Website bán hàng</t>
        </is>
      </c>
      <c r="G2729" s="4" t="inlineStr">
        <is>
          <t>SHOPEE: TIKTOK: LAZADA: WEBSITE BÁN HÀNG: https://thietbitulex.com.vn/?srsltid=AU7gw4V3B543TL4FBNebsYEGpVie5EA6SPp6pgBovwWE13c7f_ty9e6R</t>
        </is>
      </c>
      <c r="H2729" s="3" t="inlineStr">
        <is>
          <t>KH1-19</t>
        </is>
      </c>
      <c r="I2729" s="4" t="inlineStr">
        <is>
          <t>Cờ lê KH1-19</t>
        </is>
      </c>
      <c r="J2729" s="3" t="inlineStr">
        <is>
          <t>Cái</t>
        </is>
      </c>
      <c r="K2729" s="5" t="n">
        <v>44000</v>
      </c>
      <c r="L2729" s="5" t="n">
        <v>52000</v>
      </c>
      <c r="M2729" s="6" t="n">
        <v>64000</v>
      </c>
      <c r="N2729" s="5" t="n"/>
      <c r="O2729" s="5">
        <f>IF(AND(ISNUMBER(N2729),ISNUMBER(M2729)),N2729-M2729,"")</f>
        <v/>
      </c>
      <c r="P2729" s="7">
        <f>IF(AND(ISNUMBER(N2729),ISNUMBER(M2729),M2729&gt;0),(N2729-M2729)/M2729,"")</f>
        <v/>
      </c>
      <c r="Q2729" s="3">
        <f>IF(P2729="","",IF(P2729&lt;-0.02,"🔴 Bán phá giá sàn",IF(P2729&gt;0.05,"🔵 Bán cao hơn","🟢 Đúng giá sàn TMĐT")))</f>
        <v/>
      </c>
      <c r="R2729" s="3" t="n"/>
      <c r="S2729" s="4" t="n"/>
      <c r="T2729" s="4" t="n"/>
    </row>
    <row r="2730">
      <c r="A2730" s="3" t="n">
        <v>2729</v>
      </c>
      <c r="B2730" s="3" t="inlineStr">
        <is>
          <t>DL025</t>
        </is>
      </c>
      <c r="C2730" s="4" t="inlineStr">
        <is>
          <t>Công ty cổ phần thiết bị kỹ thuật Tulex</t>
        </is>
      </c>
      <c r="D2730" s="3" t="inlineStr">
        <is>
          <t>HN</t>
        </is>
      </c>
      <c r="E2730" s="3" t="inlineStr">
        <is>
          <t>Lan</t>
        </is>
      </c>
      <c r="F2730" s="3" t="inlineStr">
        <is>
          <t>Website bán hàng</t>
        </is>
      </c>
      <c r="G2730" s="4" t="inlineStr">
        <is>
          <t>SHOPEE: TIKTOK: LAZADA: WEBSITE BÁN HÀNG: https://thietbitulex.com.vn/?srsltid=AU7gw4V3B543TL4FBNebsYEGpVie5EA6SPp6pgBovwWE13c7f_ty9e6R</t>
        </is>
      </c>
      <c r="H2730" s="3" t="inlineStr">
        <is>
          <t>KH1-22</t>
        </is>
      </c>
      <c r="I2730" s="4" t="inlineStr">
        <is>
          <t>Cờ lê KH1-22</t>
        </is>
      </c>
      <c r="J2730" s="3" t="inlineStr">
        <is>
          <t>Cái</t>
        </is>
      </c>
      <c r="K2730" s="5" t="n">
        <v>59000</v>
      </c>
      <c r="L2730" s="5" t="n">
        <v>70000</v>
      </c>
      <c r="M2730" s="6" t="n">
        <v>86000</v>
      </c>
      <c r="N2730" s="5" t="n"/>
      <c r="O2730" s="5">
        <f>IF(AND(ISNUMBER(N2730),ISNUMBER(M2730)),N2730-M2730,"")</f>
        <v/>
      </c>
      <c r="P2730" s="7">
        <f>IF(AND(ISNUMBER(N2730),ISNUMBER(M2730),M2730&gt;0),(N2730-M2730)/M2730,"")</f>
        <v/>
      </c>
      <c r="Q2730" s="3">
        <f>IF(P2730="","",IF(P2730&lt;-0.02,"🔴 Bán phá giá sàn",IF(P2730&gt;0.05,"🔵 Bán cao hơn","🟢 Đúng giá sàn TMĐT")))</f>
        <v/>
      </c>
      <c r="R2730" s="3" t="n"/>
      <c r="S2730" s="4" t="n"/>
      <c r="T2730" s="4" t="n"/>
    </row>
    <row r="2731">
      <c r="A2731" s="3" t="n">
        <v>2730</v>
      </c>
      <c r="B2731" s="3" t="inlineStr">
        <is>
          <t>DL025</t>
        </is>
      </c>
      <c r="C2731" s="4" t="inlineStr">
        <is>
          <t>Công ty cổ phần thiết bị kỹ thuật Tulex</t>
        </is>
      </c>
      <c r="D2731" s="3" t="inlineStr">
        <is>
          <t>HN</t>
        </is>
      </c>
      <c r="E2731" s="3" t="inlineStr">
        <is>
          <t>Lan</t>
        </is>
      </c>
      <c r="F2731" s="3" t="inlineStr">
        <is>
          <t>Website bán hàng</t>
        </is>
      </c>
      <c r="G2731" s="4" t="inlineStr">
        <is>
          <t>SHOPEE: TIKTOK: LAZADA: WEBSITE BÁN HÀNG: https://thietbitulex.com.vn/?srsltid=AU7gw4V3B543TL4FBNebsYEGpVie5EA6SPp6pgBovwWE13c7f_ty9e6R</t>
        </is>
      </c>
      <c r="H2731" s="3" t="inlineStr">
        <is>
          <t>KH1-24</t>
        </is>
      </c>
      <c r="I2731" s="4" t="inlineStr">
        <is>
          <t>Cờ lê KH1-24</t>
        </is>
      </c>
      <c r="J2731" s="3" t="inlineStr">
        <is>
          <t>Cái</t>
        </is>
      </c>
      <c r="K2731" s="5" t="n">
        <v>76000</v>
      </c>
      <c r="L2731" s="5" t="n">
        <v>90000</v>
      </c>
      <c r="M2731" s="6" t="n">
        <v>110000</v>
      </c>
      <c r="N2731" s="5" t="n"/>
      <c r="O2731" s="5">
        <f>IF(AND(ISNUMBER(N2731),ISNUMBER(M2731)),N2731-M2731,"")</f>
        <v/>
      </c>
      <c r="P2731" s="7">
        <f>IF(AND(ISNUMBER(N2731),ISNUMBER(M2731),M2731&gt;0),(N2731-M2731)/M2731,"")</f>
        <v/>
      </c>
      <c r="Q2731" s="3">
        <f>IF(P2731="","",IF(P2731&lt;-0.02,"🔴 Bán phá giá sàn",IF(P2731&gt;0.05,"🔵 Bán cao hơn","🟢 Đúng giá sàn TMĐT")))</f>
        <v/>
      </c>
      <c r="R2731" s="3" t="n"/>
      <c r="S2731" s="4" t="n"/>
      <c r="T2731" s="4" t="n"/>
    </row>
    <row r="2732">
      <c r="A2732" s="3" t="n">
        <v>2731</v>
      </c>
      <c r="B2732" s="3" t="inlineStr">
        <is>
          <t>DL025</t>
        </is>
      </c>
      <c r="C2732" s="4" t="inlineStr">
        <is>
          <t>Công ty cổ phần thiết bị kỹ thuật Tulex</t>
        </is>
      </c>
      <c r="D2732" s="3" t="inlineStr">
        <is>
          <t>HN</t>
        </is>
      </c>
      <c r="E2732" s="3" t="inlineStr">
        <is>
          <t>Lan</t>
        </is>
      </c>
      <c r="F2732" s="3" t="inlineStr">
        <is>
          <t>Website bán hàng</t>
        </is>
      </c>
      <c r="G2732" s="4" t="inlineStr">
        <is>
          <t>SHOPEE: TIKTOK: LAZADA: WEBSITE BÁN HÀNG: https://thietbitulex.com.vn/?srsltid=AU7gw4V3B543TL4FBNebsYEGpVie5EA6SPp6pgBovwWE13c7f_ty9e6R</t>
        </is>
      </c>
      <c r="H2732" s="3" t="inlineStr">
        <is>
          <t>KH1-27</t>
        </is>
      </c>
      <c r="I2732" s="4" t="inlineStr">
        <is>
          <t>Cờ lê KH1-27</t>
        </is>
      </c>
      <c r="J2732" s="3" t="inlineStr">
        <is>
          <t>Cái</t>
        </is>
      </c>
      <c r="K2732" s="5" t="n">
        <v>92000</v>
      </c>
      <c r="L2732" s="5" t="n">
        <v>108000</v>
      </c>
      <c r="M2732" s="6" t="n">
        <v>133000</v>
      </c>
      <c r="N2732" s="5" t="n"/>
      <c r="O2732" s="5">
        <f>IF(AND(ISNUMBER(N2732),ISNUMBER(M2732)),N2732-M2732,"")</f>
        <v/>
      </c>
      <c r="P2732" s="7">
        <f>IF(AND(ISNUMBER(N2732),ISNUMBER(M2732),M2732&gt;0),(N2732-M2732)/M2732,"")</f>
        <v/>
      </c>
      <c r="Q2732" s="3">
        <f>IF(P2732="","",IF(P2732&lt;-0.02,"🔴 Bán phá giá sàn",IF(P2732&gt;0.05,"🔵 Bán cao hơn","🟢 Đúng giá sàn TMĐT")))</f>
        <v/>
      </c>
      <c r="R2732" s="3" t="n"/>
      <c r="S2732" s="4" t="n"/>
      <c r="T2732" s="4" t="n"/>
    </row>
    <row r="2733">
      <c r="A2733" s="3" t="n">
        <v>2732</v>
      </c>
      <c r="B2733" s="3" t="inlineStr">
        <is>
          <t>DL025</t>
        </is>
      </c>
      <c r="C2733" s="4" t="inlineStr">
        <is>
          <t>Công ty cổ phần thiết bị kỹ thuật Tulex</t>
        </is>
      </c>
      <c r="D2733" s="3" t="inlineStr">
        <is>
          <t>HN</t>
        </is>
      </c>
      <c r="E2733" s="3" t="inlineStr">
        <is>
          <t>Lan</t>
        </is>
      </c>
      <c r="F2733" s="3" t="inlineStr">
        <is>
          <t>Website bán hàng</t>
        </is>
      </c>
      <c r="G2733" s="4" t="inlineStr">
        <is>
          <t>SHOPEE: TIKTOK: LAZADA: WEBSITE BÁN HÀNG: https://thietbitulex.com.vn/?srsltid=AU7gw4V3B543TL4FBNebsYEGpVie5EA6SPp6pgBovwWE13c7f_ty9e6R</t>
        </is>
      </c>
      <c r="H2733" s="3" t="inlineStr">
        <is>
          <t>KH3-13</t>
        </is>
      </c>
      <c r="I2733" s="4" t="inlineStr">
        <is>
          <t>Cờ lê vòng miệng tự động ( càng cua đảo chiều) KH3-13</t>
        </is>
      </c>
      <c r="J2733" s="3" t="inlineStr">
        <is>
          <t>Cái</t>
        </is>
      </c>
      <c r="K2733" s="5" t="n">
        <v>75000</v>
      </c>
      <c r="L2733" s="5" t="n">
        <v>89000</v>
      </c>
      <c r="M2733" s="6" t="n">
        <v>109000</v>
      </c>
      <c r="N2733" s="5" t="n"/>
      <c r="O2733" s="5">
        <f>IF(AND(ISNUMBER(N2733),ISNUMBER(M2733)),N2733-M2733,"")</f>
        <v/>
      </c>
      <c r="P2733" s="7">
        <f>IF(AND(ISNUMBER(N2733),ISNUMBER(M2733),M2733&gt;0),(N2733-M2733)/M2733,"")</f>
        <v/>
      </c>
      <c r="Q2733" s="3">
        <f>IF(P2733="","",IF(P2733&lt;-0.02,"🔴 Bán phá giá sàn",IF(P2733&gt;0.05,"🔵 Bán cao hơn","🟢 Đúng giá sàn TMĐT")))</f>
        <v/>
      </c>
      <c r="R2733" s="3" t="n"/>
      <c r="S2733" s="4" t="n"/>
      <c r="T2733" s="4" t="n"/>
    </row>
    <row r="2734">
      <c r="A2734" s="3" t="n">
        <v>2733</v>
      </c>
      <c r="B2734" s="3" t="inlineStr">
        <is>
          <t>DL025</t>
        </is>
      </c>
      <c r="C2734" s="4" t="inlineStr">
        <is>
          <t>Công ty cổ phần thiết bị kỹ thuật Tulex</t>
        </is>
      </c>
      <c r="D2734" s="3" t="inlineStr">
        <is>
          <t>HN</t>
        </is>
      </c>
      <c r="E2734" s="3" t="inlineStr">
        <is>
          <t>Lan</t>
        </is>
      </c>
      <c r="F2734" s="3" t="inlineStr">
        <is>
          <t>Website bán hàng</t>
        </is>
      </c>
      <c r="G2734" s="4" t="inlineStr">
        <is>
          <t>SHOPEE: TIKTOK: LAZADA: WEBSITE BÁN HÀNG: https://thietbitulex.com.vn/?srsltid=AU7gw4V3B543TL4FBNebsYEGpVie5EA6SPp6pgBovwWE13c7f_ty9e6R</t>
        </is>
      </c>
      <c r="H2734" s="3" t="inlineStr">
        <is>
          <t>KH3-17</t>
        </is>
      </c>
      <c r="I2734" s="4" t="inlineStr">
        <is>
          <t>Cờ lê vòng miệng tự động ( càng cua đảo chiều) KH3-17</t>
        </is>
      </c>
      <c r="J2734" s="3" t="inlineStr">
        <is>
          <t>Cái</t>
        </is>
      </c>
      <c r="K2734" s="5" t="n">
        <v>97000</v>
      </c>
      <c r="L2734" s="5" t="n">
        <v>115000</v>
      </c>
      <c r="M2734" s="6" t="n">
        <v>141000</v>
      </c>
      <c r="N2734" s="5" t="n"/>
      <c r="O2734" s="5">
        <f>IF(AND(ISNUMBER(N2734),ISNUMBER(M2734)),N2734-M2734,"")</f>
        <v/>
      </c>
      <c r="P2734" s="7">
        <f>IF(AND(ISNUMBER(N2734),ISNUMBER(M2734),M2734&gt;0),(N2734-M2734)/M2734,"")</f>
        <v/>
      </c>
      <c r="Q2734" s="3">
        <f>IF(P2734="","",IF(P2734&lt;-0.02,"🔴 Bán phá giá sàn",IF(P2734&gt;0.05,"🔵 Bán cao hơn","🟢 Đúng giá sàn TMĐT")))</f>
        <v/>
      </c>
      <c r="R2734" s="3" t="n"/>
      <c r="S2734" s="4" t="n"/>
      <c r="T2734" s="4" t="n"/>
    </row>
    <row r="2735">
      <c r="A2735" s="3" t="n">
        <v>2734</v>
      </c>
      <c r="B2735" s="3" t="inlineStr">
        <is>
          <t>DL025</t>
        </is>
      </c>
      <c r="C2735" s="4" t="inlineStr">
        <is>
          <t>Công ty cổ phần thiết bị kỹ thuật Tulex</t>
        </is>
      </c>
      <c r="D2735" s="3" t="inlineStr">
        <is>
          <t>HN</t>
        </is>
      </c>
      <c r="E2735" s="3" t="inlineStr">
        <is>
          <t>Lan</t>
        </is>
      </c>
      <c r="F2735" s="3" t="inlineStr">
        <is>
          <t>Website bán hàng</t>
        </is>
      </c>
      <c r="G2735" s="4" t="inlineStr">
        <is>
          <t>SHOPEE: TIKTOK: LAZADA: WEBSITE BÁN HÀNG: https://thietbitulex.com.vn/?srsltid=AU7gw4V3B543TL4FBNebsYEGpVie5EA6SPp6pgBovwWE13c7f_ty9e6R</t>
        </is>
      </c>
      <c r="H2735" s="3" t="inlineStr">
        <is>
          <t>D1-107x1.2</t>
        </is>
      </c>
      <c r="I2735" s="4" t="inlineStr">
        <is>
          <t>Đá cắt sắt, inox KingBlue D1-107x1.2 xanh (Hộp sắt)</t>
        </is>
      </c>
      <c r="J2735" s="3" t="inlineStr">
        <is>
          <t>Cái</t>
        </is>
      </c>
      <c r="K2735" s="5" t="n">
        <v>4000</v>
      </c>
      <c r="L2735" s="5" t="n">
        <v>5000</v>
      </c>
      <c r="M2735" s="6" t="n">
        <v>6500</v>
      </c>
      <c r="N2735" s="5" t="n"/>
      <c r="O2735" s="5">
        <f>IF(AND(ISNUMBER(N2735),ISNUMBER(M2735)),N2735-M2735,"")</f>
        <v/>
      </c>
      <c r="P2735" s="7">
        <f>IF(AND(ISNUMBER(N2735),ISNUMBER(M2735),M2735&gt;0),(N2735-M2735)/M2735,"")</f>
        <v/>
      </c>
      <c r="Q2735" s="3">
        <f>IF(P2735="","",IF(P2735&lt;-0.02,"🔴 Bán phá giá sàn",IF(P2735&gt;0.05,"🔵 Bán cao hơn","🟢 Đúng giá sàn TMĐT")))</f>
        <v/>
      </c>
      <c r="R2735" s="3" t="n"/>
      <c r="S2735" s="4" t="n"/>
      <c r="T2735" s="4" t="n"/>
    </row>
    <row r="2736">
      <c r="A2736" s="3" t="n">
        <v>2735</v>
      </c>
      <c r="B2736" s="3" t="inlineStr">
        <is>
          <t>DL025</t>
        </is>
      </c>
      <c r="C2736" s="4" t="inlineStr">
        <is>
          <t>Công ty cổ phần thiết bị kỹ thuật Tulex</t>
        </is>
      </c>
      <c r="D2736" s="3" t="inlineStr">
        <is>
          <t>HN</t>
        </is>
      </c>
      <c r="E2736" s="3" t="inlineStr">
        <is>
          <t>Lan</t>
        </is>
      </c>
      <c r="F2736" s="3" t="inlineStr">
        <is>
          <t>Website bán hàng</t>
        </is>
      </c>
      <c r="G2736" s="4" t="inlineStr">
        <is>
          <t>SHOPEE: TIKTOK: LAZADA: WEBSITE BÁN HÀNG: https://thietbitulex.com.vn/?srsltid=AU7gw4V3B543TL4FBNebsYEGpVie5EA6SPp6pgBovwWE13c7f_ty9e6R</t>
        </is>
      </c>
      <c r="H2736" s="3" t="inlineStr">
        <is>
          <t>KPG-032</t>
        </is>
      </c>
      <c r="I2736" s="4" t="inlineStr">
        <is>
          <t>Dao cắt ống kim loại KPG-032</t>
        </is>
      </c>
      <c r="J2736" s="3" t="inlineStr">
        <is>
          <t>Cái</t>
        </is>
      </c>
      <c r="K2736" s="5" t="n">
        <v>259000</v>
      </c>
      <c r="L2736" s="5" t="n">
        <v>306000</v>
      </c>
      <c r="M2736" s="6" t="n">
        <v>376000</v>
      </c>
      <c r="N2736" s="5" t="n"/>
      <c r="O2736" s="5">
        <f>IF(AND(ISNUMBER(N2736),ISNUMBER(M2736)),N2736-M2736,"")</f>
        <v/>
      </c>
      <c r="P2736" s="7">
        <f>IF(AND(ISNUMBER(N2736),ISNUMBER(M2736),M2736&gt;0),(N2736-M2736)/M2736,"")</f>
        <v/>
      </c>
      <c r="Q2736" s="3">
        <f>IF(P2736="","",IF(P2736&lt;-0.02,"🔴 Bán phá giá sàn",IF(P2736&gt;0.05,"🔵 Bán cao hơn","🟢 Đúng giá sàn TMĐT")))</f>
        <v/>
      </c>
      <c r="R2736" s="3" t="n"/>
      <c r="S2736" s="4" t="n"/>
      <c r="T2736" s="4" t="n"/>
    </row>
    <row r="2737">
      <c r="A2737" s="3" t="n">
        <v>2736</v>
      </c>
      <c r="B2737" s="3" t="inlineStr">
        <is>
          <t>DL025</t>
        </is>
      </c>
      <c r="C2737" s="4" t="inlineStr">
        <is>
          <t>Công ty cổ phần thiết bị kỹ thuật Tulex</t>
        </is>
      </c>
      <c r="D2737" s="3" t="inlineStr">
        <is>
          <t>HN</t>
        </is>
      </c>
      <c r="E2737" s="3" t="inlineStr">
        <is>
          <t>Lan</t>
        </is>
      </c>
      <c r="F2737" s="3" t="inlineStr">
        <is>
          <t>Website bán hàng</t>
        </is>
      </c>
      <c r="G2737" s="4" t="inlineStr">
        <is>
          <t>SHOPEE: TIKTOK: LAZADA: WEBSITE BÁN HÀNG: https://thietbitulex.com.vn/?srsltid=AU7gw4V3B543TL4FBNebsYEGpVie5EA6SPp6pgBovwWE13c7f_ty9e6R</t>
        </is>
      </c>
      <c r="H2737" s="3" t="inlineStr">
        <is>
          <t>KPC-042</t>
        </is>
      </c>
      <c r="I2737" s="4" t="inlineStr">
        <is>
          <t>Kéo cắt ống KPC-042 (NEW)</t>
        </is>
      </c>
      <c r="J2737" s="3" t="inlineStr">
        <is>
          <t>Cái</t>
        </is>
      </c>
      <c r="K2737" s="5" t="n">
        <v>102000</v>
      </c>
      <c r="L2737" s="5" t="n">
        <v>120000</v>
      </c>
      <c r="M2737" s="6" t="n">
        <v>148000</v>
      </c>
      <c r="N2737" s="5" t="n"/>
      <c r="O2737" s="5">
        <f>IF(AND(ISNUMBER(N2737),ISNUMBER(M2737)),N2737-M2737,"")</f>
        <v/>
      </c>
      <c r="P2737" s="7">
        <f>IF(AND(ISNUMBER(N2737),ISNUMBER(M2737),M2737&gt;0),(N2737-M2737)/M2737,"")</f>
        <v/>
      </c>
      <c r="Q2737" s="3">
        <f>IF(P2737="","",IF(P2737&lt;-0.02,"🔴 Bán phá giá sàn",IF(P2737&gt;0.05,"🔵 Bán cao hơn","🟢 Đúng giá sàn TMĐT")))</f>
        <v/>
      </c>
      <c r="R2737" s="3" t="n"/>
      <c r="S2737" s="4" t="n"/>
      <c r="T2737" s="4" t="n"/>
    </row>
    <row r="2738">
      <c r="A2738" s="3" t="n">
        <v>2737</v>
      </c>
      <c r="B2738" s="3" t="inlineStr">
        <is>
          <t>DL025</t>
        </is>
      </c>
      <c r="C2738" s="4" t="inlineStr">
        <is>
          <t>Công ty cổ phần thiết bị kỹ thuật Tulex</t>
        </is>
      </c>
      <c r="D2738" s="3" t="inlineStr">
        <is>
          <t>HN</t>
        </is>
      </c>
      <c r="E2738" s="3" t="inlineStr">
        <is>
          <t>Lan</t>
        </is>
      </c>
      <c r="F2738" s="3" t="inlineStr">
        <is>
          <t>Website bán hàng</t>
        </is>
      </c>
      <c r="G2738" s="4" t="inlineStr">
        <is>
          <t>SHOPEE: TIKTOK: LAZADA: WEBSITE BÁN HÀNG: https://thietbitulex.com.vn/?srsltid=AU7gw4V3B543TL4FBNebsYEGpVie5EA6SPp6pgBovwWE13c7f_ty9e6R</t>
        </is>
      </c>
      <c r="H2738" s="3" t="inlineStr">
        <is>
          <t>KPC-132</t>
        </is>
      </c>
      <c r="I2738" s="4" t="inlineStr">
        <is>
          <t>Kéo cắt ống KPC-132</t>
        </is>
      </c>
      <c r="J2738" s="3" t="inlineStr">
        <is>
          <t>Cái</t>
        </is>
      </c>
      <c r="K2738" s="5" t="n">
        <v>101000</v>
      </c>
      <c r="L2738" s="5" t="n">
        <v>119000</v>
      </c>
      <c r="M2738" s="6" t="n">
        <v>147000</v>
      </c>
      <c r="N2738" s="5" t="n"/>
      <c r="O2738" s="5">
        <f>IF(AND(ISNUMBER(N2738),ISNUMBER(M2738)),N2738-M2738,"")</f>
        <v/>
      </c>
      <c r="P2738" s="7">
        <f>IF(AND(ISNUMBER(N2738),ISNUMBER(M2738),M2738&gt;0),(N2738-M2738)/M2738,"")</f>
        <v/>
      </c>
      <c r="Q2738" s="3">
        <f>IF(P2738="","",IF(P2738&lt;-0.02,"🔴 Bán phá giá sàn",IF(P2738&gt;0.05,"🔵 Bán cao hơn","🟢 Đúng giá sàn TMĐT")))</f>
        <v/>
      </c>
      <c r="R2738" s="3" t="n"/>
      <c r="S2738" s="4" t="n"/>
      <c r="T2738" s="4" t="n"/>
    </row>
    <row r="2739">
      <c r="A2739" s="3" t="n">
        <v>2738</v>
      </c>
      <c r="B2739" s="3" t="inlineStr">
        <is>
          <t>DL025</t>
        </is>
      </c>
      <c r="C2739" s="4" t="inlineStr">
        <is>
          <t>Công ty cổ phần thiết bị kỹ thuật Tulex</t>
        </is>
      </c>
      <c r="D2739" s="3" t="inlineStr">
        <is>
          <t>HN</t>
        </is>
      </c>
      <c r="E2739" s="3" t="inlineStr">
        <is>
          <t>Lan</t>
        </is>
      </c>
      <c r="F2739" s="3" t="inlineStr">
        <is>
          <t>Website bán hàng</t>
        </is>
      </c>
      <c r="G2739" s="4" t="inlineStr">
        <is>
          <t>SHOPEE: TIKTOK: LAZADA: WEBSITE BÁN HÀNG: https://thietbitulex.com.vn/?srsltid=AU7gw4V3B543TL4FBNebsYEGpVie5EA6SPp6pgBovwWE13c7f_ty9e6R</t>
        </is>
      </c>
      <c r="H2739" s="3" t="inlineStr">
        <is>
          <t>KBY2-035CO</t>
        </is>
      </c>
      <c r="I2739" s="4" t="inlineStr">
        <is>
          <t>Khoan inox KingBlue KBY2-035CO</t>
        </is>
      </c>
      <c r="J2739" s="3" t="inlineStr">
        <is>
          <t>Cái</t>
        </is>
      </c>
      <c r="K2739" s="5" t="n">
        <v>13000</v>
      </c>
      <c r="L2739" s="5" t="n">
        <v>16000</v>
      </c>
      <c r="M2739" s="6" t="n">
        <v>21000</v>
      </c>
      <c r="N2739" s="5" t="n"/>
      <c r="O2739" s="5">
        <f>IF(AND(ISNUMBER(N2739),ISNUMBER(M2739)),N2739-M2739,"")</f>
        <v/>
      </c>
      <c r="P2739" s="7">
        <f>IF(AND(ISNUMBER(N2739),ISNUMBER(M2739),M2739&gt;0),(N2739-M2739)/M2739,"")</f>
        <v/>
      </c>
      <c r="Q2739" s="3">
        <f>IF(P2739="","",IF(P2739&lt;-0.02,"🔴 Bán phá giá sàn",IF(P2739&gt;0.05,"🔵 Bán cao hơn","🟢 Đúng giá sàn TMĐT")))</f>
        <v/>
      </c>
      <c r="R2739" s="3" t="n"/>
      <c r="S2739" s="4" t="n"/>
      <c r="T2739" s="4" t="n"/>
    </row>
    <row r="2740">
      <c r="A2740" s="3" t="n">
        <v>2739</v>
      </c>
      <c r="B2740" s="3" t="inlineStr">
        <is>
          <t>DL025</t>
        </is>
      </c>
      <c r="C2740" s="4" t="inlineStr">
        <is>
          <t>Công ty cổ phần thiết bị kỹ thuật Tulex</t>
        </is>
      </c>
      <c r="D2740" s="3" t="inlineStr">
        <is>
          <t>HN</t>
        </is>
      </c>
      <c r="E2740" s="3" t="inlineStr">
        <is>
          <t>Lan</t>
        </is>
      </c>
      <c r="F2740" s="3" t="inlineStr">
        <is>
          <t>Website bán hàng</t>
        </is>
      </c>
      <c r="G2740" s="4" t="inlineStr">
        <is>
          <t>SHOPEE: TIKTOK: LAZADA: WEBSITE BÁN HÀNG: https://thietbitulex.com.vn/?srsltid=AU7gw4V3B543TL4FBNebsYEGpVie5EA6SPp6pgBovwWE13c7f_ty9e6R</t>
        </is>
      </c>
      <c r="H2740" s="3" t="inlineStr">
        <is>
          <t>KBY2-050CO</t>
        </is>
      </c>
      <c r="I2740" s="4" t="inlineStr">
        <is>
          <t>Khoan inox KingBlue KBY2-050CO</t>
        </is>
      </c>
      <c r="J2740" s="3" t="inlineStr">
        <is>
          <t>Cái</t>
        </is>
      </c>
      <c r="K2740" s="5" t="n">
        <v>25000</v>
      </c>
      <c r="L2740" s="5" t="n">
        <v>31000</v>
      </c>
      <c r="M2740" s="6" t="n">
        <v>40000</v>
      </c>
      <c r="N2740" s="5" t="n"/>
      <c r="O2740" s="5">
        <f>IF(AND(ISNUMBER(N2740),ISNUMBER(M2740)),N2740-M2740,"")</f>
        <v/>
      </c>
      <c r="P2740" s="7">
        <f>IF(AND(ISNUMBER(N2740),ISNUMBER(M2740),M2740&gt;0),(N2740-M2740)/M2740,"")</f>
        <v/>
      </c>
      <c r="Q2740" s="3">
        <f>IF(P2740="","",IF(P2740&lt;-0.02,"🔴 Bán phá giá sàn",IF(P2740&gt;0.05,"🔵 Bán cao hơn","🟢 Đúng giá sàn TMĐT")))</f>
        <v/>
      </c>
      <c r="R2740" s="3" t="n"/>
      <c r="S2740" s="4" t="n"/>
      <c r="T2740" s="4" t="n"/>
    </row>
    <row r="2741">
      <c r="A2741" s="3" t="n">
        <v>2740</v>
      </c>
      <c r="B2741" s="3" t="inlineStr">
        <is>
          <t>DL025</t>
        </is>
      </c>
      <c r="C2741" s="4" t="inlineStr">
        <is>
          <t>Công ty cổ phần thiết bị kỹ thuật Tulex</t>
        </is>
      </c>
      <c r="D2741" s="3" t="inlineStr">
        <is>
          <t>HN</t>
        </is>
      </c>
      <c r="E2741" s="3" t="inlineStr">
        <is>
          <t>Lan</t>
        </is>
      </c>
      <c r="F2741" s="3" t="inlineStr">
        <is>
          <t>Website bán hàng</t>
        </is>
      </c>
      <c r="G2741" s="4" t="inlineStr">
        <is>
          <t>SHOPEE: TIKTOK: LAZADA: WEBSITE BÁN HÀNG: https://thietbitulex.com.vn/?srsltid=AU7gw4V3B543TL4FBNebsYEGpVie5EA6SPp6pgBovwWE13c7f_ty9e6R</t>
        </is>
      </c>
      <c r="H2741" s="3" t="inlineStr">
        <is>
          <t>KKB-06MM</t>
        </is>
      </c>
      <c r="I2741" s="4" t="inlineStr">
        <is>
          <t>Khoan Kính KingBlue KKB-06MM</t>
        </is>
      </c>
      <c r="J2741" s="3" t="inlineStr">
        <is>
          <t>Cái</t>
        </is>
      </c>
      <c r="K2741" s="5" t="n">
        <v>269000</v>
      </c>
      <c r="L2741" s="5" t="n">
        <v>317000</v>
      </c>
      <c r="M2741" s="6" t="n">
        <v>390000</v>
      </c>
      <c r="N2741" s="5" t="n"/>
      <c r="O2741" s="5">
        <f>IF(AND(ISNUMBER(N2741),ISNUMBER(M2741)),N2741-M2741,"")</f>
        <v/>
      </c>
      <c r="P2741" s="7">
        <f>IF(AND(ISNUMBER(N2741),ISNUMBER(M2741),M2741&gt;0),(N2741-M2741)/M2741,"")</f>
        <v/>
      </c>
      <c r="Q2741" s="3">
        <f>IF(P2741="","",IF(P2741&lt;-0.02,"🔴 Bán phá giá sàn",IF(P2741&gt;0.05,"🔵 Bán cao hơn","🟢 Đúng giá sàn TMĐT")))</f>
        <v/>
      </c>
      <c r="R2741" s="3" t="n"/>
      <c r="S2741" s="4" t="n"/>
      <c r="T2741" s="4" t="n"/>
    </row>
    <row r="2742">
      <c r="A2742" s="3" t="n">
        <v>2741</v>
      </c>
      <c r="B2742" s="3" t="inlineStr">
        <is>
          <t>DL025</t>
        </is>
      </c>
      <c r="C2742" s="4" t="inlineStr">
        <is>
          <t>Công ty cổ phần thiết bị kỹ thuật Tulex</t>
        </is>
      </c>
      <c r="D2742" s="3" t="inlineStr">
        <is>
          <t>HN</t>
        </is>
      </c>
      <c r="E2742" s="3" t="inlineStr">
        <is>
          <t>Lan</t>
        </is>
      </c>
      <c r="F2742" s="3" t="inlineStr">
        <is>
          <t>Website bán hàng</t>
        </is>
      </c>
      <c r="G2742" s="4" t="inlineStr">
        <is>
          <t>SHOPEE: TIKTOK: LAZADA: WEBSITE BÁN HÀNG: https://thietbitulex.com.vn/?srsltid=AU7gw4V3B543TL4FBNebsYEGpVie5EA6SPp6pgBovwWE13c7f_ty9e6R</t>
        </is>
      </c>
      <c r="H2742" s="3" t="inlineStr">
        <is>
          <t>KKB-08MM</t>
        </is>
      </c>
      <c r="I2742" s="4" t="inlineStr">
        <is>
          <t>Khoan Kính KingBlue KKB-08MM</t>
        </is>
      </c>
      <c r="J2742" s="3" t="inlineStr">
        <is>
          <t>Cái</t>
        </is>
      </c>
      <c r="K2742" s="5" t="n">
        <v>269000</v>
      </c>
      <c r="L2742" s="5" t="n">
        <v>317000</v>
      </c>
      <c r="M2742" s="6" t="n">
        <v>390000</v>
      </c>
      <c r="N2742" s="5" t="n"/>
      <c r="O2742" s="5">
        <f>IF(AND(ISNUMBER(N2742),ISNUMBER(M2742)),N2742-M2742,"")</f>
        <v/>
      </c>
      <c r="P2742" s="7">
        <f>IF(AND(ISNUMBER(N2742),ISNUMBER(M2742),M2742&gt;0),(N2742-M2742)/M2742,"")</f>
        <v/>
      </c>
      <c r="Q2742" s="3">
        <f>IF(P2742="","",IF(P2742&lt;-0.02,"🔴 Bán phá giá sàn",IF(P2742&gt;0.05,"🔵 Bán cao hơn","🟢 Đúng giá sàn TMĐT")))</f>
        <v/>
      </c>
      <c r="R2742" s="3" t="n"/>
      <c r="S2742" s="4" t="n"/>
      <c r="T2742" s="4" t="n"/>
    </row>
    <row r="2743">
      <c r="A2743" s="3" t="n">
        <v>2742</v>
      </c>
      <c r="B2743" s="3" t="inlineStr">
        <is>
          <t>DL025</t>
        </is>
      </c>
      <c r="C2743" s="4" t="inlineStr">
        <is>
          <t>Công ty cổ phần thiết bị kỹ thuật Tulex</t>
        </is>
      </c>
      <c r="D2743" s="3" t="inlineStr">
        <is>
          <t>HN</t>
        </is>
      </c>
      <c r="E2743" s="3" t="inlineStr">
        <is>
          <t>Lan</t>
        </is>
      </c>
      <c r="F2743" s="3" t="inlineStr">
        <is>
          <t>Website bán hàng</t>
        </is>
      </c>
      <c r="G2743" s="4" t="inlineStr">
        <is>
          <t>SHOPEE: TIKTOK: LAZADA: WEBSITE BÁN HÀNG: https://thietbitulex.com.vn/?srsltid=AU7gw4V3B543TL4FBNebsYEGpVie5EA6SPp6pgBovwWE13c7f_ty9e6R</t>
        </is>
      </c>
      <c r="H2743" s="3" t="inlineStr">
        <is>
          <t>KND185</t>
        </is>
      </c>
      <c r="I2743" s="4" t="inlineStr">
        <is>
          <t>Kìm bấm Cos vuông KND185</t>
        </is>
      </c>
      <c r="J2743" s="3" t="inlineStr">
        <is>
          <t>Cái</t>
        </is>
      </c>
      <c r="K2743" s="5" t="n">
        <v>182000</v>
      </c>
      <c r="L2743" s="5" t="n">
        <v>215000</v>
      </c>
      <c r="M2743" s="6" t="n">
        <v>264000</v>
      </c>
      <c r="N2743" s="5" t="n"/>
      <c r="O2743" s="5">
        <f>IF(AND(ISNUMBER(N2743),ISNUMBER(M2743)),N2743-M2743,"")</f>
        <v/>
      </c>
      <c r="P2743" s="7">
        <f>IF(AND(ISNUMBER(N2743),ISNUMBER(M2743),M2743&gt;0),(N2743-M2743)/M2743,"")</f>
        <v/>
      </c>
      <c r="Q2743" s="3">
        <f>IF(P2743="","",IF(P2743&lt;-0.02,"🔴 Bán phá giá sàn",IF(P2743&gt;0.05,"🔵 Bán cao hơn","🟢 Đúng giá sàn TMĐT")))</f>
        <v/>
      </c>
      <c r="R2743" s="3" t="n"/>
      <c r="S2743" s="4" t="n"/>
      <c r="T2743" s="4" t="n"/>
    </row>
    <row r="2744">
      <c r="A2744" s="3" t="n">
        <v>2743</v>
      </c>
      <c r="B2744" s="3" t="inlineStr">
        <is>
          <t>DL025</t>
        </is>
      </c>
      <c r="C2744" s="4" t="inlineStr">
        <is>
          <t>Công ty cổ phần thiết bị kỹ thuật Tulex</t>
        </is>
      </c>
      <c r="D2744" s="3" t="inlineStr">
        <is>
          <t>HN</t>
        </is>
      </c>
      <c r="E2744" s="3" t="inlineStr">
        <is>
          <t>Lan</t>
        </is>
      </c>
      <c r="F2744" s="3" t="inlineStr">
        <is>
          <t>Website bán hàng</t>
        </is>
      </c>
      <c r="G2744" s="4" t="inlineStr">
        <is>
          <t>SHOPEE: TIKTOK: LAZADA: WEBSITE BÁN HÀNG: https://thietbitulex.com.vn/?srsltid=AU7gw4V3B543TL4FBNebsYEGpVie5EA6SPp6pgBovwWE13c7f_ty9e6R</t>
        </is>
      </c>
      <c r="H2744" s="3" t="inlineStr">
        <is>
          <t>KC3-09</t>
        </is>
      </c>
      <c r="I2744" s="4" t="inlineStr">
        <is>
          <t>Kìm cắt đa năng KC3-09</t>
        </is>
      </c>
      <c r="J2744" s="3" t="inlineStr">
        <is>
          <t>Cái</t>
        </is>
      </c>
      <c r="K2744" s="5" t="n">
        <v>269000</v>
      </c>
      <c r="L2744" s="5" t="n">
        <v>317000</v>
      </c>
      <c r="M2744" s="6" t="n">
        <v>390000</v>
      </c>
      <c r="N2744" s="5" t="n"/>
      <c r="O2744" s="5">
        <f>IF(AND(ISNUMBER(N2744),ISNUMBER(M2744)),N2744-M2744,"")</f>
        <v/>
      </c>
      <c r="P2744" s="7">
        <f>IF(AND(ISNUMBER(N2744),ISNUMBER(M2744),M2744&gt;0),(N2744-M2744)/M2744,"")</f>
        <v/>
      </c>
      <c r="Q2744" s="3">
        <f>IF(P2744="","",IF(P2744&lt;-0.02,"🔴 Bán phá giá sàn",IF(P2744&gt;0.05,"🔵 Bán cao hơn","🟢 Đúng giá sàn TMĐT")))</f>
        <v/>
      </c>
      <c r="R2744" s="3" t="n"/>
      <c r="S2744" s="4" t="n"/>
      <c r="T2744" s="4" t="n"/>
    </row>
    <row r="2745">
      <c r="A2745" s="3" t="n">
        <v>2744</v>
      </c>
      <c r="B2745" s="3" t="inlineStr">
        <is>
          <t>DL025</t>
        </is>
      </c>
      <c r="C2745" s="4" t="inlineStr">
        <is>
          <t>Công ty cổ phần thiết bị kỹ thuật Tulex</t>
        </is>
      </c>
      <c r="D2745" s="3" t="inlineStr">
        <is>
          <t>HN</t>
        </is>
      </c>
      <c r="E2745" s="3" t="inlineStr">
        <is>
          <t>Lan</t>
        </is>
      </c>
      <c r="F2745" s="3" t="inlineStr">
        <is>
          <t>Website bán hàng</t>
        </is>
      </c>
      <c r="G2745" s="4" t="inlineStr">
        <is>
          <t>SHOPEE: TIKTOK: LAZADA: WEBSITE BÁN HÀNG: https://thietbitulex.com.vn/?srsltid=AU7gw4V3B543TL4FBNebsYEGpVie5EA6SPp6pgBovwWE13c7f_ty9e6R</t>
        </is>
      </c>
      <c r="H2745" s="3" t="inlineStr">
        <is>
          <t>KS1-250</t>
        </is>
      </c>
      <c r="I2745" s="4" t="inlineStr">
        <is>
          <t>Kìm chết KS1-250</t>
        </is>
      </c>
      <c r="J2745" s="3" t="inlineStr">
        <is>
          <t>Cái</t>
        </is>
      </c>
      <c r="K2745" s="5" t="n">
        <v>132000</v>
      </c>
      <c r="L2745" s="5" t="n">
        <v>156000</v>
      </c>
      <c r="M2745" s="6" t="n">
        <v>191000</v>
      </c>
      <c r="N2745" s="5" t="n"/>
      <c r="O2745" s="5">
        <f>IF(AND(ISNUMBER(N2745),ISNUMBER(M2745)),N2745-M2745,"")</f>
        <v/>
      </c>
      <c r="P2745" s="7">
        <f>IF(AND(ISNUMBER(N2745),ISNUMBER(M2745),M2745&gt;0),(N2745-M2745)/M2745,"")</f>
        <v/>
      </c>
      <c r="Q2745" s="3">
        <f>IF(P2745="","",IF(P2745&lt;-0.02,"🔴 Bán phá giá sàn",IF(P2745&gt;0.05,"🔵 Bán cao hơn","🟢 Đúng giá sàn TMĐT")))</f>
        <v/>
      </c>
      <c r="R2745" s="3" t="n"/>
      <c r="S2745" s="4" t="n"/>
      <c r="T2745" s="4" t="n"/>
    </row>
    <row r="2746">
      <c r="A2746" s="3" t="n">
        <v>2745</v>
      </c>
      <c r="B2746" s="3" t="inlineStr">
        <is>
          <t>DL025</t>
        </is>
      </c>
      <c r="C2746" s="4" t="inlineStr">
        <is>
          <t>Công ty cổ phần thiết bị kỹ thuật Tulex</t>
        </is>
      </c>
      <c r="D2746" s="3" t="inlineStr">
        <is>
          <t>HN</t>
        </is>
      </c>
      <c r="E2746" s="3" t="inlineStr">
        <is>
          <t>Lan</t>
        </is>
      </c>
      <c r="F2746" s="3" t="inlineStr">
        <is>
          <t>Website bán hàng</t>
        </is>
      </c>
      <c r="G2746" s="4" t="inlineStr">
        <is>
          <t>SHOPEE: TIKTOK: LAZADA: WEBSITE BÁN HÀNG: https://thietbitulex.com.vn/?srsltid=AU7gw4V3B543TL4FBNebsYEGpVie5EA6SPp6pgBovwWE13c7f_ty9e6R</t>
        </is>
      </c>
      <c r="H2746" s="3" t="inlineStr">
        <is>
          <t>KC1-06</t>
        </is>
      </c>
      <c r="I2746" s="4" t="inlineStr">
        <is>
          <t>Kìm điện KC1-06</t>
        </is>
      </c>
      <c r="J2746" s="3" t="inlineStr">
        <is>
          <t>Cái</t>
        </is>
      </c>
      <c r="K2746" s="5" t="n">
        <v>269000</v>
      </c>
      <c r="L2746" s="5" t="n">
        <v>317000</v>
      </c>
      <c r="M2746" s="6" t="n">
        <v>390000</v>
      </c>
      <c r="N2746" s="5" t="n"/>
      <c r="O2746" s="5">
        <f>IF(AND(ISNUMBER(N2746),ISNUMBER(M2746)),N2746-M2746,"")</f>
        <v/>
      </c>
      <c r="P2746" s="7">
        <f>IF(AND(ISNUMBER(N2746),ISNUMBER(M2746),M2746&gt;0),(N2746-M2746)/M2746,"")</f>
        <v/>
      </c>
      <c r="Q2746" s="3">
        <f>IF(P2746="","",IF(P2746&lt;-0.02,"🔴 Bán phá giá sàn",IF(P2746&gt;0.05,"🔵 Bán cao hơn","🟢 Đúng giá sàn TMĐT")))</f>
        <v/>
      </c>
      <c r="R2746" s="3" t="n"/>
      <c r="S2746" s="4" t="n"/>
      <c r="T2746" s="4" t="n"/>
    </row>
    <row r="2747">
      <c r="A2747" s="3" t="n">
        <v>2746</v>
      </c>
      <c r="B2747" s="3" t="inlineStr">
        <is>
          <t>DL025</t>
        </is>
      </c>
      <c r="C2747" s="4" t="inlineStr">
        <is>
          <t>Công ty cổ phần thiết bị kỹ thuật Tulex</t>
        </is>
      </c>
      <c r="D2747" s="3" t="inlineStr">
        <is>
          <t>HN</t>
        </is>
      </c>
      <c r="E2747" s="3" t="inlineStr">
        <is>
          <t>Lan</t>
        </is>
      </c>
      <c r="F2747" s="3" t="inlineStr">
        <is>
          <t>Website bán hàng</t>
        </is>
      </c>
      <c r="G2747" s="4" t="inlineStr">
        <is>
          <t>SHOPEE: TIKTOK: LAZADA: WEBSITE BÁN HÀNG: https://thietbitulex.com.vn/?srsltid=AU7gw4V3B543TL4FBNebsYEGpVie5EA6SPp6pgBovwWE13c7f_ty9e6R</t>
        </is>
      </c>
      <c r="H2747" s="3" t="inlineStr">
        <is>
          <t>KND180</t>
        </is>
      </c>
      <c r="I2747" s="4" t="inlineStr">
        <is>
          <t>Kìm tuốt dây điện đa năng KND180</t>
        </is>
      </c>
      <c r="J2747" s="3" t="inlineStr">
        <is>
          <t>Cái</t>
        </is>
      </c>
      <c r="K2747" s="5" t="n">
        <v>127000</v>
      </c>
      <c r="L2747" s="5" t="n">
        <v>150000</v>
      </c>
      <c r="M2747" s="6" t="n">
        <v>184000</v>
      </c>
      <c r="N2747" s="5" t="n"/>
      <c r="O2747" s="5">
        <f>IF(AND(ISNUMBER(N2747),ISNUMBER(M2747)),N2747-M2747,"")</f>
        <v/>
      </c>
      <c r="P2747" s="7">
        <f>IF(AND(ISNUMBER(N2747),ISNUMBER(M2747),M2747&gt;0),(N2747-M2747)/M2747,"")</f>
        <v/>
      </c>
      <c r="Q2747" s="3">
        <f>IF(P2747="","",IF(P2747&lt;-0.02,"🔴 Bán phá giá sàn",IF(P2747&gt;0.05,"🔵 Bán cao hơn","🟢 Đúng giá sàn TMĐT")))</f>
        <v/>
      </c>
      <c r="R2747" s="3" t="n"/>
      <c r="S2747" s="4" t="n"/>
      <c r="T2747" s="4" t="n"/>
    </row>
    <row r="2748">
      <c r="A2748" s="3" t="n">
        <v>2747</v>
      </c>
      <c r="B2748" s="3" t="inlineStr">
        <is>
          <t>DL025</t>
        </is>
      </c>
      <c r="C2748" s="4" t="inlineStr">
        <is>
          <t>Công ty cổ phần thiết bị kỹ thuật Tulex</t>
        </is>
      </c>
      <c r="D2748" s="3" t="inlineStr">
        <is>
          <t>HN</t>
        </is>
      </c>
      <c r="E2748" s="3" t="inlineStr">
        <is>
          <t>Lan</t>
        </is>
      </c>
      <c r="F2748" s="3" t="inlineStr">
        <is>
          <t>Website bán hàng</t>
        </is>
      </c>
      <c r="G2748" s="4" t="inlineStr">
        <is>
          <t>SHOPEE: TIKTOK: LAZADA: WEBSITE BÁN HÀNG: https://thietbitulex.com.vn/?srsltid=AU7gw4V3B543TL4FBNebsYEGpVie5EA6SPp6pgBovwWE13c7f_ty9e6R</t>
        </is>
      </c>
      <c r="H2748" s="3" t="inlineStr">
        <is>
          <t>JH-100</t>
        </is>
      </c>
      <c r="I2748" s="4" t="inlineStr">
        <is>
          <t>Lưỡi dao rọc giấy JH-100</t>
        </is>
      </c>
      <c r="J2748" s="3" t="inlineStr">
        <is>
          <t>Vỉ</t>
        </is>
      </c>
      <c r="K2748" s="5" t="n">
        <v>14600</v>
      </c>
      <c r="L2748" s="5" t="n">
        <v>17000</v>
      </c>
      <c r="M2748" s="6" t="n">
        <v>21000</v>
      </c>
      <c r="N2748" s="5" t="n"/>
      <c r="O2748" s="5">
        <f>IF(AND(ISNUMBER(N2748),ISNUMBER(M2748)),N2748-M2748,"")</f>
        <v/>
      </c>
      <c r="P2748" s="7">
        <f>IF(AND(ISNUMBER(N2748),ISNUMBER(M2748),M2748&gt;0),(N2748-M2748)/M2748,"")</f>
        <v/>
      </c>
      <c r="Q2748" s="3">
        <f>IF(P2748="","",IF(P2748&lt;-0.02,"🔴 Bán phá giá sàn",IF(P2748&gt;0.05,"🔵 Bán cao hơn","🟢 Đúng giá sàn TMĐT")))</f>
        <v/>
      </c>
      <c r="R2748" s="3" t="n"/>
      <c r="S2748" s="4" t="n"/>
      <c r="T2748" s="4" t="n"/>
    </row>
    <row r="2749">
      <c r="A2749" s="3" t="n">
        <v>2748</v>
      </c>
      <c r="B2749" s="3" t="inlineStr">
        <is>
          <t>DL025</t>
        </is>
      </c>
      <c r="C2749" s="4" t="inlineStr">
        <is>
          <t>Công ty cổ phần thiết bị kỹ thuật Tulex</t>
        </is>
      </c>
      <c r="D2749" s="3" t="inlineStr">
        <is>
          <t>HN</t>
        </is>
      </c>
      <c r="E2749" s="3" t="inlineStr">
        <is>
          <t>Lan</t>
        </is>
      </c>
      <c r="F2749" s="3" t="inlineStr">
        <is>
          <t>Website bán hàng</t>
        </is>
      </c>
      <c r="G2749" s="4" t="inlineStr">
        <is>
          <t>SHOPEE: TIKTOK: LAZADA: WEBSITE BÁN HÀNG: https://thietbitulex.com.vn/?srsltid=AU7gw4V3B543TL4FBNebsYEGpVie5EA6SPp6pgBovwWE13c7f_ty9e6R</t>
        </is>
      </c>
      <c r="H2749" s="3" t="inlineStr">
        <is>
          <t>KD3</t>
        </is>
      </c>
      <c r="I2749" s="4" t="inlineStr">
        <is>
          <t>Mỏ lết đa năng cán bọc KD3 250</t>
        </is>
      </c>
      <c r="J2749" s="3" t="inlineStr">
        <is>
          <t>Cái</t>
        </is>
      </c>
      <c r="K2749" s="5" t="n">
        <v>108000</v>
      </c>
      <c r="L2749" s="5" t="n">
        <v>128000</v>
      </c>
      <c r="M2749" s="6" t="n">
        <v>157000</v>
      </c>
      <c r="N2749" s="5" t="n"/>
      <c r="O2749" s="5">
        <f>IF(AND(ISNUMBER(N2749),ISNUMBER(M2749)),N2749-M2749,"")</f>
        <v/>
      </c>
      <c r="P2749" s="7">
        <f>IF(AND(ISNUMBER(N2749),ISNUMBER(M2749),M2749&gt;0),(N2749-M2749)/M2749,"")</f>
        <v/>
      </c>
      <c r="Q2749" s="3">
        <f>IF(P2749="","",IF(P2749&lt;-0.02,"🔴 Bán phá giá sàn",IF(P2749&gt;0.05,"🔵 Bán cao hơn","🟢 Đúng giá sàn TMĐT")))</f>
        <v/>
      </c>
      <c r="R2749" s="3" t="n"/>
      <c r="S2749" s="4" t="n"/>
      <c r="T2749" s="4" t="n"/>
    </row>
    <row r="2750">
      <c r="A2750" s="3" t="n">
        <v>2749</v>
      </c>
      <c r="B2750" s="3" t="inlineStr">
        <is>
          <t>DL025</t>
        </is>
      </c>
      <c r="C2750" s="4" t="inlineStr">
        <is>
          <t>Công ty cổ phần thiết bị kỹ thuật Tulex</t>
        </is>
      </c>
      <c r="D2750" s="3" t="inlineStr">
        <is>
          <t>HN</t>
        </is>
      </c>
      <c r="E2750" s="3" t="inlineStr">
        <is>
          <t>Lan</t>
        </is>
      </c>
      <c r="F2750" s="3" t="inlineStr">
        <is>
          <t>Website bán hàng</t>
        </is>
      </c>
      <c r="G2750" s="4" t="inlineStr">
        <is>
          <t>SHOPEE: TIKTOK: LAZADA: WEBSITE BÁN HÀNG: https://thietbitulex.com.vn/?srsltid=AU7gw4V3B543TL4FBNebsYEGpVie5EA6SPp6pgBovwWE13c7f_ty9e6R</t>
        </is>
      </c>
      <c r="H2750" s="3" t="inlineStr">
        <is>
          <t>KD2-375</t>
        </is>
      </c>
      <c r="I2750" s="4" t="inlineStr">
        <is>
          <t>Mỏ lết KD2-375</t>
        </is>
      </c>
      <c r="J2750" s="3" t="inlineStr">
        <is>
          <t>Cái</t>
        </is>
      </c>
      <c r="K2750" s="5" t="n">
        <v>286000</v>
      </c>
      <c r="L2750" s="5" t="n">
        <v>338000</v>
      </c>
      <c r="M2750" s="6" t="n">
        <v>415000</v>
      </c>
      <c r="N2750" s="5" t="n"/>
      <c r="O2750" s="5">
        <f>IF(AND(ISNUMBER(N2750),ISNUMBER(M2750)),N2750-M2750,"")</f>
        <v/>
      </c>
      <c r="P2750" s="7">
        <f>IF(AND(ISNUMBER(N2750),ISNUMBER(M2750),M2750&gt;0),(N2750-M2750)/M2750,"")</f>
        <v/>
      </c>
      <c r="Q2750" s="3">
        <f>IF(P2750="","",IF(P2750&lt;-0.02,"🔴 Bán phá giá sàn",IF(P2750&gt;0.05,"🔵 Bán cao hơn","🟢 Đúng giá sàn TMĐT")))</f>
        <v/>
      </c>
      <c r="R2750" s="3" t="n"/>
      <c r="S2750" s="4" t="n"/>
      <c r="T2750" s="4" t="n"/>
    </row>
    <row r="2751">
      <c r="A2751" s="3" t="n">
        <v>2750</v>
      </c>
      <c r="B2751" s="3" t="inlineStr">
        <is>
          <t>DL025</t>
        </is>
      </c>
      <c r="C2751" s="4" t="inlineStr">
        <is>
          <t>Công ty cổ phần thiết bị kỹ thuật Tulex</t>
        </is>
      </c>
      <c r="D2751" s="3" t="inlineStr">
        <is>
          <t>HN</t>
        </is>
      </c>
      <c r="E2751" s="3" t="inlineStr">
        <is>
          <t>Lan</t>
        </is>
      </c>
      <c r="F2751" s="3" t="inlineStr">
        <is>
          <t>Website bán hàng</t>
        </is>
      </c>
      <c r="G2751" s="4" t="inlineStr">
        <is>
          <t>SHOPEE: TIKTOK: LAZADA: WEBSITE BÁN HÀNG: https://thietbitulex.com.vn/?srsltid=AU7gw4V3B543TL4FBNebsYEGpVie5EA6SPp6pgBovwWE13c7f_ty9e6R</t>
        </is>
      </c>
      <c r="H2751" s="3" t="inlineStr">
        <is>
          <t>KBL4-06160</t>
        </is>
      </c>
      <c r="I2751" s="4" t="inlineStr">
        <is>
          <t>Mũi khoan bê tông 4 cạnh KBL4-06*160</t>
        </is>
      </c>
      <c r="J2751" s="3" t="inlineStr">
        <is>
          <t>Cái</t>
        </is>
      </c>
      <c r="K2751" s="5" t="n">
        <v>24000</v>
      </c>
      <c r="L2751" s="5" t="n">
        <v>29000</v>
      </c>
      <c r="M2751" s="6" t="n">
        <v>37000</v>
      </c>
      <c r="N2751" s="5" t="n"/>
      <c r="O2751" s="5">
        <f>IF(AND(ISNUMBER(N2751),ISNUMBER(M2751)),N2751-M2751,"")</f>
        <v/>
      </c>
      <c r="P2751" s="7">
        <f>IF(AND(ISNUMBER(N2751),ISNUMBER(M2751),M2751&gt;0),(N2751-M2751)/M2751,"")</f>
        <v/>
      </c>
      <c r="Q2751" s="3">
        <f>IF(P2751="","",IF(P2751&lt;-0.02,"🔴 Bán phá giá sàn",IF(P2751&gt;0.05,"🔵 Bán cao hơn","🟢 Đúng giá sàn TMĐT")))</f>
        <v/>
      </c>
      <c r="R2751" s="3" t="n"/>
      <c r="S2751" s="4" t="n"/>
      <c r="T2751" s="4" t="n"/>
    </row>
    <row r="2752">
      <c r="A2752" s="3" t="n">
        <v>2751</v>
      </c>
      <c r="B2752" s="3" t="inlineStr">
        <is>
          <t>DL025</t>
        </is>
      </c>
      <c r="C2752" s="4" t="inlineStr">
        <is>
          <t>Công ty cổ phần thiết bị kỹ thuật Tulex</t>
        </is>
      </c>
      <c r="D2752" s="3" t="inlineStr">
        <is>
          <t>HN</t>
        </is>
      </c>
      <c r="E2752" s="3" t="inlineStr">
        <is>
          <t>Lan</t>
        </is>
      </c>
      <c r="F2752" s="3" t="inlineStr">
        <is>
          <t>Website bán hàng</t>
        </is>
      </c>
      <c r="G2752" s="4" t="inlineStr">
        <is>
          <t>SHOPEE: TIKTOK: LAZADA: WEBSITE BÁN HÀNG: https://thietbitulex.com.vn/?srsltid=AU7gw4V3B543TL4FBNebsYEGpVie5EA6SPp6pgBovwWE13c7f_ty9e6R</t>
        </is>
      </c>
      <c r="H2752" s="3" t="inlineStr">
        <is>
          <t>KBL4-08160</t>
        </is>
      </c>
      <c r="I2752" s="4" t="inlineStr">
        <is>
          <t>Mũi khoan bê tông 4 cạnh KBL4-08*160</t>
        </is>
      </c>
      <c r="J2752" s="3" t="inlineStr">
        <is>
          <t>Cái</t>
        </is>
      </c>
      <c r="K2752" s="5" t="n">
        <v>27000</v>
      </c>
      <c r="L2752" s="5" t="n">
        <v>33000</v>
      </c>
      <c r="M2752" s="6" t="n">
        <v>42000</v>
      </c>
      <c r="N2752" s="5" t="n"/>
      <c r="O2752" s="5">
        <f>IF(AND(ISNUMBER(N2752),ISNUMBER(M2752)),N2752-M2752,"")</f>
        <v/>
      </c>
      <c r="P2752" s="7">
        <f>IF(AND(ISNUMBER(N2752),ISNUMBER(M2752),M2752&gt;0),(N2752-M2752)/M2752,"")</f>
        <v/>
      </c>
      <c r="Q2752" s="3">
        <f>IF(P2752="","",IF(P2752&lt;-0.02,"🔴 Bán phá giá sàn",IF(P2752&gt;0.05,"🔵 Bán cao hơn","🟢 Đúng giá sàn TMĐT")))</f>
        <v/>
      </c>
      <c r="R2752" s="3" t="n"/>
      <c r="S2752" s="4" t="n"/>
      <c r="T2752" s="4" t="n"/>
    </row>
    <row r="2753">
      <c r="A2753" s="3" t="n">
        <v>2752</v>
      </c>
      <c r="B2753" s="3" t="inlineStr">
        <is>
          <t>DL025</t>
        </is>
      </c>
      <c r="C2753" s="4" t="inlineStr">
        <is>
          <t>Công ty cổ phần thiết bị kỹ thuật Tulex</t>
        </is>
      </c>
      <c r="D2753" s="3" t="inlineStr">
        <is>
          <t>HN</t>
        </is>
      </c>
      <c r="E2753" s="3" t="inlineStr">
        <is>
          <t>Lan</t>
        </is>
      </c>
      <c r="F2753" s="3" t="inlineStr">
        <is>
          <t>Website bán hàng</t>
        </is>
      </c>
      <c r="G2753" s="4" t="inlineStr">
        <is>
          <t>SHOPEE: TIKTOK: LAZADA: WEBSITE BÁN HÀNG: https://thietbitulex.com.vn/?srsltid=AU7gw4V3B543TL4FBNebsYEGpVie5EA6SPp6pgBovwWE13c7f_ty9e6R</t>
        </is>
      </c>
      <c r="H2753" s="3" t="inlineStr">
        <is>
          <t>KBL4-10160</t>
        </is>
      </c>
      <c r="I2753" s="4" t="inlineStr">
        <is>
          <t>Mũi khoan bê tông 4 cạnh KBL4-10*160</t>
        </is>
      </c>
      <c r="J2753" s="3" t="inlineStr">
        <is>
          <t>Cái</t>
        </is>
      </c>
      <c r="K2753" s="5" t="n">
        <v>30000</v>
      </c>
      <c r="L2753" s="5" t="n">
        <v>37000</v>
      </c>
      <c r="M2753" s="6" t="n">
        <v>47000</v>
      </c>
      <c r="N2753" s="5" t="n"/>
      <c r="O2753" s="5">
        <f>IF(AND(ISNUMBER(N2753),ISNUMBER(M2753)),N2753-M2753,"")</f>
        <v/>
      </c>
      <c r="P2753" s="7">
        <f>IF(AND(ISNUMBER(N2753),ISNUMBER(M2753),M2753&gt;0),(N2753-M2753)/M2753,"")</f>
        <v/>
      </c>
      <c r="Q2753" s="3">
        <f>IF(P2753="","",IF(P2753&lt;-0.02,"🔴 Bán phá giá sàn",IF(P2753&gt;0.05,"🔵 Bán cao hơn","🟢 Đúng giá sàn TMĐT")))</f>
        <v/>
      </c>
      <c r="R2753" s="3" t="n"/>
      <c r="S2753" s="4" t="n"/>
      <c r="T2753" s="4" t="n"/>
    </row>
    <row r="2754">
      <c r="A2754" s="3" t="n">
        <v>2753</v>
      </c>
      <c r="B2754" s="3" t="inlineStr">
        <is>
          <t>DL025</t>
        </is>
      </c>
      <c r="C2754" s="4" t="inlineStr">
        <is>
          <t>Công ty cổ phần thiết bị kỹ thuật Tulex</t>
        </is>
      </c>
      <c r="D2754" s="3" t="inlineStr">
        <is>
          <t>HN</t>
        </is>
      </c>
      <c r="E2754" s="3" t="inlineStr">
        <is>
          <t>Lan</t>
        </is>
      </c>
      <c r="F2754" s="3" t="inlineStr">
        <is>
          <t>Website bán hàng</t>
        </is>
      </c>
      <c r="G2754" s="4" t="inlineStr">
        <is>
          <t>SHOPEE: TIKTOK: LAZADA: WEBSITE BÁN HÀNG: https://thietbitulex.com.vn/?srsltid=AU7gw4V3B543TL4FBNebsYEGpVie5EA6SPp6pgBovwWE13c7f_ty9e6R</t>
        </is>
      </c>
      <c r="H2754" s="3" t="inlineStr">
        <is>
          <t>KBL4-12160</t>
        </is>
      </c>
      <c r="I2754" s="4" t="inlineStr">
        <is>
          <t>Mũi khoan bê tông 4 cạnh KBL4-12*160</t>
        </is>
      </c>
      <c r="J2754" s="3" t="inlineStr">
        <is>
          <t>Cái</t>
        </is>
      </c>
      <c r="K2754" s="5" t="n">
        <v>33000</v>
      </c>
      <c r="L2754" s="5" t="n">
        <v>40000</v>
      </c>
      <c r="M2754" s="6" t="n">
        <v>51000</v>
      </c>
      <c r="N2754" s="5" t="n"/>
      <c r="O2754" s="5">
        <f>IF(AND(ISNUMBER(N2754),ISNUMBER(M2754)),N2754-M2754,"")</f>
        <v/>
      </c>
      <c r="P2754" s="7">
        <f>IF(AND(ISNUMBER(N2754),ISNUMBER(M2754),M2754&gt;0),(N2754-M2754)/M2754,"")</f>
        <v/>
      </c>
      <c r="Q2754" s="3">
        <f>IF(P2754="","",IF(P2754&lt;-0.02,"🔴 Bán phá giá sàn",IF(P2754&gt;0.05,"🔵 Bán cao hơn","🟢 Đúng giá sàn TMĐT")))</f>
        <v/>
      </c>
      <c r="R2754" s="3" t="n"/>
      <c r="S2754" s="4" t="n"/>
      <c r="T2754" s="4" t="n"/>
    </row>
    <row r="2755">
      <c r="A2755" s="3" t="n">
        <v>2754</v>
      </c>
      <c r="B2755" s="3" t="inlineStr">
        <is>
          <t>DL025</t>
        </is>
      </c>
      <c r="C2755" s="4" t="inlineStr">
        <is>
          <t>Công ty cổ phần thiết bị kỹ thuật Tulex</t>
        </is>
      </c>
      <c r="D2755" s="3" t="inlineStr">
        <is>
          <t>HN</t>
        </is>
      </c>
      <c r="E2755" s="3" t="inlineStr">
        <is>
          <t>Lan</t>
        </is>
      </c>
      <c r="F2755" s="3" t="inlineStr">
        <is>
          <t>Website bán hàng</t>
        </is>
      </c>
      <c r="G2755" s="4" t="inlineStr">
        <is>
          <t>SHOPEE: TIKTOK: LAZADA: WEBSITE BÁN HÀNG: https://thietbitulex.com.vn/?srsltid=AU7gw4V3B543TL4FBNebsYEGpVie5EA6SPp6pgBovwWE13c7f_ty9e6R</t>
        </is>
      </c>
      <c r="H2755" s="3" t="inlineStr">
        <is>
          <t>KBL2-06160</t>
        </is>
      </c>
      <c r="I2755" s="4" t="inlineStr">
        <is>
          <t>Mũi khoan bê tông gài 2 cạnh KBL2-06*160</t>
        </is>
      </c>
      <c r="J2755" s="3" t="inlineStr">
        <is>
          <t>Cái</t>
        </is>
      </c>
      <c r="K2755" s="5" t="n">
        <v>23000</v>
      </c>
      <c r="L2755" s="5" t="n">
        <v>28000</v>
      </c>
      <c r="M2755" s="6" t="n">
        <v>36000</v>
      </c>
      <c r="N2755" s="5" t="n"/>
      <c r="O2755" s="5">
        <f>IF(AND(ISNUMBER(N2755),ISNUMBER(M2755)),N2755-M2755,"")</f>
        <v/>
      </c>
      <c r="P2755" s="7">
        <f>IF(AND(ISNUMBER(N2755),ISNUMBER(M2755),M2755&gt;0),(N2755-M2755)/M2755,"")</f>
        <v/>
      </c>
      <c r="Q2755" s="3">
        <f>IF(P2755="","",IF(P2755&lt;-0.02,"🔴 Bán phá giá sàn",IF(P2755&gt;0.05,"🔵 Bán cao hơn","🟢 Đúng giá sàn TMĐT")))</f>
        <v/>
      </c>
      <c r="R2755" s="3" t="n"/>
      <c r="S2755" s="4" t="n"/>
      <c r="T2755" s="4" t="n"/>
    </row>
    <row r="2756">
      <c r="A2756" s="3" t="n">
        <v>2755</v>
      </c>
      <c r="B2756" s="3" t="inlineStr">
        <is>
          <t>DL025</t>
        </is>
      </c>
      <c r="C2756" s="4" t="inlineStr">
        <is>
          <t>Công ty cổ phần thiết bị kỹ thuật Tulex</t>
        </is>
      </c>
      <c r="D2756" s="3" t="inlineStr">
        <is>
          <t>HN</t>
        </is>
      </c>
      <c r="E2756" s="3" t="inlineStr">
        <is>
          <t>Lan</t>
        </is>
      </c>
      <c r="F2756" s="3" t="inlineStr">
        <is>
          <t>Website bán hàng</t>
        </is>
      </c>
      <c r="G2756" s="4" t="inlineStr">
        <is>
          <t>SHOPEE: TIKTOK: LAZADA: WEBSITE BÁN HÀNG: https://thietbitulex.com.vn/?srsltid=AU7gw4V3B543TL4FBNebsYEGpVie5EA6SPp6pgBovwWE13c7f_ty9e6R</t>
        </is>
      </c>
      <c r="H2756" s="3" t="inlineStr">
        <is>
          <t>KBL2-12160</t>
        </is>
      </c>
      <c r="I2756" s="4" t="inlineStr">
        <is>
          <t>Mũi khoan bê tông gài 2 cạnh KBL2-12*160</t>
        </is>
      </c>
      <c r="J2756" s="3" t="inlineStr">
        <is>
          <t>Cái</t>
        </is>
      </c>
      <c r="K2756" s="5" t="n">
        <v>28000</v>
      </c>
      <c r="L2756" s="5" t="n">
        <v>34000</v>
      </c>
      <c r="M2756" s="6" t="n">
        <v>43000</v>
      </c>
      <c r="N2756" s="5" t="n"/>
      <c r="O2756" s="5">
        <f>IF(AND(ISNUMBER(N2756),ISNUMBER(M2756)),N2756-M2756,"")</f>
        <v/>
      </c>
      <c r="P2756" s="7">
        <f>IF(AND(ISNUMBER(N2756),ISNUMBER(M2756),M2756&gt;0),(N2756-M2756)/M2756,"")</f>
        <v/>
      </c>
      <c r="Q2756" s="3">
        <f>IF(P2756="","",IF(P2756&lt;-0.02,"🔴 Bán phá giá sàn",IF(P2756&gt;0.05,"🔵 Bán cao hơn","🟢 Đúng giá sàn TMĐT")))</f>
        <v/>
      </c>
      <c r="R2756" s="3" t="n"/>
      <c r="S2756" s="4" t="n"/>
      <c r="T2756" s="4" t="n"/>
    </row>
    <row r="2757">
      <c r="A2757" s="3" t="n">
        <v>2756</v>
      </c>
      <c r="B2757" s="3" t="inlineStr">
        <is>
          <t>DL025</t>
        </is>
      </c>
      <c r="C2757" s="4" t="inlineStr">
        <is>
          <t>Công ty cổ phần thiết bị kỹ thuật Tulex</t>
        </is>
      </c>
      <c r="D2757" s="3" t="inlineStr">
        <is>
          <t>HN</t>
        </is>
      </c>
      <c r="E2757" s="3" t="inlineStr">
        <is>
          <t>Lan</t>
        </is>
      </c>
      <c r="F2757" s="3" t="inlineStr">
        <is>
          <t>Website bán hàng</t>
        </is>
      </c>
      <c r="G2757" s="4" t="inlineStr">
        <is>
          <t>SHOPEE: TIKTOK: LAZADA: WEBSITE BÁN HÀNG: https://thietbitulex.com.vn/?srsltid=AU7gw4V3B543TL4FBNebsYEGpVie5EA6SPp6pgBovwWE13c7f_ty9e6R</t>
        </is>
      </c>
      <c r="H2757" s="3" t="inlineStr">
        <is>
          <t>KBL2-14160</t>
        </is>
      </c>
      <c r="I2757" s="4" t="inlineStr">
        <is>
          <t>Mũi khoan bê tông gài 2 cạnh KBL2-14*160</t>
        </is>
      </c>
      <c r="J2757" s="3" t="inlineStr">
        <is>
          <t>Cái</t>
        </is>
      </c>
      <c r="K2757" s="5" t="n">
        <v>42000</v>
      </c>
      <c r="L2757" s="5" t="n">
        <v>51000</v>
      </c>
      <c r="M2757" s="6" t="n">
        <v>65000</v>
      </c>
      <c r="N2757" s="5" t="n"/>
      <c r="O2757" s="5">
        <f>IF(AND(ISNUMBER(N2757),ISNUMBER(M2757)),N2757-M2757,"")</f>
        <v/>
      </c>
      <c r="P2757" s="7">
        <f>IF(AND(ISNUMBER(N2757),ISNUMBER(M2757),M2757&gt;0),(N2757-M2757)/M2757,"")</f>
        <v/>
      </c>
      <c r="Q2757" s="3">
        <f>IF(P2757="","",IF(P2757&lt;-0.02,"🔴 Bán phá giá sàn",IF(P2757&gt;0.05,"🔵 Bán cao hơn","🟢 Đúng giá sàn TMĐT")))</f>
        <v/>
      </c>
      <c r="R2757" s="3" t="n"/>
      <c r="S2757" s="4" t="n"/>
      <c r="T2757" s="4" t="n"/>
    </row>
    <row r="2758">
      <c r="A2758" s="3" t="n">
        <v>2757</v>
      </c>
      <c r="B2758" s="3" t="inlineStr">
        <is>
          <t>DL025</t>
        </is>
      </c>
      <c r="C2758" s="4" t="inlineStr">
        <is>
          <t>Công ty cổ phần thiết bị kỹ thuật Tulex</t>
        </is>
      </c>
      <c r="D2758" s="3" t="inlineStr">
        <is>
          <t>HN</t>
        </is>
      </c>
      <c r="E2758" s="3" t="inlineStr">
        <is>
          <t>Lan</t>
        </is>
      </c>
      <c r="F2758" s="3" t="inlineStr">
        <is>
          <t>Website bán hàng</t>
        </is>
      </c>
      <c r="G2758" s="4" t="inlineStr">
        <is>
          <t>SHOPEE: TIKTOK: LAZADA: WEBSITE BÁN HÀNG: https://thietbitulex.com.vn/?srsltid=AU7gw4V3B543TL4FBNebsYEGpVie5EA6SPp6pgBovwWE13c7f_ty9e6R</t>
        </is>
      </c>
      <c r="H2758" s="3" t="inlineStr">
        <is>
          <t>KBL2-14210</t>
        </is>
      </c>
      <c r="I2758" s="4" t="inlineStr">
        <is>
          <t>Mũi khoan bê tông gài 2 cạnh KBL2-14*210</t>
        </is>
      </c>
      <c r="J2758" s="3" t="inlineStr">
        <is>
          <t>Cái</t>
        </is>
      </c>
      <c r="K2758" s="5" t="n">
        <v>42000</v>
      </c>
      <c r="L2758" s="5" t="n">
        <v>51000</v>
      </c>
      <c r="M2758" s="6" t="n">
        <v>65000</v>
      </c>
      <c r="N2758" s="5" t="n"/>
      <c r="O2758" s="5">
        <f>IF(AND(ISNUMBER(N2758),ISNUMBER(M2758)),N2758-M2758,"")</f>
        <v/>
      </c>
      <c r="P2758" s="7">
        <f>IF(AND(ISNUMBER(N2758),ISNUMBER(M2758),M2758&gt;0),(N2758-M2758)/M2758,"")</f>
        <v/>
      </c>
      <c r="Q2758" s="3">
        <f>IF(P2758="","",IF(P2758&lt;-0.02,"🔴 Bán phá giá sàn",IF(P2758&gt;0.05,"🔵 Bán cao hơn","🟢 Đúng giá sàn TMĐT")))</f>
        <v/>
      </c>
      <c r="R2758" s="3" t="n"/>
      <c r="S2758" s="4" t="n"/>
      <c r="T2758" s="4" t="n"/>
    </row>
    <row r="2759">
      <c r="A2759" s="3" t="n">
        <v>2758</v>
      </c>
      <c r="B2759" s="3" t="inlineStr">
        <is>
          <t>DL025</t>
        </is>
      </c>
      <c r="C2759" s="4" t="inlineStr">
        <is>
          <t>Công ty cổ phần thiết bị kỹ thuật Tulex</t>
        </is>
      </c>
      <c r="D2759" s="3" t="inlineStr">
        <is>
          <t>HN</t>
        </is>
      </c>
      <c r="E2759" s="3" t="inlineStr">
        <is>
          <t>Lan</t>
        </is>
      </c>
      <c r="F2759" s="3" t="inlineStr">
        <is>
          <t>Website bán hàng</t>
        </is>
      </c>
      <c r="G2759" s="4" t="inlineStr">
        <is>
          <t>SHOPEE: TIKTOK: LAZADA: WEBSITE BÁN HÀNG: https://thietbitulex.com.vn/?srsltid=AU7gw4V3B543TL4FBNebsYEGpVie5EA6SPp6pgBovwWE13c7f_ty9e6R</t>
        </is>
      </c>
      <c r="H2759" s="3" t="inlineStr">
        <is>
          <t>KBL2-18160</t>
        </is>
      </c>
      <c r="I2759" s="4" t="inlineStr">
        <is>
          <t>Mũi khoan bê tông gài 2 cạnh KBL2-18*160</t>
        </is>
      </c>
      <c r="J2759" s="3" t="inlineStr">
        <is>
          <t>Cái</t>
        </is>
      </c>
      <c r="K2759" s="5" t="n">
        <v>58000</v>
      </c>
      <c r="L2759" s="5" t="n">
        <v>71000</v>
      </c>
      <c r="M2759" s="6" t="n">
        <v>90000</v>
      </c>
      <c r="N2759" s="5" t="n"/>
      <c r="O2759" s="5">
        <f>IF(AND(ISNUMBER(N2759),ISNUMBER(M2759)),N2759-M2759,"")</f>
        <v/>
      </c>
      <c r="P2759" s="7">
        <f>IF(AND(ISNUMBER(N2759),ISNUMBER(M2759),M2759&gt;0),(N2759-M2759)/M2759,"")</f>
        <v/>
      </c>
      <c r="Q2759" s="3">
        <f>IF(P2759="","",IF(P2759&lt;-0.02,"🔴 Bán phá giá sàn",IF(P2759&gt;0.05,"🔵 Bán cao hơn","🟢 Đúng giá sàn TMĐT")))</f>
        <v/>
      </c>
      <c r="R2759" s="3" t="n"/>
      <c r="S2759" s="4" t="n"/>
      <c r="T2759" s="4" t="n"/>
    </row>
    <row r="2760">
      <c r="A2760" s="3" t="n">
        <v>2759</v>
      </c>
      <c r="B2760" s="3" t="inlineStr">
        <is>
          <t>DL025</t>
        </is>
      </c>
      <c r="C2760" s="4" t="inlineStr">
        <is>
          <t>Công ty cổ phần thiết bị kỹ thuật Tulex</t>
        </is>
      </c>
      <c r="D2760" s="3" t="inlineStr">
        <is>
          <t>HN</t>
        </is>
      </c>
      <c r="E2760" s="3" t="inlineStr">
        <is>
          <t>Lan</t>
        </is>
      </c>
      <c r="F2760" s="3" t="inlineStr">
        <is>
          <t>Website bán hàng</t>
        </is>
      </c>
      <c r="G2760" s="4" t="inlineStr">
        <is>
          <t>SHOPEE: TIKTOK: LAZADA: WEBSITE BÁN HÀNG: https://thietbitulex.com.vn/?srsltid=AU7gw4V3B543TL4FBNebsYEGpVie5EA6SPp6pgBovwWE13c7f_ty9e6R</t>
        </is>
      </c>
      <c r="H2760" s="3" t="inlineStr">
        <is>
          <t>KBL2-18210</t>
        </is>
      </c>
      <c r="I2760" s="4" t="inlineStr">
        <is>
          <t>Mũi khoan bê tông gài 2 cạnh KBL2-18*210</t>
        </is>
      </c>
      <c r="J2760" s="3" t="inlineStr">
        <is>
          <t>Cái</t>
        </is>
      </c>
      <c r="K2760" s="5" t="n">
        <v>67000</v>
      </c>
      <c r="L2760" s="5" t="n">
        <v>82000</v>
      </c>
      <c r="M2760" s="6" t="n">
        <v>104000</v>
      </c>
      <c r="N2760" s="5" t="n"/>
      <c r="O2760" s="5">
        <f>IF(AND(ISNUMBER(N2760),ISNUMBER(M2760)),N2760-M2760,"")</f>
        <v/>
      </c>
      <c r="P2760" s="7">
        <f>IF(AND(ISNUMBER(N2760),ISNUMBER(M2760),M2760&gt;0),(N2760-M2760)/M2760,"")</f>
        <v/>
      </c>
      <c r="Q2760" s="3">
        <f>IF(P2760="","",IF(P2760&lt;-0.02,"🔴 Bán phá giá sàn",IF(P2760&gt;0.05,"🔵 Bán cao hơn","🟢 Đúng giá sàn TMĐT")))</f>
        <v/>
      </c>
      <c r="R2760" s="3" t="n"/>
      <c r="S2760" s="4" t="n"/>
      <c r="T2760" s="4" t="n"/>
    </row>
    <row r="2761">
      <c r="A2761" s="3" t="n">
        <v>2760</v>
      </c>
      <c r="B2761" s="3" t="inlineStr">
        <is>
          <t>DL025</t>
        </is>
      </c>
      <c r="C2761" s="4" t="inlineStr">
        <is>
          <t>Công ty cổ phần thiết bị kỹ thuật Tulex</t>
        </is>
      </c>
      <c r="D2761" s="3" t="inlineStr">
        <is>
          <t>HN</t>
        </is>
      </c>
      <c r="E2761" s="3" t="inlineStr">
        <is>
          <t>Lan</t>
        </is>
      </c>
      <c r="F2761" s="3" t="inlineStr">
        <is>
          <t>Website bán hàng</t>
        </is>
      </c>
      <c r="G2761" s="4" t="inlineStr">
        <is>
          <t>SHOPEE: TIKTOK: LAZADA: WEBSITE BÁN HÀNG: https://thietbitulex.com.vn/?srsltid=AU7gw4V3B543TL4FBNebsYEGpVie5EA6SPp6pgBovwWE13c7f_ty9e6R</t>
        </is>
      </c>
      <c r="H2761" s="3" t="inlineStr">
        <is>
          <t>KBL2-20210</t>
        </is>
      </c>
      <c r="I2761" s="4" t="inlineStr">
        <is>
          <t>Mũi khoan bê tông gài 2 cạnh KBL2-20*210</t>
        </is>
      </c>
      <c r="J2761" s="3" t="inlineStr">
        <is>
          <t>Cái</t>
        </is>
      </c>
      <c r="K2761" s="5" t="n">
        <v>78000</v>
      </c>
      <c r="L2761" s="5" t="n">
        <v>95000</v>
      </c>
      <c r="M2761" s="6" t="n">
        <v>121000</v>
      </c>
      <c r="N2761" s="5" t="n"/>
      <c r="O2761" s="5">
        <f>IF(AND(ISNUMBER(N2761),ISNUMBER(M2761)),N2761-M2761,"")</f>
        <v/>
      </c>
      <c r="P2761" s="7">
        <f>IF(AND(ISNUMBER(N2761),ISNUMBER(M2761),M2761&gt;0),(N2761-M2761)/M2761,"")</f>
        <v/>
      </c>
      <c r="Q2761" s="3">
        <f>IF(P2761="","",IF(P2761&lt;-0.02,"🔴 Bán phá giá sàn",IF(P2761&gt;0.05,"🔵 Bán cao hơn","🟢 Đúng giá sàn TMĐT")))</f>
        <v/>
      </c>
      <c r="R2761" s="3" t="n"/>
      <c r="S2761" s="4" t="n"/>
      <c r="T2761" s="4" t="n"/>
    </row>
    <row r="2762">
      <c r="A2762" s="3" t="n">
        <v>2761</v>
      </c>
      <c r="B2762" s="3" t="inlineStr">
        <is>
          <t>DL025</t>
        </is>
      </c>
      <c r="C2762" s="4" t="inlineStr">
        <is>
          <t>Công ty cổ phần thiết bị kỹ thuật Tulex</t>
        </is>
      </c>
      <c r="D2762" s="3" t="inlineStr">
        <is>
          <t>HN</t>
        </is>
      </c>
      <c r="E2762" s="3" t="inlineStr">
        <is>
          <t>Lan</t>
        </is>
      </c>
      <c r="F2762" s="3" t="inlineStr">
        <is>
          <t>Website bán hàng</t>
        </is>
      </c>
      <c r="G2762" s="4" t="inlineStr">
        <is>
          <t>SHOPEE: TIKTOK: LAZADA: WEBSITE BÁN HÀNG: https://thietbitulex.com.vn/?srsltid=AU7gw4V3B543TL4FBNebsYEGpVie5EA6SPp6pgBovwWE13c7f_ty9e6R</t>
        </is>
      </c>
      <c r="H2762" s="3" t="inlineStr">
        <is>
          <t>KBL4-14160</t>
        </is>
      </c>
      <c r="I2762" s="4" t="inlineStr">
        <is>
          <t>Mũi khoan bê tông gài 4 cạnh KBL4-14*160</t>
        </is>
      </c>
      <c r="J2762" s="3" t="inlineStr">
        <is>
          <t>Cái</t>
        </is>
      </c>
      <c r="K2762" s="5" t="n">
        <v>51000</v>
      </c>
      <c r="L2762" s="5" t="n">
        <v>62000</v>
      </c>
      <c r="M2762" s="6" t="n">
        <v>79000</v>
      </c>
      <c r="N2762" s="5" t="n"/>
      <c r="O2762" s="5">
        <f>IF(AND(ISNUMBER(N2762),ISNUMBER(M2762)),N2762-M2762,"")</f>
        <v/>
      </c>
      <c r="P2762" s="7">
        <f>IF(AND(ISNUMBER(N2762),ISNUMBER(M2762),M2762&gt;0),(N2762-M2762)/M2762,"")</f>
        <v/>
      </c>
      <c r="Q2762" s="3">
        <f>IF(P2762="","",IF(P2762&lt;-0.02,"🔴 Bán phá giá sàn",IF(P2762&gt;0.05,"🔵 Bán cao hơn","🟢 Đúng giá sàn TMĐT")))</f>
        <v/>
      </c>
      <c r="R2762" s="3" t="n"/>
      <c r="S2762" s="4" t="n"/>
      <c r="T2762" s="4" t="n"/>
    </row>
    <row r="2763">
      <c r="A2763" s="3" t="n">
        <v>2762</v>
      </c>
      <c r="B2763" s="3" t="inlineStr">
        <is>
          <t>DL025</t>
        </is>
      </c>
      <c r="C2763" s="4" t="inlineStr">
        <is>
          <t>Công ty cổ phần thiết bị kỹ thuật Tulex</t>
        </is>
      </c>
      <c r="D2763" s="3" t="inlineStr">
        <is>
          <t>HN</t>
        </is>
      </c>
      <c r="E2763" s="3" t="inlineStr">
        <is>
          <t>Lan</t>
        </is>
      </c>
      <c r="F2763" s="3" t="inlineStr">
        <is>
          <t>Website bán hàng</t>
        </is>
      </c>
      <c r="G2763" s="4" t="inlineStr">
        <is>
          <t>SHOPEE: TIKTOK: LAZADA: WEBSITE BÁN HÀNG: https://thietbitulex.com.vn/?srsltid=AU7gw4V3B543TL4FBNebsYEGpVie5EA6SPp6pgBovwWE13c7f_ty9e6R</t>
        </is>
      </c>
      <c r="H2763" s="3" t="inlineStr">
        <is>
          <t>KBL4-16160</t>
        </is>
      </c>
      <c r="I2763" s="4" t="inlineStr">
        <is>
          <t>Mũi khoan bê tông gài 4 cạnh KBL4-16*160</t>
        </is>
      </c>
      <c r="J2763" s="3" t="inlineStr">
        <is>
          <t>Cái</t>
        </is>
      </c>
      <c r="K2763" s="5" t="n">
        <v>59000</v>
      </c>
      <c r="L2763" s="5" t="n">
        <v>72000</v>
      </c>
      <c r="M2763" s="6" t="n">
        <v>92000</v>
      </c>
      <c r="N2763" s="5" t="n"/>
      <c r="O2763" s="5">
        <f>IF(AND(ISNUMBER(N2763),ISNUMBER(M2763)),N2763-M2763,"")</f>
        <v/>
      </c>
      <c r="P2763" s="7">
        <f>IF(AND(ISNUMBER(N2763),ISNUMBER(M2763),M2763&gt;0),(N2763-M2763)/M2763,"")</f>
        <v/>
      </c>
      <c r="Q2763" s="3">
        <f>IF(P2763="","",IF(P2763&lt;-0.02,"🔴 Bán phá giá sàn",IF(P2763&gt;0.05,"🔵 Bán cao hơn","🟢 Đúng giá sàn TMĐT")))</f>
        <v/>
      </c>
      <c r="R2763" s="3" t="n"/>
      <c r="S2763" s="4" t="n"/>
      <c r="T2763" s="4" t="n"/>
    </row>
    <row r="2764">
      <c r="A2764" s="3" t="n">
        <v>2763</v>
      </c>
      <c r="B2764" s="3" t="inlineStr">
        <is>
          <t>DL025</t>
        </is>
      </c>
      <c r="C2764" s="4" t="inlineStr">
        <is>
          <t>Công ty cổ phần thiết bị kỹ thuật Tulex</t>
        </is>
      </c>
      <c r="D2764" s="3" t="inlineStr">
        <is>
          <t>HN</t>
        </is>
      </c>
      <c r="E2764" s="3" t="inlineStr">
        <is>
          <t>Lan</t>
        </is>
      </c>
      <c r="F2764" s="3" t="inlineStr">
        <is>
          <t>Website bán hàng</t>
        </is>
      </c>
      <c r="G2764" s="4" t="inlineStr">
        <is>
          <t>SHOPEE: TIKTOK: LAZADA: WEBSITE BÁN HÀNG: https://thietbitulex.com.vn/?srsltid=AU7gw4V3B543TL4FBNebsYEGpVie5EA6SPp6pgBovwWE13c7f_ty9e6R</t>
        </is>
      </c>
      <c r="H2764" s="3" t="inlineStr">
        <is>
          <t>KBL2-22310</t>
        </is>
      </c>
      <c r="I2764" s="4" t="inlineStr">
        <is>
          <t>Mũi khoan bê tông gài xuyên tường 2 cạnh KBL2-22*310</t>
        </is>
      </c>
      <c r="J2764" s="3" t="inlineStr">
        <is>
          <t>Cái</t>
        </is>
      </c>
      <c r="K2764" s="5" t="n">
        <v>120000</v>
      </c>
      <c r="L2764" s="5" t="n">
        <v>146000</v>
      </c>
      <c r="M2764" s="6" t="n">
        <v>186000</v>
      </c>
      <c r="N2764" s="5" t="n"/>
      <c r="O2764" s="5">
        <f>IF(AND(ISNUMBER(N2764),ISNUMBER(M2764)),N2764-M2764,"")</f>
        <v/>
      </c>
      <c r="P2764" s="7">
        <f>IF(AND(ISNUMBER(N2764),ISNUMBER(M2764),M2764&gt;0),(N2764-M2764)/M2764,"")</f>
        <v/>
      </c>
      <c r="Q2764" s="3">
        <f>IF(P2764="","",IF(P2764&lt;-0.02,"🔴 Bán phá giá sàn",IF(P2764&gt;0.05,"🔵 Bán cao hơn","🟢 Đúng giá sàn TMĐT")))</f>
        <v/>
      </c>
      <c r="R2764" s="3" t="n"/>
      <c r="S2764" s="4" t="n"/>
      <c r="T2764" s="4" t="n"/>
    </row>
    <row r="2765">
      <c r="A2765" s="3" t="n">
        <v>2764</v>
      </c>
      <c r="B2765" s="3" t="inlineStr">
        <is>
          <t>DL025</t>
        </is>
      </c>
      <c r="C2765" s="4" t="inlineStr">
        <is>
          <t>Công ty cổ phần thiết bị kỹ thuật Tulex</t>
        </is>
      </c>
      <c r="D2765" s="3" t="inlineStr">
        <is>
          <t>HN</t>
        </is>
      </c>
      <c r="E2765" s="3" t="inlineStr">
        <is>
          <t>Lan</t>
        </is>
      </c>
      <c r="F2765" s="3" t="inlineStr">
        <is>
          <t>Website bán hàng</t>
        </is>
      </c>
      <c r="G2765" s="4" t="inlineStr">
        <is>
          <t>SHOPEE: TIKTOK: LAZADA: WEBSITE BÁN HÀNG: https://thietbitulex.com.vn/?srsltid=AU7gw4V3B543TL4FBNebsYEGpVie5EA6SPp6pgBovwWE13c7f_ty9e6R</t>
        </is>
      </c>
      <c r="H2765" s="3" t="inlineStr">
        <is>
          <t>KBY1-HC-100</t>
        </is>
      </c>
      <c r="I2765" s="4" t="inlineStr">
        <is>
          <t>Mũi khoan thép KBY1-HC-100</t>
        </is>
      </c>
      <c r="J2765" s="3" t="inlineStr">
        <is>
          <t>Cái</t>
        </is>
      </c>
      <c r="K2765" s="5" t="n">
        <v>269000</v>
      </c>
      <c r="L2765" s="5" t="n">
        <v>317000</v>
      </c>
      <c r="M2765" s="6" t="n">
        <v>390000</v>
      </c>
      <c r="N2765" s="5" t="n"/>
      <c r="O2765" s="5">
        <f>IF(AND(ISNUMBER(N2765),ISNUMBER(M2765)),N2765-M2765,"")</f>
        <v/>
      </c>
      <c r="P2765" s="7">
        <f>IF(AND(ISNUMBER(N2765),ISNUMBER(M2765),M2765&gt;0),(N2765-M2765)/M2765,"")</f>
        <v/>
      </c>
      <c r="Q2765" s="3">
        <f>IF(P2765="","",IF(P2765&lt;-0.02,"🔴 Bán phá giá sàn",IF(P2765&gt;0.05,"🔵 Bán cao hơn","🟢 Đúng giá sàn TMĐT")))</f>
        <v/>
      </c>
      <c r="R2765" s="3" t="n"/>
      <c r="S2765" s="4" t="n"/>
      <c r="T2765" s="4" t="n"/>
    </row>
    <row r="2766">
      <c r="A2766" s="3" t="n">
        <v>2765</v>
      </c>
      <c r="B2766" s="3" t="inlineStr">
        <is>
          <t>DL025</t>
        </is>
      </c>
      <c r="C2766" s="4" t="inlineStr">
        <is>
          <t>Công ty cổ phần thiết bị kỹ thuật Tulex</t>
        </is>
      </c>
      <c r="D2766" s="3" t="inlineStr">
        <is>
          <t>HN</t>
        </is>
      </c>
      <c r="E2766" s="3" t="inlineStr">
        <is>
          <t>Lan</t>
        </is>
      </c>
      <c r="F2766" s="3" t="inlineStr">
        <is>
          <t>Website bán hàng</t>
        </is>
      </c>
      <c r="G2766" s="4" t="inlineStr">
        <is>
          <t>SHOPEE: TIKTOK: LAZADA: WEBSITE BÁN HÀNG: https://thietbitulex.com.vn/?srsltid=AU7gw4V3B543TL4FBNebsYEGpVie5EA6SPp6pgBovwWE13c7f_ty9e6R</t>
        </is>
      </c>
      <c r="H2766" s="3" t="inlineStr">
        <is>
          <t>KBL4-22350</t>
        </is>
      </c>
      <c r="I2766" s="4" t="inlineStr">
        <is>
          <t>Mũi khoan xuyên tường 4 cạnh KBL4-22*350</t>
        </is>
      </c>
      <c r="J2766" s="3" t="inlineStr">
        <is>
          <t>Cái</t>
        </is>
      </c>
      <c r="K2766" s="5" t="n">
        <v>228000</v>
      </c>
      <c r="L2766" s="5" t="n">
        <v>278000</v>
      </c>
      <c r="M2766" s="6" t="n">
        <v>353000</v>
      </c>
      <c r="N2766" s="5" t="n"/>
      <c r="O2766" s="5">
        <f>IF(AND(ISNUMBER(N2766),ISNUMBER(M2766)),N2766-M2766,"")</f>
        <v/>
      </c>
      <c r="P2766" s="7">
        <f>IF(AND(ISNUMBER(N2766),ISNUMBER(M2766),M2766&gt;0),(N2766-M2766)/M2766,"")</f>
        <v/>
      </c>
      <c r="Q2766" s="3">
        <f>IF(P2766="","",IF(P2766&lt;-0.02,"🔴 Bán phá giá sàn",IF(P2766&gt;0.05,"🔵 Bán cao hơn","🟢 Đúng giá sàn TMĐT")))</f>
        <v/>
      </c>
      <c r="R2766" s="3" t="n"/>
      <c r="S2766" s="4" t="n"/>
      <c r="T2766" s="4" t="n"/>
    </row>
    <row r="2767">
      <c r="A2767" s="3" t="n">
        <v>2766</v>
      </c>
      <c r="B2767" s="3" t="inlineStr">
        <is>
          <t>DL025</t>
        </is>
      </c>
      <c r="C2767" s="4" t="inlineStr">
        <is>
          <t>Công ty cổ phần thiết bị kỹ thuật Tulex</t>
        </is>
      </c>
      <c r="D2767" s="3" t="inlineStr">
        <is>
          <t>HN</t>
        </is>
      </c>
      <c r="E2767" s="3" t="inlineStr">
        <is>
          <t>Lan</t>
        </is>
      </c>
      <c r="F2767" s="3" t="inlineStr">
        <is>
          <t>Website bán hàng</t>
        </is>
      </c>
      <c r="G2767" s="4" t="inlineStr">
        <is>
          <t>SHOPEE: TIKTOK: LAZADA: WEBSITE BÁN HÀNG: https://thietbitulex.com.vn/?srsltid=AU7gw4V3B543TL4FBNebsYEGpVie5EA6SPp6pgBovwWE13c7f_ty9e6R</t>
        </is>
      </c>
      <c r="H2767" s="3" t="inlineStr">
        <is>
          <t>KBL4-25350</t>
        </is>
      </c>
      <c r="I2767" s="4" t="inlineStr">
        <is>
          <t>Mũi khoan xuyên tường 4 cạnh KBL4-25*350</t>
        </is>
      </c>
      <c r="J2767" s="3" t="inlineStr">
        <is>
          <t>Cái</t>
        </is>
      </c>
      <c r="K2767" s="5" t="n">
        <v>285000</v>
      </c>
      <c r="L2767" s="5" t="n">
        <v>348000</v>
      </c>
      <c r="M2767" s="6" t="n">
        <v>442000</v>
      </c>
      <c r="N2767" s="5" t="n"/>
      <c r="O2767" s="5">
        <f>IF(AND(ISNUMBER(N2767),ISNUMBER(M2767)),N2767-M2767,"")</f>
        <v/>
      </c>
      <c r="P2767" s="7">
        <f>IF(AND(ISNUMBER(N2767),ISNUMBER(M2767),M2767&gt;0),(N2767-M2767)/M2767,"")</f>
        <v/>
      </c>
      <c r="Q2767" s="3">
        <f>IF(P2767="","",IF(P2767&lt;-0.02,"🔴 Bán phá giá sàn",IF(P2767&gt;0.05,"🔵 Bán cao hơn","🟢 Đúng giá sàn TMĐT")))</f>
        <v/>
      </c>
      <c r="R2767" s="3" t="n"/>
      <c r="S2767" s="4" t="n"/>
      <c r="T2767" s="4" t="n"/>
    </row>
    <row r="2768">
      <c r="A2768" s="3" t="n">
        <v>2767</v>
      </c>
      <c r="B2768" s="3" t="inlineStr">
        <is>
          <t>DL025</t>
        </is>
      </c>
      <c r="C2768" s="4" t="inlineStr">
        <is>
          <t>Công ty cổ phần thiết bị kỹ thuật Tulex</t>
        </is>
      </c>
      <c r="D2768" s="3" t="inlineStr">
        <is>
          <t>HN</t>
        </is>
      </c>
      <c r="E2768" s="3" t="inlineStr">
        <is>
          <t>Lan</t>
        </is>
      </c>
      <c r="F2768" s="3" t="inlineStr">
        <is>
          <t>Website bán hàng</t>
        </is>
      </c>
      <c r="G2768" s="4" t="inlineStr">
        <is>
          <t>SHOPEE: TIKTOK: LAZADA: WEBSITE BÁN HÀNG: https://thietbitulex.com.vn/?srsltid=AU7gw4V3B543TL4FBNebsYEGpVie5EA6SPp6pgBovwWE13c7f_ty9e6R</t>
        </is>
      </c>
      <c r="H2768" s="3" t="inlineStr">
        <is>
          <t>R1-42/25</t>
        </is>
      </c>
      <c r="I2768" s="4" t="inlineStr">
        <is>
          <t>Mũi khoét hợp kim Bluebird R1-42/25</t>
        </is>
      </c>
      <c r="J2768" s="3" t="inlineStr">
        <is>
          <t>Cái</t>
        </is>
      </c>
      <c r="K2768" s="5" t="n">
        <v>153000</v>
      </c>
      <c r="L2768" s="5" t="n">
        <v>187000</v>
      </c>
      <c r="M2768" s="6" t="n">
        <v>237000</v>
      </c>
      <c r="N2768" s="5" t="n"/>
      <c r="O2768" s="5">
        <f>IF(AND(ISNUMBER(N2768),ISNUMBER(M2768)),N2768-M2768,"")</f>
        <v/>
      </c>
      <c r="P2768" s="7">
        <f>IF(AND(ISNUMBER(N2768),ISNUMBER(M2768),M2768&gt;0),(N2768-M2768)/M2768,"")</f>
        <v/>
      </c>
      <c r="Q2768" s="3">
        <f>IF(P2768="","",IF(P2768&lt;-0.02,"🔴 Bán phá giá sàn",IF(P2768&gt;0.05,"🔵 Bán cao hơn","🟢 Đúng giá sàn TMĐT")))</f>
        <v/>
      </c>
      <c r="R2768" s="3" t="n"/>
      <c r="S2768" s="4" t="n"/>
      <c r="T2768" s="4" t="n"/>
    </row>
    <row r="2769">
      <c r="A2769" s="3" t="n">
        <v>2768</v>
      </c>
      <c r="B2769" s="3" t="inlineStr">
        <is>
          <t>DL025</t>
        </is>
      </c>
      <c r="C2769" s="4" t="inlineStr">
        <is>
          <t>Công ty cổ phần thiết bị kỹ thuật Tulex</t>
        </is>
      </c>
      <c r="D2769" s="3" t="inlineStr">
        <is>
          <t>HN</t>
        </is>
      </c>
      <c r="E2769" s="3" t="inlineStr">
        <is>
          <t>Lan</t>
        </is>
      </c>
      <c r="F2769" s="3" t="inlineStr">
        <is>
          <t>Website bán hàng</t>
        </is>
      </c>
      <c r="G2769" s="4" t="inlineStr">
        <is>
          <t>SHOPEE: TIKTOK: LAZADA: WEBSITE BÁN HÀNG: https://thietbitulex.com.vn/?srsltid=AU7gw4V3B543TL4FBNebsYEGpVie5EA6SPp6pgBovwWE13c7f_ty9e6R</t>
        </is>
      </c>
      <c r="H2769" s="3" t="inlineStr">
        <is>
          <t>R1-45/25</t>
        </is>
      </c>
      <c r="I2769" s="4" t="inlineStr">
        <is>
          <t>Mũi khoét hợp kim BlueBird R1-45/25</t>
        </is>
      </c>
      <c r="J2769" s="3" t="inlineStr">
        <is>
          <t>Cái</t>
        </is>
      </c>
      <c r="K2769" s="5" t="n">
        <v>162000</v>
      </c>
      <c r="L2769" s="5" t="n">
        <v>198000</v>
      </c>
      <c r="M2769" s="6" t="n">
        <v>251000</v>
      </c>
      <c r="N2769" s="5" t="n"/>
      <c r="O2769" s="5">
        <f>IF(AND(ISNUMBER(N2769),ISNUMBER(M2769)),N2769-M2769,"")</f>
        <v/>
      </c>
      <c r="P2769" s="7">
        <f>IF(AND(ISNUMBER(N2769),ISNUMBER(M2769),M2769&gt;0),(N2769-M2769)/M2769,"")</f>
        <v/>
      </c>
      <c r="Q2769" s="3">
        <f>IF(P2769="","",IF(P2769&lt;-0.02,"🔴 Bán phá giá sàn",IF(P2769&gt;0.05,"🔵 Bán cao hơn","🟢 Đúng giá sàn TMĐT")))</f>
        <v/>
      </c>
      <c r="R2769" s="3" t="n"/>
      <c r="S2769" s="4" t="n"/>
      <c r="T2769" s="4" t="n"/>
    </row>
    <row r="2770">
      <c r="A2770" s="3" t="n">
        <v>2769</v>
      </c>
      <c r="B2770" s="3" t="inlineStr">
        <is>
          <t>DL025</t>
        </is>
      </c>
      <c r="C2770" s="4" t="inlineStr">
        <is>
          <t>Công ty cổ phần thiết bị kỹ thuật Tulex</t>
        </is>
      </c>
      <c r="D2770" s="3" t="inlineStr">
        <is>
          <t>HN</t>
        </is>
      </c>
      <c r="E2770" s="3" t="inlineStr">
        <is>
          <t>Lan</t>
        </is>
      </c>
      <c r="F2770" s="3" t="inlineStr">
        <is>
          <t>Website bán hàng</t>
        </is>
      </c>
      <c r="G2770" s="4" t="inlineStr">
        <is>
          <t>SHOPEE: TIKTOK: LAZADA: WEBSITE BÁN HÀNG: https://thietbitulex.com.vn/?srsltid=AU7gw4V3B543TL4FBNebsYEGpVie5EA6SPp6pgBovwWE13c7f_ty9e6R</t>
        </is>
      </c>
      <c r="H2770" s="3" t="inlineStr">
        <is>
          <t>R1-50/25</t>
        </is>
      </c>
      <c r="I2770" s="4" t="inlineStr">
        <is>
          <t>Mũi khoét hợp kim Bluebird R1-50/25</t>
        </is>
      </c>
      <c r="J2770" s="3" t="inlineStr">
        <is>
          <t>Cái</t>
        </is>
      </c>
      <c r="K2770" s="5" t="n">
        <v>183000</v>
      </c>
      <c r="L2770" s="5" t="n">
        <v>223000</v>
      </c>
      <c r="M2770" s="6" t="n">
        <v>284000</v>
      </c>
      <c r="N2770" s="5" t="n"/>
      <c r="O2770" s="5">
        <f>IF(AND(ISNUMBER(N2770),ISNUMBER(M2770)),N2770-M2770,"")</f>
        <v/>
      </c>
      <c r="P2770" s="7">
        <f>IF(AND(ISNUMBER(N2770),ISNUMBER(M2770),M2770&gt;0),(N2770-M2770)/M2770,"")</f>
        <v/>
      </c>
      <c r="Q2770" s="3">
        <f>IF(P2770="","",IF(P2770&lt;-0.02,"🔴 Bán phá giá sàn",IF(P2770&gt;0.05,"🔵 Bán cao hơn","🟢 Đúng giá sàn TMĐT")))</f>
        <v/>
      </c>
      <c r="R2770" s="3" t="n"/>
      <c r="S2770" s="4" t="n"/>
      <c r="T2770" s="4" t="n"/>
    </row>
    <row r="2771">
      <c r="A2771" s="3" t="n">
        <v>2770</v>
      </c>
      <c r="B2771" s="3" t="inlineStr">
        <is>
          <t>DL025</t>
        </is>
      </c>
      <c r="C2771" s="4" t="inlineStr">
        <is>
          <t>Công ty cổ phần thiết bị kỹ thuật Tulex</t>
        </is>
      </c>
      <c r="D2771" s="3" t="inlineStr">
        <is>
          <t>HN</t>
        </is>
      </c>
      <c r="E2771" s="3" t="inlineStr">
        <is>
          <t>Lan</t>
        </is>
      </c>
      <c r="F2771" s="3" t="inlineStr">
        <is>
          <t>Website bán hàng</t>
        </is>
      </c>
      <c r="G2771" s="4" t="inlineStr">
        <is>
          <t>SHOPEE: TIKTOK: LAZADA: WEBSITE BÁN HÀNG: https://thietbitulex.com.vn/?srsltid=AU7gw4V3B543TL4FBNebsYEGpVie5EA6SPp6pgBovwWE13c7f_ty9e6R</t>
        </is>
      </c>
      <c r="H2771" s="3" t="inlineStr">
        <is>
          <t>R1-60/25</t>
        </is>
      </c>
      <c r="I2771" s="4" t="inlineStr">
        <is>
          <t>Mũi khoét hợp kim Bluebird R1-60/25</t>
        </is>
      </c>
      <c r="J2771" s="3" t="inlineStr">
        <is>
          <t>Cái</t>
        </is>
      </c>
      <c r="K2771" s="5" t="n">
        <v>219000</v>
      </c>
      <c r="L2771" s="5" t="n">
        <v>267000</v>
      </c>
      <c r="M2771" s="6" t="n">
        <v>340000</v>
      </c>
      <c r="N2771" s="5" t="n"/>
      <c r="O2771" s="5">
        <f>IF(AND(ISNUMBER(N2771),ISNUMBER(M2771)),N2771-M2771,"")</f>
        <v/>
      </c>
      <c r="P2771" s="7">
        <f>IF(AND(ISNUMBER(N2771),ISNUMBER(M2771),M2771&gt;0),(N2771-M2771)/M2771,"")</f>
        <v/>
      </c>
      <c r="Q2771" s="3">
        <f>IF(P2771="","",IF(P2771&lt;-0.02,"🔴 Bán phá giá sàn",IF(P2771&gt;0.05,"🔵 Bán cao hơn","🟢 Đúng giá sàn TMĐT")))</f>
        <v/>
      </c>
      <c r="R2771" s="3" t="n"/>
      <c r="S2771" s="4" t="n"/>
      <c r="T2771" s="4" t="n"/>
    </row>
    <row r="2772">
      <c r="A2772" s="3" t="n">
        <v>2771</v>
      </c>
      <c r="B2772" s="3" t="inlineStr">
        <is>
          <t>DL025</t>
        </is>
      </c>
      <c r="C2772" s="4" t="inlineStr">
        <is>
          <t>Công ty cổ phần thiết bị kỹ thuật Tulex</t>
        </is>
      </c>
      <c r="D2772" s="3" t="inlineStr">
        <is>
          <t>HN</t>
        </is>
      </c>
      <c r="E2772" s="3" t="inlineStr">
        <is>
          <t>Lan</t>
        </is>
      </c>
      <c r="F2772" s="3" t="inlineStr">
        <is>
          <t>Website bán hàng</t>
        </is>
      </c>
      <c r="G2772" s="4" t="inlineStr">
        <is>
          <t>SHOPEE: TIKTOK: LAZADA: WEBSITE BÁN HÀNG: https://thietbitulex.com.vn/?srsltid=AU7gw4V3B543TL4FBNebsYEGpVie5EA6SPp6pgBovwWE13c7f_ty9e6R</t>
        </is>
      </c>
      <c r="H2772" s="3" t="inlineStr">
        <is>
          <t>R1-90/25</t>
        </is>
      </c>
      <c r="I2772" s="4" t="inlineStr">
        <is>
          <t>Mũi khoét hợp kim Bluebird R1-90/25</t>
        </is>
      </c>
      <c r="J2772" s="3" t="inlineStr">
        <is>
          <t>Cái</t>
        </is>
      </c>
      <c r="K2772" s="5" t="n">
        <v>328000</v>
      </c>
      <c r="L2772" s="5" t="n">
        <v>400000</v>
      </c>
      <c r="M2772" s="6" t="n">
        <v>508000</v>
      </c>
      <c r="N2772" s="5" t="n"/>
      <c r="O2772" s="5">
        <f>IF(AND(ISNUMBER(N2772),ISNUMBER(M2772)),N2772-M2772,"")</f>
        <v/>
      </c>
      <c r="P2772" s="7">
        <f>IF(AND(ISNUMBER(N2772),ISNUMBER(M2772),M2772&gt;0),(N2772-M2772)/M2772,"")</f>
        <v/>
      </c>
      <c r="Q2772" s="3">
        <f>IF(P2772="","",IF(P2772&lt;-0.02,"🔴 Bán phá giá sàn",IF(P2772&gt;0.05,"🔵 Bán cao hơn","🟢 Đúng giá sàn TMĐT")))</f>
        <v/>
      </c>
      <c r="R2772" s="3" t="n"/>
      <c r="S2772" s="4" t="n"/>
      <c r="T2772" s="4" t="n"/>
    </row>
    <row r="2773">
      <c r="A2773" s="3" t="n">
        <v>2772</v>
      </c>
      <c r="B2773" s="3" t="inlineStr">
        <is>
          <t>DL025</t>
        </is>
      </c>
      <c r="C2773" s="4" t="inlineStr">
        <is>
          <t>Công ty cổ phần thiết bị kỹ thuật Tulex</t>
        </is>
      </c>
      <c r="D2773" s="3" t="inlineStr">
        <is>
          <t>HN</t>
        </is>
      </c>
      <c r="E2773" s="3" t="inlineStr">
        <is>
          <t>Lan</t>
        </is>
      </c>
      <c r="F2773" s="3" t="inlineStr">
        <is>
          <t>Website bán hàng</t>
        </is>
      </c>
      <c r="G2773" s="4" t="inlineStr">
        <is>
          <t>SHOPEE: TIKTOK: LAZADA: WEBSITE BÁN HÀNG: https://thietbitulex.com.vn/?srsltid=AU7gw4V3B543TL4FBNebsYEGpVie5EA6SPp6pgBovwWE13c7f_ty9e6R</t>
        </is>
      </c>
      <c r="H2773" s="3" t="inlineStr">
        <is>
          <t>R1-18/25</t>
        </is>
      </c>
      <c r="I2773" s="4" t="inlineStr">
        <is>
          <t>Mũi khoét hợp kim Kingblue R1-18/25</t>
        </is>
      </c>
      <c r="J2773" s="3" t="inlineStr">
        <is>
          <t>Cái</t>
        </is>
      </c>
      <c r="K2773" s="5" t="n">
        <v>68000</v>
      </c>
      <c r="L2773" s="5" t="n">
        <v>83000</v>
      </c>
      <c r="M2773" s="6" t="n">
        <v>105000</v>
      </c>
      <c r="N2773" s="5" t="n"/>
      <c r="O2773" s="5">
        <f>IF(AND(ISNUMBER(N2773),ISNUMBER(M2773)),N2773-M2773,"")</f>
        <v/>
      </c>
      <c r="P2773" s="7">
        <f>IF(AND(ISNUMBER(N2773),ISNUMBER(M2773),M2773&gt;0),(N2773-M2773)/M2773,"")</f>
        <v/>
      </c>
      <c r="Q2773" s="3">
        <f>IF(P2773="","",IF(P2773&lt;-0.02,"🔴 Bán phá giá sàn",IF(P2773&gt;0.05,"🔵 Bán cao hơn","🟢 Đúng giá sàn TMĐT")))</f>
        <v/>
      </c>
      <c r="R2773" s="3" t="n"/>
      <c r="S2773" s="4" t="n"/>
      <c r="T2773" s="4" t="n"/>
    </row>
    <row r="2774">
      <c r="A2774" s="3" t="n">
        <v>2773</v>
      </c>
      <c r="B2774" s="3" t="inlineStr">
        <is>
          <t>DL025</t>
        </is>
      </c>
      <c r="C2774" s="4" t="inlineStr">
        <is>
          <t>Công ty cổ phần thiết bị kỹ thuật Tulex</t>
        </is>
      </c>
      <c r="D2774" s="3" t="inlineStr">
        <is>
          <t>HN</t>
        </is>
      </c>
      <c r="E2774" s="3" t="inlineStr">
        <is>
          <t>Lan</t>
        </is>
      </c>
      <c r="F2774" s="3" t="inlineStr">
        <is>
          <t>Website bán hàng</t>
        </is>
      </c>
      <c r="G2774" s="4" t="inlineStr">
        <is>
          <t>SHOPEE: TIKTOK: LAZADA: WEBSITE BÁN HÀNG: https://thietbitulex.com.vn/?srsltid=AU7gw4V3B543TL4FBNebsYEGpVie5EA6SPp6pgBovwWE13c7f_ty9e6R</t>
        </is>
      </c>
      <c r="H2774" s="3" t="inlineStr">
        <is>
          <t>R1-22/25</t>
        </is>
      </c>
      <c r="I2774" s="4" t="inlineStr">
        <is>
          <t>Mũi khoét hợp kim Kingblue R1-22/25</t>
        </is>
      </c>
      <c r="J2774" s="3" t="inlineStr">
        <is>
          <t>Cái</t>
        </is>
      </c>
      <c r="K2774" s="5" t="n">
        <v>82000</v>
      </c>
      <c r="L2774" s="5" t="n">
        <v>100000</v>
      </c>
      <c r="M2774" s="6" t="n">
        <v>127000</v>
      </c>
      <c r="N2774" s="5" t="n"/>
      <c r="O2774" s="5">
        <f>IF(AND(ISNUMBER(N2774),ISNUMBER(M2774)),N2774-M2774,"")</f>
        <v/>
      </c>
      <c r="P2774" s="7">
        <f>IF(AND(ISNUMBER(N2774),ISNUMBER(M2774),M2774&gt;0),(N2774-M2774)/M2774,"")</f>
        <v/>
      </c>
      <c r="Q2774" s="3">
        <f>IF(P2774="","",IF(P2774&lt;-0.02,"🔴 Bán phá giá sàn",IF(P2774&gt;0.05,"🔵 Bán cao hơn","🟢 Đúng giá sàn TMĐT")))</f>
        <v/>
      </c>
      <c r="R2774" s="3" t="n"/>
      <c r="S2774" s="4" t="n"/>
      <c r="T2774" s="4" t="n"/>
    </row>
    <row r="2775">
      <c r="A2775" s="3" t="n">
        <v>2774</v>
      </c>
      <c r="B2775" s="3" t="inlineStr">
        <is>
          <t>DL025</t>
        </is>
      </c>
      <c r="C2775" s="4" t="inlineStr">
        <is>
          <t>Công ty cổ phần thiết bị kỹ thuật Tulex</t>
        </is>
      </c>
      <c r="D2775" s="3" t="inlineStr">
        <is>
          <t>HN</t>
        </is>
      </c>
      <c r="E2775" s="3" t="inlineStr">
        <is>
          <t>Lan</t>
        </is>
      </c>
      <c r="F2775" s="3" t="inlineStr">
        <is>
          <t>Website bán hàng</t>
        </is>
      </c>
      <c r="G2775" s="4" t="inlineStr">
        <is>
          <t>SHOPEE: TIKTOK: LAZADA: WEBSITE BÁN HÀNG: https://thietbitulex.com.vn/?srsltid=AU7gw4V3B543TL4FBNebsYEGpVie5EA6SPp6pgBovwWE13c7f_ty9e6R</t>
        </is>
      </c>
      <c r="H2775" s="3" t="inlineStr">
        <is>
          <t>R1-27/25</t>
        </is>
      </c>
      <c r="I2775" s="4" t="inlineStr">
        <is>
          <t>Mũi khoét hợp kim Kingblue R1-27/25</t>
        </is>
      </c>
      <c r="J2775" s="3" t="inlineStr">
        <is>
          <t>Cái</t>
        </is>
      </c>
      <c r="K2775" s="5" t="n">
        <v>99000</v>
      </c>
      <c r="L2775" s="5" t="n">
        <v>121000</v>
      </c>
      <c r="M2775" s="6" t="n">
        <v>154000</v>
      </c>
      <c r="N2775" s="5" t="n"/>
      <c r="O2775" s="5">
        <f>IF(AND(ISNUMBER(N2775),ISNUMBER(M2775)),N2775-M2775,"")</f>
        <v/>
      </c>
      <c r="P2775" s="7">
        <f>IF(AND(ISNUMBER(N2775),ISNUMBER(M2775),M2775&gt;0),(N2775-M2775)/M2775,"")</f>
        <v/>
      </c>
      <c r="Q2775" s="3">
        <f>IF(P2775="","",IF(P2775&lt;-0.02,"🔴 Bán phá giá sàn",IF(P2775&gt;0.05,"🔵 Bán cao hơn","🟢 Đúng giá sàn TMĐT")))</f>
        <v/>
      </c>
      <c r="R2775" s="3" t="n"/>
      <c r="S2775" s="4" t="n"/>
      <c r="T2775" s="4" t="n"/>
    </row>
    <row r="2776">
      <c r="A2776" s="3" t="n">
        <v>2775</v>
      </c>
      <c r="B2776" s="3" t="inlineStr">
        <is>
          <t>DL025</t>
        </is>
      </c>
      <c r="C2776" s="4" t="inlineStr">
        <is>
          <t>Công ty cổ phần thiết bị kỹ thuật Tulex</t>
        </is>
      </c>
      <c r="D2776" s="3" t="inlineStr">
        <is>
          <t>HN</t>
        </is>
      </c>
      <c r="E2776" s="3" t="inlineStr">
        <is>
          <t>Lan</t>
        </is>
      </c>
      <c r="F2776" s="3" t="inlineStr">
        <is>
          <t>Website bán hàng</t>
        </is>
      </c>
      <c r="G2776" s="4" t="inlineStr">
        <is>
          <t>SHOPEE: TIKTOK: LAZADA: WEBSITE BÁN HÀNG: https://thietbitulex.com.vn/?srsltid=AU7gw4V3B543TL4FBNebsYEGpVie5EA6SPp6pgBovwWE13c7f_ty9e6R</t>
        </is>
      </c>
      <c r="H2776" s="3" t="inlineStr">
        <is>
          <t>R1-34/25</t>
        </is>
      </c>
      <c r="I2776" s="4" t="inlineStr">
        <is>
          <t>Mũi khoét hợp kim Kingblue R1-34/25</t>
        </is>
      </c>
      <c r="J2776" s="3" t="inlineStr">
        <is>
          <t>Cái</t>
        </is>
      </c>
      <c r="K2776" s="5" t="n">
        <v>124000</v>
      </c>
      <c r="L2776" s="5" t="n">
        <v>151000</v>
      </c>
      <c r="M2776" s="6" t="n">
        <v>192000</v>
      </c>
      <c r="N2776" s="5" t="n"/>
      <c r="O2776" s="5">
        <f>IF(AND(ISNUMBER(N2776),ISNUMBER(M2776)),N2776-M2776,"")</f>
        <v/>
      </c>
      <c r="P2776" s="7">
        <f>IF(AND(ISNUMBER(N2776),ISNUMBER(M2776),M2776&gt;0),(N2776-M2776)/M2776,"")</f>
        <v/>
      </c>
      <c r="Q2776" s="3">
        <f>IF(P2776="","",IF(P2776&lt;-0.02,"🔴 Bán phá giá sàn",IF(P2776&gt;0.05,"🔵 Bán cao hơn","🟢 Đúng giá sàn TMĐT")))</f>
        <v/>
      </c>
      <c r="R2776" s="3" t="n"/>
      <c r="S2776" s="4" t="n"/>
      <c r="T2776" s="4" t="n"/>
    </row>
    <row r="2777">
      <c r="A2777" s="3" t="n">
        <v>2776</v>
      </c>
      <c r="B2777" s="3" t="inlineStr">
        <is>
          <t>DL025</t>
        </is>
      </c>
      <c r="C2777" s="4" t="inlineStr">
        <is>
          <t>Công ty cổ phần thiết bị kỹ thuật Tulex</t>
        </is>
      </c>
      <c r="D2777" s="3" t="inlineStr">
        <is>
          <t>HN</t>
        </is>
      </c>
      <c r="E2777" s="3" t="inlineStr">
        <is>
          <t>Lan</t>
        </is>
      </c>
      <c r="F2777" s="3" t="inlineStr">
        <is>
          <t>Website bán hàng</t>
        </is>
      </c>
      <c r="G2777" s="4" t="inlineStr">
        <is>
          <t>SHOPEE: TIKTOK: LAZADA: WEBSITE BÁN HÀNG: https://thietbitulex.com.vn/?srsltid=AU7gw4V3B543TL4FBNebsYEGpVie5EA6SPp6pgBovwWE13c7f_ty9e6R</t>
        </is>
      </c>
      <c r="H2777" s="3" t="inlineStr">
        <is>
          <t>KB848G</t>
        </is>
      </c>
      <c r="I2777" s="4" t="inlineStr">
        <is>
          <t>Siết tôn King Blue KB8*48G</t>
        </is>
      </c>
      <c r="J2777" s="3" t="inlineStr">
        <is>
          <t>Cái</t>
        </is>
      </c>
      <c r="K2777" s="5" t="n">
        <v>7500</v>
      </c>
      <c r="L2777" s="5" t="n">
        <v>10000</v>
      </c>
      <c r="M2777" s="6" t="n">
        <v>13000</v>
      </c>
      <c r="N2777" s="5" t="n"/>
      <c r="O2777" s="5">
        <f>IF(AND(ISNUMBER(N2777),ISNUMBER(M2777)),N2777-M2777,"")</f>
        <v/>
      </c>
      <c r="P2777" s="7">
        <f>IF(AND(ISNUMBER(N2777),ISNUMBER(M2777),M2777&gt;0),(N2777-M2777)/M2777,"")</f>
        <v/>
      </c>
      <c r="Q2777" s="3">
        <f>IF(P2777="","",IF(P2777&lt;-0.02,"🔴 Bán phá giá sàn",IF(P2777&gt;0.05,"🔵 Bán cao hơn","🟢 Đúng giá sàn TMĐT")))</f>
        <v/>
      </c>
      <c r="R2777" s="3" t="n"/>
      <c r="S2777" s="4" t="n"/>
      <c r="T2777" s="4" t="n"/>
    </row>
    <row r="2778">
      <c r="A2778" s="3" t="n">
        <v>2777</v>
      </c>
      <c r="B2778" s="3" t="inlineStr">
        <is>
          <t>DL025</t>
        </is>
      </c>
      <c r="C2778" s="4" t="inlineStr">
        <is>
          <t>Công ty cổ phần thiết bị kỹ thuật Tulex</t>
        </is>
      </c>
      <c r="D2778" s="3" t="inlineStr">
        <is>
          <t>HN</t>
        </is>
      </c>
      <c r="E2778" s="3" t="inlineStr">
        <is>
          <t>Lan</t>
        </is>
      </c>
      <c r="F2778" s="3" t="inlineStr">
        <is>
          <t>Website bán hàng</t>
        </is>
      </c>
      <c r="G2778" s="4" t="inlineStr">
        <is>
          <t>SHOPEE: TIKTOK: LAZADA: WEBSITE BÁN HÀNG: https://thietbitulex.com.vn/?srsltid=AU7gw4V3B543TL4FBNebsYEGpVie5EA6SPp6pgBovwWE13c7f_ty9e6R</t>
        </is>
      </c>
      <c r="H2778" s="3" t="inlineStr">
        <is>
          <t>KFF-73</t>
        </is>
      </c>
      <c r="I2778" s="4" t="inlineStr">
        <is>
          <t>Súng bắn đinh bê tông KFF-73</t>
        </is>
      </c>
      <c r="J2778" s="3" t="inlineStr">
        <is>
          <t>Cái</t>
        </is>
      </c>
      <c r="K2778" s="5" t="n">
        <v>660000</v>
      </c>
      <c r="L2778" s="5" t="n">
        <v>739000</v>
      </c>
      <c r="M2778" s="6" t="n">
        <v>858000</v>
      </c>
      <c r="N2778" s="5" t="n"/>
      <c r="O2778" s="5">
        <f>IF(AND(ISNUMBER(N2778),ISNUMBER(M2778)),N2778-M2778,"")</f>
        <v/>
      </c>
      <c r="P2778" s="7">
        <f>IF(AND(ISNUMBER(N2778),ISNUMBER(M2778),M2778&gt;0),(N2778-M2778)/M2778,"")</f>
        <v/>
      </c>
      <c r="Q2778" s="3">
        <f>IF(P2778="","",IF(P2778&lt;-0.02,"🔴 Bán phá giá sàn",IF(P2778&gt;0.05,"🔵 Bán cao hơn","🟢 Đúng giá sàn TMĐT")))</f>
        <v/>
      </c>
      <c r="R2778" s="3" t="n"/>
      <c r="S2778" s="4" t="n"/>
      <c r="T2778" s="4" t="n"/>
    </row>
    <row r="2779">
      <c r="A2779" s="3" t="n">
        <v>2778</v>
      </c>
      <c r="B2779" s="3" t="inlineStr">
        <is>
          <t>DL025</t>
        </is>
      </c>
      <c r="C2779" s="4" t="inlineStr">
        <is>
          <t>Công ty cổ phần thiết bị kỹ thuật Tulex</t>
        </is>
      </c>
      <c r="D2779" s="3" t="inlineStr">
        <is>
          <t>HN</t>
        </is>
      </c>
      <c r="E2779" s="3" t="inlineStr">
        <is>
          <t>Lan</t>
        </is>
      </c>
      <c r="F2779" s="3" t="inlineStr">
        <is>
          <t>Website bán hàng</t>
        </is>
      </c>
      <c r="G2779" s="4" t="inlineStr">
        <is>
          <t>SHOPEE: TIKTOK: LAZADA: WEBSITE BÁN HÀNG: https://thietbitulex.com.vn/?srsltid=AU7gw4V3B543TL4FBNebsYEGpVie5EA6SPp6pgBovwWE13c7f_ty9e6R</t>
        </is>
      </c>
      <c r="H2779" s="3" t="inlineStr"/>
      <c r="I2779" s="4" t="inlineStr">
        <is>
          <t>Thước thủy công nghiệp KTT- 50B</t>
        </is>
      </c>
      <c r="J2779" s="3" t="inlineStr">
        <is>
          <t>Cái</t>
        </is>
      </c>
      <c r="K2779" s="5" t="n">
        <v>269000</v>
      </c>
      <c r="L2779" s="5" t="n">
        <v>317000</v>
      </c>
      <c r="M2779" s="6" t="n">
        <v>390000</v>
      </c>
      <c r="N2779" s="5" t="n"/>
      <c r="O2779" s="5">
        <f>IF(AND(ISNUMBER(N2779),ISNUMBER(M2779)),N2779-M2779,"")</f>
        <v/>
      </c>
      <c r="P2779" s="7">
        <f>IF(AND(ISNUMBER(N2779),ISNUMBER(M2779),M2779&gt;0),(N2779-M2779)/M2779,"")</f>
        <v/>
      </c>
      <c r="Q2779" s="3">
        <f>IF(P2779="","",IF(P2779&lt;-0.02,"🔴 Bán phá giá sàn",IF(P2779&gt;0.05,"🔵 Bán cao hơn","🟢 Đúng giá sàn TMĐT")))</f>
        <v/>
      </c>
      <c r="R2779" s="3" t="n"/>
      <c r="S2779" s="4" t="n"/>
      <c r="T2779" s="4" t="n"/>
    </row>
    <row r="2780">
      <c r="A2780" s="3" t="n">
        <v>2779</v>
      </c>
      <c r="B2780" s="3" t="inlineStr">
        <is>
          <t>DL025</t>
        </is>
      </c>
      <c r="C2780" s="4" t="inlineStr">
        <is>
          <t>Công ty cổ phần thiết bị kỹ thuật Tulex</t>
        </is>
      </c>
      <c r="D2780" s="3" t="inlineStr">
        <is>
          <t>HN</t>
        </is>
      </c>
      <c r="E2780" s="3" t="inlineStr">
        <is>
          <t>Lan</t>
        </is>
      </c>
      <c r="F2780" s="3" t="inlineStr">
        <is>
          <t>Website bán hàng</t>
        </is>
      </c>
      <c r="G2780" s="4" t="inlineStr">
        <is>
          <t>SHOPEE: TIKTOK: LAZADA: WEBSITE BÁN HÀNG: https://thietbitulex.com.vn/?srsltid=AU7gw4V3B543TL4FBNebsYEGpVie5EA6SPp6pgBovwWE13c7f_ty9e6R</t>
        </is>
      </c>
      <c r="H2780" s="3" t="inlineStr">
        <is>
          <t>KTT-30B</t>
        </is>
      </c>
      <c r="I2780" s="4" t="inlineStr">
        <is>
          <t>Thước thủy công nghiệp KTT-30B</t>
        </is>
      </c>
      <c r="J2780" s="3" t="inlineStr">
        <is>
          <t>Cái</t>
        </is>
      </c>
      <c r="K2780" s="5" t="n">
        <v>108000</v>
      </c>
      <c r="L2780" s="5" t="n">
        <v>128000</v>
      </c>
      <c r="M2780" s="6" t="n">
        <v>157000</v>
      </c>
      <c r="N2780" s="5" t="n"/>
      <c r="O2780" s="5">
        <f>IF(AND(ISNUMBER(N2780),ISNUMBER(M2780)),N2780-M2780,"")</f>
        <v/>
      </c>
      <c r="P2780" s="7">
        <f>IF(AND(ISNUMBER(N2780),ISNUMBER(M2780),M2780&gt;0),(N2780-M2780)/M2780,"")</f>
        <v/>
      </c>
      <c r="Q2780" s="3">
        <f>IF(P2780="","",IF(P2780&lt;-0.02,"🔴 Bán phá giá sàn",IF(P2780&gt;0.05,"🔵 Bán cao hơn","🟢 Đúng giá sàn TMĐT")))</f>
        <v/>
      </c>
      <c r="R2780" s="3" t="n"/>
      <c r="S2780" s="4" t="n"/>
      <c r="T2780" s="4" t="n"/>
    </row>
    <row r="2781">
      <c r="A2781" s="3" t="n">
        <v>2780</v>
      </c>
      <c r="B2781" s="3" t="inlineStr">
        <is>
          <t>DL025</t>
        </is>
      </c>
      <c r="C2781" s="4" t="inlineStr">
        <is>
          <t>Công ty cổ phần thiết bị kỹ thuật Tulex</t>
        </is>
      </c>
      <c r="D2781" s="3" t="inlineStr">
        <is>
          <t>HN</t>
        </is>
      </c>
      <c r="E2781" s="3" t="inlineStr">
        <is>
          <t>Lan</t>
        </is>
      </c>
      <c r="F2781" s="3" t="inlineStr">
        <is>
          <t>Website bán hàng</t>
        </is>
      </c>
      <c r="G2781" s="4" t="inlineStr">
        <is>
          <t>SHOPEE: TIKTOK: LAZADA: WEBSITE BÁN HÀNG: https://thietbitulex.com.vn/?srsltid=AU7gw4V3B543TL4FBNebsYEGpVie5EA6SPp6pgBovwWE13c7f_ty9e6R</t>
        </is>
      </c>
      <c r="H2781" s="3" t="inlineStr">
        <is>
          <t>KTT-25A</t>
        </is>
      </c>
      <c r="I2781" s="4" t="inlineStr">
        <is>
          <t>Thước thủy KTT-25A</t>
        </is>
      </c>
      <c r="J2781" s="3" t="inlineStr">
        <is>
          <t>Cái</t>
        </is>
      </c>
      <c r="K2781" s="5" t="n">
        <v>35000</v>
      </c>
      <c r="L2781" s="5" t="n">
        <v>41000</v>
      </c>
      <c r="M2781" s="6" t="n">
        <v>51000</v>
      </c>
      <c r="N2781" s="5" t="n"/>
      <c r="O2781" s="5">
        <f>IF(AND(ISNUMBER(N2781),ISNUMBER(M2781)),N2781-M2781,"")</f>
        <v/>
      </c>
      <c r="P2781" s="7">
        <f>IF(AND(ISNUMBER(N2781),ISNUMBER(M2781),M2781&gt;0),(N2781-M2781)/M2781,"")</f>
        <v/>
      </c>
      <c r="Q2781" s="3">
        <f>IF(P2781="","",IF(P2781&lt;-0.02,"🔴 Bán phá giá sàn",IF(P2781&gt;0.05,"🔵 Bán cao hơn","🟢 Đúng giá sàn TMĐT")))</f>
        <v/>
      </c>
      <c r="R2781" s="3" t="n"/>
      <c r="S2781" s="4" t="n"/>
      <c r="T2781" s="4" t="n"/>
    </row>
    <row r="2782">
      <c r="A2782" s="3" t="n">
        <v>2781</v>
      </c>
      <c r="B2782" s="3" t="inlineStr">
        <is>
          <t>DL025</t>
        </is>
      </c>
      <c r="C2782" s="4" t="inlineStr">
        <is>
          <t>Công ty cổ phần thiết bị kỹ thuật Tulex</t>
        </is>
      </c>
      <c r="D2782" s="3" t="inlineStr">
        <is>
          <t>HN</t>
        </is>
      </c>
      <c r="E2782" s="3" t="inlineStr">
        <is>
          <t>Lan</t>
        </is>
      </c>
      <c r="F2782" s="3" t="inlineStr">
        <is>
          <t>Website bán hàng</t>
        </is>
      </c>
      <c r="G2782" s="4" t="inlineStr">
        <is>
          <t>SHOPEE: TIKTOK: LAZADA: WEBSITE BÁN HÀNG: https://thietbitulex.com.vn/?srsltid=AU7gw4V3B543TL4FBNebsYEGpVie5EA6SPp6pgBovwWE13c7f_ty9e6R</t>
        </is>
      </c>
      <c r="H2782" s="3" t="inlineStr">
        <is>
          <t>KTT-60A</t>
        </is>
      </c>
      <c r="I2782" s="4" t="inlineStr">
        <is>
          <t>Thước thủy KTT-60A</t>
        </is>
      </c>
      <c r="J2782" s="3" t="inlineStr">
        <is>
          <t>Cái</t>
        </is>
      </c>
      <c r="K2782" s="5" t="n">
        <v>128000</v>
      </c>
      <c r="L2782" s="5" t="n">
        <v>151000</v>
      </c>
      <c r="M2782" s="6" t="n">
        <v>186000</v>
      </c>
      <c r="N2782" s="5" t="n"/>
      <c r="O2782" s="5">
        <f>IF(AND(ISNUMBER(N2782),ISNUMBER(M2782)),N2782-M2782,"")</f>
        <v/>
      </c>
      <c r="P2782" s="7">
        <f>IF(AND(ISNUMBER(N2782),ISNUMBER(M2782),M2782&gt;0),(N2782-M2782)/M2782,"")</f>
        <v/>
      </c>
      <c r="Q2782" s="3">
        <f>IF(P2782="","",IF(P2782&lt;-0.02,"🔴 Bán phá giá sàn",IF(P2782&gt;0.05,"🔵 Bán cao hơn","🟢 Đúng giá sàn TMĐT")))</f>
        <v/>
      </c>
      <c r="R2782" s="3" t="n"/>
      <c r="S2782" s="4" t="n"/>
      <c r="T2782" s="4" t="n"/>
    </row>
    <row r="2783">
      <c r="A2783" s="3" t="n">
        <v>2782</v>
      </c>
      <c r="B2783" s="3" t="inlineStr">
        <is>
          <t>DL025</t>
        </is>
      </c>
      <c r="C2783" s="4" t="inlineStr">
        <is>
          <t>Công ty cổ phần thiết bị kỹ thuật Tulex</t>
        </is>
      </c>
      <c r="D2783" s="3" t="inlineStr">
        <is>
          <t>HN</t>
        </is>
      </c>
      <c r="E2783" s="3" t="inlineStr">
        <is>
          <t>Lan</t>
        </is>
      </c>
      <c r="F2783" s="3" t="inlineStr">
        <is>
          <t>Website bán hàng</t>
        </is>
      </c>
      <c r="G2783" s="4" t="inlineStr">
        <is>
          <t>SHOPEE: TIKTOK: LAZADA: WEBSITE BÁN HÀNG: https://thietbitulex.com.vn/?srsltid=AU7gw4V3B543TL4FBNebsYEGpVie5EA6SPp6pgBovwWE13c7f_ty9e6R</t>
        </is>
      </c>
      <c r="H2783" s="3" t="inlineStr">
        <is>
          <t>KV1-6200</t>
        </is>
      </c>
      <c r="I2783" s="4" t="inlineStr">
        <is>
          <t>Tuốc nơ vít 2 đầu KV1-6*200</t>
        </is>
      </c>
      <c r="J2783" s="3" t="inlineStr">
        <is>
          <t>Cái</t>
        </is>
      </c>
      <c r="K2783" s="5" t="n">
        <v>29000</v>
      </c>
      <c r="L2783" s="5" t="n">
        <v>34000</v>
      </c>
      <c r="M2783" s="6" t="n">
        <v>42000</v>
      </c>
      <c r="N2783" s="5" t="n"/>
      <c r="O2783" s="5">
        <f>IF(AND(ISNUMBER(N2783),ISNUMBER(M2783)),N2783-M2783,"")</f>
        <v/>
      </c>
      <c r="P2783" s="7">
        <f>IF(AND(ISNUMBER(N2783),ISNUMBER(M2783),M2783&gt;0),(N2783-M2783)/M2783,"")</f>
        <v/>
      </c>
      <c r="Q2783" s="3">
        <f>IF(P2783="","",IF(P2783&lt;-0.02,"🔴 Bán phá giá sàn",IF(P2783&gt;0.05,"🔵 Bán cao hơn","🟢 Đúng giá sàn TMĐT")))</f>
        <v/>
      </c>
      <c r="R2783" s="3" t="n"/>
      <c r="S2783" s="4" t="n"/>
      <c r="T2783" s="4" t="n"/>
    </row>
    <row r="2784">
      <c r="A2784" s="3" t="n">
        <v>2783</v>
      </c>
      <c r="B2784" s="3" t="inlineStr">
        <is>
          <t>DL025</t>
        </is>
      </c>
      <c r="C2784" s="4" t="inlineStr">
        <is>
          <t>Công ty cổ phần thiết bị kỹ thuật Tulex</t>
        </is>
      </c>
      <c r="D2784" s="3" t="inlineStr">
        <is>
          <t>HN</t>
        </is>
      </c>
      <c r="E2784" s="3" t="inlineStr">
        <is>
          <t>Lan</t>
        </is>
      </c>
      <c r="F2784" s="3" t="inlineStr">
        <is>
          <t>Website bán hàng</t>
        </is>
      </c>
      <c r="G2784" s="4" t="inlineStr">
        <is>
          <t>SHOPEE: TIKTOK: LAZADA: WEBSITE BÁN HÀNG: https://thietbitulex.com.vn/?srsltid=AU7gw4V3B543TL4FBNebsYEGpVie5EA6SPp6pgBovwWE13c7f_ty9e6R</t>
        </is>
      </c>
      <c r="H2784" s="3" t="inlineStr">
        <is>
          <t>KV2-6150</t>
        </is>
      </c>
      <c r="I2784" s="4" t="inlineStr">
        <is>
          <t>Tuốc nơ vít đa năng S2 KV2-6*150</t>
        </is>
      </c>
      <c r="J2784" s="3" t="inlineStr">
        <is>
          <t>Cái</t>
        </is>
      </c>
      <c r="K2784" s="5" t="n">
        <v>46000</v>
      </c>
      <c r="L2784" s="5" t="n">
        <v>54000</v>
      </c>
      <c r="M2784" s="6" t="n">
        <v>67000</v>
      </c>
      <c r="N2784" s="5" t="n"/>
      <c r="O2784" s="5">
        <f>IF(AND(ISNUMBER(N2784),ISNUMBER(M2784)),N2784-M2784,"")</f>
        <v/>
      </c>
      <c r="P2784" s="7">
        <f>IF(AND(ISNUMBER(N2784),ISNUMBER(M2784),M2784&gt;0),(N2784-M2784)/M2784,"")</f>
        <v/>
      </c>
      <c r="Q2784" s="3">
        <f>IF(P2784="","",IF(P2784&lt;-0.02,"🔴 Bán phá giá sàn",IF(P2784&gt;0.05,"🔵 Bán cao hơn","🟢 Đúng giá sàn TMĐT")))</f>
        <v/>
      </c>
      <c r="R2784" s="3" t="n"/>
      <c r="S2784" s="4" t="n"/>
      <c r="T2784" s="4" t="n"/>
    </row>
    <row r="2785">
      <c r="A2785" s="3" t="n">
        <v>2784</v>
      </c>
      <c r="B2785" s="3" t="inlineStr">
        <is>
          <t>DL025</t>
        </is>
      </c>
      <c r="C2785" s="4" t="inlineStr">
        <is>
          <t>Công ty cổ phần thiết bị kỹ thuật Tulex</t>
        </is>
      </c>
      <c r="D2785" s="3" t="inlineStr">
        <is>
          <t>HN</t>
        </is>
      </c>
      <c r="E2785" s="3" t="inlineStr">
        <is>
          <t>Lan</t>
        </is>
      </c>
      <c r="F2785" s="3" t="inlineStr">
        <is>
          <t>Website bán hàng</t>
        </is>
      </c>
      <c r="G2785" s="4" t="inlineStr">
        <is>
          <t>SHOPEE: TIKTOK: LAZADA: WEBSITE BÁN HÀNG: https://thietbitulex.com.vn/?srsltid=AU7gw4V3B543TL4FBNebsYEGpVie5EA6SPp6pgBovwWE13c7f_ty9e6R</t>
        </is>
      </c>
      <c r="H2785" s="3" t="inlineStr">
        <is>
          <t>KV2-6200</t>
        </is>
      </c>
      <c r="I2785" s="4" t="inlineStr">
        <is>
          <t>Tuốc nơ vít đa năng S2 KV2-6*200</t>
        </is>
      </c>
      <c r="J2785" s="3" t="inlineStr">
        <is>
          <t>Cái</t>
        </is>
      </c>
      <c r="K2785" s="5" t="n">
        <v>48000</v>
      </c>
      <c r="L2785" s="5" t="n">
        <v>57000</v>
      </c>
      <c r="M2785" s="6" t="n">
        <v>70000</v>
      </c>
      <c r="N2785" s="5" t="n"/>
      <c r="O2785" s="5">
        <f>IF(AND(ISNUMBER(N2785),ISNUMBER(M2785)),N2785-M2785,"")</f>
        <v/>
      </c>
      <c r="P2785" s="7">
        <f>IF(AND(ISNUMBER(N2785),ISNUMBER(M2785),M2785&gt;0),(N2785-M2785)/M2785,"")</f>
        <v/>
      </c>
      <c r="Q2785" s="3">
        <f>IF(P2785="","",IF(P2785&lt;-0.02,"🔴 Bán phá giá sàn",IF(P2785&gt;0.05,"🔵 Bán cao hơn","🟢 Đúng giá sàn TMĐT")))</f>
        <v/>
      </c>
      <c r="R2785" s="3" t="n"/>
      <c r="S2785" s="4" t="n"/>
      <c r="T2785" s="4" t="n"/>
    </row>
    <row r="2786">
      <c r="A2786" s="3" t="n">
        <v>2785</v>
      </c>
      <c r="B2786" s="3" t="inlineStr">
        <is>
          <t>DL025</t>
        </is>
      </c>
      <c r="C2786" s="4" t="inlineStr">
        <is>
          <t>Công ty cổ phần thiết bị kỹ thuật Tulex</t>
        </is>
      </c>
      <c r="D2786" s="3" t="inlineStr">
        <is>
          <t>HN</t>
        </is>
      </c>
      <c r="E2786" s="3" t="inlineStr">
        <is>
          <t>Lan</t>
        </is>
      </c>
      <c r="F2786" s="3" t="inlineStr">
        <is>
          <t>Website bán hàng</t>
        </is>
      </c>
      <c r="G2786" s="4" t="inlineStr">
        <is>
          <t>SHOPEE: TIKTOK: LAZADA: WEBSITE BÁN HÀNG: https://thietbitulex.com.vn/?srsltid=AU7gw4V3B543TL4FBNebsYEGpVie5EA6SPp6pgBovwWE13c7f_ty9e6R</t>
        </is>
      </c>
      <c r="H2786" s="3" t="inlineStr">
        <is>
          <t>KV6+6200</t>
        </is>
      </c>
      <c r="I2786" s="4" t="inlineStr">
        <is>
          <t>Tuốc nơ vít KV6+6*200</t>
        </is>
      </c>
      <c r="J2786" s="3" t="inlineStr">
        <is>
          <t>Cái</t>
        </is>
      </c>
      <c r="K2786" s="5" t="n">
        <v>40000</v>
      </c>
      <c r="L2786" s="5" t="n">
        <v>47000</v>
      </c>
      <c r="M2786" s="6" t="n">
        <v>58000</v>
      </c>
      <c r="N2786" s="5" t="n"/>
      <c r="O2786" s="5">
        <f>IF(AND(ISNUMBER(N2786),ISNUMBER(M2786)),N2786-M2786,"")</f>
        <v/>
      </c>
      <c r="P2786" s="7">
        <f>IF(AND(ISNUMBER(N2786),ISNUMBER(M2786),M2786&gt;0),(N2786-M2786)/M2786,"")</f>
        <v/>
      </c>
      <c r="Q2786" s="3">
        <f>IF(P2786="","",IF(P2786&lt;-0.02,"🔴 Bán phá giá sàn",IF(P2786&gt;0.05,"🔵 Bán cao hơn","🟢 Đúng giá sàn TMĐT")))</f>
        <v/>
      </c>
      <c r="R2786" s="3" t="n"/>
      <c r="S2786" s="4" t="n"/>
      <c r="T2786" s="4" t="n"/>
    </row>
    <row r="2787">
      <c r="A2787" s="3" t="n">
        <v>2786</v>
      </c>
      <c r="B2787" s="3" t="inlineStr">
        <is>
          <t>DL025</t>
        </is>
      </c>
      <c r="C2787" s="4" t="inlineStr">
        <is>
          <t>Công ty cổ phần thiết bị kỹ thuật Tulex</t>
        </is>
      </c>
      <c r="D2787" s="3" t="inlineStr">
        <is>
          <t>HN</t>
        </is>
      </c>
      <c r="E2787" s="3" t="inlineStr">
        <is>
          <t>Lan</t>
        </is>
      </c>
      <c r="F2787" s="3" t="inlineStr">
        <is>
          <t>Website bán hàng</t>
        </is>
      </c>
      <c r="G2787" s="4" t="inlineStr">
        <is>
          <t>SHOPEE: TIKTOK: LAZADA: WEBSITE BÁN HÀNG: https://thietbitulex.com.vn/?srsltid=AU7gw4V3B543TL4FBNebsYEGpVie5EA6SPp6pgBovwWE13c7f_ty9e6R</t>
        </is>
      </c>
      <c r="H2787" s="3" t="inlineStr">
        <is>
          <t>KV6-6200</t>
        </is>
      </c>
      <c r="I2787" s="4" t="inlineStr">
        <is>
          <t>Tuốc nơ vít KV6-6*200</t>
        </is>
      </c>
      <c r="J2787" s="3" t="inlineStr">
        <is>
          <t>Cái</t>
        </is>
      </c>
      <c r="K2787" s="5" t="n">
        <v>40000</v>
      </c>
      <c r="L2787" s="5" t="n">
        <v>47000</v>
      </c>
      <c r="M2787" s="6" t="n">
        <v>58000</v>
      </c>
      <c r="N2787" s="5" t="n"/>
      <c r="O2787" s="5">
        <f>IF(AND(ISNUMBER(N2787),ISNUMBER(M2787)),N2787-M2787,"")</f>
        <v/>
      </c>
      <c r="P2787" s="7">
        <f>IF(AND(ISNUMBER(N2787),ISNUMBER(M2787),M2787&gt;0),(N2787-M2787)/M2787,"")</f>
        <v/>
      </c>
      <c r="Q2787" s="3">
        <f>IF(P2787="","",IF(P2787&lt;-0.02,"🔴 Bán phá giá sàn",IF(P2787&gt;0.05,"🔵 Bán cao hơn","🟢 Đúng giá sàn TMĐT")))</f>
        <v/>
      </c>
      <c r="R2787" s="3" t="n"/>
      <c r="S2787" s="4" t="n"/>
      <c r="T2787" s="4" t="n"/>
    </row>
    <row r="2788">
      <c r="A2788" s="3" t="n">
        <v>2787</v>
      </c>
      <c r="B2788" s="3" t="inlineStr">
        <is>
          <t>DL025</t>
        </is>
      </c>
      <c r="C2788" s="4" t="inlineStr">
        <is>
          <t>Công ty cổ phần thiết bị kỹ thuật Tulex</t>
        </is>
      </c>
      <c r="D2788" s="3" t="inlineStr">
        <is>
          <t>HN</t>
        </is>
      </c>
      <c r="E2788" s="3" t="inlineStr">
        <is>
          <t>Lan</t>
        </is>
      </c>
      <c r="F2788" s="3" t="inlineStr">
        <is>
          <t>Website bán hàng</t>
        </is>
      </c>
      <c r="G2788" s="4" t="inlineStr">
        <is>
          <t>SHOPEE: TIKTOK: LAZADA: WEBSITE BÁN HÀNG: https://thietbitulex.com.vn/?srsltid=AU7gw4V3B543TL4FBNebsYEGpVie5EA6SPp6pgBovwWE13c7f_ty9e6R</t>
        </is>
      </c>
      <c r="H2788" s="3" t="inlineStr">
        <is>
          <t>KM10</t>
        </is>
      </c>
      <c r="I2788" s="4" t="inlineStr">
        <is>
          <t>Tuýp KM10</t>
        </is>
      </c>
      <c r="J2788" s="3" t="inlineStr">
        <is>
          <t>Cái</t>
        </is>
      </c>
      <c r="K2788" s="5" t="n">
        <v>17000</v>
      </c>
      <c r="L2788" s="5" t="n">
        <v>20000</v>
      </c>
      <c r="M2788" s="6" t="n">
        <v>25000</v>
      </c>
      <c r="N2788" s="5" t="n"/>
      <c r="O2788" s="5">
        <f>IF(AND(ISNUMBER(N2788),ISNUMBER(M2788)),N2788-M2788,"")</f>
        <v/>
      </c>
      <c r="P2788" s="7">
        <f>IF(AND(ISNUMBER(N2788),ISNUMBER(M2788),M2788&gt;0),(N2788-M2788)/M2788,"")</f>
        <v/>
      </c>
      <c r="Q2788" s="3">
        <f>IF(P2788="","",IF(P2788&lt;-0.02,"🔴 Bán phá giá sàn",IF(P2788&gt;0.05,"🔵 Bán cao hơn","🟢 Đúng giá sàn TMĐT")))</f>
        <v/>
      </c>
      <c r="R2788" s="3" t="n"/>
      <c r="S2788" s="4" t="n"/>
      <c r="T2788" s="4" t="n"/>
    </row>
    <row r="2789">
      <c r="A2789" s="3" t="n">
        <v>2788</v>
      </c>
      <c r="B2789" s="3" t="inlineStr">
        <is>
          <t>DL025</t>
        </is>
      </c>
      <c r="C2789" s="4" t="inlineStr">
        <is>
          <t>Công ty cổ phần thiết bị kỹ thuật Tulex</t>
        </is>
      </c>
      <c r="D2789" s="3" t="inlineStr">
        <is>
          <t>HN</t>
        </is>
      </c>
      <c r="E2789" s="3" t="inlineStr">
        <is>
          <t>Lan</t>
        </is>
      </c>
      <c r="F2789" s="3" t="inlineStr">
        <is>
          <t>Website bán hàng</t>
        </is>
      </c>
      <c r="G2789" s="4" t="inlineStr">
        <is>
          <t>SHOPEE: TIKTOK: LAZADA: WEBSITE BÁN HÀNG: https://thietbitulex.com.vn/?srsltid=AU7gw4V3B543TL4FBNebsYEGpVie5EA6SPp6pgBovwWE13c7f_ty9e6R</t>
        </is>
      </c>
      <c r="H2789" s="3" t="inlineStr">
        <is>
          <t>KM12</t>
        </is>
      </c>
      <c r="I2789" s="4" t="inlineStr">
        <is>
          <t>Tuýp KM12</t>
        </is>
      </c>
      <c r="J2789" s="3" t="inlineStr">
        <is>
          <t>Cái</t>
        </is>
      </c>
      <c r="K2789" s="5" t="n">
        <v>17000</v>
      </c>
      <c r="L2789" s="5" t="n">
        <v>20000</v>
      </c>
      <c r="M2789" s="6" t="n">
        <v>25000</v>
      </c>
      <c r="N2789" s="5" t="n"/>
      <c r="O2789" s="5">
        <f>IF(AND(ISNUMBER(N2789),ISNUMBER(M2789)),N2789-M2789,"")</f>
        <v/>
      </c>
      <c r="P2789" s="7">
        <f>IF(AND(ISNUMBER(N2789),ISNUMBER(M2789),M2789&gt;0),(N2789-M2789)/M2789,"")</f>
        <v/>
      </c>
      <c r="Q2789" s="3">
        <f>IF(P2789="","",IF(P2789&lt;-0.02,"🔴 Bán phá giá sàn",IF(P2789&gt;0.05,"🔵 Bán cao hơn","🟢 Đúng giá sàn TMĐT")))</f>
        <v/>
      </c>
      <c r="R2789" s="3" t="n"/>
      <c r="S2789" s="4" t="n"/>
      <c r="T2789" s="4" t="n"/>
    </row>
    <row r="2790">
      <c r="A2790" s="3" t="n">
        <v>2789</v>
      </c>
      <c r="B2790" s="3" t="inlineStr">
        <is>
          <t>DL025</t>
        </is>
      </c>
      <c r="C2790" s="4" t="inlineStr">
        <is>
          <t>Công ty cổ phần thiết bị kỹ thuật Tulex</t>
        </is>
      </c>
      <c r="D2790" s="3" t="inlineStr">
        <is>
          <t>HN</t>
        </is>
      </c>
      <c r="E2790" s="3" t="inlineStr">
        <is>
          <t>Lan</t>
        </is>
      </c>
      <c r="F2790" s="3" t="inlineStr">
        <is>
          <t>Website bán hàng</t>
        </is>
      </c>
      <c r="G2790" s="4" t="inlineStr">
        <is>
          <t>SHOPEE: TIKTOK: LAZADA: WEBSITE BÁN HÀNG: https://thietbitulex.com.vn/?srsltid=AU7gw4V3B543TL4FBNebsYEGpVie5EA6SPp6pgBovwWE13c7f_ty9e6R</t>
        </is>
      </c>
      <c r="H2790" s="3" t="inlineStr">
        <is>
          <t>KM13</t>
        </is>
      </c>
      <c r="I2790" s="4" t="inlineStr">
        <is>
          <t>Tuýp KM13</t>
        </is>
      </c>
      <c r="J2790" s="3" t="inlineStr">
        <is>
          <t>Cái</t>
        </is>
      </c>
      <c r="K2790" s="5" t="n">
        <v>17000</v>
      </c>
      <c r="L2790" s="5" t="n">
        <v>20000</v>
      </c>
      <c r="M2790" s="6" t="n">
        <v>25000</v>
      </c>
      <c r="N2790" s="5" t="n"/>
      <c r="O2790" s="5">
        <f>IF(AND(ISNUMBER(N2790),ISNUMBER(M2790)),N2790-M2790,"")</f>
        <v/>
      </c>
      <c r="P2790" s="7">
        <f>IF(AND(ISNUMBER(N2790),ISNUMBER(M2790),M2790&gt;0),(N2790-M2790)/M2790,"")</f>
        <v/>
      </c>
      <c r="Q2790" s="3">
        <f>IF(P2790="","",IF(P2790&lt;-0.02,"🔴 Bán phá giá sàn",IF(P2790&gt;0.05,"🔵 Bán cao hơn","🟢 Đúng giá sàn TMĐT")))</f>
        <v/>
      </c>
      <c r="R2790" s="3" t="n"/>
      <c r="S2790" s="4" t="n"/>
      <c r="T2790" s="4" t="n"/>
    </row>
    <row r="2791">
      <c r="A2791" s="3" t="n">
        <v>2790</v>
      </c>
      <c r="B2791" s="3" t="inlineStr">
        <is>
          <t>DL025</t>
        </is>
      </c>
      <c r="C2791" s="4" t="inlineStr">
        <is>
          <t>Công ty cổ phần thiết bị kỹ thuật Tulex</t>
        </is>
      </c>
      <c r="D2791" s="3" t="inlineStr">
        <is>
          <t>HN</t>
        </is>
      </c>
      <c r="E2791" s="3" t="inlineStr">
        <is>
          <t>Lan</t>
        </is>
      </c>
      <c r="F2791" s="3" t="inlineStr">
        <is>
          <t>Website bán hàng</t>
        </is>
      </c>
      <c r="G2791" s="4" t="inlineStr">
        <is>
          <t>SHOPEE: TIKTOK: LAZADA: WEBSITE BÁN HÀNG: https://thietbitulex.com.vn/?srsltid=AU7gw4V3B543TL4FBNebsYEGpVie5EA6SPp6pgBovwWE13c7f_ty9e6R</t>
        </is>
      </c>
      <c r="H2791" s="3" t="inlineStr">
        <is>
          <t>KM18</t>
        </is>
      </c>
      <c r="I2791" s="4" t="inlineStr">
        <is>
          <t>Tuýp KM18</t>
        </is>
      </c>
      <c r="J2791" s="3" t="inlineStr">
        <is>
          <t>Cái</t>
        </is>
      </c>
      <c r="K2791" s="5" t="n">
        <v>19000</v>
      </c>
      <c r="L2791" s="5" t="n">
        <v>23000</v>
      </c>
      <c r="M2791" s="6" t="n">
        <v>28000</v>
      </c>
      <c r="N2791" s="5" t="n"/>
      <c r="O2791" s="5">
        <f>IF(AND(ISNUMBER(N2791),ISNUMBER(M2791)),N2791-M2791,"")</f>
        <v/>
      </c>
      <c r="P2791" s="7">
        <f>IF(AND(ISNUMBER(N2791),ISNUMBER(M2791),M2791&gt;0),(N2791-M2791)/M2791,"")</f>
        <v/>
      </c>
      <c r="Q2791" s="3">
        <f>IF(P2791="","",IF(P2791&lt;-0.02,"🔴 Bán phá giá sàn",IF(P2791&gt;0.05,"🔵 Bán cao hơn","🟢 Đúng giá sàn TMĐT")))</f>
        <v/>
      </c>
      <c r="R2791" s="3" t="n"/>
      <c r="S2791" s="4" t="n"/>
      <c r="T2791" s="4" t="n"/>
    </row>
    <row r="2792">
      <c r="A2792" s="3" t="n">
        <v>2791</v>
      </c>
      <c r="B2792" s="3" t="inlineStr">
        <is>
          <t>DL025</t>
        </is>
      </c>
      <c r="C2792" s="4" t="inlineStr">
        <is>
          <t>Công ty cổ phần thiết bị kỹ thuật Tulex</t>
        </is>
      </c>
      <c r="D2792" s="3" t="inlineStr">
        <is>
          <t>HN</t>
        </is>
      </c>
      <c r="E2792" s="3" t="inlineStr">
        <is>
          <t>Lan</t>
        </is>
      </c>
      <c r="F2792" s="3" t="inlineStr">
        <is>
          <t>Website bán hàng</t>
        </is>
      </c>
      <c r="G2792" s="4" t="inlineStr">
        <is>
          <t>SHOPEE: TIKTOK: LAZADA: WEBSITE BÁN HÀNG: https://thietbitulex.com.vn/?srsltid=AU7gw4V3B543TL4FBNebsYEGpVie5EA6SPp6pgBovwWE13c7f_ty9e6R</t>
        </is>
      </c>
      <c r="H2792" s="3" t="inlineStr">
        <is>
          <t>KM21</t>
        </is>
      </c>
      <c r="I2792" s="4" t="inlineStr">
        <is>
          <t>Tuýp KM21</t>
        </is>
      </c>
      <c r="J2792" s="3" t="inlineStr">
        <is>
          <t>Cái</t>
        </is>
      </c>
      <c r="K2792" s="5" t="n">
        <v>23000</v>
      </c>
      <c r="L2792" s="5" t="n">
        <v>27000</v>
      </c>
      <c r="M2792" s="6" t="n">
        <v>33000</v>
      </c>
      <c r="N2792" s="5" t="n"/>
      <c r="O2792" s="5">
        <f>IF(AND(ISNUMBER(N2792),ISNUMBER(M2792)),N2792-M2792,"")</f>
        <v/>
      </c>
      <c r="P2792" s="7">
        <f>IF(AND(ISNUMBER(N2792),ISNUMBER(M2792),M2792&gt;0),(N2792-M2792)/M2792,"")</f>
        <v/>
      </c>
      <c r="Q2792" s="3">
        <f>IF(P2792="","",IF(P2792&lt;-0.02,"🔴 Bán phá giá sàn",IF(P2792&gt;0.05,"🔵 Bán cao hơn","🟢 Đúng giá sàn TMĐT")))</f>
        <v/>
      </c>
      <c r="R2792" s="3" t="n"/>
      <c r="S2792" s="4" t="n"/>
      <c r="T2792" s="4" t="n"/>
    </row>
    <row r="2793">
      <c r="A2793" s="3" t="n">
        <v>2792</v>
      </c>
      <c r="B2793" s="3" t="inlineStr">
        <is>
          <t>DL025</t>
        </is>
      </c>
      <c r="C2793" s="4" t="inlineStr">
        <is>
          <t>Công ty cổ phần thiết bị kỹ thuật Tulex</t>
        </is>
      </c>
      <c r="D2793" s="3" t="inlineStr">
        <is>
          <t>HN</t>
        </is>
      </c>
      <c r="E2793" s="3" t="inlineStr">
        <is>
          <t>Lan</t>
        </is>
      </c>
      <c r="F2793" s="3" t="inlineStr">
        <is>
          <t>Website bán hàng</t>
        </is>
      </c>
      <c r="G2793" s="4" t="inlineStr">
        <is>
          <t>SHOPEE: TIKTOK: LAZADA: WEBSITE BÁN HÀNG: https://thietbitulex.com.vn/?srsltid=AU7gw4V3B543TL4FBNebsYEGpVie5EA6SPp6pgBovwWE13c7f_ty9e6R</t>
        </is>
      </c>
      <c r="H2793" s="3" t="inlineStr">
        <is>
          <t>KM22</t>
        </is>
      </c>
      <c r="I2793" s="4" t="inlineStr">
        <is>
          <t>Tuýp KM22</t>
        </is>
      </c>
      <c r="J2793" s="3" t="inlineStr">
        <is>
          <t>Cái</t>
        </is>
      </c>
      <c r="K2793" s="5" t="n">
        <v>25000</v>
      </c>
      <c r="L2793" s="5" t="n">
        <v>29000</v>
      </c>
      <c r="M2793" s="6" t="n">
        <v>36000</v>
      </c>
      <c r="N2793" s="5" t="n"/>
      <c r="O2793" s="5">
        <f>IF(AND(ISNUMBER(N2793),ISNUMBER(M2793)),N2793-M2793,"")</f>
        <v/>
      </c>
      <c r="P2793" s="7">
        <f>IF(AND(ISNUMBER(N2793),ISNUMBER(M2793),M2793&gt;0),(N2793-M2793)/M2793,"")</f>
        <v/>
      </c>
      <c r="Q2793" s="3">
        <f>IF(P2793="","",IF(P2793&lt;-0.02,"🔴 Bán phá giá sàn",IF(P2793&gt;0.05,"🔵 Bán cao hơn","🟢 Đúng giá sàn TMĐT")))</f>
        <v/>
      </c>
      <c r="R2793" s="3" t="n"/>
      <c r="S2793" s="4" t="n"/>
      <c r="T2793" s="4" t="n"/>
    </row>
    <row r="2794">
      <c r="A2794" s="3" t="n">
        <v>2793</v>
      </c>
      <c r="B2794" s="3" t="inlineStr">
        <is>
          <t>DL025</t>
        </is>
      </c>
      <c r="C2794" s="4" t="inlineStr">
        <is>
          <t>Công ty cổ phần thiết bị kỹ thuật Tulex</t>
        </is>
      </c>
      <c r="D2794" s="3" t="inlineStr">
        <is>
          <t>HN</t>
        </is>
      </c>
      <c r="E2794" s="3" t="inlineStr">
        <is>
          <t>Lan</t>
        </is>
      </c>
      <c r="F2794" s="3" t="inlineStr">
        <is>
          <t>Website bán hàng</t>
        </is>
      </c>
      <c r="G2794" s="4" t="inlineStr">
        <is>
          <t>SHOPEE: TIKTOK: LAZADA: WEBSITE BÁN HÀNG: https://thietbitulex.com.vn/?srsltid=AU7gw4V3B543TL4FBNebsYEGpVie5EA6SPp6pgBovwWE13c7f_ty9e6R</t>
        </is>
      </c>
      <c r="H2794" s="3" t="inlineStr">
        <is>
          <t>KM23</t>
        </is>
      </c>
      <c r="I2794" s="4" t="inlineStr">
        <is>
          <t>Tuýp KM23</t>
        </is>
      </c>
      <c r="J2794" s="3" t="inlineStr">
        <is>
          <t>Cái</t>
        </is>
      </c>
      <c r="K2794" s="5" t="n">
        <v>28000</v>
      </c>
      <c r="L2794" s="5" t="n">
        <v>33000</v>
      </c>
      <c r="M2794" s="6" t="n">
        <v>41000</v>
      </c>
      <c r="N2794" s="5" t="n"/>
      <c r="O2794" s="5">
        <f>IF(AND(ISNUMBER(N2794),ISNUMBER(M2794)),N2794-M2794,"")</f>
        <v/>
      </c>
      <c r="P2794" s="7">
        <f>IF(AND(ISNUMBER(N2794),ISNUMBER(M2794),M2794&gt;0),(N2794-M2794)/M2794,"")</f>
        <v/>
      </c>
      <c r="Q2794" s="3">
        <f>IF(P2794="","",IF(P2794&lt;-0.02,"🔴 Bán phá giá sàn",IF(P2794&gt;0.05,"🔵 Bán cao hơn","🟢 Đúng giá sàn TMĐT")))</f>
        <v/>
      </c>
      <c r="R2794" s="3" t="n"/>
      <c r="S2794" s="4" t="n"/>
      <c r="T2794" s="4" t="n"/>
    </row>
    <row r="2795">
      <c r="A2795" s="3" t="n">
        <v>2794</v>
      </c>
      <c r="B2795" s="3" t="inlineStr">
        <is>
          <t>DL025</t>
        </is>
      </c>
      <c r="C2795" s="4" t="inlineStr">
        <is>
          <t>Công ty cổ phần thiết bị kỹ thuật Tulex</t>
        </is>
      </c>
      <c r="D2795" s="3" t="inlineStr">
        <is>
          <t>HN</t>
        </is>
      </c>
      <c r="E2795" s="3" t="inlineStr">
        <is>
          <t>Lan</t>
        </is>
      </c>
      <c r="F2795" s="3" t="inlineStr">
        <is>
          <t>Website bán hàng</t>
        </is>
      </c>
      <c r="G2795" s="4" t="inlineStr">
        <is>
          <t>SHOPEE: TIKTOK: LAZADA: WEBSITE BÁN HÀNG: https://thietbitulex.com.vn/?srsltid=AU7gw4V3B543TL4FBNebsYEGpVie5EA6SPp6pgBovwWE13c7f_ty9e6R</t>
        </is>
      </c>
      <c r="H2795" s="3" t="inlineStr">
        <is>
          <t>KM27</t>
        </is>
      </c>
      <c r="I2795" s="4" t="inlineStr">
        <is>
          <t>Tuýp KM27</t>
        </is>
      </c>
      <c r="J2795" s="3" t="inlineStr">
        <is>
          <t>Cái</t>
        </is>
      </c>
      <c r="K2795" s="5" t="n">
        <v>34000</v>
      </c>
      <c r="L2795" s="5" t="n">
        <v>40000</v>
      </c>
      <c r="M2795" s="6" t="n">
        <v>49000</v>
      </c>
      <c r="N2795" s="5" t="n"/>
      <c r="O2795" s="5">
        <f>IF(AND(ISNUMBER(N2795),ISNUMBER(M2795)),N2795-M2795,"")</f>
        <v/>
      </c>
      <c r="P2795" s="7">
        <f>IF(AND(ISNUMBER(N2795),ISNUMBER(M2795),M2795&gt;0),(N2795-M2795)/M2795,"")</f>
        <v/>
      </c>
      <c r="Q2795" s="3">
        <f>IF(P2795="","",IF(P2795&lt;-0.02,"🔴 Bán phá giá sàn",IF(P2795&gt;0.05,"🔵 Bán cao hơn","🟢 Đúng giá sàn TMĐT")))</f>
        <v/>
      </c>
      <c r="R2795" s="3" t="n"/>
      <c r="S2795" s="4" t="n"/>
      <c r="T2795" s="4" t="n"/>
    </row>
    <row r="2796">
      <c r="A2796" s="3" t="n">
        <v>2795</v>
      </c>
      <c r="B2796" s="3" t="inlineStr">
        <is>
          <t>DL025</t>
        </is>
      </c>
      <c r="C2796" s="4" t="inlineStr">
        <is>
          <t>Công ty cổ phần thiết bị kỹ thuật Tulex</t>
        </is>
      </c>
      <c r="D2796" s="3" t="inlineStr">
        <is>
          <t>HN</t>
        </is>
      </c>
      <c r="E2796" s="3" t="inlineStr">
        <is>
          <t>Lan</t>
        </is>
      </c>
      <c r="F2796" s="3" t="inlineStr">
        <is>
          <t>Website bán hàng</t>
        </is>
      </c>
      <c r="G2796" s="4" t="inlineStr">
        <is>
          <t>SHOPEE: TIKTOK: LAZADA: WEBSITE BÁN HÀNG: https://thietbitulex.com.vn/?srsltid=AU7gw4V3B543TL4FBNebsYEGpVie5EA6SPp6pgBovwWE13c7f_ty9e6R</t>
        </is>
      </c>
      <c r="H2796" s="3" t="inlineStr">
        <is>
          <t>KM32</t>
        </is>
      </c>
      <c r="I2796" s="4" t="inlineStr">
        <is>
          <t>Tuýp KM32</t>
        </is>
      </c>
      <c r="J2796" s="3" t="inlineStr">
        <is>
          <t>Cái</t>
        </is>
      </c>
      <c r="K2796" s="5" t="n">
        <v>44000</v>
      </c>
      <c r="L2796" s="5" t="n">
        <v>52000</v>
      </c>
      <c r="M2796" s="6" t="n">
        <v>64000</v>
      </c>
      <c r="N2796" s="5" t="n"/>
      <c r="O2796" s="5">
        <f>IF(AND(ISNUMBER(N2796),ISNUMBER(M2796)),N2796-M2796,"")</f>
        <v/>
      </c>
      <c r="P2796" s="7">
        <f>IF(AND(ISNUMBER(N2796),ISNUMBER(M2796),M2796&gt;0),(N2796-M2796)/M2796,"")</f>
        <v/>
      </c>
      <c r="Q2796" s="3">
        <f>IF(P2796="","",IF(P2796&lt;-0.02,"🔴 Bán phá giá sàn",IF(P2796&gt;0.05,"🔵 Bán cao hơn","🟢 Đúng giá sàn TMĐT")))</f>
        <v/>
      </c>
      <c r="R2796" s="3" t="n"/>
      <c r="S2796" s="4" t="n"/>
      <c r="T2796" s="4" t="n"/>
    </row>
    <row r="2797">
      <c r="A2797" s="3" t="n">
        <v>2796</v>
      </c>
      <c r="B2797" s="3" t="inlineStr">
        <is>
          <t>DL025</t>
        </is>
      </c>
      <c r="C2797" s="4" t="inlineStr">
        <is>
          <t>Công ty cổ phần thiết bị kỹ thuật Tulex</t>
        </is>
      </c>
      <c r="D2797" s="3" t="inlineStr">
        <is>
          <t>HN</t>
        </is>
      </c>
      <c r="E2797" s="3" t="inlineStr">
        <is>
          <t>Lan</t>
        </is>
      </c>
      <c r="F2797" s="3" t="inlineStr">
        <is>
          <t>Website bán hàng</t>
        </is>
      </c>
      <c r="G2797" s="4" t="inlineStr">
        <is>
          <t>SHOPEE: TIKTOK: LAZADA: WEBSITE BÁN HÀNG: https://thietbitulex.com.vn/?srsltid=AU7gw4V3B543TL4FBNebsYEGpVie5EA6SPp6pgBovwWE13c7f_ty9e6R</t>
        </is>
      </c>
      <c r="H2797" s="3" t="inlineStr">
        <is>
          <t>KB4100T</t>
        </is>
      </c>
      <c r="I2797" s="4" t="inlineStr">
        <is>
          <t>Vít King Blue KB4*100T</t>
        </is>
      </c>
      <c r="J2797" s="3" t="inlineStr">
        <is>
          <t>Cái</t>
        </is>
      </c>
      <c r="K2797" s="5" t="n">
        <v>10000</v>
      </c>
      <c r="L2797" s="5" t="n">
        <v>13000</v>
      </c>
      <c r="M2797" s="6" t="n">
        <v>17000</v>
      </c>
      <c r="N2797" s="5" t="n"/>
      <c r="O2797" s="5">
        <f>IF(AND(ISNUMBER(N2797),ISNUMBER(M2797)),N2797-M2797,"")</f>
        <v/>
      </c>
      <c r="P2797" s="7">
        <f>IF(AND(ISNUMBER(N2797),ISNUMBER(M2797),M2797&gt;0),(N2797-M2797)/M2797,"")</f>
        <v/>
      </c>
      <c r="Q2797" s="3">
        <f>IF(P2797="","",IF(P2797&lt;-0.02,"🔴 Bán phá giá sàn",IF(P2797&gt;0.05,"🔵 Bán cao hơn","🟢 Đúng giá sàn TMĐT")))</f>
        <v/>
      </c>
      <c r="R2797" s="3" t="n"/>
      <c r="S2797" s="4" t="n"/>
      <c r="T2797" s="4" t="n"/>
    </row>
    <row r="2798">
      <c r="A2798" s="3" t="n">
        <v>2797</v>
      </c>
      <c r="B2798" s="3" t="inlineStr">
        <is>
          <t>DL025</t>
        </is>
      </c>
      <c r="C2798" s="4" t="inlineStr">
        <is>
          <t>Công ty cổ phần thiết bị kỹ thuật Tulex</t>
        </is>
      </c>
      <c r="D2798" s="3" t="inlineStr">
        <is>
          <t>HN</t>
        </is>
      </c>
      <c r="E2798" s="3" t="inlineStr">
        <is>
          <t>Lan</t>
        </is>
      </c>
      <c r="F2798" s="3" t="inlineStr">
        <is>
          <t>Website bán hàng</t>
        </is>
      </c>
      <c r="G2798" s="4" t="inlineStr">
        <is>
          <t>SHOPEE: TIKTOK: LAZADA: WEBSITE BÁN HÀNG: https://thietbitulex.com.vn/?srsltid=AU7gw4V3B543TL4FBNebsYEGpVie5EA6SPp6pgBovwWE13c7f_ty9e6R</t>
        </is>
      </c>
      <c r="H2798" s="3" t="inlineStr">
        <is>
          <t>KB4x65</t>
        </is>
      </c>
      <c r="I2798" s="4" t="inlineStr">
        <is>
          <t>Vít KingBlue KB4x65</t>
        </is>
      </c>
      <c r="J2798" s="3" t="inlineStr">
        <is>
          <t>Cái</t>
        </is>
      </c>
      <c r="K2798" s="5" t="n">
        <v>7500</v>
      </c>
      <c r="L2798" s="5" t="n">
        <v>10000</v>
      </c>
      <c r="M2798" s="6" t="n">
        <v>12500</v>
      </c>
      <c r="N2798" s="5" t="n"/>
      <c r="O2798" s="5">
        <f>IF(AND(ISNUMBER(N2798),ISNUMBER(M2798)),N2798-M2798,"")</f>
        <v/>
      </c>
      <c r="P2798" s="7">
        <f>IF(AND(ISNUMBER(N2798),ISNUMBER(M2798),M2798&gt;0),(N2798-M2798)/M2798,"")</f>
        <v/>
      </c>
      <c r="Q2798" s="3">
        <f>IF(P2798="","",IF(P2798&lt;-0.02,"🔴 Bán phá giá sàn",IF(P2798&gt;0.05,"🔵 Bán cao hơn","🟢 Đúng giá sàn TMĐT")))</f>
        <v/>
      </c>
      <c r="R2798" s="3" t="n"/>
      <c r="S2798" s="4" t="n"/>
      <c r="T2798" s="4" t="n"/>
    </row>
    <row r="2799">
      <c r="A2799" s="3" t="n">
        <v>2798</v>
      </c>
      <c r="B2799" s="3" t="inlineStr">
        <is>
          <t>DL025</t>
        </is>
      </c>
      <c r="C2799" s="4" t="inlineStr">
        <is>
          <t>Công ty cổ phần thiết bị kỹ thuật Tulex</t>
        </is>
      </c>
      <c r="D2799" s="3" t="inlineStr">
        <is>
          <t>HN</t>
        </is>
      </c>
      <c r="E2799" s="3" t="inlineStr">
        <is>
          <t>Lan</t>
        </is>
      </c>
      <c r="F2799" s="3" t="inlineStr">
        <is>
          <t>Website bán hàng</t>
        </is>
      </c>
      <c r="G2799" s="4" t="inlineStr">
        <is>
          <t>SHOPEE: TIKTOK: LAZADA: WEBSITE BÁN HÀNG: https://thietbitulex.com.vn/?srsltid=AU7gw4V3B543TL4FBNebsYEGpVie5EA6SPp6pgBovwWE13c7f_ty9e6R</t>
        </is>
      </c>
      <c r="H2799" s="3" t="inlineStr">
        <is>
          <t>KB4x65T</t>
        </is>
      </c>
      <c r="I2799" s="4" t="inlineStr">
        <is>
          <t>Vít KingBlue KB4x65T (WHITE)</t>
        </is>
      </c>
      <c r="J2799" s="3" t="inlineStr">
        <is>
          <t>Cái</t>
        </is>
      </c>
      <c r="K2799" s="5" t="n">
        <v>7000</v>
      </c>
      <c r="L2799" s="5" t="n">
        <v>9000</v>
      </c>
      <c r="M2799" s="6" t="n">
        <v>12500</v>
      </c>
      <c r="N2799" s="5" t="n"/>
      <c r="O2799" s="5">
        <f>IF(AND(ISNUMBER(N2799),ISNUMBER(M2799)),N2799-M2799,"")</f>
        <v/>
      </c>
      <c r="P2799" s="7">
        <f>IF(AND(ISNUMBER(N2799),ISNUMBER(M2799),M2799&gt;0),(N2799-M2799)/M2799,"")</f>
        <v/>
      </c>
      <c r="Q2799" s="3">
        <f>IF(P2799="","",IF(P2799&lt;-0.02,"🔴 Bán phá giá sàn",IF(P2799&gt;0.05,"🔵 Bán cao hơn","🟢 Đúng giá sàn TMĐT")))</f>
        <v/>
      </c>
      <c r="R2799" s="3" t="n"/>
      <c r="S2799" s="4" t="n"/>
      <c r="T2799" s="4" t="n"/>
    </row>
    <row r="2800">
      <c r="A2800" s="3" t="n">
        <v>2799</v>
      </c>
      <c r="B2800" s="3" t="inlineStr">
        <is>
          <t>DL026</t>
        </is>
      </c>
      <c r="C2800" s="4" t="inlineStr">
        <is>
          <t>Anh Khắc Khang Hà Nội (Bigshop)</t>
        </is>
      </c>
      <c r="D2800" s="3" t="inlineStr">
        <is>
          <t>HN</t>
        </is>
      </c>
      <c r="E2800" s="3" t="inlineStr">
        <is>
          <t>Lan</t>
        </is>
      </c>
      <c r="F2800" s="3" t="inlineStr">
        <is>
          <t>Website bán hàng, Shopee</t>
        </is>
      </c>
      <c r="G2800" s="4" t="inlineStr">
        <is>
          <t>SHOPEE: https://shopee.vn/bigshop2014 TIKTOK: LAZADA: WEBSITE BÁN HÀNG: https://bigshop.vn/</t>
        </is>
      </c>
      <c r="H2800" s="3" t="inlineStr">
        <is>
          <t>CG-1200</t>
        </is>
      </c>
      <c r="I2800" s="4" t="inlineStr">
        <is>
          <t>Bàn cắt gạch CG-1200</t>
        </is>
      </c>
      <c r="J2800" s="3" t="inlineStr">
        <is>
          <t>Cái</t>
        </is>
      </c>
      <c r="K2800" s="5" t="n">
        <v>269000</v>
      </c>
      <c r="L2800" s="5" t="n">
        <v>317000</v>
      </c>
      <c r="M2800" s="6" t="n">
        <v>390000</v>
      </c>
      <c r="N2800" s="5" t="n"/>
      <c r="O2800" s="5">
        <f>IF(AND(ISNUMBER(N2800),ISNUMBER(M2800)),N2800-M2800,"")</f>
        <v/>
      </c>
      <c r="P2800" s="7">
        <f>IF(AND(ISNUMBER(N2800),ISNUMBER(M2800),M2800&gt;0),(N2800-M2800)/M2800,"")</f>
        <v/>
      </c>
      <c r="Q2800" s="3">
        <f>IF(P2800="","",IF(P2800&lt;-0.02,"🔴 Bán phá giá sàn",IF(P2800&gt;0.05,"🔵 Bán cao hơn","🟢 Đúng giá sàn TMĐT")))</f>
        <v/>
      </c>
      <c r="R2800" s="3" t="n"/>
      <c r="S2800" s="4" t="n"/>
      <c r="T2800" s="4" t="n"/>
    </row>
    <row r="2801">
      <c r="A2801" s="3" t="n">
        <v>2800</v>
      </c>
      <c r="B2801" s="3" t="inlineStr">
        <is>
          <t>DL026</t>
        </is>
      </c>
      <c r="C2801" s="4" t="inlineStr">
        <is>
          <t>Anh Khắc Khang Hà Nội (Bigshop)</t>
        </is>
      </c>
      <c r="D2801" s="3" t="inlineStr">
        <is>
          <t>HN</t>
        </is>
      </c>
      <c r="E2801" s="3" t="inlineStr">
        <is>
          <t>Lan</t>
        </is>
      </c>
      <c r="F2801" s="3" t="inlineStr">
        <is>
          <t>Website bán hàng, Shopee</t>
        </is>
      </c>
      <c r="G2801" s="4" t="inlineStr">
        <is>
          <t>SHOPEE: https://shopee.vn/bigshop2014 TIKTOK: LAZADA: WEBSITE BÁN HÀNG: https://bigshop.vn/</t>
        </is>
      </c>
      <c r="H2801" s="3" t="inlineStr">
        <is>
          <t>K10000</t>
        </is>
      </c>
      <c r="I2801" s="4" t="inlineStr">
        <is>
          <t>Bộ bơm lốp, kích bình đa năng K10000</t>
        </is>
      </c>
      <c r="J2801" s="3" t="inlineStr">
        <is>
          <t>Cái</t>
        </is>
      </c>
      <c r="K2801" s="5" t="n">
        <v>269000</v>
      </c>
      <c r="L2801" s="5" t="n">
        <v>317000</v>
      </c>
      <c r="M2801" s="6" t="n">
        <v>390000</v>
      </c>
      <c r="N2801" s="5" t="n"/>
      <c r="O2801" s="5">
        <f>IF(AND(ISNUMBER(N2801),ISNUMBER(M2801)),N2801-M2801,"")</f>
        <v/>
      </c>
      <c r="P2801" s="7">
        <f>IF(AND(ISNUMBER(N2801),ISNUMBER(M2801),M2801&gt;0),(N2801-M2801)/M2801,"")</f>
        <v/>
      </c>
      <c r="Q2801" s="3">
        <f>IF(P2801="","",IF(P2801&lt;-0.02,"🔴 Bán phá giá sàn",IF(P2801&gt;0.05,"🔵 Bán cao hơn","🟢 Đúng giá sàn TMĐT")))</f>
        <v/>
      </c>
      <c r="R2801" s="3" t="n"/>
      <c r="S2801" s="4" t="n"/>
      <c r="T2801" s="4" t="n"/>
    </row>
    <row r="2802">
      <c r="A2802" s="3" t="n">
        <v>2801</v>
      </c>
      <c r="B2802" s="3" t="inlineStr">
        <is>
          <t>DL026</t>
        </is>
      </c>
      <c r="C2802" s="4" t="inlineStr">
        <is>
          <t>Anh Khắc Khang Hà Nội (Bigshop)</t>
        </is>
      </c>
      <c r="D2802" s="3" t="inlineStr">
        <is>
          <t>HN</t>
        </is>
      </c>
      <c r="E2802" s="3" t="inlineStr">
        <is>
          <t>Lan</t>
        </is>
      </c>
      <c r="F2802" s="3" t="inlineStr">
        <is>
          <t>Website bán hàng, Shopee</t>
        </is>
      </c>
      <c r="G2802" s="4" t="inlineStr">
        <is>
          <t>SHOPEE: https://shopee.vn/bigshop2014 TIKTOK: LAZADA: WEBSITE BÁN HÀNG: https://bigshop.vn/</t>
        </is>
      </c>
      <c r="H2802" s="3" t="inlineStr">
        <is>
          <t>KH1-B10</t>
        </is>
      </c>
      <c r="I2802" s="4" t="inlineStr">
        <is>
          <t>Bộ cờ lê KH1-B10</t>
        </is>
      </c>
      <c r="J2802" s="3" t="inlineStr">
        <is>
          <t>Bộ</t>
        </is>
      </c>
      <c r="K2802" s="5" t="n">
        <v>435000</v>
      </c>
      <c r="L2802" s="5" t="n">
        <v>513000</v>
      </c>
      <c r="M2802" s="6" t="n">
        <v>631000</v>
      </c>
      <c r="N2802" s="5" t="n"/>
      <c r="O2802" s="5">
        <f>IF(AND(ISNUMBER(N2802),ISNUMBER(M2802)),N2802-M2802,"")</f>
        <v/>
      </c>
      <c r="P2802" s="7">
        <f>IF(AND(ISNUMBER(N2802),ISNUMBER(M2802),M2802&gt;0),(N2802-M2802)/M2802,"")</f>
        <v/>
      </c>
      <c r="Q2802" s="3">
        <f>IF(P2802="","",IF(P2802&lt;-0.02,"🔴 Bán phá giá sàn",IF(P2802&gt;0.05,"🔵 Bán cao hơn","🟢 Đúng giá sàn TMĐT")))</f>
        <v/>
      </c>
      <c r="R2802" s="3" t="n"/>
      <c r="S2802" s="4" t="n"/>
      <c r="T2802" s="4" t="n"/>
    </row>
    <row r="2803">
      <c r="A2803" s="3" t="n">
        <v>2802</v>
      </c>
      <c r="B2803" s="3" t="inlineStr">
        <is>
          <t>DL026</t>
        </is>
      </c>
      <c r="C2803" s="4" t="inlineStr">
        <is>
          <t>Anh Khắc Khang Hà Nội (Bigshop)</t>
        </is>
      </c>
      <c r="D2803" s="3" t="inlineStr">
        <is>
          <t>HN</t>
        </is>
      </c>
      <c r="E2803" s="3" t="inlineStr">
        <is>
          <t>Lan</t>
        </is>
      </c>
      <c r="F2803" s="3" t="inlineStr">
        <is>
          <t>Website bán hàng, Shopee</t>
        </is>
      </c>
      <c r="G2803" s="4" t="inlineStr">
        <is>
          <t>SHOPEE: https://shopee.vn/bigshop2014 TIKTOK: LAZADA: WEBSITE BÁN HÀNG: https://bigshop.vn/</t>
        </is>
      </c>
      <c r="H2803" s="3" t="inlineStr">
        <is>
          <t>KB-R1323</t>
        </is>
      </c>
      <c r="I2803" s="4" t="inlineStr">
        <is>
          <t>Bộ loe ống đồng 2 chức năng KingBlue KB-R1323</t>
        </is>
      </c>
      <c r="J2803" s="3" t="inlineStr">
        <is>
          <t>Cái</t>
        </is>
      </c>
      <c r="K2803" s="5" t="n">
        <v>1720000</v>
      </c>
      <c r="L2803" s="5" t="n">
        <v>1926000</v>
      </c>
      <c r="M2803" s="6" t="n">
        <v>2236000</v>
      </c>
      <c r="N2803" s="5" t="n"/>
      <c r="O2803" s="5">
        <f>IF(AND(ISNUMBER(N2803),ISNUMBER(M2803)),N2803-M2803,"")</f>
        <v/>
      </c>
      <c r="P2803" s="7">
        <f>IF(AND(ISNUMBER(N2803),ISNUMBER(M2803),M2803&gt;0),(N2803-M2803)/M2803,"")</f>
        <v/>
      </c>
      <c r="Q2803" s="3">
        <f>IF(P2803="","",IF(P2803&lt;-0.02,"🔴 Bán phá giá sàn",IF(P2803&gt;0.05,"🔵 Bán cao hơn","🟢 Đúng giá sàn TMĐT")))</f>
        <v/>
      </c>
      <c r="R2803" s="3" t="n"/>
      <c r="S2803" s="4" t="n"/>
      <c r="T2803" s="4" t="n"/>
    </row>
    <row r="2804">
      <c r="A2804" s="3" t="n">
        <v>2803</v>
      </c>
      <c r="B2804" s="3" t="inlineStr">
        <is>
          <t>DL026</t>
        </is>
      </c>
      <c r="C2804" s="4" t="inlineStr">
        <is>
          <t>Anh Khắc Khang Hà Nội (Bigshop)</t>
        </is>
      </c>
      <c r="D2804" s="3" t="inlineStr">
        <is>
          <t>HN</t>
        </is>
      </c>
      <c r="E2804" s="3" t="inlineStr">
        <is>
          <t>Lan</t>
        </is>
      </c>
      <c r="F2804" s="3" t="inlineStr">
        <is>
          <t>Website bán hàng, Shopee</t>
        </is>
      </c>
      <c r="G2804" s="4" t="inlineStr">
        <is>
          <t>SHOPEE: https://shopee.vn/bigshop2014 TIKTOK: LAZADA: WEBSITE BÁN HÀNG: https://bigshop.vn/</t>
        </is>
      </c>
      <c r="H2804" s="3" t="inlineStr">
        <is>
          <t>KB20SC1</t>
        </is>
      </c>
      <c r="I2804" s="4" t="inlineStr">
        <is>
          <t>Bộ Máy Siết Bulon 20V KB20SC1</t>
        </is>
      </c>
      <c r="J2804" s="3" t="inlineStr">
        <is>
          <t>Bộ</t>
        </is>
      </c>
      <c r="K2804" s="5" t="n">
        <v>2020000</v>
      </c>
      <c r="L2804" s="5" t="n">
        <v>2230000</v>
      </c>
      <c r="M2804" s="6" t="n">
        <v>2530000</v>
      </c>
      <c r="N2804" s="5" t="n"/>
      <c r="O2804" s="5">
        <f>IF(AND(ISNUMBER(N2804),ISNUMBER(M2804)),N2804-M2804,"")</f>
        <v/>
      </c>
      <c r="P2804" s="7">
        <f>IF(AND(ISNUMBER(N2804),ISNUMBER(M2804),M2804&gt;0),(N2804-M2804)/M2804,"")</f>
        <v/>
      </c>
      <c r="Q2804" s="3">
        <f>IF(P2804="","",IF(P2804&lt;-0.02,"🔴 Bán phá giá sàn",IF(P2804&gt;0.05,"🔵 Bán cao hơn","🟢 Đúng giá sàn TMĐT")))</f>
        <v/>
      </c>
      <c r="R2804" s="3" t="n"/>
      <c r="S2804" s="4" t="n"/>
      <c r="T2804" s="4" t="n"/>
    </row>
    <row r="2805">
      <c r="A2805" s="3" t="n">
        <v>2804</v>
      </c>
      <c r="B2805" s="3" t="inlineStr">
        <is>
          <t>DL026</t>
        </is>
      </c>
      <c r="C2805" s="4" t="inlineStr">
        <is>
          <t>Anh Khắc Khang Hà Nội (Bigshop)</t>
        </is>
      </c>
      <c r="D2805" s="3" t="inlineStr">
        <is>
          <t>HN</t>
        </is>
      </c>
      <c r="E2805" s="3" t="inlineStr">
        <is>
          <t>Lan</t>
        </is>
      </c>
      <c r="F2805" s="3" t="inlineStr">
        <is>
          <t>Website bán hàng, Shopee</t>
        </is>
      </c>
      <c r="G2805" s="4" t="inlineStr">
        <is>
          <t>SHOPEE: https://shopee.vn/bigshop2014 TIKTOK: LAZADA: WEBSITE BÁN HÀNG: https://bigshop.vn/</t>
        </is>
      </c>
      <c r="H2805" s="3" t="inlineStr">
        <is>
          <t>KLG-12S</t>
        </is>
      </c>
      <c r="I2805" s="4" t="inlineStr">
        <is>
          <t>Bộ tuýp cần tự động 12 chi tiết KLG-12S</t>
        </is>
      </c>
      <c r="J2805" s="3" t="inlineStr">
        <is>
          <t>Cái</t>
        </is>
      </c>
      <c r="K2805" s="5" t="n">
        <v>269000</v>
      </c>
      <c r="L2805" s="5" t="n">
        <v>317000</v>
      </c>
      <c r="M2805" s="6" t="n">
        <v>390000</v>
      </c>
      <c r="N2805" s="5" t="n"/>
      <c r="O2805" s="5">
        <f>IF(AND(ISNUMBER(N2805),ISNUMBER(M2805)),N2805-M2805,"")</f>
        <v/>
      </c>
      <c r="P2805" s="7">
        <f>IF(AND(ISNUMBER(N2805),ISNUMBER(M2805),M2805&gt;0),(N2805-M2805)/M2805,"")</f>
        <v/>
      </c>
      <c r="Q2805" s="3">
        <f>IF(P2805="","",IF(P2805&lt;-0.02,"🔴 Bán phá giá sàn",IF(P2805&gt;0.05,"🔵 Bán cao hơn","🟢 Đúng giá sàn TMĐT")))</f>
        <v/>
      </c>
      <c r="R2805" s="3" t="n"/>
      <c r="S2805" s="4" t="n"/>
      <c r="T2805" s="4" t="n"/>
    </row>
    <row r="2806">
      <c r="A2806" s="3" t="n">
        <v>2805</v>
      </c>
      <c r="B2806" s="3" t="inlineStr">
        <is>
          <t>DL026</t>
        </is>
      </c>
      <c r="C2806" s="4" t="inlineStr">
        <is>
          <t>Anh Khắc Khang Hà Nội (Bigshop)</t>
        </is>
      </c>
      <c r="D2806" s="3" t="inlineStr">
        <is>
          <t>HN</t>
        </is>
      </c>
      <c r="E2806" s="3" t="inlineStr">
        <is>
          <t>Lan</t>
        </is>
      </c>
      <c r="F2806" s="3" t="inlineStr">
        <is>
          <t>Website bán hàng, Shopee</t>
        </is>
      </c>
      <c r="G2806" s="4" t="inlineStr">
        <is>
          <t>SHOPEE: https://shopee.vn/bigshop2014 TIKTOK: LAZADA: WEBSITE BÁN HÀNG: https://bigshop.vn/</t>
        </is>
      </c>
      <c r="H2806" s="3" t="inlineStr">
        <is>
          <t>KB-ST18</t>
        </is>
      </c>
      <c r="I2806" s="4" t="inlineStr">
        <is>
          <t>Công cụ đóng đinh bán tự động KB-ST18</t>
        </is>
      </c>
      <c r="J2806" s="3" t="inlineStr">
        <is>
          <t>Cái</t>
        </is>
      </c>
      <c r="K2806" s="5" t="n">
        <v>242000</v>
      </c>
      <c r="L2806" s="5" t="n">
        <v>286000</v>
      </c>
      <c r="M2806" s="6" t="n">
        <v>351000</v>
      </c>
      <c r="N2806" s="5" t="n"/>
      <c r="O2806" s="5">
        <f>IF(AND(ISNUMBER(N2806),ISNUMBER(M2806)),N2806-M2806,"")</f>
        <v/>
      </c>
      <c r="P2806" s="7">
        <f>IF(AND(ISNUMBER(N2806),ISNUMBER(M2806),M2806&gt;0),(N2806-M2806)/M2806,"")</f>
        <v/>
      </c>
      <c r="Q2806" s="3">
        <f>IF(P2806="","",IF(P2806&lt;-0.02,"🔴 Bán phá giá sàn",IF(P2806&gt;0.05,"🔵 Bán cao hơn","🟢 Đúng giá sàn TMĐT")))</f>
        <v/>
      </c>
      <c r="R2806" s="3" t="n"/>
      <c r="S2806" s="4" t="n"/>
      <c r="T2806" s="4" t="n"/>
    </row>
    <row r="2807">
      <c r="A2807" s="3" t="n">
        <v>2806</v>
      </c>
      <c r="B2807" s="3" t="inlineStr">
        <is>
          <t>DL026</t>
        </is>
      </c>
      <c r="C2807" s="4" t="inlineStr">
        <is>
          <t>Anh Khắc Khang Hà Nội (Bigshop)</t>
        </is>
      </c>
      <c r="D2807" s="3" t="inlineStr">
        <is>
          <t>HN</t>
        </is>
      </c>
      <c r="E2807" s="3" t="inlineStr">
        <is>
          <t>Lan</t>
        </is>
      </c>
      <c r="F2807" s="3" t="inlineStr">
        <is>
          <t>Website bán hàng, Shopee</t>
        </is>
      </c>
      <c r="G2807" s="4" t="inlineStr">
        <is>
          <t>SHOPEE: https://shopee.vn/bigshop2014 TIKTOK: LAZADA: WEBSITE BÁN HÀNG: https://bigshop.vn/</t>
        </is>
      </c>
      <c r="H2807" s="3" t="inlineStr">
        <is>
          <t>KJH-05</t>
        </is>
      </c>
      <c r="I2807" s="4" t="inlineStr">
        <is>
          <t>Dao rọc cáp đa năng KJH-05</t>
        </is>
      </c>
      <c r="J2807" s="3" t="inlineStr">
        <is>
          <t>Cái</t>
        </is>
      </c>
      <c r="K2807" s="5" t="n">
        <v>119000</v>
      </c>
      <c r="L2807" s="5" t="n">
        <v>141000</v>
      </c>
      <c r="M2807" s="6" t="n">
        <v>173000</v>
      </c>
      <c r="N2807" s="5" t="n"/>
      <c r="O2807" s="5">
        <f>IF(AND(ISNUMBER(N2807),ISNUMBER(M2807)),N2807-M2807,"")</f>
        <v/>
      </c>
      <c r="P2807" s="7">
        <f>IF(AND(ISNUMBER(N2807),ISNUMBER(M2807),M2807&gt;0),(N2807-M2807)/M2807,"")</f>
        <v/>
      </c>
      <c r="Q2807" s="3">
        <f>IF(P2807="","",IF(P2807&lt;-0.02,"🔴 Bán phá giá sàn",IF(P2807&gt;0.05,"🔵 Bán cao hơn","🟢 Đúng giá sàn TMĐT")))</f>
        <v/>
      </c>
      <c r="R2807" s="3" t="n"/>
      <c r="S2807" s="4" t="n"/>
      <c r="T2807" s="4" t="n"/>
    </row>
    <row r="2808">
      <c r="A2808" s="3" t="n">
        <v>2807</v>
      </c>
      <c r="B2808" s="3" t="inlineStr">
        <is>
          <t>DL026</t>
        </is>
      </c>
      <c r="C2808" s="4" t="inlineStr">
        <is>
          <t>Anh Khắc Khang Hà Nội (Bigshop)</t>
        </is>
      </c>
      <c r="D2808" s="3" t="inlineStr">
        <is>
          <t>HN</t>
        </is>
      </c>
      <c r="E2808" s="3" t="inlineStr">
        <is>
          <t>Lan</t>
        </is>
      </c>
      <c r="F2808" s="3" t="inlineStr">
        <is>
          <t>Website bán hàng, Shopee</t>
        </is>
      </c>
      <c r="G2808" s="4" t="inlineStr">
        <is>
          <t>SHOPEE: https://shopee.vn/bigshop2014 TIKTOK: LAZADA: WEBSITE BÁN HÀNG: https://bigshop.vn/</t>
        </is>
      </c>
      <c r="H2808" s="3" t="inlineStr">
        <is>
          <t>LED500</t>
        </is>
      </c>
      <c r="I2808" s="4" t="inlineStr">
        <is>
          <t>Đèn Led đội đầu LED500</t>
        </is>
      </c>
      <c r="J2808" s="3" t="inlineStr">
        <is>
          <t>Cái</t>
        </is>
      </c>
      <c r="K2808" s="5" t="n">
        <v>440000</v>
      </c>
      <c r="L2808" s="5" t="n">
        <v>502000</v>
      </c>
      <c r="M2808" s="6" t="n">
        <v>594000</v>
      </c>
      <c r="N2808" s="5" t="n"/>
      <c r="O2808" s="5">
        <f>IF(AND(ISNUMBER(N2808),ISNUMBER(M2808)),N2808-M2808,"")</f>
        <v/>
      </c>
      <c r="P2808" s="7">
        <f>IF(AND(ISNUMBER(N2808),ISNUMBER(M2808),M2808&gt;0),(N2808-M2808)/M2808,"")</f>
        <v/>
      </c>
      <c r="Q2808" s="3">
        <f>IF(P2808="","",IF(P2808&lt;-0.02,"🔴 Bán phá giá sàn",IF(P2808&gt;0.05,"🔵 Bán cao hơn","🟢 Đúng giá sàn TMĐT")))</f>
        <v/>
      </c>
      <c r="R2808" s="3" t="n"/>
      <c r="S2808" s="4" t="n"/>
      <c r="T2808" s="4" t="n"/>
    </row>
    <row r="2809">
      <c r="A2809" s="3" t="n">
        <v>2808</v>
      </c>
      <c r="B2809" s="3" t="inlineStr">
        <is>
          <t>DL026</t>
        </is>
      </c>
      <c r="C2809" s="4" t="inlineStr">
        <is>
          <t>Anh Khắc Khang Hà Nội (Bigshop)</t>
        </is>
      </c>
      <c r="D2809" s="3" t="inlineStr">
        <is>
          <t>HN</t>
        </is>
      </c>
      <c r="E2809" s="3" t="inlineStr">
        <is>
          <t>Lan</t>
        </is>
      </c>
      <c r="F2809" s="3" t="inlineStr">
        <is>
          <t>Website bán hàng, Shopee</t>
        </is>
      </c>
      <c r="G2809" s="4" t="inlineStr">
        <is>
          <t>SHOPEE: https://shopee.vn/bigshop2014 TIKTOK: LAZADA: WEBSITE BÁN HÀNG: https://bigshop.vn/</t>
        </is>
      </c>
      <c r="H2809" s="3" t="inlineStr">
        <is>
          <t>LED600</t>
        </is>
      </c>
      <c r="I2809" s="4" t="inlineStr">
        <is>
          <t>Đèn Led soi sửa chữa máy móc LED600</t>
        </is>
      </c>
      <c r="J2809" s="3" t="inlineStr">
        <is>
          <t>Cái</t>
        </is>
      </c>
      <c r="K2809" s="5" t="n">
        <v>650000</v>
      </c>
      <c r="L2809" s="5" t="n">
        <v>741000</v>
      </c>
      <c r="M2809" s="6" t="n">
        <v>878000</v>
      </c>
      <c r="N2809" s="5" t="n"/>
      <c r="O2809" s="5">
        <f>IF(AND(ISNUMBER(N2809),ISNUMBER(M2809)),N2809-M2809,"")</f>
        <v/>
      </c>
      <c r="P2809" s="7">
        <f>IF(AND(ISNUMBER(N2809),ISNUMBER(M2809),M2809&gt;0),(N2809-M2809)/M2809,"")</f>
        <v/>
      </c>
      <c r="Q2809" s="3">
        <f>IF(P2809="","",IF(P2809&lt;-0.02,"🔴 Bán phá giá sàn",IF(P2809&gt;0.05,"🔵 Bán cao hơn","🟢 Đúng giá sàn TMĐT")))</f>
        <v/>
      </c>
      <c r="R2809" s="3" t="n"/>
      <c r="S2809" s="4" t="n"/>
      <c r="T2809" s="4" t="n"/>
    </row>
    <row r="2810">
      <c r="A2810" s="3" t="n">
        <v>2809</v>
      </c>
      <c r="B2810" s="3" t="inlineStr">
        <is>
          <t>DL026</t>
        </is>
      </c>
      <c r="C2810" s="4" t="inlineStr">
        <is>
          <t>Anh Khắc Khang Hà Nội (Bigshop)</t>
        </is>
      </c>
      <c r="D2810" s="3" t="inlineStr">
        <is>
          <t>HN</t>
        </is>
      </c>
      <c r="E2810" s="3" t="inlineStr">
        <is>
          <t>Lan</t>
        </is>
      </c>
      <c r="F2810" s="3" t="inlineStr">
        <is>
          <t>Website bán hàng, Shopee</t>
        </is>
      </c>
      <c r="G2810" s="4" t="inlineStr">
        <is>
          <t>SHOPEE: https://shopee.vn/bigshop2014 TIKTOK: LAZADA: WEBSITE BÁN HÀNG: https://bigshop.vn/</t>
        </is>
      </c>
      <c r="H2810" s="3" t="inlineStr">
        <is>
          <t>HKE-200</t>
        </is>
      </c>
      <c r="I2810" s="4" t="inlineStr">
        <is>
          <t>Hít kính điện tử HKE-200</t>
        </is>
      </c>
      <c r="J2810" s="3" t="inlineStr">
        <is>
          <t>Cái</t>
        </is>
      </c>
      <c r="K2810" s="5" t="n">
        <v>583000</v>
      </c>
      <c r="L2810" s="5" t="n">
        <v>676000</v>
      </c>
      <c r="M2810" s="6" t="n">
        <v>816000</v>
      </c>
      <c r="N2810" s="5" t="n"/>
      <c r="O2810" s="5">
        <f>IF(AND(ISNUMBER(N2810),ISNUMBER(M2810)),N2810-M2810,"")</f>
        <v/>
      </c>
      <c r="P2810" s="7">
        <f>IF(AND(ISNUMBER(N2810),ISNUMBER(M2810),M2810&gt;0),(N2810-M2810)/M2810,"")</f>
        <v/>
      </c>
      <c r="Q2810" s="3">
        <f>IF(P2810="","",IF(P2810&lt;-0.02,"🔴 Bán phá giá sàn",IF(P2810&gt;0.05,"🔵 Bán cao hơn","🟢 Đúng giá sàn TMĐT")))</f>
        <v/>
      </c>
      <c r="R2810" s="3" t="n"/>
      <c r="S2810" s="4" t="n"/>
      <c r="T2810" s="4" t="n"/>
    </row>
    <row r="2811">
      <c r="A2811" s="3" t="n">
        <v>2810</v>
      </c>
      <c r="B2811" s="3" t="inlineStr">
        <is>
          <t>DL026</t>
        </is>
      </c>
      <c r="C2811" s="4" t="inlineStr">
        <is>
          <t>Anh Khắc Khang Hà Nội (Bigshop)</t>
        </is>
      </c>
      <c r="D2811" s="3" t="inlineStr">
        <is>
          <t>HN</t>
        </is>
      </c>
      <c r="E2811" s="3" t="inlineStr">
        <is>
          <t>Lan</t>
        </is>
      </c>
      <c r="F2811" s="3" t="inlineStr">
        <is>
          <t>Website bán hàng, Shopee</t>
        </is>
      </c>
      <c r="G2811" s="4" t="inlineStr">
        <is>
          <t>SHOPEE: https://shopee.vn/bigshop2014 TIKTOK: LAZADA: WEBSITE BÁN HÀNG: https://bigshop.vn/</t>
        </is>
      </c>
      <c r="H2811" s="3" t="inlineStr">
        <is>
          <t>HK1-50</t>
        </is>
      </c>
      <c r="I2811" s="4" t="inlineStr">
        <is>
          <t>Hít kính HK1-50</t>
        </is>
      </c>
      <c r="J2811" s="3" t="inlineStr">
        <is>
          <t>Cái</t>
        </is>
      </c>
      <c r="K2811" s="5" t="n">
        <v>182000</v>
      </c>
      <c r="L2811" s="5" t="n">
        <v>215000</v>
      </c>
      <c r="M2811" s="6" t="n">
        <v>264000</v>
      </c>
      <c r="N2811" s="5" t="n"/>
      <c r="O2811" s="5">
        <f>IF(AND(ISNUMBER(N2811),ISNUMBER(M2811)),N2811-M2811,"")</f>
        <v/>
      </c>
      <c r="P2811" s="7">
        <f>IF(AND(ISNUMBER(N2811),ISNUMBER(M2811),M2811&gt;0),(N2811-M2811)/M2811,"")</f>
        <v/>
      </c>
      <c r="Q2811" s="3">
        <f>IF(P2811="","",IF(P2811&lt;-0.02,"🔴 Bán phá giá sàn",IF(P2811&gt;0.05,"🔵 Bán cao hơn","🟢 Đúng giá sàn TMĐT")))</f>
        <v/>
      </c>
      <c r="R2811" s="3" t="n"/>
      <c r="S2811" s="4" t="n"/>
      <c r="T2811" s="4" t="n"/>
    </row>
    <row r="2812">
      <c r="A2812" s="3" t="n">
        <v>2811</v>
      </c>
      <c r="B2812" s="3" t="inlineStr">
        <is>
          <t>DL026</t>
        </is>
      </c>
      <c r="C2812" s="4" t="inlineStr">
        <is>
          <t>Anh Khắc Khang Hà Nội (Bigshop)</t>
        </is>
      </c>
      <c r="D2812" s="3" t="inlineStr">
        <is>
          <t>HN</t>
        </is>
      </c>
      <c r="E2812" s="3" t="inlineStr">
        <is>
          <t>Lan</t>
        </is>
      </c>
      <c r="F2812" s="3" t="inlineStr">
        <is>
          <t>Website bán hàng, Shopee</t>
        </is>
      </c>
      <c r="G2812" s="4" t="inlineStr">
        <is>
          <t>SHOPEE: https://shopee.vn/bigshop2014 TIKTOK: LAZADA: WEBSITE BÁN HÀNG: https://bigshop.vn/</t>
        </is>
      </c>
      <c r="H2812" s="3" t="inlineStr">
        <is>
          <t>G1-350R</t>
        </is>
      </c>
      <c r="I2812" s="4" t="inlineStr">
        <is>
          <t>Lưỡi cắt Kingblue G1-350R</t>
        </is>
      </c>
      <c r="J2812" s="3" t="inlineStr">
        <is>
          <t>Cái</t>
        </is>
      </c>
      <c r="K2812" s="5" t="n">
        <v>551000</v>
      </c>
      <c r="L2812" s="5" t="n">
        <v>650000</v>
      </c>
      <c r="M2812" s="6" t="n">
        <v>799000</v>
      </c>
      <c r="N2812" s="5" t="n"/>
      <c r="O2812" s="5">
        <f>IF(AND(ISNUMBER(N2812),ISNUMBER(M2812)),N2812-M2812,"")</f>
        <v/>
      </c>
      <c r="P2812" s="7">
        <f>IF(AND(ISNUMBER(N2812),ISNUMBER(M2812),M2812&gt;0),(N2812-M2812)/M2812,"")</f>
        <v/>
      </c>
      <c r="Q2812" s="3">
        <f>IF(P2812="","",IF(P2812&lt;-0.02,"🔴 Bán phá giá sàn",IF(P2812&gt;0.05,"🔵 Bán cao hơn","🟢 Đúng giá sàn TMĐT")))</f>
        <v/>
      </c>
      <c r="R2812" s="3" t="n"/>
      <c r="S2812" s="4" t="n"/>
      <c r="T2812" s="4" t="n"/>
    </row>
    <row r="2813">
      <c r="A2813" s="3" t="n">
        <v>2812</v>
      </c>
      <c r="B2813" s="3" t="inlineStr">
        <is>
          <t>DL026</t>
        </is>
      </c>
      <c r="C2813" s="4" t="inlineStr">
        <is>
          <t>Anh Khắc Khang Hà Nội (Bigshop)</t>
        </is>
      </c>
      <c r="D2813" s="3" t="inlineStr">
        <is>
          <t>HN</t>
        </is>
      </c>
      <c r="E2813" s="3" t="inlineStr">
        <is>
          <t>Lan</t>
        </is>
      </c>
      <c r="F2813" s="3" t="inlineStr">
        <is>
          <t>Website bán hàng, Shopee</t>
        </is>
      </c>
      <c r="G2813" s="4" t="inlineStr">
        <is>
          <t>SHOPEE: https://shopee.vn/bigshop2014 TIKTOK: LAZADA: WEBSITE BÁN HÀNG: https://bigshop.vn/</t>
        </is>
      </c>
      <c r="H2813" s="3" t="inlineStr">
        <is>
          <t>KB16QA</t>
        </is>
      </c>
      <c r="I2813" s="4" t="inlineStr">
        <is>
          <t>Máy khoan Pin 16V KB16QA</t>
        </is>
      </c>
      <c r="J2813" s="3" t="inlineStr">
        <is>
          <t>Cái</t>
        </is>
      </c>
      <c r="K2813" s="5" t="n">
        <v>790000</v>
      </c>
      <c r="L2813" s="5" t="n">
        <v>870000</v>
      </c>
      <c r="M2813" s="6" t="n">
        <v>990000</v>
      </c>
      <c r="N2813" s="5" t="n"/>
      <c r="O2813" s="5">
        <f>IF(AND(ISNUMBER(N2813),ISNUMBER(M2813)),N2813-M2813,"")</f>
        <v/>
      </c>
      <c r="P2813" s="7">
        <f>IF(AND(ISNUMBER(N2813),ISNUMBER(M2813),M2813&gt;0),(N2813-M2813)/M2813,"")</f>
        <v/>
      </c>
      <c r="Q2813" s="3">
        <f>IF(P2813="","",IF(P2813&lt;-0.02,"🔴 Bán phá giá sàn",IF(P2813&gt;0.05,"🔵 Bán cao hơn","🟢 Đúng giá sàn TMĐT")))</f>
        <v/>
      </c>
      <c r="R2813" s="3" t="n"/>
      <c r="S2813" s="4" t="n"/>
      <c r="T2813" s="4" t="n"/>
    </row>
    <row r="2814">
      <c r="A2814" s="3" t="n">
        <v>2813</v>
      </c>
      <c r="B2814" s="3" t="inlineStr">
        <is>
          <t>DL026</t>
        </is>
      </c>
      <c r="C2814" s="4" t="inlineStr">
        <is>
          <t>Anh Khắc Khang Hà Nội (Bigshop)</t>
        </is>
      </c>
      <c r="D2814" s="3" t="inlineStr">
        <is>
          <t>HN</t>
        </is>
      </c>
      <c r="E2814" s="3" t="inlineStr">
        <is>
          <t>Lan</t>
        </is>
      </c>
      <c r="F2814" s="3" t="inlineStr">
        <is>
          <t>Website bán hàng, Shopee</t>
        </is>
      </c>
      <c r="G2814" s="4" t="inlineStr">
        <is>
          <t>SHOPEE: https://shopee.vn/bigshop2014 TIKTOK: LAZADA: WEBSITE BÁN HÀNG: https://bigshop.vn/</t>
        </is>
      </c>
      <c r="H2814" s="3" t="inlineStr">
        <is>
          <t>KM18SC</t>
        </is>
      </c>
      <c r="I2814" s="4" t="inlineStr">
        <is>
          <t>Máy Siết Bulon 2 in 1 KM18SC</t>
        </is>
      </c>
      <c r="J2814" s="3" t="inlineStr">
        <is>
          <t>Cái</t>
        </is>
      </c>
      <c r="K2814" s="5" t="n">
        <v>1130000</v>
      </c>
      <c r="L2814" s="5" t="n">
        <v>1250000</v>
      </c>
      <c r="M2814" s="6" t="n">
        <v>1420000</v>
      </c>
      <c r="N2814" s="5" t="n"/>
      <c r="O2814" s="5">
        <f>IF(AND(ISNUMBER(N2814),ISNUMBER(M2814)),N2814-M2814,"")</f>
        <v/>
      </c>
      <c r="P2814" s="7">
        <f>IF(AND(ISNUMBER(N2814),ISNUMBER(M2814),M2814&gt;0),(N2814-M2814)/M2814,"")</f>
        <v/>
      </c>
      <c r="Q2814" s="3">
        <f>IF(P2814="","",IF(P2814&lt;-0.02,"🔴 Bán phá giá sàn",IF(P2814&gt;0.05,"🔵 Bán cao hơn","🟢 Đúng giá sàn TMĐT")))</f>
        <v/>
      </c>
      <c r="R2814" s="3" t="n"/>
      <c r="S2814" s="4" t="n"/>
      <c r="T2814" s="4" t="n"/>
    </row>
    <row r="2815">
      <c r="A2815" s="3" t="n">
        <v>2814</v>
      </c>
      <c r="B2815" s="3" t="inlineStr">
        <is>
          <t>DL026</t>
        </is>
      </c>
      <c r="C2815" s="4" t="inlineStr">
        <is>
          <t>Anh Khắc Khang Hà Nội (Bigshop)</t>
        </is>
      </c>
      <c r="D2815" s="3" t="inlineStr">
        <is>
          <t>HN</t>
        </is>
      </c>
      <c r="E2815" s="3" t="inlineStr">
        <is>
          <t>Lan</t>
        </is>
      </c>
      <c r="F2815" s="3" t="inlineStr">
        <is>
          <t>Website bán hàng, Shopee</t>
        </is>
      </c>
      <c r="G2815" s="4" t="inlineStr">
        <is>
          <t>SHOPEE: https://shopee.vn/bigshop2014 TIKTOK: LAZADA: WEBSITE BÁN HÀNG: https://bigshop.vn/</t>
        </is>
      </c>
      <c r="H2815" s="3" t="inlineStr">
        <is>
          <t>V50S</t>
        </is>
      </c>
      <c r="I2815" s="4" t="inlineStr">
        <is>
          <t>Mũi bắn vít PH2 V50S</t>
        </is>
      </c>
      <c r="J2815" s="3" t="inlineStr">
        <is>
          <t>Vỉ</t>
        </is>
      </c>
      <c r="K2815" s="5" t="n">
        <v>28000</v>
      </c>
      <c r="L2815" s="5" t="n">
        <v>36000</v>
      </c>
      <c r="M2815" s="6" t="n">
        <v>48000</v>
      </c>
      <c r="N2815" s="5" t="n"/>
      <c r="O2815" s="5">
        <f>IF(AND(ISNUMBER(N2815),ISNUMBER(M2815)),N2815-M2815,"")</f>
        <v/>
      </c>
      <c r="P2815" s="7">
        <f>IF(AND(ISNUMBER(N2815),ISNUMBER(M2815),M2815&gt;0),(N2815-M2815)/M2815,"")</f>
        <v/>
      </c>
      <c r="Q2815" s="3">
        <f>IF(P2815="","",IF(P2815&lt;-0.02,"🔴 Bán phá giá sàn",IF(P2815&gt;0.05,"🔵 Bán cao hơn","🟢 Đúng giá sàn TMĐT")))</f>
        <v/>
      </c>
      <c r="R2815" s="3" t="n"/>
      <c r="S2815" s="4" t="n"/>
      <c r="T2815" s="4" t="n"/>
    </row>
    <row r="2816">
      <c r="A2816" s="3" t="n">
        <v>2815</v>
      </c>
      <c r="B2816" s="3" t="inlineStr">
        <is>
          <t>DL026</t>
        </is>
      </c>
      <c r="C2816" s="4" t="inlineStr">
        <is>
          <t>Anh Khắc Khang Hà Nội (Bigshop)</t>
        </is>
      </c>
      <c r="D2816" s="3" t="inlineStr">
        <is>
          <t>HN</t>
        </is>
      </c>
      <c r="E2816" s="3" t="inlineStr">
        <is>
          <t>Lan</t>
        </is>
      </c>
      <c r="F2816" s="3" t="inlineStr">
        <is>
          <t>Website bán hàng, Shopee</t>
        </is>
      </c>
      <c r="G2816" s="4" t="inlineStr">
        <is>
          <t>SHOPEE: https://shopee.vn/bigshop2014 TIKTOK: LAZADA: WEBSITE BÁN HÀNG: https://bigshop.vn/</t>
        </is>
      </c>
      <c r="H2816" s="3" t="inlineStr"/>
      <c r="I2816" s="4" t="inlineStr">
        <is>
          <t>Mũi định tâm chuôi dài NEW</t>
        </is>
      </c>
      <c r="J2816" s="3" t="inlineStr">
        <is>
          <t>Cái</t>
        </is>
      </c>
      <c r="K2816" s="5" t="n">
        <v>269000</v>
      </c>
      <c r="L2816" s="5" t="n">
        <v>317000</v>
      </c>
      <c r="M2816" s="6" t="n">
        <v>390000</v>
      </c>
      <c r="N2816" s="5" t="n"/>
      <c r="O2816" s="5">
        <f>IF(AND(ISNUMBER(N2816),ISNUMBER(M2816)),N2816-M2816,"")</f>
        <v/>
      </c>
      <c r="P2816" s="7">
        <f>IF(AND(ISNUMBER(N2816),ISNUMBER(M2816),M2816&gt;0),(N2816-M2816)/M2816,"")</f>
        <v/>
      </c>
      <c r="Q2816" s="3">
        <f>IF(P2816="","",IF(P2816&lt;-0.02,"🔴 Bán phá giá sàn",IF(P2816&gt;0.05,"🔵 Bán cao hơn","🟢 Đúng giá sàn TMĐT")))</f>
        <v/>
      </c>
      <c r="R2816" s="3" t="n"/>
      <c r="S2816" s="4" t="n"/>
      <c r="T2816" s="4" t="n"/>
    </row>
    <row r="2817">
      <c r="A2817" s="3" t="n">
        <v>2816</v>
      </c>
      <c r="B2817" s="3" t="inlineStr">
        <is>
          <t>DL026</t>
        </is>
      </c>
      <c r="C2817" s="4" t="inlineStr">
        <is>
          <t>Anh Khắc Khang Hà Nội (Bigshop)</t>
        </is>
      </c>
      <c r="D2817" s="3" t="inlineStr">
        <is>
          <t>HN</t>
        </is>
      </c>
      <c r="E2817" s="3" t="inlineStr">
        <is>
          <t>Lan</t>
        </is>
      </c>
      <c r="F2817" s="3" t="inlineStr">
        <is>
          <t>Website bán hàng, Shopee</t>
        </is>
      </c>
      <c r="G2817" s="4" t="inlineStr">
        <is>
          <t>SHOPEE: https://shopee.vn/bigshop2014 TIKTOK: LAZADA: WEBSITE BÁN HÀNG: https://bigshop.vn/</t>
        </is>
      </c>
      <c r="H2817" s="3" t="inlineStr">
        <is>
          <t>KBS-20280</t>
        </is>
      </c>
      <c r="I2817" s="4" t="inlineStr">
        <is>
          <t>Mũi khoan đá chuôi lục giác KBS-20*280</t>
        </is>
      </c>
      <c r="J2817" s="3" t="inlineStr">
        <is>
          <t>Cái</t>
        </is>
      </c>
      <c r="K2817" s="5" t="n">
        <v>98000</v>
      </c>
      <c r="L2817" s="5" t="n">
        <v>120000</v>
      </c>
      <c r="M2817" s="6" t="n">
        <v>152000</v>
      </c>
      <c r="N2817" s="5" t="n"/>
      <c r="O2817" s="5">
        <f>IF(AND(ISNUMBER(N2817),ISNUMBER(M2817)),N2817-M2817,"")</f>
        <v/>
      </c>
      <c r="P2817" s="7">
        <f>IF(AND(ISNUMBER(N2817),ISNUMBER(M2817),M2817&gt;0),(N2817-M2817)/M2817,"")</f>
        <v/>
      </c>
      <c r="Q2817" s="3">
        <f>IF(P2817="","",IF(P2817&lt;-0.02,"🔴 Bán phá giá sàn",IF(P2817&gt;0.05,"🔵 Bán cao hơn","🟢 Đúng giá sàn TMĐT")))</f>
        <v/>
      </c>
      <c r="R2817" s="3" t="n"/>
      <c r="S2817" s="4" t="n"/>
      <c r="T2817" s="4" t="n"/>
    </row>
    <row r="2818">
      <c r="A2818" s="3" t="n">
        <v>2817</v>
      </c>
      <c r="B2818" s="3" t="inlineStr">
        <is>
          <t>DL026</t>
        </is>
      </c>
      <c r="C2818" s="4" t="inlineStr">
        <is>
          <t>Anh Khắc Khang Hà Nội (Bigshop)</t>
        </is>
      </c>
      <c r="D2818" s="3" t="inlineStr">
        <is>
          <t>HN</t>
        </is>
      </c>
      <c r="E2818" s="3" t="inlineStr">
        <is>
          <t>Lan</t>
        </is>
      </c>
      <c r="F2818" s="3" t="inlineStr">
        <is>
          <t>Website bán hàng, Shopee</t>
        </is>
      </c>
      <c r="G2818" s="4" t="inlineStr">
        <is>
          <t>SHOPEE: https://shopee.vn/bigshop2014 TIKTOK: LAZADA: WEBSITE BÁN HÀNG: https://bigshop.vn/</t>
        </is>
      </c>
      <c r="H2818" s="3" t="inlineStr">
        <is>
          <t>KRS-60155</t>
        </is>
      </c>
      <c r="I2818" s="4" t="inlineStr">
        <is>
          <t>Mũi khoan rút lõi khô KRS-60*155 (New)</t>
        </is>
      </c>
      <c r="J2818" s="3" t="inlineStr">
        <is>
          <t>Cái</t>
        </is>
      </c>
      <c r="K2818" s="5" t="n">
        <v>1290000</v>
      </c>
      <c r="L2818" s="5" t="n">
        <v>1496000</v>
      </c>
      <c r="M2818" s="6" t="n">
        <v>1806000</v>
      </c>
      <c r="N2818" s="5" t="n"/>
      <c r="O2818" s="5">
        <f>IF(AND(ISNUMBER(N2818),ISNUMBER(M2818)),N2818-M2818,"")</f>
        <v/>
      </c>
      <c r="P2818" s="7">
        <f>IF(AND(ISNUMBER(N2818),ISNUMBER(M2818),M2818&gt;0),(N2818-M2818)/M2818,"")</f>
        <v/>
      </c>
      <c r="Q2818" s="3">
        <f>IF(P2818="","",IF(P2818&lt;-0.02,"🔴 Bán phá giá sàn",IF(P2818&gt;0.05,"🔵 Bán cao hơn","🟢 Đúng giá sàn TMĐT")))</f>
        <v/>
      </c>
      <c r="R2818" s="3" t="n"/>
      <c r="S2818" s="4" t="n"/>
      <c r="T2818" s="4" t="n"/>
    </row>
    <row r="2819">
      <c r="A2819" s="3" t="n">
        <v>2818</v>
      </c>
      <c r="B2819" s="3" t="inlineStr">
        <is>
          <t>DL026</t>
        </is>
      </c>
      <c r="C2819" s="4" t="inlineStr">
        <is>
          <t>Anh Khắc Khang Hà Nội (Bigshop)</t>
        </is>
      </c>
      <c r="D2819" s="3" t="inlineStr">
        <is>
          <t>HN</t>
        </is>
      </c>
      <c r="E2819" s="3" t="inlineStr">
        <is>
          <t>Lan</t>
        </is>
      </c>
      <c r="F2819" s="3" t="inlineStr">
        <is>
          <t>Website bán hàng, Shopee</t>
        </is>
      </c>
      <c r="G2819" s="4" t="inlineStr">
        <is>
          <t>SHOPEE: https://shopee.vn/bigshop2014 TIKTOK: LAZADA: WEBSITE BÁN HÀNG: https://bigshop.vn/</t>
        </is>
      </c>
      <c r="H2819" s="3" t="inlineStr">
        <is>
          <t>M1840</t>
        </is>
      </c>
      <c r="I2819" s="4" t="inlineStr">
        <is>
          <t>Pin M1840</t>
        </is>
      </c>
      <c r="J2819" s="3" t="inlineStr">
        <is>
          <t>Cái</t>
        </is>
      </c>
      <c r="K2819" s="5" t="n">
        <v>825000</v>
      </c>
      <c r="L2819" s="5" t="n">
        <v>924000</v>
      </c>
      <c r="M2819" s="6" t="n">
        <v>1073000</v>
      </c>
      <c r="N2819" s="5" t="n"/>
      <c r="O2819" s="5">
        <f>IF(AND(ISNUMBER(N2819),ISNUMBER(M2819)),N2819-M2819,"")</f>
        <v/>
      </c>
      <c r="P2819" s="7">
        <f>IF(AND(ISNUMBER(N2819),ISNUMBER(M2819),M2819&gt;0),(N2819-M2819)/M2819,"")</f>
        <v/>
      </c>
      <c r="Q2819" s="3">
        <f>IF(P2819="","",IF(P2819&lt;-0.02,"🔴 Bán phá giá sàn",IF(P2819&gt;0.05,"🔵 Bán cao hơn","🟢 Đúng giá sàn TMĐT")))</f>
        <v/>
      </c>
      <c r="R2819" s="3" t="n"/>
      <c r="S2819" s="4" t="n"/>
      <c r="T2819" s="4" t="n"/>
    </row>
    <row r="2820">
      <c r="A2820" s="3" t="n">
        <v>2819</v>
      </c>
      <c r="B2820" s="3" t="inlineStr">
        <is>
          <t>DL026</t>
        </is>
      </c>
      <c r="C2820" s="4" t="inlineStr">
        <is>
          <t>Anh Khắc Khang Hà Nội (Bigshop)</t>
        </is>
      </c>
      <c r="D2820" s="3" t="inlineStr">
        <is>
          <t>HN</t>
        </is>
      </c>
      <c r="E2820" s="3" t="inlineStr">
        <is>
          <t>Lan</t>
        </is>
      </c>
      <c r="F2820" s="3" t="inlineStr">
        <is>
          <t>Website bán hàng, Shopee</t>
        </is>
      </c>
      <c r="G2820" s="4" t="inlineStr">
        <is>
          <t>SHOPEE: https://shopee.vn/bigshop2014 TIKTOK: LAZADA: WEBSITE BÁN HÀNG: https://bigshop.vn/</t>
        </is>
      </c>
      <c r="H2820" s="3" t="inlineStr">
        <is>
          <t>B2A16</t>
        </is>
      </c>
      <c r="I2820" s="4" t="inlineStr">
        <is>
          <t>Sạc pin B2A16</t>
        </is>
      </c>
      <c r="J2820" s="3" t="inlineStr">
        <is>
          <t>Cái</t>
        </is>
      </c>
      <c r="K2820" s="5" t="n">
        <v>220000</v>
      </c>
      <c r="L2820" s="5" t="n">
        <v>246000</v>
      </c>
      <c r="M2820" s="6" t="n">
        <v>286000</v>
      </c>
      <c r="N2820" s="5" t="n"/>
      <c r="O2820" s="5">
        <f>IF(AND(ISNUMBER(N2820),ISNUMBER(M2820)),N2820-M2820,"")</f>
        <v/>
      </c>
      <c r="P2820" s="7">
        <f>IF(AND(ISNUMBER(N2820),ISNUMBER(M2820),M2820&gt;0),(N2820-M2820)/M2820,"")</f>
        <v/>
      </c>
      <c r="Q2820" s="3">
        <f>IF(P2820="","",IF(P2820&lt;-0.02,"🔴 Bán phá giá sàn",IF(P2820&gt;0.05,"🔵 Bán cao hơn","🟢 Đúng giá sàn TMĐT")))</f>
        <v/>
      </c>
      <c r="R2820" s="3" t="n"/>
      <c r="S2820" s="4" t="n"/>
      <c r="T2820" s="4" t="n"/>
    </row>
    <row r="2821">
      <c r="A2821" s="3" t="n">
        <v>2820</v>
      </c>
      <c r="B2821" s="3" t="inlineStr">
        <is>
          <t>DL026</t>
        </is>
      </c>
      <c r="C2821" s="4" t="inlineStr">
        <is>
          <t>Anh Khắc Khang Hà Nội (Bigshop)</t>
        </is>
      </c>
      <c r="D2821" s="3" t="inlineStr">
        <is>
          <t>HN</t>
        </is>
      </c>
      <c r="E2821" s="3" t="inlineStr">
        <is>
          <t>Lan</t>
        </is>
      </c>
      <c r="F2821" s="3" t="inlineStr">
        <is>
          <t>Website bán hàng, Shopee</t>
        </is>
      </c>
      <c r="G2821" s="4" t="inlineStr">
        <is>
          <t>SHOPEE: https://shopee.vn/bigshop2014 TIKTOK: LAZADA: WEBSITE BÁN HÀNG: https://bigshop.vn/</t>
        </is>
      </c>
      <c r="H2821" s="3" t="inlineStr">
        <is>
          <t>M4A18</t>
        </is>
      </c>
      <c r="I2821" s="4" t="inlineStr">
        <is>
          <t>Sạc pin M4A18</t>
        </is>
      </c>
      <c r="J2821" s="3" t="inlineStr">
        <is>
          <t>Cái</t>
        </is>
      </c>
      <c r="K2821" s="5" t="n">
        <v>440000</v>
      </c>
      <c r="L2821" s="5" t="n">
        <v>493000</v>
      </c>
      <c r="M2821" s="6" t="n">
        <v>572000</v>
      </c>
      <c r="N2821" s="5" t="n"/>
      <c r="O2821" s="5">
        <f>IF(AND(ISNUMBER(N2821),ISNUMBER(M2821)),N2821-M2821,"")</f>
        <v/>
      </c>
      <c r="P2821" s="7">
        <f>IF(AND(ISNUMBER(N2821),ISNUMBER(M2821),M2821&gt;0),(N2821-M2821)/M2821,"")</f>
        <v/>
      </c>
      <c r="Q2821" s="3">
        <f>IF(P2821="","",IF(P2821&lt;-0.02,"🔴 Bán phá giá sàn",IF(P2821&gt;0.05,"🔵 Bán cao hơn","🟢 Đúng giá sàn TMĐT")))</f>
        <v/>
      </c>
      <c r="R2821" s="3" t="n"/>
      <c r="S2821" s="4" t="n"/>
      <c r="T2821" s="4" t="n"/>
    </row>
    <row r="2822">
      <c r="A2822" s="3" t="n">
        <v>2821</v>
      </c>
      <c r="B2822" s="3" t="inlineStr">
        <is>
          <t>DL026</t>
        </is>
      </c>
      <c r="C2822" s="4" t="inlineStr">
        <is>
          <t>Anh Khắc Khang Hà Nội (Bigshop)</t>
        </is>
      </c>
      <c r="D2822" s="3" t="inlineStr">
        <is>
          <t>HN</t>
        </is>
      </c>
      <c r="E2822" s="3" t="inlineStr">
        <is>
          <t>Lan</t>
        </is>
      </c>
      <c r="F2822" s="3" t="inlineStr">
        <is>
          <t>Website bán hàng, Shopee</t>
        </is>
      </c>
      <c r="G2822" s="4" t="inlineStr">
        <is>
          <t>SHOPEE: https://shopee.vn/bigshop2014 TIKTOK: LAZADA: WEBSITE BÁN HÀNG: https://bigshop.vn/</t>
        </is>
      </c>
      <c r="H2822" s="3" t="inlineStr">
        <is>
          <t>KAC100</t>
        </is>
      </c>
      <c r="I2822" s="4" t="inlineStr">
        <is>
          <t>Súng bắn keo nến KAC100</t>
        </is>
      </c>
      <c r="J2822" s="3" t="inlineStr">
        <is>
          <t>Cái</t>
        </is>
      </c>
      <c r="K2822" s="5" t="n">
        <v>149000</v>
      </c>
      <c r="L2822" s="5" t="n">
        <v>176000</v>
      </c>
      <c r="M2822" s="6" t="n">
        <v>216000</v>
      </c>
      <c r="N2822" s="5" t="n"/>
      <c r="O2822" s="5">
        <f>IF(AND(ISNUMBER(N2822),ISNUMBER(M2822)),N2822-M2822,"")</f>
        <v/>
      </c>
      <c r="P2822" s="7">
        <f>IF(AND(ISNUMBER(N2822),ISNUMBER(M2822),M2822&gt;0),(N2822-M2822)/M2822,"")</f>
        <v/>
      </c>
      <c r="Q2822" s="3">
        <f>IF(P2822="","",IF(P2822&lt;-0.02,"🔴 Bán phá giá sàn",IF(P2822&gt;0.05,"🔵 Bán cao hơn","🟢 Đúng giá sàn TMĐT")))</f>
        <v/>
      </c>
      <c r="R2822" s="3" t="n"/>
      <c r="S2822" s="4" t="n"/>
      <c r="T2822" s="4" t="n"/>
    </row>
    <row r="2823">
      <c r="A2823" s="3" t="n">
        <v>2822</v>
      </c>
      <c r="B2823" s="3" t="inlineStr">
        <is>
          <t>DL026</t>
        </is>
      </c>
      <c r="C2823" s="4" t="inlineStr">
        <is>
          <t>Anh Khắc Khang Hà Nội (Bigshop)</t>
        </is>
      </c>
      <c r="D2823" s="3" t="inlineStr">
        <is>
          <t>HN</t>
        </is>
      </c>
      <c r="E2823" s="3" t="inlineStr">
        <is>
          <t>Lan</t>
        </is>
      </c>
      <c r="F2823" s="3" t="inlineStr">
        <is>
          <t>Website bán hàng, Shopee</t>
        </is>
      </c>
      <c r="G2823" s="4" t="inlineStr">
        <is>
          <t>SHOPEE: https://shopee.vn/bigshop2014 TIKTOK: LAZADA: WEBSITE BÁN HÀNG: https://bigshop.vn/</t>
        </is>
      </c>
      <c r="H2823" s="3" t="inlineStr">
        <is>
          <t>KHD20</t>
        </is>
      </c>
      <c r="I2823" s="4" t="inlineStr">
        <is>
          <t>Thùng đựng đồ nghề KHD20</t>
        </is>
      </c>
      <c r="J2823" s="3" t="inlineStr">
        <is>
          <t>Cái</t>
        </is>
      </c>
      <c r="K2823" s="5" t="n">
        <v>396000</v>
      </c>
      <c r="L2823" s="5" t="n">
        <v>452000</v>
      </c>
      <c r="M2823" s="6" t="n">
        <v>535000</v>
      </c>
      <c r="N2823" s="5" t="n"/>
      <c r="O2823" s="5">
        <f>IF(AND(ISNUMBER(N2823),ISNUMBER(M2823)),N2823-M2823,"")</f>
        <v/>
      </c>
      <c r="P2823" s="7">
        <f>IF(AND(ISNUMBER(N2823),ISNUMBER(M2823),M2823&gt;0),(N2823-M2823)/M2823,"")</f>
        <v/>
      </c>
      <c r="Q2823" s="3">
        <f>IF(P2823="","",IF(P2823&lt;-0.02,"🔴 Bán phá giá sàn",IF(P2823&gt;0.05,"🔵 Bán cao hơn","🟢 Đúng giá sàn TMĐT")))</f>
        <v/>
      </c>
      <c r="R2823" s="3" t="n"/>
      <c r="S2823" s="4" t="n"/>
      <c r="T2823" s="4" t="n"/>
    </row>
    <row r="2824">
      <c r="A2824" s="3" t="n">
        <v>2823</v>
      </c>
      <c r="B2824" s="3" t="inlineStr">
        <is>
          <t>DL026</t>
        </is>
      </c>
      <c r="C2824" s="4" t="inlineStr">
        <is>
          <t>Anh Khắc Khang Hà Nội (Bigshop)</t>
        </is>
      </c>
      <c r="D2824" s="3" t="inlineStr">
        <is>
          <t>HN</t>
        </is>
      </c>
      <c r="E2824" s="3" t="inlineStr">
        <is>
          <t>Lan</t>
        </is>
      </c>
      <c r="F2824" s="3" t="inlineStr">
        <is>
          <t>Website bán hàng, Shopee</t>
        </is>
      </c>
      <c r="G2824" s="4" t="inlineStr">
        <is>
          <t>SHOPEE: https://shopee.vn/bigshop2014 TIKTOK: LAZADA: WEBSITE BÁN HÀNG: https://bigshop.vn/</t>
        </is>
      </c>
      <c r="H2824" s="3" t="inlineStr">
        <is>
          <t>KHD4212</t>
        </is>
      </c>
      <c r="I2824" s="4" t="inlineStr">
        <is>
          <t>Thùng đựng đồ nghề KHD4212</t>
        </is>
      </c>
      <c r="J2824" s="3" t="inlineStr">
        <is>
          <t>Cái</t>
        </is>
      </c>
      <c r="K2824" s="5" t="n">
        <v>1996</v>
      </c>
      <c r="L2824" s="5" t="n">
        <v>539000</v>
      </c>
      <c r="M2824" s="6" t="n">
        <v>615000</v>
      </c>
      <c r="N2824" s="5" t="n"/>
      <c r="O2824" s="5">
        <f>IF(AND(ISNUMBER(N2824),ISNUMBER(M2824)),N2824-M2824,"")</f>
        <v/>
      </c>
      <c r="P2824" s="7">
        <f>IF(AND(ISNUMBER(N2824),ISNUMBER(M2824),M2824&gt;0),(N2824-M2824)/M2824,"")</f>
        <v/>
      </c>
      <c r="Q2824" s="3">
        <f>IF(P2824="","",IF(P2824&lt;-0.02,"🔴 Bán phá giá sàn",IF(P2824&gt;0.05,"🔵 Bán cao hơn","🟢 Đúng giá sàn TMĐT")))</f>
        <v/>
      </c>
      <c r="R2824" s="3" t="n"/>
      <c r="S2824" s="4" t="n"/>
      <c r="T2824" s="4" t="n"/>
    </row>
    <row r="2825">
      <c r="A2825" s="3" t="n">
        <v>2824</v>
      </c>
      <c r="B2825" s="3" t="inlineStr">
        <is>
          <t>DL026</t>
        </is>
      </c>
      <c r="C2825" s="4" t="inlineStr">
        <is>
          <t>Anh Khắc Khang Hà Nội (Bigshop)</t>
        </is>
      </c>
      <c r="D2825" s="3" t="inlineStr">
        <is>
          <t>HN</t>
        </is>
      </c>
      <c r="E2825" s="3" t="inlineStr">
        <is>
          <t>Lan</t>
        </is>
      </c>
      <c r="F2825" s="3" t="inlineStr">
        <is>
          <t>Website bán hàng, Shopee</t>
        </is>
      </c>
      <c r="G2825" s="4" t="inlineStr">
        <is>
          <t>SHOPEE: https://shopee.vn/bigshop2014 TIKTOK: LAZADA: WEBSITE BÁN HÀNG: https://bigshop.vn/</t>
        </is>
      </c>
      <c r="H2825" s="3" t="inlineStr">
        <is>
          <t>KHD4216</t>
        </is>
      </c>
      <c r="I2825" s="4" t="inlineStr">
        <is>
          <t>Thùng đựng đồ nghề KHD4216</t>
        </is>
      </c>
      <c r="J2825" s="3" t="inlineStr">
        <is>
          <t>Cái</t>
        </is>
      </c>
      <c r="K2825" s="5" t="n">
        <v>2065</v>
      </c>
      <c r="L2825" s="5" t="n">
        <v>484000</v>
      </c>
      <c r="M2825" s="6" t="n">
        <v>552000</v>
      </c>
      <c r="N2825" s="5" t="n"/>
      <c r="O2825" s="5">
        <f>IF(AND(ISNUMBER(N2825),ISNUMBER(M2825)),N2825-M2825,"")</f>
        <v/>
      </c>
      <c r="P2825" s="7">
        <f>IF(AND(ISNUMBER(N2825),ISNUMBER(M2825),M2825&gt;0),(N2825-M2825)/M2825,"")</f>
        <v/>
      </c>
      <c r="Q2825" s="3">
        <f>IF(P2825="","",IF(P2825&lt;-0.02,"🔴 Bán phá giá sàn",IF(P2825&gt;0.05,"🔵 Bán cao hơn","🟢 Đúng giá sàn TMĐT")))</f>
        <v/>
      </c>
      <c r="R2825" s="3" t="n"/>
      <c r="S2825" s="4" t="n"/>
      <c r="T2825" s="4" t="n"/>
    </row>
    <row r="2826">
      <c r="A2826" s="3" t="n">
        <v>2825</v>
      </c>
      <c r="B2826" s="3" t="inlineStr">
        <is>
          <t>DL026</t>
        </is>
      </c>
      <c r="C2826" s="4" t="inlineStr">
        <is>
          <t>Anh Khắc Khang Hà Nội (Bigshop)</t>
        </is>
      </c>
      <c r="D2826" s="3" t="inlineStr">
        <is>
          <t>HN</t>
        </is>
      </c>
      <c r="E2826" s="3" t="inlineStr">
        <is>
          <t>Lan</t>
        </is>
      </c>
      <c r="F2826" s="3" t="inlineStr">
        <is>
          <t>Website bán hàng, Shopee</t>
        </is>
      </c>
      <c r="G2826" s="4" t="inlineStr">
        <is>
          <t>SHOPEE: https://shopee.vn/bigshop2014 TIKTOK: LAZADA: WEBSITE BÁN HÀNG: https://bigshop.vn/</t>
        </is>
      </c>
      <c r="H2826" s="3" t="inlineStr">
        <is>
          <t>KHD4233</t>
        </is>
      </c>
      <c r="I2826" s="4" t="inlineStr">
        <is>
          <t>Thùng đựng đồ nghề KHD4233</t>
        </is>
      </c>
      <c r="J2826" s="3" t="inlineStr">
        <is>
          <t>Cái</t>
        </is>
      </c>
      <c r="K2826" s="5" t="n">
        <v>269000</v>
      </c>
      <c r="L2826" s="5" t="n">
        <v>317000</v>
      </c>
      <c r="M2826" s="6" t="n">
        <v>390000</v>
      </c>
      <c r="N2826" s="5" t="n"/>
      <c r="O2826" s="5">
        <f>IF(AND(ISNUMBER(N2826),ISNUMBER(M2826)),N2826-M2826,"")</f>
        <v/>
      </c>
      <c r="P2826" s="7">
        <f>IF(AND(ISNUMBER(N2826),ISNUMBER(M2826),M2826&gt;0),(N2826-M2826)/M2826,"")</f>
        <v/>
      </c>
      <c r="Q2826" s="3">
        <f>IF(P2826="","",IF(P2826&lt;-0.02,"🔴 Bán phá giá sàn",IF(P2826&gt;0.05,"🔵 Bán cao hơn","🟢 Đúng giá sàn TMĐT")))</f>
        <v/>
      </c>
      <c r="R2826" s="3" t="n"/>
      <c r="S2826" s="4" t="n"/>
      <c r="T2826" s="4" t="n"/>
    </row>
    <row r="2827">
      <c r="A2827" s="3" t="n">
        <v>2826</v>
      </c>
      <c r="B2827" s="3" t="inlineStr">
        <is>
          <t>DL026</t>
        </is>
      </c>
      <c r="C2827" s="4" t="inlineStr">
        <is>
          <t>Anh Khắc Khang Hà Nội (Bigshop)</t>
        </is>
      </c>
      <c r="D2827" s="3" t="inlineStr">
        <is>
          <t>HN</t>
        </is>
      </c>
      <c r="E2827" s="3" t="inlineStr">
        <is>
          <t>Lan</t>
        </is>
      </c>
      <c r="F2827" s="3" t="inlineStr">
        <is>
          <t>Website bán hàng, Shopee</t>
        </is>
      </c>
      <c r="G2827" s="4" t="inlineStr">
        <is>
          <t>SHOPEE: https://shopee.vn/bigshop2014 TIKTOK: LAZADA: WEBSITE BÁN HÀNG: https://bigshop.vn/</t>
        </is>
      </c>
      <c r="H2827" s="3" t="inlineStr"/>
      <c r="I2827" s="4" t="inlineStr">
        <is>
          <t>Túi đựng máy khoan</t>
        </is>
      </c>
      <c r="J2827" s="3" t="inlineStr">
        <is>
          <t>Cái</t>
        </is>
      </c>
      <c r="K2827" s="5" t="n">
        <v>269000</v>
      </c>
      <c r="L2827" s="5" t="n">
        <v>317000</v>
      </c>
      <c r="M2827" s="6" t="n">
        <v>390000</v>
      </c>
      <c r="N2827" s="5" t="n"/>
      <c r="O2827" s="5">
        <f>IF(AND(ISNUMBER(N2827),ISNUMBER(M2827)),N2827-M2827,"")</f>
        <v/>
      </c>
      <c r="P2827" s="7">
        <f>IF(AND(ISNUMBER(N2827),ISNUMBER(M2827),M2827&gt;0),(N2827-M2827)/M2827,"")</f>
        <v/>
      </c>
      <c r="Q2827" s="3">
        <f>IF(P2827="","",IF(P2827&lt;-0.02,"🔴 Bán phá giá sàn",IF(P2827&gt;0.05,"🔵 Bán cao hơn","🟢 Đúng giá sàn TMĐT")))</f>
        <v/>
      </c>
      <c r="R2827" s="3" t="n"/>
      <c r="S2827" s="4" t="n"/>
      <c r="T2827" s="4" t="n"/>
    </row>
    <row r="2828">
      <c r="A2828" s="3" t="n">
        <v>2827</v>
      </c>
      <c r="B2828" s="3" t="inlineStr">
        <is>
          <t>DL027</t>
        </is>
      </c>
      <c r="C2828" s="4" t="inlineStr">
        <is>
          <t>ĐL Bình Định - Khoan Pin 77</t>
        </is>
      </c>
      <c r="D2828" s="3" t="inlineStr">
        <is>
          <t>GIA LAI 
(BÌNH ĐỊNH CŨ)</t>
        </is>
      </c>
      <c r="E2828" s="3" t="inlineStr">
        <is>
          <t>THÙY TRANG</t>
        </is>
      </c>
      <c r="F2828" s="3" t="inlineStr"/>
      <c r="G2828" s="4" t="inlineStr">
        <is>
          <t>SHOPEE: TIKTOK: LAZADA: WEBSITE BÁN HÀNG: YOUTUBE: https://www.youtube.com/channel/UCowiJLhwAySOYT7OCDWOOYA</t>
        </is>
      </c>
      <c r="H2828" s="3" t="inlineStr">
        <is>
          <t>K10000</t>
        </is>
      </c>
      <c r="I2828" s="4" t="inlineStr">
        <is>
          <t>Bộ bơm lốp, kích bình đa năng K10000</t>
        </is>
      </c>
      <c r="J2828" s="3" t="inlineStr">
        <is>
          <t>Cái</t>
        </is>
      </c>
      <c r="K2828" s="5" t="n">
        <v>269000</v>
      </c>
      <c r="L2828" s="5" t="n">
        <v>317000</v>
      </c>
      <c r="M2828" s="6" t="n">
        <v>390000</v>
      </c>
      <c r="N2828" s="5" t="n"/>
      <c r="O2828" s="5">
        <f>IF(AND(ISNUMBER(N2828),ISNUMBER(M2828)),N2828-M2828,"")</f>
        <v/>
      </c>
      <c r="P2828" s="7">
        <f>IF(AND(ISNUMBER(N2828),ISNUMBER(M2828),M2828&gt;0),(N2828-M2828)/M2828,"")</f>
        <v/>
      </c>
      <c r="Q2828" s="3">
        <f>IF(P2828="","",IF(P2828&lt;-0.02,"🔴 Bán phá giá sàn",IF(P2828&gt;0.05,"🔵 Bán cao hơn","🟢 Đúng giá sàn TMĐT")))</f>
        <v/>
      </c>
      <c r="R2828" s="3" t="n"/>
      <c r="S2828" s="4" t="n"/>
      <c r="T2828" s="4" t="n"/>
    </row>
    <row r="2829">
      <c r="A2829" s="3" t="n">
        <v>2828</v>
      </c>
      <c r="B2829" s="3" t="inlineStr">
        <is>
          <t>DL027</t>
        </is>
      </c>
      <c r="C2829" s="4" t="inlineStr">
        <is>
          <t>ĐL Bình Định - Khoan Pin 77</t>
        </is>
      </c>
      <c r="D2829" s="3" t="inlineStr">
        <is>
          <t>GIA LAI 
(BÌNH ĐỊNH CŨ)</t>
        </is>
      </c>
      <c r="E2829" s="3" t="inlineStr">
        <is>
          <t>THÙY TRANG</t>
        </is>
      </c>
      <c r="F2829" s="3" t="inlineStr"/>
      <c r="G2829" s="4" t="inlineStr">
        <is>
          <t>SHOPEE: TIKTOK: LAZADA: WEBSITE BÁN HÀNG: YOUTUBE: https://www.youtube.com/channel/UCowiJLhwAySOYT7OCDWOOYA</t>
        </is>
      </c>
      <c r="H2829" s="3" t="inlineStr">
        <is>
          <t>K12000</t>
        </is>
      </c>
      <c r="I2829" s="4" t="inlineStr">
        <is>
          <t>Bộ bơm lốp, kích bình đa năng K12000</t>
        </is>
      </c>
      <c r="J2829" s="3" t="inlineStr">
        <is>
          <t>Cái</t>
        </is>
      </c>
      <c r="K2829" s="5" t="n">
        <v>269000</v>
      </c>
      <c r="L2829" s="5" t="n">
        <v>317000</v>
      </c>
      <c r="M2829" s="6" t="n">
        <v>390000</v>
      </c>
      <c r="N2829" s="5" t="n"/>
      <c r="O2829" s="5">
        <f>IF(AND(ISNUMBER(N2829),ISNUMBER(M2829)),N2829-M2829,"")</f>
        <v/>
      </c>
      <c r="P2829" s="7">
        <f>IF(AND(ISNUMBER(N2829),ISNUMBER(M2829),M2829&gt;0),(N2829-M2829)/M2829,"")</f>
        <v/>
      </c>
      <c r="Q2829" s="3">
        <f>IF(P2829="","",IF(P2829&lt;-0.02,"🔴 Bán phá giá sàn",IF(P2829&gt;0.05,"🔵 Bán cao hơn","🟢 Đúng giá sàn TMĐT")))</f>
        <v/>
      </c>
      <c r="R2829" s="3" t="n"/>
      <c r="S2829" s="4" t="n"/>
      <c r="T2829" s="4" t="n"/>
    </row>
    <row r="2830">
      <c r="A2830" s="3" t="n">
        <v>2829</v>
      </c>
      <c r="B2830" s="3" t="inlineStr">
        <is>
          <t>DL027</t>
        </is>
      </c>
      <c r="C2830" s="4" t="inlineStr">
        <is>
          <t>ĐL Bình Định - Khoan Pin 77</t>
        </is>
      </c>
      <c r="D2830" s="3" t="inlineStr">
        <is>
          <t>GIA LAI 
(BÌNH ĐỊNH CŨ)</t>
        </is>
      </c>
      <c r="E2830" s="3" t="inlineStr">
        <is>
          <t>THÙY TRANG</t>
        </is>
      </c>
      <c r="F2830" s="3" t="inlineStr"/>
      <c r="G2830" s="4" t="inlineStr">
        <is>
          <t>SHOPEE: TIKTOK: LAZADA: WEBSITE BÁN HÀNG: YOUTUBE: https://www.youtube.com/channel/UCowiJLhwAySOYT7OCDWOOYA</t>
        </is>
      </c>
      <c r="H2830" s="3" t="inlineStr">
        <is>
          <t>KH1-B10</t>
        </is>
      </c>
      <c r="I2830" s="4" t="inlineStr">
        <is>
          <t>Bộ cờ lê KH1-B10</t>
        </is>
      </c>
      <c r="J2830" s="3" t="inlineStr">
        <is>
          <t>Bộ</t>
        </is>
      </c>
      <c r="K2830" s="5" t="n">
        <v>435000</v>
      </c>
      <c r="L2830" s="5" t="n">
        <v>513000</v>
      </c>
      <c r="M2830" s="6" t="n">
        <v>631000</v>
      </c>
      <c r="N2830" s="5" t="n"/>
      <c r="O2830" s="5">
        <f>IF(AND(ISNUMBER(N2830),ISNUMBER(M2830)),N2830-M2830,"")</f>
        <v/>
      </c>
      <c r="P2830" s="7">
        <f>IF(AND(ISNUMBER(N2830),ISNUMBER(M2830),M2830&gt;0),(N2830-M2830)/M2830,"")</f>
        <v/>
      </c>
      <c r="Q2830" s="3">
        <f>IF(P2830="","",IF(P2830&lt;-0.02,"🔴 Bán phá giá sàn",IF(P2830&gt;0.05,"🔵 Bán cao hơn","🟢 Đúng giá sàn TMĐT")))</f>
        <v/>
      </c>
      <c r="R2830" s="3" t="n"/>
      <c r="S2830" s="4" t="n"/>
      <c r="T2830" s="4" t="n"/>
    </row>
    <row r="2831">
      <c r="A2831" s="3" t="n">
        <v>2830</v>
      </c>
      <c r="B2831" s="3" t="inlineStr">
        <is>
          <t>DL027</t>
        </is>
      </c>
      <c r="C2831" s="4" t="inlineStr">
        <is>
          <t>ĐL Bình Định - Khoan Pin 77</t>
        </is>
      </c>
      <c r="D2831" s="3" t="inlineStr">
        <is>
          <t>GIA LAI 
(BÌNH ĐỊNH CŨ)</t>
        </is>
      </c>
      <c r="E2831" s="3" t="inlineStr">
        <is>
          <t>THÙY TRANG</t>
        </is>
      </c>
      <c r="F2831" s="3" t="inlineStr"/>
      <c r="G2831" s="4" t="inlineStr">
        <is>
          <t>SHOPEE: TIKTOK: LAZADA: WEBSITE BÁN HÀNG: YOUTUBE: https://www.youtube.com/channel/UCowiJLhwAySOYT7OCDWOOYA</t>
        </is>
      </c>
      <c r="H2831" s="3" t="inlineStr">
        <is>
          <t>KH2-B9</t>
        </is>
      </c>
      <c r="I2831" s="4" t="inlineStr">
        <is>
          <t>Bộ cờ lê vòng miệng KH2-B9</t>
        </is>
      </c>
      <c r="J2831" s="3" t="inlineStr">
        <is>
          <t>Cái</t>
        </is>
      </c>
      <c r="K2831" s="5" t="n">
        <v>269000</v>
      </c>
      <c r="L2831" s="5" t="n">
        <v>317000</v>
      </c>
      <c r="M2831" s="6" t="n">
        <v>390000</v>
      </c>
      <c r="N2831" s="5" t="n"/>
      <c r="O2831" s="5">
        <f>IF(AND(ISNUMBER(N2831),ISNUMBER(M2831)),N2831-M2831,"")</f>
        <v/>
      </c>
      <c r="P2831" s="7">
        <f>IF(AND(ISNUMBER(N2831),ISNUMBER(M2831),M2831&gt;0),(N2831-M2831)/M2831,"")</f>
        <v/>
      </c>
      <c r="Q2831" s="3">
        <f>IF(P2831="","",IF(P2831&lt;-0.02,"🔴 Bán phá giá sàn",IF(P2831&gt;0.05,"🔵 Bán cao hơn","🟢 Đúng giá sàn TMĐT")))</f>
        <v/>
      </c>
      <c r="R2831" s="3" t="n"/>
      <c r="S2831" s="4" t="n"/>
      <c r="T2831" s="4" t="n"/>
    </row>
    <row r="2832">
      <c r="A2832" s="3" t="n">
        <v>2831</v>
      </c>
      <c r="B2832" s="3" t="inlineStr">
        <is>
          <t>DL027</t>
        </is>
      </c>
      <c r="C2832" s="4" t="inlineStr">
        <is>
          <t>ĐL Bình Định - Khoan Pin 77</t>
        </is>
      </c>
      <c r="D2832" s="3" t="inlineStr">
        <is>
          <t>GIA LAI 
(BÌNH ĐỊNH CŨ)</t>
        </is>
      </c>
      <c r="E2832" s="3" t="inlineStr">
        <is>
          <t>THÙY TRANG</t>
        </is>
      </c>
      <c r="F2832" s="3" t="inlineStr"/>
      <c r="G2832" s="4" t="inlineStr">
        <is>
          <t>SHOPEE: TIKTOK: LAZADA: WEBSITE BÁN HÀNG: YOUTUBE: https://www.youtube.com/channel/UCowiJLhwAySOYT7OCDWOOYA</t>
        </is>
      </c>
      <c r="H2832" s="3" t="inlineStr">
        <is>
          <t>KH3-B7</t>
        </is>
      </c>
      <c r="I2832" s="4" t="inlineStr">
        <is>
          <t>Bộ cờ lê vòng miệng tự động KH3-B7</t>
        </is>
      </c>
      <c r="J2832" s="3" t="inlineStr">
        <is>
          <t>Cái</t>
        </is>
      </c>
      <c r="K2832" s="5" t="n">
        <v>269000</v>
      </c>
      <c r="L2832" s="5" t="n">
        <v>317000</v>
      </c>
      <c r="M2832" s="6" t="n">
        <v>390000</v>
      </c>
      <c r="N2832" s="5" t="n"/>
      <c r="O2832" s="5">
        <f>IF(AND(ISNUMBER(N2832),ISNUMBER(M2832)),N2832-M2832,"")</f>
        <v/>
      </c>
      <c r="P2832" s="7">
        <f>IF(AND(ISNUMBER(N2832),ISNUMBER(M2832),M2832&gt;0),(N2832-M2832)/M2832,"")</f>
        <v/>
      </c>
      <c r="Q2832" s="3">
        <f>IF(P2832="","",IF(P2832&lt;-0.02,"🔴 Bán phá giá sàn",IF(P2832&gt;0.05,"🔵 Bán cao hơn","🟢 Đúng giá sàn TMĐT")))</f>
        <v/>
      </c>
      <c r="R2832" s="3" t="n"/>
      <c r="S2832" s="4" t="n"/>
      <c r="T2832" s="4" t="n"/>
    </row>
    <row r="2833">
      <c r="A2833" s="3" t="n">
        <v>2832</v>
      </c>
      <c r="B2833" s="3" t="inlineStr">
        <is>
          <t>DL027</t>
        </is>
      </c>
      <c r="C2833" s="4" t="inlineStr">
        <is>
          <t>ĐL Bình Định - Khoan Pin 77</t>
        </is>
      </c>
      <c r="D2833" s="3" t="inlineStr">
        <is>
          <t>GIA LAI 
(BÌNH ĐỊNH CŨ)</t>
        </is>
      </c>
      <c r="E2833" s="3" t="inlineStr">
        <is>
          <t>THÙY TRANG</t>
        </is>
      </c>
      <c r="F2833" s="3" t="inlineStr"/>
      <c r="G2833" s="4" t="inlineStr">
        <is>
          <t>SHOPEE: TIKTOK: LAZADA: WEBSITE BÁN HÀNG: YOUTUBE: https://www.youtube.com/channel/UCowiJLhwAySOYT7OCDWOOYA</t>
        </is>
      </c>
      <c r="H2833" s="3" t="inlineStr">
        <is>
          <t>T9100E</t>
        </is>
      </c>
      <c r="I2833" s="4" t="inlineStr">
        <is>
          <t>Bộ đầu hoa thị T9100E</t>
        </is>
      </c>
      <c r="J2833" s="3" t="inlineStr">
        <is>
          <t>Bộ</t>
        </is>
      </c>
      <c r="K2833" s="5" t="n">
        <v>86000</v>
      </c>
      <c r="L2833" s="5" t="n">
        <v>108000</v>
      </c>
      <c r="M2833" s="6" t="n">
        <v>142000</v>
      </c>
      <c r="N2833" s="5" t="n"/>
      <c r="O2833" s="5">
        <f>IF(AND(ISNUMBER(N2833),ISNUMBER(M2833)),N2833-M2833,"")</f>
        <v/>
      </c>
      <c r="P2833" s="7">
        <f>IF(AND(ISNUMBER(N2833),ISNUMBER(M2833),M2833&gt;0),(N2833-M2833)/M2833,"")</f>
        <v/>
      </c>
      <c r="Q2833" s="3">
        <f>IF(P2833="","",IF(P2833&lt;-0.02,"🔴 Bán phá giá sàn",IF(P2833&gt;0.05,"🔵 Bán cao hơn","🟢 Đúng giá sàn TMĐT")))</f>
        <v/>
      </c>
      <c r="R2833" s="3" t="n"/>
      <c r="S2833" s="4" t="n"/>
      <c r="T2833" s="4" t="n"/>
    </row>
    <row r="2834">
      <c r="A2834" s="3" t="n">
        <v>2833</v>
      </c>
      <c r="B2834" s="3" t="inlineStr">
        <is>
          <t>DL027</t>
        </is>
      </c>
      <c r="C2834" s="4" t="inlineStr">
        <is>
          <t>ĐL Bình Định - Khoan Pin 77</t>
        </is>
      </c>
      <c r="D2834" s="3" t="inlineStr">
        <is>
          <t>GIA LAI 
(BÌNH ĐỊNH CŨ)</t>
        </is>
      </c>
      <c r="E2834" s="3" t="inlineStr">
        <is>
          <t>THÙY TRANG</t>
        </is>
      </c>
      <c r="F2834" s="3" t="inlineStr"/>
      <c r="G2834" s="4" t="inlineStr">
        <is>
          <t>SHOPEE: TIKTOK: LAZADA: WEBSITE BÁN HÀNG: YOUTUBE: https://www.youtube.com/channel/UCowiJLhwAySOYT7OCDWOOYA</t>
        </is>
      </c>
      <c r="H2834" s="3" t="inlineStr">
        <is>
          <t>L8100E</t>
        </is>
      </c>
      <c r="I2834" s="4" t="inlineStr">
        <is>
          <t>Bộ đầu lục giác L8100E</t>
        </is>
      </c>
      <c r="J2834" s="3" t="inlineStr">
        <is>
          <t>Bộ</t>
        </is>
      </c>
      <c r="K2834" s="5" t="n">
        <v>86000</v>
      </c>
      <c r="L2834" s="5" t="n">
        <v>108000</v>
      </c>
      <c r="M2834" s="6" t="n">
        <v>142000</v>
      </c>
      <c r="N2834" s="5" t="n"/>
      <c r="O2834" s="5">
        <f>IF(AND(ISNUMBER(N2834),ISNUMBER(M2834)),N2834-M2834,"")</f>
        <v/>
      </c>
      <c r="P2834" s="7">
        <f>IF(AND(ISNUMBER(N2834),ISNUMBER(M2834),M2834&gt;0),(N2834-M2834)/M2834,"")</f>
        <v/>
      </c>
      <c r="Q2834" s="3">
        <f>IF(P2834="","",IF(P2834&lt;-0.02,"🔴 Bán phá giá sàn",IF(P2834&gt;0.05,"🔵 Bán cao hơn","🟢 Đúng giá sàn TMĐT")))</f>
        <v/>
      </c>
      <c r="R2834" s="3" t="n"/>
      <c r="S2834" s="4" t="n"/>
      <c r="T2834" s="4" t="n"/>
    </row>
    <row r="2835">
      <c r="A2835" s="3" t="n">
        <v>2834</v>
      </c>
      <c r="B2835" s="3" t="inlineStr">
        <is>
          <t>DL027</t>
        </is>
      </c>
      <c r="C2835" s="4" t="inlineStr">
        <is>
          <t>ĐL Bình Định - Khoan Pin 77</t>
        </is>
      </c>
      <c r="D2835" s="3" t="inlineStr">
        <is>
          <t>GIA LAI 
(BÌNH ĐỊNH CŨ)</t>
        </is>
      </c>
      <c r="E2835" s="3" t="inlineStr">
        <is>
          <t>THÙY TRANG</t>
        </is>
      </c>
      <c r="F2835" s="3" t="inlineStr"/>
      <c r="G2835" s="4" t="inlineStr">
        <is>
          <t>SHOPEE: TIKTOK: LAZADA: WEBSITE BÁN HÀNG: YOUTUBE: https://www.youtube.com/channel/UCowiJLhwAySOYT7OCDWOOYA</t>
        </is>
      </c>
      <c r="H2835" s="3" t="inlineStr">
        <is>
          <t>KBYT6</t>
        </is>
      </c>
      <c r="I2835" s="4" t="inlineStr">
        <is>
          <t>Bộ lấy ốc gãy KingBlue KBYT6</t>
        </is>
      </c>
      <c r="J2835" s="3" t="inlineStr">
        <is>
          <t>Bộ</t>
        </is>
      </c>
      <c r="K2835" s="5" t="n">
        <v>68000</v>
      </c>
      <c r="L2835" s="5" t="n">
        <v>80000</v>
      </c>
      <c r="M2835" s="6" t="n">
        <v>99000</v>
      </c>
      <c r="N2835" s="5" t="n"/>
      <c r="O2835" s="5">
        <f>IF(AND(ISNUMBER(N2835),ISNUMBER(M2835)),N2835-M2835,"")</f>
        <v/>
      </c>
      <c r="P2835" s="7">
        <f>IF(AND(ISNUMBER(N2835),ISNUMBER(M2835),M2835&gt;0),(N2835-M2835)/M2835,"")</f>
        <v/>
      </c>
      <c r="Q2835" s="3">
        <f>IF(P2835="","",IF(P2835&lt;-0.02,"🔴 Bán phá giá sàn",IF(P2835&gt;0.05,"🔵 Bán cao hơn","🟢 Đúng giá sàn TMĐT")))</f>
        <v/>
      </c>
      <c r="R2835" s="3" t="n"/>
      <c r="S2835" s="4" t="n"/>
      <c r="T2835" s="4" t="n"/>
    </row>
    <row r="2836">
      <c r="A2836" s="3" t="n">
        <v>2835</v>
      </c>
      <c r="B2836" s="3" t="inlineStr">
        <is>
          <t>DL027</t>
        </is>
      </c>
      <c r="C2836" s="4" t="inlineStr">
        <is>
          <t>ĐL Bình Định - Khoan Pin 77</t>
        </is>
      </c>
      <c r="D2836" s="3" t="inlineStr">
        <is>
          <t>GIA LAI 
(BÌNH ĐỊNH CŨ)</t>
        </is>
      </c>
      <c r="E2836" s="3" t="inlineStr">
        <is>
          <t>THÙY TRANG</t>
        </is>
      </c>
      <c r="F2836" s="3" t="inlineStr"/>
      <c r="G2836" s="4" t="inlineStr">
        <is>
          <t>SHOPEE: TIKTOK: LAZADA: WEBSITE BÁN HÀNG: YOUTUBE: https://www.youtube.com/channel/UCowiJLhwAySOYT7OCDWOOYA</t>
        </is>
      </c>
      <c r="H2836" s="3" t="inlineStr">
        <is>
          <t>KL-008</t>
        </is>
      </c>
      <c r="I2836" s="4" t="inlineStr">
        <is>
          <t>Bộ lục giác gập KL-008</t>
        </is>
      </c>
      <c r="J2836" s="3" t="inlineStr">
        <is>
          <t>Cái</t>
        </is>
      </c>
      <c r="K2836" s="5" t="n">
        <v>269000</v>
      </c>
      <c r="L2836" s="5" t="n">
        <v>317000</v>
      </c>
      <c r="M2836" s="6" t="n">
        <v>390000</v>
      </c>
      <c r="N2836" s="5" t="n"/>
      <c r="O2836" s="5">
        <f>IF(AND(ISNUMBER(N2836),ISNUMBER(M2836)),N2836-M2836,"")</f>
        <v/>
      </c>
      <c r="P2836" s="7">
        <f>IF(AND(ISNUMBER(N2836),ISNUMBER(M2836),M2836&gt;0),(N2836-M2836)/M2836,"")</f>
        <v/>
      </c>
      <c r="Q2836" s="3">
        <f>IF(P2836="","",IF(P2836&lt;-0.02,"🔴 Bán phá giá sàn",IF(P2836&gt;0.05,"🔵 Bán cao hơn","🟢 Đúng giá sàn TMĐT")))</f>
        <v/>
      </c>
      <c r="R2836" s="3" t="n"/>
      <c r="S2836" s="4" t="n"/>
      <c r="T2836" s="4" t="n"/>
    </row>
    <row r="2837">
      <c r="A2837" s="3" t="n">
        <v>2836</v>
      </c>
      <c r="B2837" s="3" t="inlineStr">
        <is>
          <t>DL027</t>
        </is>
      </c>
      <c r="C2837" s="4" t="inlineStr">
        <is>
          <t>ĐL Bình Định - Khoan Pin 77</t>
        </is>
      </c>
      <c r="D2837" s="3" t="inlineStr">
        <is>
          <t>GIA LAI 
(BÌNH ĐỊNH CŨ)</t>
        </is>
      </c>
      <c r="E2837" s="3" t="inlineStr">
        <is>
          <t>THÙY TRANG</t>
        </is>
      </c>
      <c r="F2837" s="3" t="inlineStr"/>
      <c r="G2837" s="4" t="inlineStr">
        <is>
          <t>SHOPEE: TIKTOK: LAZADA: WEBSITE BÁN HÀNG: YOUTUBE: https://www.youtube.com/channel/UCowiJLhwAySOYT7OCDWOOYA</t>
        </is>
      </c>
      <c r="H2837" s="3" t="inlineStr">
        <is>
          <t>KL5-09</t>
        </is>
      </c>
      <c r="I2837" s="4" t="inlineStr">
        <is>
          <t>Bộ lục giác KL5-09 ( đầu bi)</t>
        </is>
      </c>
      <c r="J2837" s="3" t="inlineStr">
        <is>
          <t>Cái</t>
        </is>
      </c>
      <c r="K2837" s="5" t="n">
        <v>269000</v>
      </c>
      <c r="L2837" s="5" t="n">
        <v>317000</v>
      </c>
      <c r="M2837" s="6" t="n">
        <v>390000</v>
      </c>
      <c r="N2837" s="5" t="n"/>
      <c r="O2837" s="5">
        <f>IF(AND(ISNUMBER(N2837),ISNUMBER(M2837)),N2837-M2837,"")</f>
        <v/>
      </c>
      <c r="P2837" s="7">
        <f>IF(AND(ISNUMBER(N2837),ISNUMBER(M2837),M2837&gt;0),(N2837-M2837)/M2837,"")</f>
        <v/>
      </c>
      <c r="Q2837" s="3">
        <f>IF(P2837="","",IF(P2837&lt;-0.02,"🔴 Bán phá giá sàn",IF(P2837&gt;0.05,"🔵 Bán cao hơn","🟢 Đúng giá sàn TMĐT")))</f>
        <v/>
      </c>
      <c r="R2837" s="3" t="n"/>
      <c r="S2837" s="4" t="n"/>
      <c r="T2837" s="4" t="n"/>
    </row>
    <row r="2838">
      <c r="A2838" s="3" t="n">
        <v>2837</v>
      </c>
      <c r="B2838" s="3" t="inlineStr">
        <is>
          <t>DL027</t>
        </is>
      </c>
      <c r="C2838" s="4" t="inlineStr">
        <is>
          <t>ĐL Bình Định - Khoan Pin 77</t>
        </is>
      </c>
      <c r="D2838" s="3" t="inlineStr">
        <is>
          <t>GIA LAI 
(BÌNH ĐỊNH CŨ)</t>
        </is>
      </c>
      <c r="E2838" s="3" t="inlineStr">
        <is>
          <t>THÙY TRANG</t>
        </is>
      </c>
      <c r="F2838" s="3" t="inlineStr"/>
      <c r="G2838" s="4" t="inlineStr">
        <is>
          <t>SHOPEE: TIKTOK: LAZADA: WEBSITE BÁN HÀNG: YOUTUBE: https://www.youtube.com/channel/UCowiJLhwAySOYT7OCDWOOYA</t>
        </is>
      </c>
      <c r="H2838" s="3" t="inlineStr">
        <is>
          <t>KL7-09</t>
        </is>
      </c>
      <c r="I2838" s="4" t="inlineStr">
        <is>
          <t>Bộ lục giác KL7-09 ( đầu bi)</t>
        </is>
      </c>
      <c r="J2838" s="3" t="inlineStr">
        <is>
          <t>Cái</t>
        </is>
      </c>
      <c r="K2838" s="5" t="n">
        <v>269000</v>
      </c>
      <c r="L2838" s="5" t="n">
        <v>317000</v>
      </c>
      <c r="M2838" s="6" t="n">
        <v>390000</v>
      </c>
      <c r="N2838" s="5" t="n"/>
      <c r="O2838" s="5">
        <f>IF(AND(ISNUMBER(N2838),ISNUMBER(M2838)),N2838-M2838,"")</f>
        <v/>
      </c>
      <c r="P2838" s="7">
        <f>IF(AND(ISNUMBER(N2838),ISNUMBER(M2838),M2838&gt;0),(N2838-M2838)/M2838,"")</f>
        <v/>
      </c>
      <c r="Q2838" s="3">
        <f>IF(P2838="","",IF(P2838&lt;-0.02,"🔴 Bán phá giá sàn",IF(P2838&gt;0.05,"🔵 Bán cao hơn","🟢 Đúng giá sàn TMĐT")))</f>
        <v/>
      </c>
      <c r="R2838" s="3" t="n"/>
      <c r="S2838" s="4" t="n"/>
      <c r="T2838" s="4" t="n"/>
    </row>
    <row r="2839">
      <c r="A2839" s="3" t="n">
        <v>2838</v>
      </c>
      <c r="B2839" s="3" t="inlineStr">
        <is>
          <t>DL027</t>
        </is>
      </c>
      <c r="C2839" s="4" t="inlineStr">
        <is>
          <t>ĐL Bình Định - Khoan Pin 77</t>
        </is>
      </c>
      <c r="D2839" s="3" t="inlineStr">
        <is>
          <t>GIA LAI 
(BÌNH ĐỊNH CŨ)</t>
        </is>
      </c>
      <c r="E2839" s="3" t="inlineStr">
        <is>
          <t>THÙY TRANG</t>
        </is>
      </c>
      <c r="F2839" s="3" t="inlineStr"/>
      <c r="G2839" s="4" t="inlineStr">
        <is>
          <t>SHOPEE: TIKTOK: LAZADA: WEBSITE BÁN HÀNG: YOUTUBE: https://www.youtube.com/channel/UCowiJLhwAySOYT7OCDWOOYA</t>
        </is>
      </c>
      <c r="H2839" s="3" t="inlineStr">
        <is>
          <t>KL9-09</t>
        </is>
      </c>
      <c r="I2839" s="4" t="inlineStr">
        <is>
          <t>Bộ lục giác KL9-09 (đầu hoa thị)</t>
        </is>
      </c>
      <c r="J2839" s="3" t="inlineStr">
        <is>
          <t>Cái</t>
        </is>
      </c>
      <c r="K2839" s="5" t="n">
        <v>269000</v>
      </c>
      <c r="L2839" s="5" t="n">
        <v>317000</v>
      </c>
      <c r="M2839" s="6" t="n">
        <v>390000</v>
      </c>
      <c r="N2839" s="5" t="n"/>
      <c r="O2839" s="5">
        <f>IF(AND(ISNUMBER(N2839),ISNUMBER(M2839)),N2839-M2839,"")</f>
        <v/>
      </c>
      <c r="P2839" s="7">
        <f>IF(AND(ISNUMBER(N2839),ISNUMBER(M2839),M2839&gt;0),(N2839-M2839)/M2839,"")</f>
        <v/>
      </c>
      <c r="Q2839" s="3">
        <f>IF(P2839="","",IF(P2839&lt;-0.02,"🔴 Bán phá giá sàn",IF(P2839&gt;0.05,"🔵 Bán cao hơn","🟢 Đúng giá sàn TMĐT")))</f>
        <v/>
      </c>
      <c r="R2839" s="3" t="n"/>
      <c r="S2839" s="4" t="n"/>
      <c r="T2839" s="4" t="n"/>
    </row>
    <row r="2840">
      <c r="A2840" s="3" t="n">
        <v>2839</v>
      </c>
      <c r="B2840" s="3" t="inlineStr">
        <is>
          <t>DL027</t>
        </is>
      </c>
      <c r="C2840" s="4" t="inlineStr">
        <is>
          <t>ĐL Bình Định - Khoan Pin 77</t>
        </is>
      </c>
      <c r="D2840" s="3" t="inlineStr">
        <is>
          <t>GIA LAI 
(BÌNH ĐỊNH CŨ)</t>
        </is>
      </c>
      <c r="E2840" s="3" t="inlineStr">
        <is>
          <t>THÙY TRANG</t>
        </is>
      </c>
      <c r="F2840" s="3" t="inlineStr"/>
      <c r="G2840" s="4" t="inlineStr">
        <is>
          <t>SHOPEE: TIKTOK: LAZADA: WEBSITE BÁN HÀNG: YOUTUBE: https://www.youtube.com/channel/UCowiJLhwAySOYT7OCDWOOYA</t>
        </is>
      </c>
      <c r="H2840" s="3" t="inlineStr">
        <is>
          <t>KB16VB2</t>
        </is>
      </c>
      <c r="I2840" s="4" t="inlineStr">
        <is>
          <t>Bộ Máy Bắn Vít 16V KB16VB2</t>
        </is>
      </c>
      <c r="J2840" s="3" t="inlineStr">
        <is>
          <t>Bộ</t>
        </is>
      </c>
      <c r="K2840" s="5" t="n">
        <v>1870000</v>
      </c>
      <c r="L2840" s="5" t="n">
        <v>2060000</v>
      </c>
      <c r="M2840" s="6" t="n">
        <v>2340000</v>
      </c>
      <c r="N2840" s="5" t="n"/>
      <c r="O2840" s="5">
        <f>IF(AND(ISNUMBER(N2840),ISNUMBER(M2840)),N2840-M2840,"")</f>
        <v/>
      </c>
      <c r="P2840" s="7">
        <f>IF(AND(ISNUMBER(N2840),ISNUMBER(M2840),M2840&gt;0),(N2840-M2840)/M2840,"")</f>
        <v/>
      </c>
      <c r="Q2840" s="3">
        <f>IF(P2840="","",IF(P2840&lt;-0.02,"🔴 Bán phá giá sàn",IF(P2840&gt;0.05,"🔵 Bán cao hơn","🟢 Đúng giá sàn TMĐT")))</f>
        <v/>
      </c>
      <c r="R2840" s="3" t="n"/>
      <c r="S2840" s="4" t="n"/>
      <c r="T2840" s="4" t="n"/>
    </row>
    <row r="2841">
      <c r="A2841" s="3" t="n">
        <v>2840</v>
      </c>
      <c r="B2841" s="3" t="inlineStr">
        <is>
          <t>DL027</t>
        </is>
      </c>
      <c r="C2841" s="4" t="inlineStr">
        <is>
          <t>ĐL Bình Định - Khoan Pin 77</t>
        </is>
      </c>
      <c r="D2841" s="3" t="inlineStr">
        <is>
          <t>GIA LAI 
(BÌNH ĐỊNH CŨ)</t>
        </is>
      </c>
      <c r="E2841" s="3" t="inlineStr">
        <is>
          <t>THÙY TRANG</t>
        </is>
      </c>
      <c r="F2841" s="3" t="inlineStr"/>
      <c r="G2841" s="4" t="inlineStr">
        <is>
          <t>SHOPEE: TIKTOK: LAZADA: WEBSITE BÁN HÀNG: YOUTUBE: https://www.youtube.com/channel/UCowiJLhwAySOYT7OCDWOOYA</t>
        </is>
      </c>
      <c r="H2841" s="3" t="inlineStr">
        <is>
          <t>KB16VA2</t>
        </is>
      </c>
      <c r="I2841" s="4" t="inlineStr">
        <is>
          <t>Bộ Máy Vặn Vít Cấp Trượt 16V KB16VA2</t>
        </is>
      </c>
      <c r="J2841" s="3" t="inlineStr">
        <is>
          <t>Bộ</t>
        </is>
      </c>
      <c r="K2841" s="5" t="n">
        <v>1690000</v>
      </c>
      <c r="L2841" s="5" t="n">
        <v>1860000</v>
      </c>
      <c r="M2841" s="6" t="n">
        <v>2120000</v>
      </c>
      <c r="N2841" s="5" t="n"/>
      <c r="O2841" s="5">
        <f>IF(AND(ISNUMBER(N2841),ISNUMBER(M2841)),N2841-M2841,"")</f>
        <v/>
      </c>
      <c r="P2841" s="7">
        <f>IF(AND(ISNUMBER(N2841),ISNUMBER(M2841),M2841&gt;0),(N2841-M2841)/M2841,"")</f>
        <v/>
      </c>
      <c r="Q2841" s="3">
        <f>IF(P2841="","",IF(P2841&lt;-0.02,"🔴 Bán phá giá sàn",IF(P2841&gt;0.05,"🔵 Bán cao hơn","🟢 Đúng giá sàn TMĐT")))</f>
        <v/>
      </c>
      <c r="R2841" s="3" t="n"/>
      <c r="S2841" s="4" t="n"/>
      <c r="T2841" s="4" t="n"/>
    </row>
    <row r="2842">
      <c r="A2842" s="3" t="n">
        <v>2841</v>
      </c>
      <c r="B2842" s="3" t="inlineStr">
        <is>
          <t>DL027</t>
        </is>
      </c>
      <c r="C2842" s="4" t="inlineStr">
        <is>
          <t>ĐL Bình Định - Khoan Pin 77</t>
        </is>
      </c>
      <c r="D2842" s="3" t="inlineStr">
        <is>
          <t>GIA LAI 
(BÌNH ĐỊNH CŨ)</t>
        </is>
      </c>
      <c r="E2842" s="3" t="inlineStr">
        <is>
          <t>THÙY TRANG</t>
        </is>
      </c>
      <c r="F2842" s="3" t="inlineStr"/>
      <c r="G2842" s="4" t="inlineStr">
        <is>
          <t>SHOPEE: TIKTOK: LAZADA: WEBSITE BÁN HÀNG: YOUTUBE: https://www.youtube.com/channel/UCowiJLhwAySOYT7OCDWOOYA</t>
        </is>
      </c>
      <c r="H2842" s="3" t="inlineStr">
        <is>
          <t>KBY2-B10</t>
        </is>
      </c>
      <c r="I2842" s="4" t="inlineStr">
        <is>
          <t>Bộ mũi khoan inox Kingblue KBY2-B10</t>
        </is>
      </c>
      <c r="J2842" s="3" t="inlineStr">
        <is>
          <t>Bộ</t>
        </is>
      </c>
      <c r="K2842" s="5" t="n">
        <v>329000</v>
      </c>
      <c r="L2842" s="5" t="n">
        <v>408000</v>
      </c>
      <c r="M2842" s="6" t="n">
        <v>526000</v>
      </c>
      <c r="N2842" s="5" t="n"/>
      <c r="O2842" s="5">
        <f>IF(AND(ISNUMBER(N2842),ISNUMBER(M2842)),N2842-M2842,"")</f>
        <v/>
      </c>
      <c r="P2842" s="7">
        <f>IF(AND(ISNUMBER(N2842),ISNUMBER(M2842),M2842&gt;0),(N2842-M2842)/M2842,"")</f>
        <v/>
      </c>
      <c r="Q2842" s="3">
        <f>IF(P2842="","",IF(P2842&lt;-0.02,"🔴 Bán phá giá sàn",IF(P2842&gt;0.05,"🔵 Bán cao hơn","🟢 Đúng giá sàn TMĐT")))</f>
        <v/>
      </c>
      <c r="R2842" s="3" t="n"/>
      <c r="S2842" s="4" t="n"/>
      <c r="T2842" s="4" t="n"/>
    </row>
    <row r="2843">
      <c r="A2843" s="3" t="n">
        <v>2842</v>
      </c>
      <c r="B2843" s="3" t="inlineStr">
        <is>
          <t>DL027</t>
        </is>
      </c>
      <c r="C2843" s="4" t="inlineStr">
        <is>
          <t>ĐL Bình Định - Khoan Pin 77</t>
        </is>
      </c>
      <c r="D2843" s="3" t="inlineStr">
        <is>
          <t>GIA LAI 
(BÌNH ĐỊNH CŨ)</t>
        </is>
      </c>
      <c r="E2843" s="3" t="inlineStr">
        <is>
          <t>THÙY TRANG</t>
        </is>
      </c>
      <c r="F2843" s="3" t="inlineStr"/>
      <c r="G2843" s="4" t="inlineStr">
        <is>
          <t>SHOPEE: TIKTOK: LAZADA: WEBSITE BÁN HÀNG: YOUTUBE: https://www.youtube.com/channel/UCowiJLhwAySOYT7OCDWOOYA</t>
        </is>
      </c>
      <c r="H2843" s="3" t="inlineStr">
        <is>
          <t>KHF015</t>
        </is>
      </c>
      <c r="I2843" s="4" t="inlineStr">
        <is>
          <t>Bộ mũi khoan King Blue KHF015</t>
        </is>
      </c>
      <c r="J2843" s="3" t="inlineStr">
        <is>
          <t>Cái</t>
        </is>
      </c>
      <c r="K2843" s="5" t="n">
        <v>269000</v>
      </c>
      <c r="L2843" s="5" t="n">
        <v>317000</v>
      </c>
      <c r="M2843" s="6" t="n">
        <v>390000</v>
      </c>
      <c r="N2843" s="5" t="n"/>
      <c r="O2843" s="5">
        <f>IF(AND(ISNUMBER(N2843),ISNUMBER(M2843)),N2843-M2843,"")</f>
        <v/>
      </c>
      <c r="P2843" s="7">
        <f>IF(AND(ISNUMBER(N2843),ISNUMBER(M2843),M2843&gt;0),(N2843-M2843)/M2843,"")</f>
        <v/>
      </c>
      <c r="Q2843" s="3">
        <f>IF(P2843="","",IF(P2843&lt;-0.02,"🔴 Bán phá giá sàn",IF(P2843&gt;0.05,"🔵 Bán cao hơn","🟢 Đúng giá sàn TMĐT")))</f>
        <v/>
      </c>
      <c r="R2843" s="3" t="n"/>
      <c r="S2843" s="4" t="n"/>
      <c r="T2843" s="4" t="n"/>
    </row>
    <row r="2844">
      <c r="A2844" s="3" t="n">
        <v>2843</v>
      </c>
      <c r="B2844" s="3" t="inlineStr">
        <is>
          <t>DL027</t>
        </is>
      </c>
      <c r="C2844" s="4" t="inlineStr">
        <is>
          <t>ĐL Bình Định - Khoan Pin 77</t>
        </is>
      </c>
      <c r="D2844" s="3" t="inlineStr">
        <is>
          <t>GIA LAI 
(BÌNH ĐỊNH CŨ)</t>
        </is>
      </c>
      <c r="E2844" s="3" t="inlineStr">
        <is>
          <t>THÙY TRANG</t>
        </is>
      </c>
      <c r="F2844" s="3" t="inlineStr"/>
      <c r="G2844" s="4" t="inlineStr">
        <is>
          <t>SHOPEE: TIKTOK: LAZADA: WEBSITE BÁN HÀNG: YOUTUBE: https://www.youtube.com/channel/UCowiJLhwAySOYT7OCDWOOYA</t>
        </is>
      </c>
      <c r="H2844" s="3" t="inlineStr">
        <is>
          <t>KLJ015</t>
        </is>
      </c>
      <c r="I2844" s="4" t="inlineStr">
        <is>
          <t>Bộ mũi khoan King Blue KLJ015</t>
        </is>
      </c>
      <c r="J2844" s="3" t="inlineStr">
        <is>
          <t>Cái</t>
        </is>
      </c>
      <c r="K2844" s="5" t="n">
        <v>269000</v>
      </c>
      <c r="L2844" s="5" t="n">
        <v>317000</v>
      </c>
      <c r="M2844" s="6" t="n">
        <v>390000</v>
      </c>
      <c r="N2844" s="5" t="n"/>
      <c r="O2844" s="5">
        <f>IF(AND(ISNUMBER(N2844),ISNUMBER(M2844)),N2844-M2844,"")</f>
        <v/>
      </c>
      <c r="P2844" s="7">
        <f>IF(AND(ISNUMBER(N2844),ISNUMBER(M2844),M2844&gt;0),(N2844-M2844)/M2844,"")</f>
        <v/>
      </c>
      <c r="Q2844" s="3">
        <f>IF(P2844="","",IF(P2844&lt;-0.02,"🔴 Bán phá giá sàn",IF(P2844&gt;0.05,"🔵 Bán cao hơn","🟢 Đúng giá sàn TMĐT")))</f>
        <v/>
      </c>
      <c r="R2844" s="3" t="n"/>
      <c r="S2844" s="4" t="n"/>
      <c r="T2844" s="4" t="n"/>
    </row>
    <row r="2845">
      <c r="A2845" s="3" t="n">
        <v>2844</v>
      </c>
      <c r="B2845" s="3" t="inlineStr">
        <is>
          <t>DL027</t>
        </is>
      </c>
      <c r="C2845" s="4" t="inlineStr">
        <is>
          <t>ĐL Bình Định - Khoan Pin 77</t>
        </is>
      </c>
      <c r="D2845" s="3" t="inlineStr">
        <is>
          <t>GIA LAI 
(BÌNH ĐỊNH CŨ)</t>
        </is>
      </c>
      <c r="E2845" s="3" t="inlineStr">
        <is>
          <t>THÙY TRANG</t>
        </is>
      </c>
      <c r="F2845" s="3" t="inlineStr"/>
      <c r="G2845" s="4" t="inlineStr">
        <is>
          <t>SHOPEE: TIKTOK: LAZADA: WEBSITE BÁN HÀNG: YOUTUBE: https://www.youtube.com/channel/UCowiJLhwAySOYT7OCDWOOYA</t>
        </is>
      </c>
      <c r="H2845" s="3" t="inlineStr">
        <is>
          <t>KBY1-B10</t>
        </is>
      </c>
      <c r="I2845" s="4" t="inlineStr">
        <is>
          <t>Bộ mũi khoan thép Kingblue KBY1-B10</t>
        </is>
      </c>
      <c r="J2845" s="3" t="inlineStr">
        <is>
          <t>Bộ</t>
        </is>
      </c>
      <c r="K2845" s="5" t="n">
        <v>244000</v>
      </c>
      <c r="L2845" s="5" t="n">
        <v>302000</v>
      </c>
      <c r="M2845" s="6" t="n">
        <v>390000</v>
      </c>
      <c r="N2845" s="5" t="n"/>
      <c r="O2845" s="5">
        <f>IF(AND(ISNUMBER(N2845),ISNUMBER(M2845)),N2845-M2845,"")</f>
        <v/>
      </c>
      <c r="P2845" s="7">
        <f>IF(AND(ISNUMBER(N2845),ISNUMBER(M2845),M2845&gt;0),(N2845-M2845)/M2845,"")</f>
        <v/>
      </c>
      <c r="Q2845" s="3">
        <f>IF(P2845="","",IF(P2845&lt;-0.02,"🔴 Bán phá giá sàn",IF(P2845&gt;0.05,"🔵 Bán cao hơn","🟢 Đúng giá sàn TMĐT")))</f>
        <v/>
      </c>
      <c r="R2845" s="3" t="n"/>
      <c r="S2845" s="4" t="n"/>
      <c r="T2845" s="4" t="n"/>
    </row>
    <row r="2846">
      <c r="A2846" s="3" t="n">
        <v>2845</v>
      </c>
      <c r="B2846" s="3" t="inlineStr">
        <is>
          <t>DL027</t>
        </is>
      </c>
      <c r="C2846" s="4" t="inlineStr">
        <is>
          <t>ĐL Bình Định - Khoan Pin 77</t>
        </is>
      </c>
      <c r="D2846" s="3" t="inlineStr">
        <is>
          <t>GIA LAI 
(BÌNH ĐỊNH CŨ)</t>
        </is>
      </c>
      <c r="E2846" s="3" t="inlineStr">
        <is>
          <t>THÙY TRANG</t>
        </is>
      </c>
      <c r="F2846" s="3" t="inlineStr"/>
      <c r="G2846" s="4" t="inlineStr">
        <is>
          <t>SHOPEE: TIKTOK: LAZADA: WEBSITE BÁN HÀNG: YOUTUBE: https://www.youtube.com/channel/UCowiJLhwAySOYT7OCDWOOYA</t>
        </is>
      </c>
      <c r="H2846" s="3" t="inlineStr"/>
      <c r="I2846" s="4" t="inlineStr">
        <is>
          <t>Bộ nhông hộp số máy khoan 130Nm</t>
        </is>
      </c>
      <c r="J2846" s="3" t="inlineStr">
        <is>
          <t>Cái</t>
        </is>
      </c>
      <c r="K2846" s="5" t="n">
        <v>269000</v>
      </c>
      <c r="L2846" s="5" t="n">
        <v>317000</v>
      </c>
      <c r="M2846" s="6" t="n">
        <v>390000</v>
      </c>
      <c r="N2846" s="5" t="n"/>
      <c r="O2846" s="5">
        <f>IF(AND(ISNUMBER(N2846),ISNUMBER(M2846)),N2846-M2846,"")</f>
        <v/>
      </c>
      <c r="P2846" s="7">
        <f>IF(AND(ISNUMBER(N2846),ISNUMBER(M2846),M2846&gt;0),(N2846-M2846)/M2846,"")</f>
        <v/>
      </c>
      <c r="Q2846" s="3">
        <f>IF(P2846="","",IF(P2846&lt;-0.02,"🔴 Bán phá giá sàn",IF(P2846&gt;0.05,"🔵 Bán cao hơn","🟢 Đúng giá sàn TMĐT")))</f>
        <v/>
      </c>
      <c r="R2846" s="3" t="n"/>
      <c r="S2846" s="4" t="n"/>
      <c r="T2846" s="4" t="n"/>
    </row>
    <row r="2847">
      <c r="A2847" s="3" t="n">
        <v>2846</v>
      </c>
      <c r="B2847" s="3" t="inlineStr">
        <is>
          <t>DL027</t>
        </is>
      </c>
      <c r="C2847" s="4" t="inlineStr">
        <is>
          <t>ĐL Bình Định - Khoan Pin 77</t>
        </is>
      </c>
      <c r="D2847" s="3" t="inlineStr">
        <is>
          <t>GIA LAI 
(BÌNH ĐỊNH CŨ)</t>
        </is>
      </c>
      <c r="E2847" s="3" t="inlineStr">
        <is>
          <t>THÙY TRANG</t>
        </is>
      </c>
      <c r="F2847" s="3" t="inlineStr"/>
      <c r="G2847" s="4" t="inlineStr">
        <is>
          <t>SHOPEE: TIKTOK: LAZADA: WEBSITE BÁN HÀNG: YOUTUBE: https://www.youtube.com/channel/UCowiJLhwAySOYT7OCDWOOYA</t>
        </is>
      </c>
      <c r="H2847" s="3" t="inlineStr">
        <is>
          <t>KV7-036</t>
        </is>
      </c>
      <c r="I2847" s="4" t="inlineStr">
        <is>
          <t>Bộ tuốc nơ vít đa năng KV7-036</t>
        </is>
      </c>
      <c r="J2847" s="3" t="inlineStr">
        <is>
          <t>Cái</t>
        </is>
      </c>
      <c r="K2847" s="5" t="n">
        <v>176000</v>
      </c>
      <c r="L2847" s="5" t="n">
        <v>208000</v>
      </c>
      <c r="M2847" s="6" t="n">
        <v>255000</v>
      </c>
      <c r="N2847" s="5" t="n"/>
      <c r="O2847" s="5">
        <f>IF(AND(ISNUMBER(N2847),ISNUMBER(M2847)),N2847-M2847,"")</f>
        <v/>
      </c>
      <c r="P2847" s="7">
        <f>IF(AND(ISNUMBER(N2847),ISNUMBER(M2847),M2847&gt;0),(N2847-M2847)/M2847,"")</f>
        <v/>
      </c>
      <c r="Q2847" s="3">
        <f>IF(P2847="","",IF(P2847&lt;-0.02,"🔴 Bán phá giá sàn",IF(P2847&gt;0.05,"🔵 Bán cao hơn","🟢 Đúng giá sàn TMĐT")))</f>
        <v/>
      </c>
      <c r="R2847" s="3" t="n"/>
      <c r="S2847" s="4" t="n"/>
      <c r="T2847" s="4" t="n"/>
    </row>
    <row r="2848">
      <c r="A2848" s="3" t="n">
        <v>2847</v>
      </c>
      <c r="B2848" s="3" t="inlineStr">
        <is>
          <t>DL027</t>
        </is>
      </c>
      <c r="C2848" s="4" t="inlineStr">
        <is>
          <t>ĐL Bình Định - Khoan Pin 77</t>
        </is>
      </c>
      <c r="D2848" s="3" t="inlineStr">
        <is>
          <t>GIA LAI 
(BÌNH ĐỊNH CŨ)</t>
        </is>
      </c>
      <c r="E2848" s="3" t="inlineStr">
        <is>
          <t>THÙY TRANG</t>
        </is>
      </c>
      <c r="F2848" s="3" t="inlineStr"/>
      <c r="G2848" s="4" t="inlineStr">
        <is>
          <t>SHOPEE: TIKTOK: LAZADA: WEBSITE BÁN HÀNG: YOUTUBE: https://www.youtube.com/channel/UCowiJLhwAySOYT7OCDWOOYA</t>
        </is>
      </c>
      <c r="H2848" s="3" t="inlineStr">
        <is>
          <t>KV9</t>
        </is>
      </c>
      <c r="I2848" s="4" t="inlineStr">
        <is>
          <t>Bộ tuốc nơ vít điện tử KV9 - 11AT</t>
        </is>
      </c>
      <c r="J2848" s="3" t="inlineStr">
        <is>
          <t>Cái</t>
        </is>
      </c>
      <c r="K2848" s="5" t="n">
        <v>269000</v>
      </c>
      <c r="L2848" s="5" t="n">
        <v>317000</v>
      </c>
      <c r="M2848" s="6" t="n">
        <v>390000</v>
      </c>
      <c r="N2848" s="5" t="n"/>
      <c r="O2848" s="5">
        <f>IF(AND(ISNUMBER(N2848),ISNUMBER(M2848)),N2848-M2848,"")</f>
        <v/>
      </c>
      <c r="P2848" s="7">
        <f>IF(AND(ISNUMBER(N2848),ISNUMBER(M2848),M2848&gt;0),(N2848-M2848)/M2848,"")</f>
        <v/>
      </c>
      <c r="Q2848" s="3">
        <f>IF(P2848="","",IF(P2848&lt;-0.02,"🔴 Bán phá giá sàn",IF(P2848&gt;0.05,"🔵 Bán cao hơn","🟢 Đúng giá sàn TMĐT")))</f>
        <v/>
      </c>
      <c r="R2848" s="3" t="n"/>
      <c r="S2848" s="4" t="n"/>
      <c r="T2848" s="4" t="n"/>
    </row>
    <row r="2849">
      <c r="A2849" s="3" t="n">
        <v>2848</v>
      </c>
      <c r="B2849" s="3" t="inlineStr">
        <is>
          <t>DL027</t>
        </is>
      </c>
      <c r="C2849" s="4" t="inlineStr">
        <is>
          <t>ĐL Bình Định - Khoan Pin 77</t>
        </is>
      </c>
      <c r="D2849" s="3" t="inlineStr">
        <is>
          <t>GIA LAI 
(BÌNH ĐỊNH CŨ)</t>
        </is>
      </c>
      <c r="E2849" s="3" t="inlineStr">
        <is>
          <t>THÙY TRANG</t>
        </is>
      </c>
      <c r="F2849" s="3" t="inlineStr"/>
      <c r="G2849" s="4" t="inlineStr">
        <is>
          <t>SHOPEE: TIKTOK: LAZADA: WEBSITE BÁN HÀNG: YOUTUBE: https://www.youtube.com/channel/UCowiJLhwAySOYT7OCDWOOYA</t>
        </is>
      </c>
      <c r="H2849" s="3" t="inlineStr">
        <is>
          <t>KV10-13</t>
        </is>
      </c>
      <c r="I2849" s="4" t="inlineStr">
        <is>
          <t>Bộ tuvit đóng KV10-13</t>
        </is>
      </c>
      <c r="J2849" s="3" t="inlineStr">
        <is>
          <t>Cái</t>
        </is>
      </c>
      <c r="K2849" s="5" t="n">
        <v>269000</v>
      </c>
      <c r="L2849" s="5" t="n">
        <v>317000</v>
      </c>
      <c r="M2849" s="6" t="n">
        <v>390000</v>
      </c>
      <c r="N2849" s="5" t="n"/>
      <c r="O2849" s="5">
        <f>IF(AND(ISNUMBER(N2849),ISNUMBER(M2849)),N2849-M2849,"")</f>
        <v/>
      </c>
      <c r="P2849" s="7">
        <f>IF(AND(ISNUMBER(N2849),ISNUMBER(M2849),M2849&gt;0),(N2849-M2849)/M2849,"")</f>
        <v/>
      </c>
      <c r="Q2849" s="3">
        <f>IF(P2849="","",IF(P2849&lt;-0.02,"🔴 Bán phá giá sàn",IF(P2849&gt;0.05,"🔵 Bán cao hơn","🟢 Đúng giá sàn TMĐT")))</f>
        <v/>
      </c>
      <c r="R2849" s="3" t="n"/>
      <c r="S2849" s="4" t="n"/>
      <c r="T2849" s="4" t="n"/>
    </row>
    <row r="2850">
      <c r="A2850" s="3" t="n">
        <v>2849</v>
      </c>
      <c r="B2850" s="3" t="inlineStr">
        <is>
          <t>DL027</t>
        </is>
      </c>
      <c r="C2850" s="4" t="inlineStr">
        <is>
          <t>ĐL Bình Định - Khoan Pin 77</t>
        </is>
      </c>
      <c r="D2850" s="3" t="inlineStr">
        <is>
          <t>GIA LAI 
(BÌNH ĐỊNH CŨ)</t>
        </is>
      </c>
      <c r="E2850" s="3" t="inlineStr">
        <is>
          <t>THÙY TRANG</t>
        </is>
      </c>
      <c r="F2850" s="3" t="inlineStr"/>
      <c r="G2850" s="4" t="inlineStr">
        <is>
          <t>SHOPEE: TIKTOK: LAZADA: WEBSITE BÁN HÀNG: YOUTUBE: https://www.youtube.com/channel/UCowiJLhwAySOYT7OCDWOOYA</t>
        </is>
      </c>
      <c r="H2850" s="3" t="inlineStr">
        <is>
          <t>KLG12</t>
        </is>
      </c>
      <c r="I2850" s="4" t="inlineStr">
        <is>
          <t>Bộ tuýp cần tự động 12 chi tiết KLG12</t>
        </is>
      </c>
      <c r="J2850" s="3" t="inlineStr">
        <is>
          <t>Bộ</t>
        </is>
      </c>
      <c r="K2850" s="5" t="n">
        <v>424000</v>
      </c>
      <c r="L2850" s="5" t="n">
        <v>500000</v>
      </c>
      <c r="M2850" s="6" t="n">
        <v>615000</v>
      </c>
      <c r="N2850" s="5" t="n"/>
      <c r="O2850" s="5">
        <f>IF(AND(ISNUMBER(N2850),ISNUMBER(M2850)),N2850-M2850,"")</f>
        <v/>
      </c>
      <c r="P2850" s="7">
        <f>IF(AND(ISNUMBER(N2850),ISNUMBER(M2850),M2850&gt;0),(N2850-M2850)/M2850,"")</f>
        <v/>
      </c>
      <c r="Q2850" s="3">
        <f>IF(P2850="","",IF(P2850&lt;-0.02,"🔴 Bán phá giá sàn",IF(P2850&gt;0.05,"🔵 Bán cao hơn","🟢 Đúng giá sàn TMĐT")))</f>
        <v/>
      </c>
      <c r="R2850" s="3" t="n"/>
      <c r="S2850" s="4" t="n"/>
      <c r="T2850" s="4" t="n"/>
    </row>
    <row r="2851">
      <c r="A2851" s="3" t="n">
        <v>2850</v>
      </c>
      <c r="B2851" s="3" t="inlineStr">
        <is>
          <t>DL027</t>
        </is>
      </c>
      <c r="C2851" s="4" t="inlineStr">
        <is>
          <t>ĐL Bình Định - Khoan Pin 77</t>
        </is>
      </c>
      <c r="D2851" s="3" t="inlineStr">
        <is>
          <t>GIA LAI 
(BÌNH ĐỊNH CŨ)</t>
        </is>
      </c>
      <c r="E2851" s="3" t="inlineStr">
        <is>
          <t>THÙY TRANG</t>
        </is>
      </c>
      <c r="F2851" s="3" t="inlineStr"/>
      <c r="G2851" s="4" t="inlineStr">
        <is>
          <t>SHOPEE: TIKTOK: LAZADA: WEBSITE BÁN HÀNG: YOUTUBE: https://www.youtube.com/channel/UCowiJLhwAySOYT7OCDWOOYA</t>
        </is>
      </c>
      <c r="H2851" s="3" t="inlineStr">
        <is>
          <t>K18PLS</t>
        </is>
      </c>
      <c r="I2851" s="4" t="inlineStr">
        <is>
          <t>Cánh quạt K18PLS</t>
        </is>
      </c>
      <c r="J2851" s="3" t="inlineStr">
        <is>
          <t>Cái</t>
        </is>
      </c>
      <c r="K2851" s="5" t="n">
        <v>990000</v>
      </c>
      <c r="L2851" s="5" t="n">
        <v>1090000</v>
      </c>
      <c r="M2851" s="6" t="n">
        <v>1240000</v>
      </c>
      <c r="N2851" s="5" t="n"/>
      <c r="O2851" s="5">
        <f>IF(AND(ISNUMBER(N2851),ISNUMBER(M2851)),N2851-M2851,"")</f>
        <v/>
      </c>
      <c r="P2851" s="7">
        <f>IF(AND(ISNUMBER(N2851),ISNUMBER(M2851),M2851&gt;0),(N2851-M2851)/M2851,"")</f>
        <v/>
      </c>
      <c r="Q2851" s="3">
        <f>IF(P2851="","",IF(P2851&lt;-0.02,"🔴 Bán phá giá sàn",IF(P2851&gt;0.05,"🔵 Bán cao hơn","🟢 Đúng giá sàn TMĐT")))</f>
        <v/>
      </c>
      <c r="R2851" s="3" t="n"/>
      <c r="S2851" s="4" t="n"/>
      <c r="T2851" s="4" t="n"/>
    </row>
    <row r="2852">
      <c r="A2852" s="3" t="n">
        <v>2851</v>
      </c>
      <c r="B2852" s="3" t="inlineStr">
        <is>
          <t>DL027</t>
        </is>
      </c>
      <c r="C2852" s="4" t="inlineStr">
        <is>
          <t>ĐL Bình Định - Khoan Pin 77</t>
        </is>
      </c>
      <c r="D2852" s="3" t="inlineStr">
        <is>
          <t>GIA LAI 
(BÌNH ĐỊNH CŨ)</t>
        </is>
      </c>
      <c r="E2852" s="3" t="inlineStr">
        <is>
          <t>THÙY TRANG</t>
        </is>
      </c>
      <c r="F2852" s="3" t="inlineStr"/>
      <c r="G2852" s="4" t="inlineStr">
        <is>
          <t>SHOPEE: TIKTOK: LAZADA: WEBSITE BÁN HÀNG: YOUTUBE: https://www.youtube.com/channel/UCowiJLhwAySOYT7OCDWOOYA</t>
        </is>
      </c>
      <c r="H2852" s="3" t="inlineStr">
        <is>
          <t>KLG-01</t>
        </is>
      </c>
      <c r="I2852" s="4" t="inlineStr">
        <is>
          <t>Cần siết tự động 1/2 (72 răng) KLG-01</t>
        </is>
      </c>
      <c r="J2852" s="3" t="inlineStr">
        <is>
          <t>Cái</t>
        </is>
      </c>
      <c r="K2852" s="5" t="n">
        <v>160000</v>
      </c>
      <c r="L2852" s="5" t="n">
        <v>189000</v>
      </c>
      <c r="M2852" s="6" t="n">
        <v>232000</v>
      </c>
      <c r="N2852" s="5" t="n"/>
      <c r="O2852" s="5">
        <f>IF(AND(ISNUMBER(N2852),ISNUMBER(M2852)),N2852-M2852,"")</f>
        <v/>
      </c>
      <c r="P2852" s="7">
        <f>IF(AND(ISNUMBER(N2852),ISNUMBER(M2852),M2852&gt;0),(N2852-M2852)/M2852,"")</f>
        <v/>
      </c>
      <c r="Q2852" s="3">
        <f>IF(P2852="","",IF(P2852&lt;-0.02,"🔴 Bán phá giá sàn",IF(P2852&gt;0.05,"🔵 Bán cao hơn","🟢 Đúng giá sàn TMĐT")))</f>
        <v/>
      </c>
      <c r="R2852" s="3" t="n"/>
      <c r="S2852" s="4" t="n"/>
      <c r="T2852" s="4" t="n"/>
    </row>
    <row r="2853">
      <c r="A2853" s="3" t="n">
        <v>2852</v>
      </c>
      <c r="B2853" s="3" t="inlineStr">
        <is>
          <t>DL027</t>
        </is>
      </c>
      <c r="C2853" s="4" t="inlineStr">
        <is>
          <t>ĐL Bình Định - Khoan Pin 77</t>
        </is>
      </c>
      <c r="D2853" s="3" t="inlineStr">
        <is>
          <t>GIA LAI 
(BÌNH ĐỊNH CŨ)</t>
        </is>
      </c>
      <c r="E2853" s="3" t="inlineStr">
        <is>
          <t>THÙY TRANG</t>
        </is>
      </c>
      <c r="F2853" s="3" t="inlineStr"/>
      <c r="G2853" s="4" t="inlineStr">
        <is>
          <t>SHOPEE: TIKTOK: LAZADA: WEBSITE BÁN HÀNG: YOUTUBE: https://www.youtube.com/channel/UCowiJLhwAySOYT7OCDWOOYA</t>
        </is>
      </c>
      <c r="H2853" s="3" t="inlineStr">
        <is>
          <t>KGX-08</t>
        </is>
      </c>
      <c r="I2853" s="4" t="inlineStr">
        <is>
          <t>Cần siết tự động đa năng 8 in 1 KGX-08</t>
        </is>
      </c>
      <c r="J2853" s="3" t="inlineStr">
        <is>
          <t>Cái</t>
        </is>
      </c>
      <c r="K2853" s="5" t="n">
        <v>319000</v>
      </c>
      <c r="L2853" s="5" t="n">
        <v>377000</v>
      </c>
      <c r="M2853" s="6" t="n">
        <v>463000</v>
      </c>
      <c r="N2853" s="5" t="n"/>
      <c r="O2853" s="5">
        <f>IF(AND(ISNUMBER(N2853),ISNUMBER(M2853)),N2853-M2853,"")</f>
        <v/>
      </c>
      <c r="P2853" s="7">
        <f>IF(AND(ISNUMBER(N2853),ISNUMBER(M2853),M2853&gt;0),(N2853-M2853)/M2853,"")</f>
        <v/>
      </c>
      <c r="Q2853" s="3">
        <f>IF(P2853="","",IF(P2853&lt;-0.02,"🔴 Bán phá giá sàn",IF(P2853&gt;0.05,"🔵 Bán cao hơn","🟢 Đúng giá sàn TMĐT")))</f>
        <v/>
      </c>
      <c r="R2853" s="3" t="n"/>
      <c r="S2853" s="4" t="n"/>
      <c r="T2853" s="4" t="n"/>
    </row>
    <row r="2854">
      <c r="A2854" s="3" t="n">
        <v>2853</v>
      </c>
      <c r="B2854" s="3" t="inlineStr">
        <is>
          <t>DL027</t>
        </is>
      </c>
      <c r="C2854" s="4" t="inlineStr">
        <is>
          <t>ĐL Bình Định - Khoan Pin 77</t>
        </is>
      </c>
      <c r="D2854" s="3" t="inlineStr">
        <is>
          <t>GIA LAI 
(BÌNH ĐỊNH CŨ)</t>
        </is>
      </c>
      <c r="E2854" s="3" t="inlineStr">
        <is>
          <t>THÙY TRANG</t>
        </is>
      </c>
      <c r="F2854" s="3" t="inlineStr"/>
      <c r="G2854" s="4" t="inlineStr">
        <is>
          <t>SHOPEE: TIKTOK: LAZADA: WEBSITE BÁN HÀNG: YOUTUBE: https://www.youtube.com/channel/UCowiJLhwAySOYT7OCDWOOYA</t>
        </is>
      </c>
      <c r="H2854" s="3" t="inlineStr">
        <is>
          <t>KB-05X</t>
        </is>
      </c>
      <c r="I2854" s="4" t="inlineStr">
        <is>
          <t>Chân máy laser KB-05X</t>
        </is>
      </c>
      <c r="J2854" s="3" t="inlineStr">
        <is>
          <t>Cái</t>
        </is>
      </c>
      <c r="K2854" s="5" t="n">
        <v>1350000</v>
      </c>
      <c r="L2854" s="5" t="n">
        <v>1510000</v>
      </c>
      <c r="M2854" s="6" t="n">
        <v>1760000</v>
      </c>
      <c r="N2854" s="5" t="n"/>
      <c r="O2854" s="5">
        <f>IF(AND(ISNUMBER(N2854),ISNUMBER(M2854)),N2854-M2854,"")</f>
        <v/>
      </c>
      <c r="P2854" s="7">
        <f>IF(AND(ISNUMBER(N2854),ISNUMBER(M2854),M2854&gt;0),(N2854-M2854)/M2854,"")</f>
        <v/>
      </c>
      <c r="Q2854" s="3">
        <f>IF(P2854="","",IF(P2854&lt;-0.02,"🔴 Bán phá giá sàn",IF(P2854&gt;0.05,"🔵 Bán cao hơn","🟢 Đúng giá sàn TMĐT")))</f>
        <v/>
      </c>
      <c r="R2854" s="3" t="n"/>
      <c r="S2854" s="4" t="n"/>
      <c r="T2854" s="4" t="n"/>
    </row>
    <row r="2855">
      <c r="A2855" s="3" t="n">
        <v>2854</v>
      </c>
      <c r="B2855" s="3" t="inlineStr">
        <is>
          <t>DL027</t>
        </is>
      </c>
      <c r="C2855" s="4" t="inlineStr">
        <is>
          <t>ĐL Bình Định - Khoan Pin 77</t>
        </is>
      </c>
      <c r="D2855" s="3" t="inlineStr">
        <is>
          <t>GIA LAI 
(BÌNH ĐỊNH CŨ)</t>
        </is>
      </c>
      <c r="E2855" s="3" t="inlineStr">
        <is>
          <t>THÙY TRANG</t>
        </is>
      </c>
      <c r="F2855" s="3" t="inlineStr"/>
      <c r="G2855" s="4" t="inlineStr">
        <is>
          <t>SHOPEE: TIKTOK: LAZADA: WEBSITE BÁN HÀNG: YOUTUBE: https://www.youtube.com/channel/UCowiJLhwAySOYT7OCDWOOYA</t>
        </is>
      </c>
      <c r="H2855" s="3" t="inlineStr">
        <is>
          <t>SDST-M22</t>
        </is>
      </c>
      <c r="I2855" s="4" t="inlineStr">
        <is>
          <t>Chuôi khoan rút lõi gài SDST-M22</t>
        </is>
      </c>
      <c r="J2855" s="3" t="inlineStr">
        <is>
          <t>Cái</t>
        </is>
      </c>
      <c r="K2855" s="5" t="n">
        <v>24000</v>
      </c>
      <c r="L2855" s="5" t="n">
        <v>30000</v>
      </c>
      <c r="M2855" s="6" t="n">
        <v>38000</v>
      </c>
      <c r="N2855" s="5" t="n"/>
      <c r="O2855" s="5">
        <f>IF(AND(ISNUMBER(N2855),ISNUMBER(M2855)),N2855-M2855,"")</f>
        <v/>
      </c>
      <c r="P2855" s="7">
        <f>IF(AND(ISNUMBER(N2855),ISNUMBER(M2855),M2855&gt;0),(N2855-M2855)/M2855,"")</f>
        <v/>
      </c>
      <c r="Q2855" s="3">
        <f>IF(P2855="","",IF(P2855&lt;-0.02,"🔴 Bán phá giá sàn",IF(P2855&gt;0.05,"🔵 Bán cao hơn","🟢 Đúng giá sàn TMĐT")))</f>
        <v/>
      </c>
      <c r="R2855" s="3" t="n"/>
      <c r="S2855" s="4" t="n"/>
      <c r="T2855" s="4" t="n"/>
    </row>
    <row r="2856">
      <c r="A2856" s="3" t="n">
        <v>2855</v>
      </c>
      <c r="B2856" s="3" t="inlineStr">
        <is>
          <t>DL027</t>
        </is>
      </c>
      <c r="C2856" s="4" t="inlineStr">
        <is>
          <t>ĐL Bình Định - Khoan Pin 77</t>
        </is>
      </c>
      <c r="D2856" s="3" t="inlineStr">
        <is>
          <t>GIA LAI 
(BÌNH ĐỊNH CŨ)</t>
        </is>
      </c>
      <c r="E2856" s="3" t="inlineStr">
        <is>
          <t>THÙY TRANG</t>
        </is>
      </c>
      <c r="F2856" s="3" t="inlineStr"/>
      <c r="G2856" s="4" t="inlineStr">
        <is>
          <t>SHOPEE: TIKTOK: LAZADA: WEBSITE BÁN HÀNG: YOUTUBE: https://www.youtube.com/channel/UCowiJLhwAySOYT7OCDWOOYA</t>
        </is>
      </c>
      <c r="H2856" s="3" t="inlineStr">
        <is>
          <t>KB-ST18</t>
        </is>
      </c>
      <c r="I2856" s="4" t="inlineStr">
        <is>
          <t>Công cụ đóng đinh bán tự động KB-ST18</t>
        </is>
      </c>
      <c r="J2856" s="3" t="inlineStr">
        <is>
          <t>Cái</t>
        </is>
      </c>
      <c r="K2856" s="5" t="n">
        <v>242000</v>
      </c>
      <c r="L2856" s="5" t="n">
        <v>286000</v>
      </c>
      <c r="M2856" s="6" t="n">
        <v>351000</v>
      </c>
      <c r="N2856" s="5" t="n"/>
      <c r="O2856" s="5">
        <f>IF(AND(ISNUMBER(N2856),ISNUMBER(M2856)),N2856-M2856,"")</f>
        <v/>
      </c>
      <c r="P2856" s="7">
        <f>IF(AND(ISNUMBER(N2856),ISNUMBER(M2856),M2856&gt;0),(N2856-M2856)/M2856,"")</f>
        <v/>
      </c>
      <c r="Q2856" s="3">
        <f>IF(P2856="","",IF(P2856&lt;-0.02,"🔴 Bán phá giá sàn",IF(P2856&gt;0.05,"🔵 Bán cao hơn","🟢 Đúng giá sàn TMĐT")))</f>
        <v/>
      </c>
      <c r="R2856" s="3" t="n"/>
      <c r="S2856" s="4" t="n"/>
      <c r="T2856" s="4" t="n"/>
    </row>
    <row r="2857">
      <c r="A2857" s="3" t="n">
        <v>2856</v>
      </c>
      <c r="B2857" s="3" t="inlineStr">
        <is>
          <t>DL027</t>
        </is>
      </c>
      <c r="C2857" s="4" t="inlineStr">
        <is>
          <t>ĐL Bình Định - Khoan Pin 77</t>
        </is>
      </c>
      <c r="D2857" s="3" t="inlineStr">
        <is>
          <t>GIA LAI 
(BÌNH ĐỊNH CŨ)</t>
        </is>
      </c>
      <c r="E2857" s="3" t="inlineStr">
        <is>
          <t>THÙY TRANG</t>
        </is>
      </c>
      <c r="F2857" s="3" t="inlineStr"/>
      <c r="G2857" s="4" t="inlineStr">
        <is>
          <t>SHOPEE: TIKTOK: LAZADA: WEBSITE BÁN HÀNG: YOUTUBE: https://www.youtube.com/channel/UCowiJLhwAySOYT7OCDWOOYA</t>
        </is>
      </c>
      <c r="H2857" s="3" t="inlineStr">
        <is>
          <t>ES180i</t>
        </is>
      </c>
      <c r="I2857" s="4" t="inlineStr">
        <is>
          <t>Cưa gấp KingBlue ES180i</t>
        </is>
      </c>
      <c r="J2857" s="3" t="inlineStr">
        <is>
          <t>Cái</t>
        </is>
      </c>
      <c r="K2857" s="5" t="n">
        <v>139000</v>
      </c>
      <c r="L2857" s="5" t="n">
        <v>164000</v>
      </c>
      <c r="M2857" s="6" t="n">
        <v>202000</v>
      </c>
      <c r="N2857" s="5" t="n"/>
      <c r="O2857" s="5">
        <f>IF(AND(ISNUMBER(N2857),ISNUMBER(M2857)),N2857-M2857,"")</f>
        <v/>
      </c>
      <c r="P2857" s="7">
        <f>IF(AND(ISNUMBER(N2857),ISNUMBER(M2857),M2857&gt;0),(N2857-M2857)/M2857,"")</f>
        <v/>
      </c>
      <c r="Q2857" s="3">
        <f>IF(P2857="","",IF(P2857&lt;-0.02,"🔴 Bán phá giá sàn",IF(P2857&gt;0.05,"🔵 Bán cao hơn","🟢 Đúng giá sàn TMĐT")))</f>
        <v/>
      </c>
      <c r="R2857" s="3" t="n"/>
      <c r="S2857" s="4" t="n"/>
      <c r="T2857" s="4" t="n"/>
    </row>
    <row r="2858">
      <c r="A2858" s="3" t="n">
        <v>2857</v>
      </c>
      <c r="B2858" s="3" t="inlineStr">
        <is>
          <t>DL027</t>
        </is>
      </c>
      <c r="C2858" s="4" t="inlineStr">
        <is>
          <t>ĐL Bình Định - Khoan Pin 77</t>
        </is>
      </c>
      <c r="D2858" s="3" t="inlineStr">
        <is>
          <t>GIA LAI 
(BÌNH ĐỊNH CŨ)</t>
        </is>
      </c>
      <c r="E2858" s="3" t="inlineStr">
        <is>
          <t>THÙY TRANG</t>
        </is>
      </c>
      <c r="F2858" s="3" t="inlineStr"/>
      <c r="G2858" s="4" t="inlineStr">
        <is>
          <t>SHOPEE: TIKTOK: LAZADA: WEBSITE BÁN HÀNG: YOUTUBE: https://www.youtube.com/channel/UCowiJLhwAySOYT7OCDWOOYA</t>
        </is>
      </c>
      <c r="H2858" s="3" t="inlineStr">
        <is>
          <t>ES250</t>
        </is>
      </c>
      <c r="I2858" s="4" t="inlineStr">
        <is>
          <t>Cưa gấp KingBlue ES250</t>
        </is>
      </c>
      <c r="J2858" s="3" t="inlineStr">
        <is>
          <t>Cái</t>
        </is>
      </c>
      <c r="K2858" s="5" t="n">
        <v>185000</v>
      </c>
      <c r="L2858" s="5" t="n">
        <v>218000</v>
      </c>
      <c r="M2858" s="6" t="n">
        <v>268000</v>
      </c>
      <c r="N2858" s="5" t="n"/>
      <c r="O2858" s="5">
        <f>IF(AND(ISNUMBER(N2858),ISNUMBER(M2858)),N2858-M2858,"")</f>
        <v/>
      </c>
      <c r="P2858" s="7">
        <f>IF(AND(ISNUMBER(N2858),ISNUMBER(M2858),M2858&gt;0),(N2858-M2858)/M2858,"")</f>
        <v/>
      </c>
      <c r="Q2858" s="3">
        <f>IF(P2858="","",IF(P2858&lt;-0.02,"🔴 Bán phá giá sàn",IF(P2858&gt;0.05,"🔵 Bán cao hơn","🟢 Đúng giá sàn TMĐT")))</f>
        <v/>
      </c>
      <c r="R2858" s="3" t="n"/>
      <c r="S2858" s="4" t="n"/>
      <c r="T2858" s="4" t="n"/>
    </row>
    <row r="2859">
      <c r="A2859" s="3" t="n">
        <v>2858</v>
      </c>
      <c r="B2859" s="3" t="inlineStr">
        <is>
          <t>DL027</t>
        </is>
      </c>
      <c r="C2859" s="4" t="inlineStr">
        <is>
          <t>ĐL Bình Định - Khoan Pin 77</t>
        </is>
      </c>
      <c r="D2859" s="3" t="inlineStr">
        <is>
          <t>GIA LAI 
(BÌNH ĐỊNH CŨ)</t>
        </is>
      </c>
      <c r="E2859" s="3" t="inlineStr">
        <is>
          <t>THÙY TRANG</t>
        </is>
      </c>
      <c r="F2859" s="3" t="inlineStr"/>
      <c r="G2859" s="4" t="inlineStr">
        <is>
          <t>SHOPEE: TIKTOK: LAZADA: WEBSITE BÁN HÀNG: YOUTUBE: https://www.youtube.com/channel/UCowiJLhwAySOYT7OCDWOOYA</t>
        </is>
      </c>
      <c r="H2859" s="3" t="inlineStr">
        <is>
          <t>KB-E350</t>
        </is>
      </c>
      <c r="I2859" s="4" t="inlineStr">
        <is>
          <t>Cưa KingBlue KB-E350</t>
        </is>
      </c>
      <c r="J2859" s="3" t="inlineStr">
        <is>
          <t>Cái</t>
        </is>
      </c>
      <c r="K2859" s="5" t="n">
        <v>242000</v>
      </c>
      <c r="L2859" s="5" t="n">
        <v>286000</v>
      </c>
      <c r="M2859" s="6" t="n">
        <v>351000</v>
      </c>
      <c r="N2859" s="5" t="n"/>
      <c r="O2859" s="5">
        <f>IF(AND(ISNUMBER(N2859),ISNUMBER(M2859)),N2859-M2859,"")</f>
        <v/>
      </c>
      <c r="P2859" s="7">
        <f>IF(AND(ISNUMBER(N2859),ISNUMBER(M2859),M2859&gt;0),(N2859-M2859)/M2859,"")</f>
        <v/>
      </c>
      <c r="Q2859" s="3">
        <f>IF(P2859="","",IF(P2859&lt;-0.02,"🔴 Bán phá giá sàn",IF(P2859&gt;0.05,"🔵 Bán cao hơn","🟢 Đúng giá sàn TMĐT")))</f>
        <v/>
      </c>
      <c r="R2859" s="3" t="n"/>
      <c r="S2859" s="4" t="n"/>
      <c r="T2859" s="4" t="n"/>
    </row>
    <row r="2860">
      <c r="A2860" s="3" t="n">
        <v>2859</v>
      </c>
      <c r="B2860" s="3" t="inlineStr">
        <is>
          <t>DL027</t>
        </is>
      </c>
      <c r="C2860" s="4" t="inlineStr">
        <is>
          <t>ĐL Bình Định - Khoan Pin 77</t>
        </is>
      </c>
      <c r="D2860" s="3" t="inlineStr">
        <is>
          <t>GIA LAI 
(BÌNH ĐỊNH CŨ)</t>
        </is>
      </c>
      <c r="E2860" s="3" t="inlineStr">
        <is>
          <t>THÙY TRANG</t>
        </is>
      </c>
      <c r="F2860" s="3" t="inlineStr"/>
      <c r="G2860" s="4" t="inlineStr">
        <is>
          <t>SHOPEE: TIKTOK: LAZADA: WEBSITE BÁN HÀNG: YOUTUBE: https://www.youtube.com/channel/UCowiJLhwAySOYT7OCDWOOYA</t>
        </is>
      </c>
      <c r="H2860" s="3" t="inlineStr">
        <is>
          <t>KB-S330</t>
        </is>
      </c>
      <c r="I2860" s="4" t="inlineStr">
        <is>
          <t>Cưa KingBlue KB-S330</t>
        </is>
      </c>
      <c r="J2860" s="3" t="inlineStr">
        <is>
          <t>Cái</t>
        </is>
      </c>
      <c r="K2860" s="5" t="n">
        <v>263000</v>
      </c>
      <c r="L2860" s="5" t="n">
        <v>310000</v>
      </c>
      <c r="M2860" s="6" t="n">
        <v>381000</v>
      </c>
      <c r="N2860" s="5" t="n"/>
      <c r="O2860" s="5">
        <f>IF(AND(ISNUMBER(N2860),ISNUMBER(M2860)),N2860-M2860,"")</f>
        <v/>
      </c>
      <c r="P2860" s="7">
        <f>IF(AND(ISNUMBER(N2860),ISNUMBER(M2860),M2860&gt;0),(N2860-M2860)/M2860,"")</f>
        <v/>
      </c>
      <c r="Q2860" s="3">
        <f>IF(P2860="","",IF(P2860&lt;-0.02,"🔴 Bán phá giá sàn",IF(P2860&gt;0.05,"🔵 Bán cao hơn","🟢 Đúng giá sàn TMĐT")))</f>
        <v/>
      </c>
      <c r="R2860" s="3" t="n"/>
      <c r="S2860" s="4" t="n"/>
      <c r="T2860" s="4" t="n"/>
    </row>
    <row r="2861">
      <c r="A2861" s="3" t="n">
        <v>2860</v>
      </c>
      <c r="B2861" s="3" t="inlineStr">
        <is>
          <t>DL027</t>
        </is>
      </c>
      <c r="C2861" s="4" t="inlineStr">
        <is>
          <t>ĐL Bình Định - Khoan Pin 77</t>
        </is>
      </c>
      <c r="D2861" s="3" t="inlineStr">
        <is>
          <t>GIA LAI 
(BÌNH ĐỊNH CŨ)</t>
        </is>
      </c>
      <c r="E2861" s="3" t="inlineStr">
        <is>
          <t>THÙY TRANG</t>
        </is>
      </c>
      <c r="F2861" s="3" t="inlineStr"/>
      <c r="G2861" s="4" t="inlineStr">
        <is>
          <t>SHOPEE: TIKTOK: LAZADA: WEBSITE BÁN HÀNG: YOUTUBE: https://www.youtube.com/channel/UCowiJLhwAySOYT7OCDWOOYA</t>
        </is>
      </c>
      <c r="H2861" s="3" t="inlineStr">
        <is>
          <t>D1-107x1.2</t>
        </is>
      </c>
      <c r="I2861" s="4" t="inlineStr">
        <is>
          <t>Đá cắt sắt, inox KingBlue D1-107x1.2 xanh (Hộp sắt)</t>
        </is>
      </c>
      <c r="J2861" s="3" t="inlineStr">
        <is>
          <t>Cái</t>
        </is>
      </c>
      <c r="K2861" s="5" t="n">
        <v>4000</v>
      </c>
      <c r="L2861" s="5" t="n">
        <v>5000</v>
      </c>
      <c r="M2861" s="6" t="n">
        <v>6500</v>
      </c>
      <c r="N2861" s="5" t="n"/>
      <c r="O2861" s="5">
        <f>IF(AND(ISNUMBER(N2861),ISNUMBER(M2861)),N2861-M2861,"")</f>
        <v/>
      </c>
      <c r="P2861" s="7">
        <f>IF(AND(ISNUMBER(N2861),ISNUMBER(M2861),M2861&gt;0),(N2861-M2861)/M2861,"")</f>
        <v/>
      </c>
      <c r="Q2861" s="3">
        <f>IF(P2861="","",IF(P2861&lt;-0.02,"🔴 Bán phá giá sàn",IF(P2861&gt;0.05,"🔵 Bán cao hơn","🟢 Đúng giá sàn TMĐT")))</f>
        <v/>
      </c>
      <c r="R2861" s="3" t="n"/>
      <c r="S2861" s="4" t="n"/>
      <c r="T2861" s="4" t="n"/>
    </row>
    <row r="2862">
      <c r="A2862" s="3" t="n">
        <v>2861</v>
      </c>
      <c r="B2862" s="3" t="inlineStr">
        <is>
          <t>DL027</t>
        </is>
      </c>
      <c r="C2862" s="4" t="inlineStr">
        <is>
          <t>ĐL Bình Định - Khoan Pin 77</t>
        </is>
      </c>
      <c r="D2862" s="3" t="inlineStr">
        <is>
          <t>GIA LAI 
(BÌNH ĐỊNH CŨ)</t>
        </is>
      </c>
      <c r="E2862" s="3" t="inlineStr">
        <is>
          <t>THÙY TRANG</t>
        </is>
      </c>
      <c r="F2862" s="3" t="inlineStr"/>
      <c r="G2862" s="4" t="inlineStr">
        <is>
          <t>SHOPEE: TIKTOK: LAZADA: WEBSITE BÁN HÀNG: YOUTUBE: https://www.youtube.com/channel/UCowiJLhwAySOYT7OCDWOOYA</t>
        </is>
      </c>
      <c r="H2862" s="3" t="inlineStr">
        <is>
          <t>D1-125x1.6</t>
        </is>
      </c>
      <c r="I2862" s="4" t="inlineStr">
        <is>
          <t>Đá cắt sắt, inox Kingblue D1-125x1.6 xanh</t>
        </is>
      </c>
      <c r="J2862" s="3" t="inlineStr">
        <is>
          <t>Cái</t>
        </is>
      </c>
      <c r="K2862" s="5" t="n">
        <v>8300</v>
      </c>
      <c r="L2862" s="5" t="n">
        <v>10400</v>
      </c>
      <c r="M2862" s="6" t="n">
        <v>13500</v>
      </c>
      <c r="N2862" s="5" t="n"/>
      <c r="O2862" s="5">
        <f>IF(AND(ISNUMBER(N2862),ISNUMBER(M2862)),N2862-M2862,"")</f>
        <v/>
      </c>
      <c r="P2862" s="7">
        <f>IF(AND(ISNUMBER(N2862),ISNUMBER(M2862),M2862&gt;0),(N2862-M2862)/M2862,"")</f>
        <v/>
      </c>
      <c r="Q2862" s="3">
        <f>IF(P2862="","",IF(P2862&lt;-0.02,"🔴 Bán phá giá sàn",IF(P2862&gt;0.05,"🔵 Bán cao hơn","🟢 Đúng giá sàn TMĐT")))</f>
        <v/>
      </c>
      <c r="R2862" s="3" t="n"/>
      <c r="S2862" s="4" t="n"/>
      <c r="T2862" s="4" t="n"/>
    </row>
    <row r="2863">
      <c r="A2863" s="3" t="n">
        <v>2862</v>
      </c>
      <c r="B2863" s="3" t="inlineStr">
        <is>
          <t>DL027</t>
        </is>
      </c>
      <c r="C2863" s="4" t="inlineStr">
        <is>
          <t>ĐL Bình Định - Khoan Pin 77</t>
        </is>
      </c>
      <c r="D2863" s="3" t="inlineStr">
        <is>
          <t>GIA LAI 
(BÌNH ĐỊNH CŨ)</t>
        </is>
      </c>
      <c r="E2863" s="3" t="inlineStr">
        <is>
          <t>THÙY TRANG</t>
        </is>
      </c>
      <c r="F2863" s="3" t="inlineStr"/>
      <c r="G2863" s="4" t="inlineStr">
        <is>
          <t>SHOPEE: TIKTOK: LAZADA: WEBSITE BÁN HÀNG: YOUTUBE: https://www.youtube.com/channel/UCowiJLhwAySOYT7OCDWOOYA</t>
        </is>
      </c>
      <c r="H2863" s="3" t="inlineStr">
        <is>
          <t>D3-107x1.2</t>
        </is>
      </c>
      <c r="I2863" s="4" t="inlineStr">
        <is>
          <t>Đá cắt sắt, inox KingBlue D3-107x1.2 xanh ( hộp sắt)</t>
        </is>
      </c>
      <c r="J2863" s="3" t="inlineStr">
        <is>
          <t>Viên</t>
        </is>
      </c>
      <c r="K2863" s="5" t="n">
        <v>4600</v>
      </c>
      <c r="L2863" s="5" t="n">
        <v>5800</v>
      </c>
      <c r="M2863" s="6" t="n">
        <v>7500</v>
      </c>
      <c r="N2863" s="5" t="n"/>
      <c r="O2863" s="5">
        <f>IF(AND(ISNUMBER(N2863),ISNUMBER(M2863)),N2863-M2863,"")</f>
        <v/>
      </c>
      <c r="P2863" s="7">
        <f>IF(AND(ISNUMBER(N2863),ISNUMBER(M2863),M2863&gt;0),(N2863-M2863)/M2863,"")</f>
        <v/>
      </c>
      <c r="Q2863" s="3">
        <f>IF(P2863="","",IF(P2863&lt;-0.02,"🔴 Bán phá giá sàn",IF(P2863&gt;0.05,"🔵 Bán cao hơn","🟢 Đúng giá sàn TMĐT")))</f>
        <v/>
      </c>
      <c r="R2863" s="3" t="n"/>
      <c r="S2863" s="4" t="n"/>
      <c r="T2863" s="4" t="n"/>
    </row>
    <row r="2864">
      <c r="A2864" s="3" t="n">
        <v>2863</v>
      </c>
      <c r="B2864" s="3" t="inlineStr">
        <is>
          <t>DL027</t>
        </is>
      </c>
      <c r="C2864" s="4" t="inlineStr">
        <is>
          <t>ĐL Bình Định - Khoan Pin 77</t>
        </is>
      </c>
      <c r="D2864" s="3" t="inlineStr">
        <is>
          <t>GIA LAI 
(BÌNH ĐỊNH CŨ)</t>
        </is>
      </c>
      <c r="E2864" s="3" t="inlineStr">
        <is>
          <t>THÙY TRANG</t>
        </is>
      </c>
      <c r="F2864" s="3" t="inlineStr"/>
      <c r="G2864" s="4" t="inlineStr">
        <is>
          <t>SHOPEE: TIKTOK: LAZADA: WEBSITE BÁN HÀNG: YOUTUBE: https://www.youtube.com/channel/UCowiJLhwAySOYT7OCDWOOYA</t>
        </is>
      </c>
      <c r="H2864" s="3" t="inlineStr">
        <is>
          <t>D3-350x3.0</t>
        </is>
      </c>
      <c r="I2864" s="4" t="inlineStr">
        <is>
          <t>Đá cắt sắt, inox KingBlue D3-350x3.0 S</t>
        </is>
      </c>
      <c r="J2864" s="3" t="inlineStr">
        <is>
          <t>Viên</t>
        </is>
      </c>
      <c r="K2864" s="5" t="n">
        <v>45000</v>
      </c>
      <c r="L2864" s="5" t="n">
        <v>53000</v>
      </c>
      <c r="M2864" s="6" t="n">
        <v>65000</v>
      </c>
      <c r="N2864" s="5" t="n"/>
      <c r="O2864" s="5">
        <f>IF(AND(ISNUMBER(N2864),ISNUMBER(M2864)),N2864-M2864,"")</f>
        <v/>
      </c>
      <c r="P2864" s="7">
        <f>IF(AND(ISNUMBER(N2864),ISNUMBER(M2864),M2864&gt;0),(N2864-M2864)/M2864,"")</f>
        <v/>
      </c>
      <c r="Q2864" s="3">
        <f>IF(P2864="","",IF(P2864&lt;-0.02,"🔴 Bán phá giá sàn",IF(P2864&gt;0.05,"🔵 Bán cao hơn","🟢 Đúng giá sàn TMĐT")))</f>
        <v/>
      </c>
      <c r="R2864" s="3" t="n"/>
      <c r="S2864" s="4" t="n"/>
      <c r="T2864" s="4" t="n"/>
    </row>
    <row r="2865">
      <c r="A2865" s="3" t="n">
        <v>2864</v>
      </c>
      <c r="B2865" s="3" t="inlineStr">
        <is>
          <t>DL027</t>
        </is>
      </c>
      <c r="C2865" s="4" t="inlineStr">
        <is>
          <t>ĐL Bình Định - Khoan Pin 77</t>
        </is>
      </c>
      <c r="D2865" s="3" t="inlineStr">
        <is>
          <t>GIA LAI 
(BÌNH ĐỊNH CŨ)</t>
        </is>
      </c>
      <c r="E2865" s="3" t="inlineStr">
        <is>
          <t>THÙY TRANG</t>
        </is>
      </c>
      <c r="F2865" s="3" t="inlineStr"/>
      <c r="G2865" s="4" t="inlineStr">
        <is>
          <t>SHOPEE: TIKTOK: LAZADA: WEBSITE BÁN HÀNG: YOUTUBE: https://www.youtube.com/channel/UCowiJLhwAySOYT7OCDWOOYA</t>
        </is>
      </c>
      <c r="H2865" s="3" t="inlineStr">
        <is>
          <t>D3-103x2.8</t>
        </is>
      </c>
      <c r="I2865" s="4" t="inlineStr">
        <is>
          <t>Đá mài sắt, inox KingBlue D3-103x2.8</t>
        </is>
      </c>
      <c r="J2865" s="3" t="inlineStr">
        <is>
          <t>Cái</t>
        </is>
      </c>
      <c r="K2865" s="5" t="n">
        <v>9100</v>
      </c>
      <c r="L2865" s="5" t="n">
        <v>11300</v>
      </c>
      <c r="M2865" s="6" t="n">
        <v>14500</v>
      </c>
      <c r="N2865" s="5" t="n"/>
      <c r="O2865" s="5">
        <f>IF(AND(ISNUMBER(N2865),ISNUMBER(M2865)),N2865-M2865,"")</f>
        <v/>
      </c>
      <c r="P2865" s="7">
        <f>IF(AND(ISNUMBER(N2865),ISNUMBER(M2865),M2865&gt;0),(N2865-M2865)/M2865,"")</f>
        <v/>
      </c>
      <c r="Q2865" s="3">
        <f>IF(P2865="","",IF(P2865&lt;-0.02,"🔴 Bán phá giá sàn",IF(P2865&gt;0.05,"🔵 Bán cao hơn","🟢 Đúng giá sàn TMĐT")))</f>
        <v/>
      </c>
      <c r="R2865" s="3" t="n"/>
      <c r="S2865" s="4" t="n"/>
      <c r="T2865" s="4" t="n"/>
    </row>
    <row r="2866">
      <c r="A2866" s="3" t="n">
        <v>2865</v>
      </c>
      <c r="B2866" s="3" t="inlineStr">
        <is>
          <t>DL027</t>
        </is>
      </c>
      <c r="C2866" s="4" t="inlineStr">
        <is>
          <t>ĐL Bình Định - Khoan Pin 77</t>
        </is>
      </c>
      <c r="D2866" s="3" t="inlineStr">
        <is>
          <t>GIA LAI 
(BÌNH ĐỊNH CŨ)</t>
        </is>
      </c>
      <c r="E2866" s="3" t="inlineStr">
        <is>
          <t>THÙY TRANG</t>
        </is>
      </c>
      <c r="F2866" s="3" t="inlineStr"/>
      <c r="G2866" s="4" t="inlineStr">
        <is>
          <t>SHOPEE: TIKTOK: LAZADA: WEBSITE BÁN HÀNG: YOUTUBE: https://www.youtube.com/channel/UCowiJLhwAySOYT7OCDWOOYA</t>
        </is>
      </c>
      <c r="H2866" s="3" t="inlineStr">
        <is>
          <t>KJH-04</t>
        </is>
      </c>
      <c r="I2866" s="4" t="inlineStr">
        <is>
          <t>Dao rọc cáp đa năng KJH-04</t>
        </is>
      </c>
      <c r="J2866" s="3" t="inlineStr">
        <is>
          <t>Cái</t>
        </is>
      </c>
      <c r="K2866" s="5" t="n">
        <v>121000</v>
      </c>
      <c r="L2866" s="5" t="n">
        <v>143000</v>
      </c>
      <c r="M2866" s="6" t="n">
        <v>176000</v>
      </c>
      <c r="N2866" s="5" t="n"/>
      <c r="O2866" s="5">
        <f>IF(AND(ISNUMBER(N2866),ISNUMBER(M2866)),N2866-M2866,"")</f>
        <v/>
      </c>
      <c r="P2866" s="7">
        <f>IF(AND(ISNUMBER(N2866),ISNUMBER(M2866),M2866&gt;0),(N2866-M2866)/M2866,"")</f>
        <v/>
      </c>
      <c r="Q2866" s="3">
        <f>IF(P2866="","",IF(P2866&lt;-0.02,"🔴 Bán phá giá sàn",IF(P2866&gt;0.05,"🔵 Bán cao hơn","🟢 Đúng giá sàn TMĐT")))</f>
        <v/>
      </c>
      <c r="R2866" s="3" t="n"/>
      <c r="S2866" s="4" t="n"/>
      <c r="T2866" s="4" t="n"/>
    </row>
    <row r="2867">
      <c r="A2867" s="3" t="n">
        <v>2866</v>
      </c>
      <c r="B2867" s="3" t="inlineStr">
        <is>
          <t>DL027</t>
        </is>
      </c>
      <c r="C2867" s="4" t="inlineStr">
        <is>
          <t>ĐL Bình Định - Khoan Pin 77</t>
        </is>
      </c>
      <c r="D2867" s="3" t="inlineStr">
        <is>
          <t>GIA LAI 
(BÌNH ĐỊNH CŨ)</t>
        </is>
      </c>
      <c r="E2867" s="3" t="inlineStr">
        <is>
          <t>THÙY TRANG</t>
        </is>
      </c>
      <c r="F2867" s="3" t="inlineStr"/>
      <c r="G2867" s="4" t="inlineStr">
        <is>
          <t>SHOPEE: TIKTOK: LAZADA: WEBSITE BÁN HÀNG: YOUTUBE: https://www.youtube.com/channel/UCowiJLhwAySOYT7OCDWOOYA</t>
        </is>
      </c>
      <c r="H2867" s="3" t="inlineStr">
        <is>
          <t>KJH-06</t>
        </is>
      </c>
      <c r="I2867" s="4" t="inlineStr">
        <is>
          <t>Dao rọc cáp đa năng KJH-06</t>
        </is>
      </c>
      <c r="J2867" s="3" t="inlineStr">
        <is>
          <t>Cái</t>
        </is>
      </c>
      <c r="K2867" s="5" t="n">
        <v>171000</v>
      </c>
      <c r="L2867" s="5" t="n">
        <v>202000</v>
      </c>
      <c r="M2867" s="6" t="n">
        <v>248000</v>
      </c>
      <c r="N2867" s="5" t="n"/>
      <c r="O2867" s="5">
        <f>IF(AND(ISNUMBER(N2867),ISNUMBER(M2867)),N2867-M2867,"")</f>
        <v/>
      </c>
      <c r="P2867" s="7">
        <f>IF(AND(ISNUMBER(N2867),ISNUMBER(M2867),M2867&gt;0),(N2867-M2867)/M2867,"")</f>
        <v/>
      </c>
      <c r="Q2867" s="3">
        <f>IF(P2867="","",IF(P2867&lt;-0.02,"🔴 Bán phá giá sàn",IF(P2867&gt;0.05,"🔵 Bán cao hơn","🟢 Đúng giá sàn TMĐT")))</f>
        <v/>
      </c>
      <c r="R2867" s="3" t="n"/>
      <c r="S2867" s="4" t="n"/>
      <c r="T2867" s="4" t="n"/>
    </row>
    <row r="2868">
      <c r="A2868" s="3" t="n">
        <v>2867</v>
      </c>
      <c r="B2868" s="3" t="inlineStr">
        <is>
          <t>DL027</t>
        </is>
      </c>
      <c r="C2868" s="4" t="inlineStr">
        <is>
          <t>ĐL Bình Định - Khoan Pin 77</t>
        </is>
      </c>
      <c r="D2868" s="3" t="inlineStr">
        <is>
          <t>GIA LAI 
(BÌNH ĐỊNH CŨ)</t>
        </is>
      </c>
      <c r="E2868" s="3" t="inlineStr">
        <is>
          <t>THÙY TRANG</t>
        </is>
      </c>
      <c r="F2868" s="3" t="inlineStr"/>
      <c r="G2868" s="4" t="inlineStr">
        <is>
          <t>SHOPEE: TIKTOK: LAZADA: WEBSITE BÁN HÀNG: YOUTUBE: https://www.youtube.com/channel/UCowiJLhwAySOYT7OCDWOOYA</t>
        </is>
      </c>
      <c r="H2868" s="3" t="inlineStr">
        <is>
          <t>KBA-I1800</t>
        </is>
      </c>
      <c r="I2868" s="4" t="inlineStr">
        <is>
          <t>Đầu bơm máy rửa xe KBA-I1800</t>
        </is>
      </c>
      <c r="J2868" s="3" t="inlineStr">
        <is>
          <t>Cái</t>
        </is>
      </c>
      <c r="K2868" s="5" t="n">
        <v>269000</v>
      </c>
      <c r="L2868" s="5" t="n">
        <v>317000</v>
      </c>
      <c r="M2868" s="6" t="n">
        <v>390000</v>
      </c>
      <c r="N2868" s="5" t="n"/>
      <c r="O2868" s="5">
        <f>IF(AND(ISNUMBER(N2868),ISNUMBER(M2868)),N2868-M2868,"")</f>
        <v/>
      </c>
      <c r="P2868" s="7">
        <f>IF(AND(ISNUMBER(N2868),ISNUMBER(M2868),M2868&gt;0),(N2868-M2868)/M2868,"")</f>
        <v/>
      </c>
      <c r="Q2868" s="3">
        <f>IF(P2868="","",IF(P2868&lt;-0.02,"🔴 Bán phá giá sàn",IF(P2868&gt;0.05,"🔵 Bán cao hơn","🟢 Đúng giá sàn TMĐT")))</f>
        <v/>
      </c>
      <c r="R2868" s="3" t="n"/>
      <c r="S2868" s="4" t="n"/>
      <c r="T2868" s="4" t="n"/>
    </row>
    <row r="2869">
      <c r="A2869" s="3" t="n">
        <v>2868</v>
      </c>
      <c r="B2869" s="3" t="inlineStr">
        <is>
          <t>DL027</t>
        </is>
      </c>
      <c r="C2869" s="4" t="inlineStr">
        <is>
          <t>ĐL Bình Định - Khoan Pin 77</t>
        </is>
      </c>
      <c r="D2869" s="3" t="inlineStr">
        <is>
          <t>GIA LAI 
(BÌNH ĐỊNH CŨ)</t>
        </is>
      </c>
      <c r="E2869" s="3" t="inlineStr">
        <is>
          <t>THÙY TRANG</t>
        </is>
      </c>
      <c r="F2869" s="3" t="inlineStr"/>
      <c r="G2869" s="4" t="inlineStr">
        <is>
          <t>SHOPEE: TIKTOK: LAZADA: WEBSITE BÁN HÀNG: YOUTUBE: https://www.youtube.com/channel/UCowiJLhwAySOYT7OCDWOOYA</t>
        </is>
      </c>
      <c r="H2869" s="3" t="inlineStr">
        <is>
          <t>CM12</t>
        </is>
      </c>
      <c r="I2869" s="4" t="inlineStr">
        <is>
          <t>Đầu chụp bulon KingBlue CM12</t>
        </is>
      </c>
      <c r="J2869" s="3" t="inlineStr">
        <is>
          <t>Hộp</t>
        </is>
      </c>
      <c r="K2869" s="5" t="n">
        <v>99000</v>
      </c>
      <c r="L2869" s="5" t="n">
        <v>125000</v>
      </c>
      <c r="M2869" s="6" t="n">
        <v>163000</v>
      </c>
      <c r="N2869" s="5" t="n"/>
      <c r="O2869" s="5">
        <f>IF(AND(ISNUMBER(N2869),ISNUMBER(M2869)),N2869-M2869,"")</f>
        <v/>
      </c>
      <c r="P2869" s="7">
        <f>IF(AND(ISNUMBER(N2869),ISNUMBER(M2869),M2869&gt;0),(N2869-M2869)/M2869,"")</f>
        <v/>
      </c>
      <c r="Q2869" s="3">
        <f>IF(P2869="","",IF(P2869&lt;-0.02,"🔴 Bán phá giá sàn",IF(P2869&gt;0.05,"🔵 Bán cao hơn","🟢 Đúng giá sàn TMĐT")))</f>
        <v/>
      </c>
      <c r="R2869" s="3" t="n"/>
      <c r="S2869" s="4" t="n"/>
      <c r="T2869" s="4" t="n"/>
    </row>
    <row r="2870">
      <c r="A2870" s="3" t="n">
        <v>2869</v>
      </c>
      <c r="B2870" s="3" t="inlineStr">
        <is>
          <t>DL027</t>
        </is>
      </c>
      <c r="C2870" s="4" t="inlineStr">
        <is>
          <t>ĐL Bình Định - Khoan Pin 77</t>
        </is>
      </c>
      <c r="D2870" s="3" t="inlineStr">
        <is>
          <t>GIA LAI 
(BÌNH ĐỊNH CŨ)</t>
        </is>
      </c>
      <c r="E2870" s="3" t="inlineStr">
        <is>
          <t>THÙY TRANG</t>
        </is>
      </c>
      <c r="F2870" s="3" t="inlineStr"/>
      <c r="G2870" s="4" t="inlineStr">
        <is>
          <t>SHOPEE: TIKTOK: LAZADA: WEBSITE BÁN HÀNG: YOUTUBE: https://www.youtube.com/channel/UCowiJLhwAySOYT7OCDWOOYA</t>
        </is>
      </c>
      <c r="H2870" s="3" t="inlineStr">
        <is>
          <t>CM13</t>
        </is>
      </c>
      <c r="I2870" s="4" t="inlineStr">
        <is>
          <t>Đầu chụp bulon KingBlue CM13</t>
        </is>
      </c>
      <c r="J2870" s="3" t="inlineStr">
        <is>
          <t>Hộp</t>
        </is>
      </c>
      <c r="K2870" s="5" t="n">
        <v>105000</v>
      </c>
      <c r="L2870" s="5" t="n">
        <v>132000</v>
      </c>
      <c r="M2870" s="6" t="n">
        <v>173000</v>
      </c>
      <c r="N2870" s="5" t="n"/>
      <c r="O2870" s="5">
        <f>IF(AND(ISNUMBER(N2870),ISNUMBER(M2870)),N2870-M2870,"")</f>
        <v/>
      </c>
      <c r="P2870" s="7">
        <f>IF(AND(ISNUMBER(N2870),ISNUMBER(M2870),M2870&gt;0),(N2870-M2870)/M2870,"")</f>
        <v/>
      </c>
      <c r="Q2870" s="3">
        <f>IF(P2870="","",IF(P2870&lt;-0.02,"🔴 Bán phá giá sàn",IF(P2870&gt;0.05,"🔵 Bán cao hơn","🟢 Đúng giá sàn TMĐT")))</f>
        <v/>
      </c>
      <c r="R2870" s="3" t="n"/>
      <c r="S2870" s="4" t="n"/>
      <c r="T2870" s="4" t="n"/>
    </row>
    <row r="2871">
      <c r="A2871" s="3" t="n">
        <v>2870</v>
      </c>
      <c r="B2871" s="3" t="inlineStr">
        <is>
          <t>DL027</t>
        </is>
      </c>
      <c r="C2871" s="4" t="inlineStr">
        <is>
          <t>ĐL Bình Định - Khoan Pin 77</t>
        </is>
      </c>
      <c r="D2871" s="3" t="inlineStr">
        <is>
          <t>GIA LAI 
(BÌNH ĐỊNH CŨ)</t>
        </is>
      </c>
      <c r="E2871" s="3" t="inlineStr">
        <is>
          <t>THÙY TRANG</t>
        </is>
      </c>
      <c r="F2871" s="3" t="inlineStr"/>
      <c r="G2871" s="4" t="inlineStr">
        <is>
          <t>SHOPEE: TIKTOK: LAZADA: WEBSITE BÁN HÀNG: YOUTUBE: https://www.youtube.com/channel/UCowiJLhwAySOYT7OCDWOOYA</t>
        </is>
      </c>
      <c r="H2871" s="3" t="inlineStr">
        <is>
          <t>CM14</t>
        </is>
      </c>
      <c r="I2871" s="4" t="inlineStr">
        <is>
          <t>Đầu chụp bulon KingBlue CM14</t>
        </is>
      </c>
      <c r="J2871" s="3" t="inlineStr">
        <is>
          <t>Hộp</t>
        </is>
      </c>
      <c r="K2871" s="5" t="n">
        <v>105000</v>
      </c>
      <c r="L2871" s="5" t="n">
        <v>132000</v>
      </c>
      <c r="M2871" s="6" t="n">
        <v>173000</v>
      </c>
      <c r="N2871" s="5" t="n"/>
      <c r="O2871" s="5">
        <f>IF(AND(ISNUMBER(N2871),ISNUMBER(M2871)),N2871-M2871,"")</f>
        <v/>
      </c>
      <c r="P2871" s="7">
        <f>IF(AND(ISNUMBER(N2871),ISNUMBER(M2871),M2871&gt;0),(N2871-M2871)/M2871,"")</f>
        <v/>
      </c>
      <c r="Q2871" s="3">
        <f>IF(P2871="","",IF(P2871&lt;-0.02,"🔴 Bán phá giá sàn",IF(P2871&gt;0.05,"🔵 Bán cao hơn","🟢 Đúng giá sàn TMĐT")))</f>
        <v/>
      </c>
      <c r="R2871" s="3" t="n"/>
      <c r="S2871" s="4" t="n"/>
      <c r="T2871" s="4" t="n"/>
    </row>
    <row r="2872">
      <c r="A2872" s="3" t="n">
        <v>2871</v>
      </c>
      <c r="B2872" s="3" t="inlineStr">
        <is>
          <t>DL027</t>
        </is>
      </c>
      <c r="C2872" s="4" t="inlineStr">
        <is>
          <t>ĐL Bình Định - Khoan Pin 77</t>
        </is>
      </c>
      <c r="D2872" s="3" t="inlineStr">
        <is>
          <t>GIA LAI 
(BÌNH ĐỊNH CŨ)</t>
        </is>
      </c>
      <c r="E2872" s="3" t="inlineStr">
        <is>
          <t>THÙY TRANG</t>
        </is>
      </c>
      <c r="F2872" s="3" t="inlineStr"/>
      <c r="G2872" s="4" t="inlineStr">
        <is>
          <t>SHOPEE: TIKTOK: LAZADA: WEBSITE BÁN HÀNG: YOUTUBE: https://www.youtube.com/channel/UCowiJLhwAySOYT7OCDWOOYA</t>
        </is>
      </c>
      <c r="H2872" s="3" t="inlineStr">
        <is>
          <t>CM17</t>
        </is>
      </c>
      <c r="I2872" s="4" t="inlineStr">
        <is>
          <t>Đầu chụp bulon KingBlue CM17</t>
        </is>
      </c>
      <c r="J2872" s="3" t="inlineStr">
        <is>
          <t>Hộp</t>
        </is>
      </c>
      <c r="K2872" s="5" t="n">
        <v>110000</v>
      </c>
      <c r="L2872" s="5" t="n">
        <v>139000</v>
      </c>
      <c r="M2872" s="6" t="n">
        <v>182000</v>
      </c>
      <c r="N2872" s="5" t="n"/>
      <c r="O2872" s="5">
        <f>IF(AND(ISNUMBER(N2872),ISNUMBER(M2872)),N2872-M2872,"")</f>
        <v/>
      </c>
      <c r="P2872" s="7">
        <f>IF(AND(ISNUMBER(N2872),ISNUMBER(M2872),M2872&gt;0),(N2872-M2872)/M2872,"")</f>
        <v/>
      </c>
      <c r="Q2872" s="3">
        <f>IF(P2872="","",IF(P2872&lt;-0.02,"🔴 Bán phá giá sàn",IF(P2872&gt;0.05,"🔵 Bán cao hơn","🟢 Đúng giá sàn TMĐT")))</f>
        <v/>
      </c>
      <c r="R2872" s="3" t="n"/>
      <c r="S2872" s="4" t="n"/>
      <c r="T2872" s="4" t="n"/>
    </row>
    <row r="2873">
      <c r="A2873" s="3" t="n">
        <v>2872</v>
      </c>
      <c r="B2873" s="3" t="inlineStr">
        <is>
          <t>DL027</t>
        </is>
      </c>
      <c r="C2873" s="4" t="inlineStr">
        <is>
          <t>ĐL Bình Định - Khoan Pin 77</t>
        </is>
      </c>
      <c r="D2873" s="3" t="inlineStr">
        <is>
          <t>GIA LAI 
(BÌNH ĐỊNH CŨ)</t>
        </is>
      </c>
      <c r="E2873" s="3" t="inlineStr">
        <is>
          <t>THÙY TRANG</t>
        </is>
      </c>
      <c r="F2873" s="3" t="inlineStr"/>
      <c r="G2873" s="4" t="inlineStr">
        <is>
          <t>SHOPEE: TIKTOK: LAZADA: WEBSITE BÁN HÀNG: YOUTUBE: https://www.youtube.com/channel/UCowiJLhwAySOYT7OCDWOOYA</t>
        </is>
      </c>
      <c r="H2873" s="3" t="inlineStr">
        <is>
          <t>K45M</t>
        </is>
      </c>
      <c r="I2873" s="4" t="inlineStr">
        <is>
          <t>Đầu khò gas K45M</t>
        </is>
      </c>
      <c r="J2873" s="3" t="inlineStr">
        <is>
          <t>Cái</t>
        </is>
      </c>
      <c r="K2873" s="5" t="n">
        <v>269000</v>
      </c>
      <c r="L2873" s="5" t="n">
        <v>317000</v>
      </c>
      <c r="M2873" s="6" t="n">
        <v>390000</v>
      </c>
      <c r="N2873" s="5" t="n"/>
      <c r="O2873" s="5">
        <f>IF(AND(ISNUMBER(N2873),ISNUMBER(M2873)),N2873-M2873,"")</f>
        <v/>
      </c>
      <c r="P2873" s="7">
        <f>IF(AND(ISNUMBER(N2873),ISNUMBER(M2873),M2873&gt;0),(N2873-M2873)/M2873,"")</f>
        <v/>
      </c>
      <c r="Q2873" s="3">
        <f>IF(P2873="","",IF(P2873&lt;-0.02,"🔴 Bán phá giá sàn",IF(P2873&gt;0.05,"🔵 Bán cao hơn","🟢 Đúng giá sàn TMĐT")))</f>
        <v/>
      </c>
      <c r="R2873" s="3" t="n"/>
      <c r="S2873" s="4" t="n"/>
      <c r="T2873" s="4" t="n"/>
    </row>
    <row r="2874">
      <c r="A2874" s="3" t="n">
        <v>2873</v>
      </c>
      <c r="B2874" s="3" t="inlineStr">
        <is>
          <t>DL027</t>
        </is>
      </c>
      <c r="C2874" s="4" t="inlineStr">
        <is>
          <t>ĐL Bình Định - Khoan Pin 77</t>
        </is>
      </c>
      <c r="D2874" s="3" t="inlineStr">
        <is>
          <t>GIA LAI 
(BÌNH ĐỊNH CŨ)</t>
        </is>
      </c>
      <c r="E2874" s="3" t="inlineStr">
        <is>
          <t>THÙY TRANG</t>
        </is>
      </c>
      <c r="F2874" s="3" t="inlineStr"/>
      <c r="G2874" s="4" t="inlineStr">
        <is>
          <t>SHOPEE: TIKTOK: LAZADA: WEBSITE BÁN HÀNG: YOUTUBE: https://www.youtube.com/channel/UCowiJLhwAySOYT7OCDWOOYA</t>
        </is>
      </c>
      <c r="H2874" s="3" t="inlineStr">
        <is>
          <t>K49M</t>
        </is>
      </c>
      <c r="I2874" s="4" t="inlineStr">
        <is>
          <t>Đầu khò gas K49M</t>
        </is>
      </c>
      <c r="J2874" s="3" t="inlineStr">
        <is>
          <t>Cái</t>
        </is>
      </c>
      <c r="K2874" s="5" t="n">
        <v>269000</v>
      </c>
      <c r="L2874" s="5" t="n">
        <v>317000</v>
      </c>
      <c r="M2874" s="6" t="n">
        <v>390000</v>
      </c>
      <c r="N2874" s="5" t="n"/>
      <c r="O2874" s="5">
        <f>IF(AND(ISNUMBER(N2874),ISNUMBER(M2874)),N2874-M2874,"")</f>
        <v/>
      </c>
      <c r="P2874" s="7">
        <f>IF(AND(ISNUMBER(N2874),ISNUMBER(M2874),M2874&gt;0),(N2874-M2874)/M2874,"")</f>
        <v/>
      </c>
      <c r="Q2874" s="3">
        <f>IF(P2874="","",IF(P2874&lt;-0.02,"🔴 Bán phá giá sàn",IF(P2874&gt;0.05,"🔵 Bán cao hơn","🟢 Đúng giá sàn TMĐT")))</f>
        <v/>
      </c>
      <c r="R2874" s="3" t="n"/>
      <c r="S2874" s="4" t="n"/>
      <c r="T2874" s="4" t="n"/>
    </row>
    <row r="2875">
      <c r="A2875" s="3" t="n">
        <v>2874</v>
      </c>
      <c r="B2875" s="3" t="inlineStr">
        <is>
          <t>DL027</t>
        </is>
      </c>
      <c r="C2875" s="4" t="inlineStr">
        <is>
          <t>ĐL Bình Định - Khoan Pin 77</t>
        </is>
      </c>
      <c r="D2875" s="3" t="inlineStr">
        <is>
          <t>GIA LAI 
(BÌNH ĐỊNH CŨ)</t>
        </is>
      </c>
      <c r="E2875" s="3" t="inlineStr">
        <is>
          <t>THÙY TRANG</t>
        </is>
      </c>
      <c r="F2875" s="3" t="inlineStr"/>
      <c r="G2875" s="4" t="inlineStr">
        <is>
          <t>SHOPEE: TIKTOK: LAZADA: WEBSITE BÁN HÀNG: YOUTUBE: https://www.youtube.com/channel/UCowiJLhwAySOYT7OCDWOOYA</t>
        </is>
      </c>
      <c r="H2875" s="3" t="inlineStr"/>
      <c r="I2875" s="4" t="inlineStr">
        <is>
          <t>Đầu nạp gas</t>
        </is>
      </c>
      <c r="J2875" s="3" t="inlineStr">
        <is>
          <t>Cái</t>
        </is>
      </c>
      <c r="K2875" s="5" t="n">
        <v>269000</v>
      </c>
      <c r="L2875" s="5" t="n">
        <v>317000</v>
      </c>
      <c r="M2875" s="6" t="n">
        <v>390000</v>
      </c>
      <c r="N2875" s="5" t="n"/>
      <c r="O2875" s="5">
        <f>IF(AND(ISNUMBER(N2875),ISNUMBER(M2875)),N2875-M2875,"")</f>
        <v/>
      </c>
      <c r="P2875" s="7">
        <f>IF(AND(ISNUMBER(N2875),ISNUMBER(M2875),M2875&gt;0),(N2875-M2875)/M2875,"")</f>
        <v/>
      </c>
      <c r="Q2875" s="3">
        <f>IF(P2875="","",IF(P2875&lt;-0.02,"🔴 Bán phá giá sàn",IF(P2875&gt;0.05,"🔵 Bán cao hơn","🟢 Đúng giá sàn TMĐT")))</f>
        <v/>
      </c>
      <c r="R2875" s="3" t="n"/>
      <c r="S2875" s="4" t="n"/>
      <c r="T2875" s="4" t="n"/>
    </row>
    <row r="2876">
      <c r="A2876" s="3" t="n">
        <v>2875</v>
      </c>
      <c r="B2876" s="3" t="inlineStr">
        <is>
          <t>DL027</t>
        </is>
      </c>
      <c r="C2876" s="4" t="inlineStr">
        <is>
          <t>ĐL Bình Định - Khoan Pin 77</t>
        </is>
      </c>
      <c r="D2876" s="3" t="inlineStr">
        <is>
          <t>GIA LAI 
(BÌNH ĐỊNH CŨ)</t>
        </is>
      </c>
      <c r="E2876" s="3" t="inlineStr">
        <is>
          <t>THÙY TRANG</t>
        </is>
      </c>
      <c r="F2876" s="3" t="inlineStr"/>
      <c r="G2876" s="4" t="inlineStr">
        <is>
          <t>SHOPEE: TIKTOK: LAZADA: WEBSITE BÁN HÀNG: YOUTUBE: https://www.youtube.com/channel/UCowiJLhwAySOYT7OCDWOOYA</t>
        </is>
      </c>
      <c r="H2876" s="3" t="inlineStr">
        <is>
          <t>T265E-T10</t>
        </is>
      </c>
      <c r="I2876" s="4" t="inlineStr">
        <is>
          <t>Đầu vít hoa thị KingBlue T265E-T10</t>
        </is>
      </c>
      <c r="J2876" s="3" t="inlineStr">
        <is>
          <t>Vỉ</t>
        </is>
      </c>
      <c r="K2876" s="5" t="n">
        <v>17000</v>
      </c>
      <c r="L2876" s="5" t="n">
        <v>22000</v>
      </c>
      <c r="M2876" s="6" t="n">
        <v>29000</v>
      </c>
      <c r="N2876" s="5" t="n"/>
      <c r="O2876" s="5">
        <f>IF(AND(ISNUMBER(N2876),ISNUMBER(M2876)),N2876-M2876,"")</f>
        <v/>
      </c>
      <c r="P2876" s="7">
        <f>IF(AND(ISNUMBER(N2876),ISNUMBER(M2876),M2876&gt;0),(N2876-M2876)/M2876,"")</f>
        <v/>
      </c>
      <c r="Q2876" s="3">
        <f>IF(P2876="","",IF(P2876&lt;-0.02,"🔴 Bán phá giá sàn",IF(P2876&gt;0.05,"🔵 Bán cao hơn","🟢 Đúng giá sàn TMĐT")))</f>
        <v/>
      </c>
      <c r="R2876" s="3" t="n"/>
      <c r="S2876" s="4" t="n"/>
      <c r="T2876" s="4" t="n"/>
    </row>
    <row r="2877">
      <c r="A2877" s="3" t="n">
        <v>2876</v>
      </c>
      <c r="B2877" s="3" t="inlineStr">
        <is>
          <t>DL027</t>
        </is>
      </c>
      <c r="C2877" s="4" t="inlineStr">
        <is>
          <t>ĐL Bình Định - Khoan Pin 77</t>
        </is>
      </c>
      <c r="D2877" s="3" t="inlineStr">
        <is>
          <t>GIA LAI 
(BÌNH ĐỊNH CŨ)</t>
        </is>
      </c>
      <c r="E2877" s="3" t="inlineStr">
        <is>
          <t>THÙY TRANG</t>
        </is>
      </c>
      <c r="F2877" s="3" t="inlineStr"/>
      <c r="G2877" s="4" t="inlineStr">
        <is>
          <t>SHOPEE: TIKTOK: LAZADA: WEBSITE BÁN HÀNG: YOUTUBE: https://www.youtube.com/channel/UCowiJLhwAySOYT7OCDWOOYA</t>
        </is>
      </c>
      <c r="H2877" s="3" t="inlineStr">
        <is>
          <t>KBA-I1800</t>
        </is>
      </c>
      <c r="I2877" s="4" t="inlineStr">
        <is>
          <t>Dây bố thép 10m - Phụ kiện máy rửa xe KBA-I1800</t>
        </is>
      </c>
      <c r="J2877" s="3" t="inlineStr">
        <is>
          <t>Cái</t>
        </is>
      </c>
      <c r="K2877" s="5" t="n">
        <v>269000</v>
      </c>
      <c r="L2877" s="5" t="n">
        <v>317000</v>
      </c>
      <c r="M2877" s="6" t="n">
        <v>390000</v>
      </c>
      <c r="N2877" s="5" t="n"/>
      <c r="O2877" s="5">
        <f>IF(AND(ISNUMBER(N2877),ISNUMBER(M2877)),N2877-M2877,"")</f>
        <v/>
      </c>
      <c r="P2877" s="7">
        <f>IF(AND(ISNUMBER(N2877),ISNUMBER(M2877),M2877&gt;0),(N2877-M2877)/M2877,"")</f>
        <v/>
      </c>
      <c r="Q2877" s="3">
        <f>IF(P2877="","",IF(P2877&lt;-0.02,"🔴 Bán phá giá sàn",IF(P2877&gt;0.05,"🔵 Bán cao hơn","🟢 Đúng giá sàn TMĐT")))</f>
        <v/>
      </c>
      <c r="R2877" s="3" t="n"/>
      <c r="S2877" s="4" t="n"/>
      <c r="T2877" s="4" t="n"/>
    </row>
    <row r="2878">
      <c r="A2878" s="3" t="n">
        <v>2877</v>
      </c>
      <c r="B2878" s="3" t="inlineStr">
        <is>
          <t>DL027</t>
        </is>
      </c>
      <c r="C2878" s="4" t="inlineStr">
        <is>
          <t>ĐL Bình Định - Khoan Pin 77</t>
        </is>
      </c>
      <c r="D2878" s="3" t="inlineStr">
        <is>
          <t>GIA LAI 
(BÌNH ĐỊNH CŨ)</t>
        </is>
      </c>
      <c r="E2878" s="3" t="inlineStr">
        <is>
          <t>THÙY TRANG</t>
        </is>
      </c>
      <c r="F2878" s="3" t="inlineStr"/>
      <c r="G2878" s="4" t="inlineStr">
        <is>
          <t>SHOPEE: TIKTOK: LAZADA: WEBSITE BÁN HÀNG: YOUTUBE: https://www.youtube.com/channel/UCowiJLhwAySOYT7OCDWOOYA</t>
        </is>
      </c>
      <c r="H2878" s="3" t="inlineStr">
        <is>
          <t>LED750</t>
        </is>
      </c>
      <c r="I2878" s="4" t="inlineStr">
        <is>
          <t>Đèn Led cài áo LED750</t>
        </is>
      </c>
      <c r="J2878" s="3" t="inlineStr">
        <is>
          <t>Cái</t>
        </is>
      </c>
      <c r="K2878" s="5" t="n">
        <v>269000</v>
      </c>
      <c r="L2878" s="5" t="n">
        <v>317000</v>
      </c>
      <c r="M2878" s="6" t="n">
        <v>390000</v>
      </c>
      <c r="N2878" s="5" t="n"/>
      <c r="O2878" s="5">
        <f>IF(AND(ISNUMBER(N2878),ISNUMBER(M2878)),N2878-M2878,"")</f>
        <v/>
      </c>
      <c r="P2878" s="7">
        <f>IF(AND(ISNUMBER(N2878),ISNUMBER(M2878),M2878&gt;0),(N2878-M2878)/M2878,"")</f>
        <v/>
      </c>
      <c r="Q2878" s="3">
        <f>IF(P2878="","",IF(P2878&lt;-0.02,"🔴 Bán phá giá sàn",IF(P2878&gt;0.05,"🔵 Bán cao hơn","🟢 Đúng giá sàn TMĐT")))</f>
        <v/>
      </c>
      <c r="R2878" s="3" t="n"/>
      <c r="S2878" s="4" t="n"/>
      <c r="T2878" s="4" t="n"/>
    </row>
    <row r="2879">
      <c r="A2879" s="3" t="n">
        <v>2878</v>
      </c>
      <c r="B2879" s="3" t="inlineStr">
        <is>
          <t>DL027</t>
        </is>
      </c>
      <c r="C2879" s="4" t="inlineStr">
        <is>
          <t>ĐL Bình Định - Khoan Pin 77</t>
        </is>
      </c>
      <c r="D2879" s="3" t="inlineStr">
        <is>
          <t>GIA LAI 
(BÌNH ĐỊNH CŨ)</t>
        </is>
      </c>
      <c r="E2879" s="3" t="inlineStr">
        <is>
          <t>THÙY TRANG</t>
        </is>
      </c>
      <c r="F2879" s="3" t="inlineStr"/>
      <c r="G2879" s="4" t="inlineStr">
        <is>
          <t>SHOPEE: TIKTOK: LAZADA: WEBSITE BÁN HÀNG: YOUTUBE: https://www.youtube.com/channel/UCowiJLhwAySOYT7OCDWOOYA</t>
        </is>
      </c>
      <c r="H2879" s="3" t="inlineStr">
        <is>
          <t>LED1500</t>
        </is>
      </c>
      <c r="I2879" s="4" t="inlineStr">
        <is>
          <t>Đèn Led cắm trại  LED1500</t>
        </is>
      </c>
      <c r="J2879" s="3" t="inlineStr">
        <is>
          <t>Cái</t>
        </is>
      </c>
      <c r="K2879" s="5" t="n">
        <v>1060000</v>
      </c>
      <c r="L2879" s="5" t="n">
        <v>1208000</v>
      </c>
      <c r="M2879" s="6" t="n">
        <v>1431000</v>
      </c>
      <c r="N2879" s="5" t="n"/>
      <c r="O2879" s="5">
        <f>IF(AND(ISNUMBER(N2879),ISNUMBER(M2879)),N2879-M2879,"")</f>
        <v/>
      </c>
      <c r="P2879" s="7">
        <f>IF(AND(ISNUMBER(N2879),ISNUMBER(M2879),M2879&gt;0),(N2879-M2879)/M2879,"")</f>
        <v/>
      </c>
      <c r="Q2879" s="3">
        <f>IF(P2879="","",IF(P2879&lt;-0.02,"🔴 Bán phá giá sàn",IF(P2879&gt;0.05,"🔵 Bán cao hơn","🟢 Đúng giá sàn TMĐT")))</f>
        <v/>
      </c>
      <c r="R2879" s="3" t="n"/>
      <c r="S2879" s="4" t="n"/>
      <c r="T2879" s="4" t="n"/>
    </row>
    <row r="2880">
      <c r="A2880" s="3" t="n">
        <v>2879</v>
      </c>
      <c r="B2880" s="3" t="inlineStr">
        <is>
          <t>DL027</t>
        </is>
      </c>
      <c r="C2880" s="4" t="inlineStr">
        <is>
          <t>ĐL Bình Định - Khoan Pin 77</t>
        </is>
      </c>
      <c r="D2880" s="3" t="inlineStr">
        <is>
          <t>GIA LAI 
(BÌNH ĐỊNH CŨ)</t>
        </is>
      </c>
      <c r="E2880" s="3" t="inlineStr">
        <is>
          <t>THÙY TRANG</t>
        </is>
      </c>
      <c r="F2880" s="3" t="inlineStr"/>
      <c r="G2880" s="4" t="inlineStr">
        <is>
          <t>SHOPEE: TIKTOK: LAZADA: WEBSITE BÁN HÀNG: YOUTUBE: https://www.youtube.com/channel/UCowiJLhwAySOYT7OCDWOOYA</t>
        </is>
      </c>
      <c r="H2880" s="3" t="inlineStr">
        <is>
          <t>LED6500</t>
        </is>
      </c>
      <c r="I2880" s="4" t="inlineStr">
        <is>
          <t>Đèn Led công trình dùng pin  LED6500</t>
        </is>
      </c>
      <c r="J2880" s="3" t="inlineStr">
        <is>
          <t>Cái</t>
        </is>
      </c>
      <c r="K2880" s="5" t="n">
        <v>1800000</v>
      </c>
      <c r="L2880" s="5" t="n">
        <v>2052000</v>
      </c>
      <c r="M2880" s="6" t="n">
        <v>2430000</v>
      </c>
      <c r="N2880" s="5" t="n"/>
      <c r="O2880" s="5">
        <f>IF(AND(ISNUMBER(N2880),ISNUMBER(M2880)),N2880-M2880,"")</f>
        <v/>
      </c>
      <c r="P2880" s="7">
        <f>IF(AND(ISNUMBER(N2880),ISNUMBER(M2880),M2880&gt;0),(N2880-M2880)/M2880,"")</f>
        <v/>
      </c>
      <c r="Q2880" s="3">
        <f>IF(P2880="","",IF(P2880&lt;-0.02,"🔴 Bán phá giá sàn",IF(P2880&gt;0.05,"🔵 Bán cao hơn","🟢 Đúng giá sàn TMĐT")))</f>
        <v/>
      </c>
      <c r="R2880" s="3" t="n"/>
      <c r="S2880" s="4" t="n"/>
      <c r="T2880" s="4" t="n"/>
    </row>
    <row r="2881">
      <c r="A2881" s="3" t="n">
        <v>2880</v>
      </c>
      <c r="B2881" s="3" t="inlineStr">
        <is>
          <t>DL027</t>
        </is>
      </c>
      <c r="C2881" s="4" t="inlineStr">
        <is>
          <t>ĐL Bình Định - Khoan Pin 77</t>
        </is>
      </c>
      <c r="D2881" s="3" t="inlineStr">
        <is>
          <t>GIA LAI 
(BÌNH ĐỊNH CŨ)</t>
        </is>
      </c>
      <c r="E2881" s="3" t="inlineStr">
        <is>
          <t>THÙY TRANG</t>
        </is>
      </c>
      <c r="F2881" s="3" t="inlineStr"/>
      <c r="G2881" s="4" t="inlineStr">
        <is>
          <t>SHOPEE: TIKTOK: LAZADA: WEBSITE BÁN HÀNG: YOUTUBE: https://www.youtube.com/channel/UCowiJLhwAySOYT7OCDWOOYA</t>
        </is>
      </c>
      <c r="H2881" s="3" t="inlineStr">
        <is>
          <t>LED1000H</t>
        </is>
      </c>
      <c r="I2881" s="4" t="inlineStr">
        <is>
          <t>Đèn Led đội đầu LED1000H</t>
        </is>
      </c>
      <c r="J2881" s="3" t="inlineStr">
        <is>
          <t>Cái</t>
        </is>
      </c>
      <c r="K2881" s="5" t="n">
        <v>269000</v>
      </c>
      <c r="L2881" s="5" t="n">
        <v>317000</v>
      </c>
      <c r="M2881" s="6" t="n">
        <v>390000</v>
      </c>
      <c r="N2881" s="5" t="n"/>
      <c r="O2881" s="5">
        <f>IF(AND(ISNUMBER(N2881),ISNUMBER(M2881)),N2881-M2881,"")</f>
        <v/>
      </c>
      <c r="P2881" s="7">
        <f>IF(AND(ISNUMBER(N2881),ISNUMBER(M2881),M2881&gt;0),(N2881-M2881)/M2881,"")</f>
        <v/>
      </c>
      <c r="Q2881" s="3">
        <f>IF(P2881="","",IF(P2881&lt;-0.02,"🔴 Bán phá giá sàn",IF(P2881&gt;0.05,"🔵 Bán cao hơn","🟢 Đúng giá sàn TMĐT")))</f>
        <v/>
      </c>
      <c r="R2881" s="3" t="n"/>
      <c r="S2881" s="4" t="n"/>
      <c r="T2881" s="4" t="n"/>
    </row>
    <row r="2882">
      <c r="A2882" s="3" t="n">
        <v>2881</v>
      </c>
      <c r="B2882" s="3" t="inlineStr">
        <is>
          <t>DL027</t>
        </is>
      </c>
      <c r="C2882" s="4" t="inlineStr">
        <is>
          <t>ĐL Bình Định - Khoan Pin 77</t>
        </is>
      </c>
      <c r="D2882" s="3" t="inlineStr">
        <is>
          <t>GIA LAI 
(BÌNH ĐỊNH CŨ)</t>
        </is>
      </c>
      <c r="E2882" s="3" t="inlineStr">
        <is>
          <t>THÙY TRANG</t>
        </is>
      </c>
      <c r="F2882" s="3" t="inlineStr"/>
      <c r="G2882" s="4" t="inlineStr">
        <is>
          <t>SHOPEE: TIKTOK: LAZADA: WEBSITE BÁN HÀNG: YOUTUBE: https://www.youtube.com/channel/UCowiJLhwAySOYT7OCDWOOYA</t>
        </is>
      </c>
      <c r="H2882" s="3" t="inlineStr">
        <is>
          <t>LED500</t>
        </is>
      </c>
      <c r="I2882" s="4" t="inlineStr">
        <is>
          <t>Đèn Led đội đầu LED500</t>
        </is>
      </c>
      <c r="J2882" s="3" t="inlineStr">
        <is>
          <t>Cái</t>
        </is>
      </c>
      <c r="K2882" s="5" t="n">
        <v>440000</v>
      </c>
      <c r="L2882" s="5" t="n">
        <v>502000</v>
      </c>
      <c r="M2882" s="6" t="n">
        <v>594000</v>
      </c>
      <c r="N2882" s="5" t="n"/>
      <c r="O2882" s="5">
        <f>IF(AND(ISNUMBER(N2882),ISNUMBER(M2882)),N2882-M2882,"")</f>
        <v/>
      </c>
      <c r="P2882" s="7">
        <f>IF(AND(ISNUMBER(N2882),ISNUMBER(M2882),M2882&gt;0),(N2882-M2882)/M2882,"")</f>
        <v/>
      </c>
      <c r="Q2882" s="3">
        <f>IF(P2882="","",IF(P2882&lt;-0.02,"🔴 Bán phá giá sàn",IF(P2882&gt;0.05,"🔵 Bán cao hơn","🟢 Đúng giá sàn TMĐT")))</f>
        <v/>
      </c>
      <c r="R2882" s="3" t="n"/>
      <c r="S2882" s="4" t="n"/>
      <c r="T2882" s="4" t="n"/>
    </row>
    <row r="2883">
      <c r="A2883" s="3" t="n">
        <v>2882</v>
      </c>
      <c r="B2883" s="3" t="inlineStr">
        <is>
          <t>DL027</t>
        </is>
      </c>
      <c r="C2883" s="4" t="inlineStr">
        <is>
          <t>ĐL Bình Định - Khoan Pin 77</t>
        </is>
      </c>
      <c r="D2883" s="3" t="inlineStr">
        <is>
          <t>GIA LAI 
(BÌNH ĐỊNH CŨ)</t>
        </is>
      </c>
      <c r="E2883" s="3" t="inlineStr">
        <is>
          <t>THÙY TRANG</t>
        </is>
      </c>
      <c r="F2883" s="3" t="inlineStr"/>
      <c r="G2883" s="4" t="inlineStr">
        <is>
          <t>SHOPEE: TIKTOK: LAZADA: WEBSITE BÁN HÀNG: YOUTUBE: https://www.youtube.com/channel/UCowiJLhwAySOYT7OCDWOOYA</t>
        </is>
      </c>
      <c r="H2883" s="3" t="inlineStr">
        <is>
          <t>LED800</t>
        </is>
      </c>
      <c r="I2883" s="4" t="inlineStr">
        <is>
          <t>Đèn Led đội đầu  LED800</t>
        </is>
      </c>
      <c r="J2883" s="3" t="inlineStr">
        <is>
          <t>Cái</t>
        </is>
      </c>
      <c r="K2883" s="5" t="n">
        <v>430000</v>
      </c>
      <c r="L2883" s="5" t="n">
        <v>490000</v>
      </c>
      <c r="M2883" s="6" t="n">
        <v>581000</v>
      </c>
      <c r="N2883" s="5" t="n"/>
      <c r="O2883" s="5">
        <f>IF(AND(ISNUMBER(N2883),ISNUMBER(M2883)),N2883-M2883,"")</f>
        <v/>
      </c>
      <c r="P2883" s="7">
        <f>IF(AND(ISNUMBER(N2883),ISNUMBER(M2883),M2883&gt;0),(N2883-M2883)/M2883,"")</f>
        <v/>
      </c>
      <c r="Q2883" s="3">
        <f>IF(P2883="","",IF(P2883&lt;-0.02,"🔴 Bán phá giá sàn",IF(P2883&gt;0.05,"🔵 Bán cao hơn","🟢 Đúng giá sàn TMĐT")))</f>
        <v/>
      </c>
      <c r="R2883" s="3" t="n"/>
      <c r="S2883" s="4" t="n"/>
      <c r="T2883" s="4" t="n"/>
    </row>
    <row r="2884">
      <c r="A2884" s="3" t="n">
        <v>2883</v>
      </c>
      <c r="B2884" s="3" t="inlineStr">
        <is>
          <t>DL027</t>
        </is>
      </c>
      <c r="C2884" s="4" t="inlineStr">
        <is>
          <t>ĐL Bình Định - Khoan Pin 77</t>
        </is>
      </c>
      <c r="D2884" s="3" t="inlineStr">
        <is>
          <t>GIA LAI 
(BÌNH ĐỊNH CŨ)</t>
        </is>
      </c>
      <c r="E2884" s="3" t="inlineStr">
        <is>
          <t>THÙY TRANG</t>
        </is>
      </c>
      <c r="F2884" s="3" t="inlineStr"/>
      <c r="G2884" s="4" t="inlineStr">
        <is>
          <t>SHOPEE: TIKTOK: LAZADA: WEBSITE BÁN HÀNG: YOUTUBE: https://www.youtube.com/channel/UCowiJLhwAySOYT7OCDWOOYA</t>
        </is>
      </c>
      <c r="H2884" s="3" t="inlineStr">
        <is>
          <t>LED600</t>
        </is>
      </c>
      <c r="I2884" s="4" t="inlineStr">
        <is>
          <t>Đèn Led soi sửa chữa máy móc LED600</t>
        </is>
      </c>
      <c r="J2884" s="3" t="inlineStr">
        <is>
          <t>Cái</t>
        </is>
      </c>
      <c r="K2884" s="5" t="n">
        <v>650000</v>
      </c>
      <c r="L2884" s="5" t="n">
        <v>741000</v>
      </c>
      <c r="M2884" s="6" t="n">
        <v>878000</v>
      </c>
      <c r="N2884" s="5" t="n"/>
      <c r="O2884" s="5">
        <f>IF(AND(ISNUMBER(N2884),ISNUMBER(M2884)),N2884-M2884,"")</f>
        <v/>
      </c>
      <c r="P2884" s="7">
        <f>IF(AND(ISNUMBER(N2884),ISNUMBER(M2884),M2884&gt;0),(N2884-M2884)/M2884,"")</f>
        <v/>
      </c>
      <c r="Q2884" s="3">
        <f>IF(P2884="","",IF(P2884&lt;-0.02,"🔴 Bán phá giá sàn",IF(P2884&gt;0.05,"🔵 Bán cao hơn","🟢 Đúng giá sàn TMĐT")))</f>
        <v/>
      </c>
      <c r="R2884" s="3" t="n"/>
      <c r="S2884" s="4" t="n"/>
      <c r="T2884" s="4" t="n"/>
    </row>
    <row r="2885">
      <c r="A2885" s="3" t="n">
        <v>2884</v>
      </c>
      <c r="B2885" s="3" t="inlineStr">
        <is>
          <t>DL027</t>
        </is>
      </c>
      <c r="C2885" s="4" t="inlineStr">
        <is>
          <t>ĐL Bình Định - Khoan Pin 77</t>
        </is>
      </c>
      <c r="D2885" s="3" t="inlineStr">
        <is>
          <t>GIA LAI 
(BÌNH ĐỊNH CŨ)</t>
        </is>
      </c>
      <c r="E2885" s="3" t="inlineStr">
        <is>
          <t>THÙY TRANG</t>
        </is>
      </c>
      <c r="F2885" s="3" t="inlineStr"/>
      <c r="G2885" s="4" t="inlineStr">
        <is>
          <t>SHOPEE: TIKTOK: LAZADA: WEBSITE BÁN HÀNG: YOUTUBE: https://www.youtube.com/channel/UCowiJLhwAySOYT7OCDWOOYA</t>
        </is>
      </c>
      <c r="H2885" s="3" t="inlineStr">
        <is>
          <t>LED1000</t>
        </is>
      </c>
      <c r="I2885" s="4" t="inlineStr">
        <is>
          <t>Đèn Pin siêu sáng LED1000</t>
        </is>
      </c>
      <c r="J2885" s="3" t="inlineStr">
        <is>
          <t>Cái</t>
        </is>
      </c>
      <c r="K2885" s="5" t="n">
        <v>269000</v>
      </c>
      <c r="L2885" s="5" t="n">
        <v>317000</v>
      </c>
      <c r="M2885" s="6" t="n">
        <v>390000</v>
      </c>
      <c r="N2885" s="5" t="n"/>
      <c r="O2885" s="5">
        <f>IF(AND(ISNUMBER(N2885),ISNUMBER(M2885)),N2885-M2885,"")</f>
        <v/>
      </c>
      <c r="P2885" s="7">
        <f>IF(AND(ISNUMBER(N2885),ISNUMBER(M2885),M2885&gt;0),(N2885-M2885)/M2885,"")</f>
        <v/>
      </c>
      <c r="Q2885" s="3">
        <f>IF(P2885="","",IF(P2885&lt;-0.02,"🔴 Bán phá giá sàn",IF(P2885&gt;0.05,"🔵 Bán cao hơn","🟢 Đúng giá sàn TMĐT")))</f>
        <v/>
      </c>
      <c r="R2885" s="3" t="n"/>
      <c r="S2885" s="4" t="n"/>
      <c r="T2885" s="4" t="n"/>
    </row>
    <row r="2886">
      <c r="A2886" s="3" t="n">
        <v>2885</v>
      </c>
      <c r="B2886" s="3" t="inlineStr">
        <is>
          <t>DL027</t>
        </is>
      </c>
      <c r="C2886" s="4" t="inlineStr">
        <is>
          <t>ĐL Bình Định - Khoan Pin 77</t>
        </is>
      </c>
      <c r="D2886" s="3" t="inlineStr">
        <is>
          <t>GIA LAI 
(BÌNH ĐỊNH CŨ)</t>
        </is>
      </c>
      <c r="E2886" s="3" t="inlineStr">
        <is>
          <t>THÙY TRANG</t>
        </is>
      </c>
      <c r="F2886" s="3" t="inlineStr"/>
      <c r="G2886" s="4" t="inlineStr">
        <is>
          <t>SHOPEE: TIKTOK: LAZADA: WEBSITE BÁN HÀNG: YOUTUBE: https://www.youtube.com/channel/UCowiJLhwAySOYT7OCDWOOYA</t>
        </is>
      </c>
      <c r="H2886" s="3" t="inlineStr">
        <is>
          <t>MINI20GKD</t>
        </is>
      </c>
      <c r="I2886" s="4" t="inlineStr">
        <is>
          <t>Đinh MINI20GKD</t>
        </is>
      </c>
      <c r="J2886" s="3" t="inlineStr">
        <is>
          <t>Cái</t>
        </is>
      </c>
      <c r="K2886" s="5" t="n">
        <v>269000</v>
      </c>
      <c r="L2886" s="5" t="n">
        <v>317000</v>
      </c>
      <c r="M2886" s="6" t="n">
        <v>390000</v>
      </c>
      <c r="N2886" s="5" t="n"/>
      <c r="O2886" s="5">
        <f>IF(AND(ISNUMBER(N2886),ISNUMBER(M2886)),N2886-M2886,"")</f>
        <v/>
      </c>
      <c r="P2886" s="7">
        <f>IF(AND(ISNUMBER(N2886),ISNUMBER(M2886),M2886&gt;0),(N2886-M2886)/M2886,"")</f>
        <v/>
      </c>
      <c r="Q2886" s="3">
        <f>IF(P2886="","",IF(P2886&lt;-0.02,"🔴 Bán phá giá sàn",IF(P2886&gt;0.05,"🔵 Bán cao hơn","🟢 Đúng giá sàn TMĐT")))</f>
        <v/>
      </c>
      <c r="R2886" s="3" t="n"/>
      <c r="S2886" s="4" t="n"/>
      <c r="T2886" s="4" t="n"/>
    </row>
    <row r="2887">
      <c r="A2887" s="3" t="n">
        <v>2886</v>
      </c>
      <c r="B2887" s="3" t="inlineStr">
        <is>
          <t>DL027</t>
        </is>
      </c>
      <c r="C2887" s="4" t="inlineStr">
        <is>
          <t>ĐL Bình Định - Khoan Pin 77</t>
        </is>
      </c>
      <c r="D2887" s="3" t="inlineStr">
        <is>
          <t>GIA LAI 
(BÌNH ĐỊNH CŨ)</t>
        </is>
      </c>
      <c r="E2887" s="3" t="inlineStr">
        <is>
          <t>THÙY TRANG</t>
        </is>
      </c>
      <c r="F2887" s="3" t="inlineStr"/>
      <c r="G2887" s="4" t="inlineStr">
        <is>
          <t>SHOPEE: TIKTOK: LAZADA: WEBSITE BÁN HÀNG: YOUTUBE: https://www.youtube.com/channel/UCowiJLhwAySOYT7OCDWOOYA</t>
        </is>
      </c>
      <c r="H2887" s="3" t="inlineStr"/>
      <c r="I2887" s="4" t="inlineStr">
        <is>
          <t>Đinh MINIGJD</t>
        </is>
      </c>
      <c r="J2887" s="3" t="inlineStr">
        <is>
          <t>Cái</t>
        </is>
      </c>
      <c r="K2887" s="5" t="n">
        <v>269000</v>
      </c>
      <c r="L2887" s="5" t="n">
        <v>317000</v>
      </c>
      <c r="M2887" s="6" t="n">
        <v>390000</v>
      </c>
      <c r="N2887" s="5" t="n"/>
      <c r="O2887" s="5">
        <f>IF(AND(ISNUMBER(N2887),ISNUMBER(M2887)),N2887-M2887,"")</f>
        <v/>
      </c>
      <c r="P2887" s="7">
        <f>IF(AND(ISNUMBER(N2887),ISNUMBER(M2887),M2887&gt;0),(N2887-M2887)/M2887,"")</f>
        <v/>
      </c>
      <c r="Q2887" s="3">
        <f>IF(P2887="","",IF(P2887&lt;-0.02,"🔴 Bán phá giá sàn",IF(P2887&gt;0.05,"🔵 Bán cao hơn","🟢 Đúng giá sàn TMĐT")))</f>
        <v/>
      </c>
      <c r="R2887" s="3" t="n"/>
      <c r="S2887" s="4" t="n"/>
      <c r="T2887" s="4" t="n"/>
    </row>
    <row r="2888">
      <c r="A2888" s="3" t="n">
        <v>2887</v>
      </c>
      <c r="B2888" s="3" t="inlineStr">
        <is>
          <t>DL027</t>
        </is>
      </c>
      <c r="C2888" s="4" t="inlineStr">
        <is>
          <t>ĐL Bình Định - Khoan Pin 77</t>
        </is>
      </c>
      <c r="D2888" s="3" t="inlineStr">
        <is>
          <t>GIA LAI 
(BÌNH ĐỊNH CŨ)</t>
        </is>
      </c>
      <c r="E2888" s="3" t="inlineStr">
        <is>
          <t>THÙY TRANG</t>
        </is>
      </c>
      <c r="F2888" s="3" t="inlineStr"/>
      <c r="G2888" s="4" t="inlineStr">
        <is>
          <t>SHOPEE: TIKTOK: LAZADA: WEBSITE BÁN HÀNG: YOUTUBE: https://www.youtube.com/channel/UCowiJLhwAySOYT7OCDWOOYA</t>
        </is>
      </c>
      <c r="H2888" s="3" t="inlineStr"/>
      <c r="I2888" s="4" t="inlineStr">
        <is>
          <t>Đinh MINISFD</t>
        </is>
      </c>
      <c r="J2888" s="3" t="inlineStr">
        <is>
          <t>Cái</t>
        </is>
      </c>
      <c r="K2888" s="5" t="n">
        <v>269000</v>
      </c>
      <c r="L2888" s="5" t="n">
        <v>317000</v>
      </c>
      <c r="M2888" s="6" t="n">
        <v>390000</v>
      </c>
      <c r="N2888" s="5" t="n"/>
      <c r="O2888" s="5">
        <f>IF(AND(ISNUMBER(N2888),ISNUMBER(M2888)),N2888-M2888,"")</f>
        <v/>
      </c>
      <c r="P2888" s="7">
        <f>IF(AND(ISNUMBER(N2888),ISNUMBER(M2888),M2888&gt;0),(N2888-M2888)/M2888,"")</f>
        <v/>
      </c>
      <c r="Q2888" s="3">
        <f>IF(P2888="","",IF(P2888&lt;-0.02,"🔴 Bán phá giá sàn",IF(P2888&gt;0.05,"🔵 Bán cao hơn","🟢 Đúng giá sàn TMĐT")))</f>
        <v/>
      </c>
      <c r="R2888" s="3" t="n"/>
      <c r="S2888" s="4" t="n"/>
      <c r="T2888" s="4" t="n"/>
    </row>
    <row r="2889">
      <c r="A2889" s="3" t="n">
        <v>2888</v>
      </c>
      <c r="B2889" s="3" t="inlineStr">
        <is>
          <t>DL027</t>
        </is>
      </c>
      <c r="C2889" s="4" t="inlineStr">
        <is>
          <t>ĐL Bình Định - Khoan Pin 77</t>
        </is>
      </c>
      <c r="D2889" s="3" t="inlineStr">
        <is>
          <t>GIA LAI 
(BÌNH ĐỊNH CŨ)</t>
        </is>
      </c>
      <c r="E2889" s="3" t="inlineStr">
        <is>
          <t>THÙY TRANG</t>
        </is>
      </c>
      <c r="F2889" s="3" t="inlineStr"/>
      <c r="G2889" s="4" t="inlineStr">
        <is>
          <t>SHOPEE: TIKTOK: LAZADA: WEBSITE BÁN HÀNG: YOUTUBE: https://www.youtube.com/channel/UCowiJLhwAySOYT7OCDWOOYA</t>
        </is>
      </c>
      <c r="H2889" s="3" t="inlineStr">
        <is>
          <t>KIG-600</t>
        </is>
      </c>
      <c r="I2889" s="4" t="inlineStr">
        <is>
          <t>Đồng hồ kẹp dòng vạn năng KIG-600</t>
        </is>
      </c>
      <c r="J2889" s="3" t="inlineStr">
        <is>
          <t>Cái</t>
        </is>
      </c>
      <c r="K2889" s="5" t="n">
        <v>269000</v>
      </c>
      <c r="L2889" s="5" t="n">
        <v>317000</v>
      </c>
      <c r="M2889" s="6" t="n">
        <v>390000</v>
      </c>
      <c r="N2889" s="5" t="n"/>
      <c r="O2889" s="5">
        <f>IF(AND(ISNUMBER(N2889),ISNUMBER(M2889)),N2889-M2889,"")</f>
        <v/>
      </c>
      <c r="P2889" s="7">
        <f>IF(AND(ISNUMBER(N2889),ISNUMBER(M2889),M2889&gt;0),(N2889-M2889)/M2889,"")</f>
        <v/>
      </c>
      <c r="Q2889" s="3">
        <f>IF(P2889="","",IF(P2889&lt;-0.02,"🔴 Bán phá giá sàn",IF(P2889&gt;0.05,"🔵 Bán cao hơn","🟢 Đúng giá sàn TMĐT")))</f>
        <v/>
      </c>
      <c r="R2889" s="3" t="n"/>
      <c r="S2889" s="4" t="n"/>
      <c r="T2889" s="4" t="n"/>
    </row>
    <row r="2890">
      <c r="A2890" s="3" t="n">
        <v>2889</v>
      </c>
      <c r="B2890" s="3" t="inlineStr">
        <is>
          <t>DL027</t>
        </is>
      </c>
      <c r="C2890" s="4" t="inlineStr">
        <is>
          <t>ĐL Bình Định - Khoan Pin 77</t>
        </is>
      </c>
      <c r="D2890" s="3" t="inlineStr">
        <is>
          <t>GIA LAI 
(BÌNH ĐỊNH CŨ)</t>
        </is>
      </c>
      <c r="E2890" s="3" t="inlineStr">
        <is>
          <t>THÙY TRANG</t>
        </is>
      </c>
      <c r="F2890" s="3" t="inlineStr"/>
      <c r="G2890" s="4" t="inlineStr">
        <is>
          <t>SHOPEE: TIKTOK: LAZADA: WEBSITE BÁN HÀNG: YOUTUBE: https://www.youtube.com/channel/UCowiJLhwAySOYT7OCDWOOYA</t>
        </is>
      </c>
      <c r="H2890" s="3" t="inlineStr">
        <is>
          <t>K54M</t>
        </is>
      </c>
      <c r="I2890" s="4" t="inlineStr">
        <is>
          <t>Dụng cụ khò gas mini K54M</t>
        </is>
      </c>
      <c r="J2890" s="3" t="inlineStr">
        <is>
          <t>Cái</t>
        </is>
      </c>
      <c r="K2890" s="5" t="n">
        <v>209000</v>
      </c>
      <c r="L2890" s="5" t="n">
        <v>247000</v>
      </c>
      <c r="M2890" s="6" t="n">
        <v>303000</v>
      </c>
      <c r="N2890" s="5" t="n"/>
      <c r="O2890" s="5">
        <f>IF(AND(ISNUMBER(N2890),ISNUMBER(M2890)),N2890-M2890,"")</f>
        <v/>
      </c>
      <c r="P2890" s="7">
        <f>IF(AND(ISNUMBER(N2890),ISNUMBER(M2890),M2890&gt;0),(N2890-M2890)/M2890,"")</f>
        <v/>
      </c>
      <c r="Q2890" s="3">
        <f>IF(P2890="","",IF(P2890&lt;-0.02,"🔴 Bán phá giá sàn",IF(P2890&gt;0.05,"🔵 Bán cao hơn","🟢 Đúng giá sàn TMĐT")))</f>
        <v/>
      </c>
      <c r="R2890" s="3" t="n"/>
      <c r="S2890" s="4" t="n"/>
      <c r="T2890" s="4" t="n"/>
    </row>
    <row r="2891">
      <c r="A2891" s="3" t="n">
        <v>2890</v>
      </c>
      <c r="B2891" s="3" t="inlineStr">
        <is>
          <t>DL027</t>
        </is>
      </c>
      <c r="C2891" s="4" t="inlineStr">
        <is>
          <t>ĐL Bình Định - Khoan Pin 77</t>
        </is>
      </c>
      <c r="D2891" s="3" t="inlineStr">
        <is>
          <t>GIA LAI 
(BÌNH ĐỊNH CŨ)</t>
        </is>
      </c>
      <c r="E2891" s="3" t="inlineStr">
        <is>
          <t>THÙY TRANG</t>
        </is>
      </c>
      <c r="F2891" s="3" t="inlineStr"/>
      <c r="G2891" s="4" t="inlineStr">
        <is>
          <t>SHOPEE: TIKTOK: LAZADA: WEBSITE BÁN HÀNG: YOUTUBE: https://www.youtube.com/channel/UCowiJLhwAySOYT7OCDWOOYA</t>
        </is>
      </c>
      <c r="H2891" s="3" t="inlineStr">
        <is>
          <t>KB-1301</t>
        </is>
      </c>
      <c r="I2891" s="4" t="inlineStr">
        <is>
          <t>Dụng cụ vát mép (ba via) ống đồng KingBlue, KB-1301</t>
        </is>
      </c>
      <c r="J2891" s="3" t="inlineStr">
        <is>
          <t>Cái</t>
        </is>
      </c>
      <c r="K2891" s="5" t="n">
        <v>135000</v>
      </c>
      <c r="L2891" s="5" t="n">
        <v>159000</v>
      </c>
      <c r="M2891" s="6" t="n">
        <v>196000</v>
      </c>
      <c r="N2891" s="5" t="n"/>
      <c r="O2891" s="5">
        <f>IF(AND(ISNUMBER(N2891),ISNUMBER(M2891)),N2891-M2891,"")</f>
        <v/>
      </c>
      <c r="P2891" s="7">
        <f>IF(AND(ISNUMBER(N2891),ISNUMBER(M2891),M2891&gt;0),(N2891-M2891)/M2891,"")</f>
        <v/>
      </c>
      <c r="Q2891" s="3">
        <f>IF(P2891="","",IF(P2891&lt;-0.02,"🔴 Bán phá giá sàn",IF(P2891&gt;0.05,"🔵 Bán cao hơn","🟢 Đúng giá sàn TMĐT")))</f>
        <v/>
      </c>
      <c r="R2891" s="3" t="n"/>
      <c r="S2891" s="4" t="n"/>
      <c r="T2891" s="4" t="n"/>
    </row>
    <row r="2892">
      <c r="A2892" s="3" t="n">
        <v>2891</v>
      </c>
      <c r="B2892" s="3" t="inlineStr">
        <is>
          <t>DL027</t>
        </is>
      </c>
      <c r="C2892" s="4" t="inlineStr">
        <is>
          <t>ĐL Bình Định - Khoan Pin 77</t>
        </is>
      </c>
      <c r="D2892" s="3" t="inlineStr">
        <is>
          <t>GIA LAI 
(BÌNH ĐỊNH CŨ)</t>
        </is>
      </c>
      <c r="E2892" s="3" t="inlineStr">
        <is>
          <t>THÙY TRANG</t>
        </is>
      </c>
      <c r="F2892" s="3" t="inlineStr"/>
      <c r="G2892" s="4" t="inlineStr">
        <is>
          <t>SHOPEE: TIKTOK: LAZADA: WEBSITE BÁN HÀNG: YOUTUBE: https://www.youtube.com/channel/UCowiJLhwAySOYT7OCDWOOYA</t>
        </is>
      </c>
      <c r="H2892" s="3" t="inlineStr">
        <is>
          <t>KFG-1.2/8/11.3</t>
        </is>
      </c>
      <c r="I2892" s="4" t="inlineStr">
        <is>
          <t>Ghim KFG-1.2/8/11.3</t>
        </is>
      </c>
      <c r="J2892" s="3" t="inlineStr">
        <is>
          <t>Hộp</t>
        </is>
      </c>
      <c r="K2892" s="5" t="n">
        <v>52000</v>
      </c>
      <c r="L2892" s="5" t="n">
        <v>61000</v>
      </c>
      <c r="M2892" s="6" t="n">
        <v>75000</v>
      </c>
      <c r="N2892" s="5" t="n"/>
      <c r="O2892" s="5">
        <f>IF(AND(ISNUMBER(N2892),ISNUMBER(M2892)),N2892-M2892,"")</f>
        <v/>
      </c>
      <c r="P2892" s="7">
        <f>IF(AND(ISNUMBER(N2892),ISNUMBER(M2892),M2892&gt;0),(N2892-M2892)/M2892,"")</f>
        <v/>
      </c>
      <c r="Q2892" s="3">
        <f>IF(P2892="","",IF(P2892&lt;-0.02,"🔴 Bán phá giá sàn",IF(P2892&gt;0.05,"🔵 Bán cao hơn","🟢 Đúng giá sàn TMĐT")))</f>
        <v/>
      </c>
      <c r="R2892" s="3" t="n"/>
      <c r="S2892" s="4" t="n"/>
      <c r="T2892" s="4" t="n"/>
    </row>
    <row r="2893">
      <c r="A2893" s="3" t="n">
        <v>2892</v>
      </c>
      <c r="B2893" s="3" t="inlineStr">
        <is>
          <t>DL027</t>
        </is>
      </c>
      <c r="C2893" s="4" t="inlineStr">
        <is>
          <t>ĐL Bình Định - Khoan Pin 77</t>
        </is>
      </c>
      <c r="D2893" s="3" t="inlineStr">
        <is>
          <t>GIA LAI 
(BÌNH ĐỊNH CŨ)</t>
        </is>
      </c>
      <c r="E2893" s="3" t="inlineStr">
        <is>
          <t>THÙY TRANG</t>
        </is>
      </c>
      <c r="F2893" s="3" t="inlineStr"/>
      <c r="G2893" s="4" t="inlineStr">
        <is>
          <t>SHOPEE: TIKTOK: LAZADA: WEBSITE BÁN HÀNG: YOUTUBE: https://www.youtube.com/channel/UCowiJLhwAySOYT7OCDWOOYA</t>
        </is>
      </c>
      <c r="H2893" s="3" t="inlineStr">
        <is>
          <t>HKE-924</t>
        </is>
      </c>
      <c r="I2893" s="4" t="inlineStr">
        <is>
          <t>Hít gạch điện tử HKE-924</t>
        </is>
      </c>
      <c r="J2893" s="3" t="inlineStr">
        <is>
          <t>Cái</t>
        </is>
      </c>
      <c r="K2893" s="5" t="n">
        <v>680000</v>
      </c>
      <c r="L2893" s="5" t="n">
        <v>789000</v>
      </c>
      <c r="M2893" s="6" t="n">
        <v>952000</v>
      </c>
      <c r="N2893" s="5" t="n"/>
      <c r="O2893" s="5">
        <f>IF(AND(ISNUMBER(N2893),ISNUMBER(M2893)),N2893-M2893,"")</f>
        <v/>
      </c>
      <c r="P2893" s="7">
        <f>IF(AND(ISNUMBER(N2893),ISNUMBER(M2893),M2893&gt;0),(N2893-M2893)/M2893,"")</f>
        <v/>
      </c>
      <c r="Q2893" s="3">
        <f>IF(P2893="","",IF(P2893&lt;-0.02,"🔴 Bán phá giá sàn",IF(P2893&gt;0.05,"🔵 Bán cao hơn","🟢 Đúng giá sàn TMĐT")))</f>
        <v/>
      </c>
      <c r="R2893" s="3" t="n"/>
      <c r="S2893" s="4" t="n"/>
      <c r="T2893" s="4" t="n"/>
    </row>
    <row r="2894">
      <c r="A2894" s="3" t="n">
        <v>2893</v>
      </c>
      <c r="B2894" s="3" t="inlineStr">
        <is>
          <t>DL027</t>
        </is>
      </c>
      <c r="C2894" s="4" t="inlineStr">
        <is>
          <t>ĐL Bình Định - Khoan Pin 77</t>
        </is>
      </c>
      <c r="D2894" s="3" t="inlineStr">
        <is>
          <t>GIA LAI 
(BÌNH ĐỊNH CŨ)</t>
        </is>
      </c>
      <c r="E2894" s="3" t="inlineStr">
        <is>
          <t>THÙY TRANG</t>
        </is>
      </c>
      <c r="F2894" s="3" t="inlineStr"/>
      <c r="G2894" s="4" t="inlineStr">
        <is>
          <t>SHOPEE: TIKTOK: LAZADA: WEBSITE BÁN HÀNG: YOUTUBE: https://www.youtube.com/channel/UCowiJLhwAySOYT7OCDWOOYA</t>
        </is>
      </c>
      <c r="H2894" s="3" t="inlineStr">
        <is>
          <t>HKE-200</t>
        </is>
      </c>
      <c r="I2894" s="4" t="inlineStr">
        <is>
          <t>Hít kính điện tử HKE-200</t>
        </is>
      </c>
      <c r="J2894" s="3" t="inlineStr">
        <is>
          <t>Cái</t>
        </is>
      </c>
      <c r="K2894" s="5" t="n">
        <v>583000</v>
      </c>
      <c r="L2894" s="5" t="n">
        <v>676000</v>
      </c>
      <c r="M2894" s="6" t="n">
        <v>816000</v>
      </c>
      <c r="N2894" s="5" t="n"/>
      <c r="O2894" s="5">
        <f>IF(AND(ISNUMBER(N2894),ISNUMBER(M2894)),N2894-M2894,"")</f>
        <v/>
      </c>
      <c r="P2894" s="7">
        <f>IF(AND(ISNUMBER(N2894),ISNUMBER(M2894),M2894&gt;0),(N2894-M2894)/M2894,"")</f>
        <v/>
      </c>
      <c r="Q2894" s="3">
        <f>IF(P2894="","",IF(P2894&lt;-0.02,"🔴 Bán phá giá sàn",IF(P2894&gt;0.05,"🔵 Bán cao hơn","🟢 Đúng giá sàn TMĐT")))</f>
        <v/>
      </c>
      <c r="R2894" s="3" t="n"/>
      <c r="S2894" s="4" t="n"/>
      <c r="T2894" s="4" t="n"/>
    </row>
    <row r="2895">
      <c r="A2895" s="3" t="n">
        <v>2894</v>
      </c>
      <c r="B2895" s="3" t="inlineStr">
        <is>
          <t>DL027</t>
        </is>
      </c>
      <c r="C2895" s="4" t="inlineStr">
        <is>
          <t>ĐL Bình Định - Khoan Pin 77</t>
        </is>
      </c>
      <c r="D2895" s="3" t="inlineStr">
        <is>
          <t>GIA LAI 
(BÌNH ĐỊNH CŨ)</t>
        </is>
      </c>
      <c r="E2895" s="3" t="inlineStr">
        <is>
          <t>THÙY TRANG</t>
        </is>
      </c>
      <c r="F2895" s="3" t="inlineStr"/>
      <c r="G2895" s="4" t="inlineStr">
        <is>
          <t>SHOPEE: TIKTOK: LAZADA: WEBSITE BÁN HÀNG: YOUTUBE: https://www.youtube.com/channel/UCowiJLhwAySOYT7OCDWOOYA</t>
        </is>
      </c>
      <c r="H2895" s="3" t="inlineStr">
        <is>
          <t>HK1-50</t>
        </is>
      </c>
      <c r="I2895" s="4" t="inlineStr">
        <is>
          <t>Hít kính HK1-50</t>
        </is>
      </c>
      <c r="J2895" s="3" t="inlineStr">
        <is>
          <t>Cái</t>
        </is>
      </c>
      <c r="K2895" s="5" t="n">
        <v>182000</v>
      </c>
      <c r="L2895" s="5" t="n">
        <v>215000</v>
      </c>
      <c r="M2895" s="6" t="n">
        <v>264000</v>
      </c>
      <c r="N2895" s="5" t="n"/>
      <c r="O2895" s="5">
        <f>IF(AND(ISNUMBER(N2895),ISNUMBER(M2895)),N2895-M2895,"")</f>
        <v/>
      </c>
      <c r="P2895" s="7">
        <f>IF(AND(ISNUMBER(N2895),ISNUMBER(M2895),M2895&gt;0),(N2895-M2895)/M2895,"")</f>
        <v/>
      </c>
      <c r="Q2895" s="3">
        <f>IF(P2895="","",IF(P2895&lt;-0.02,"🔴 Bán phá giá sàn",IF(P2895&gt;0.05,"🔵 Bán cao hơn","🟢 Đúng giá sàn TMĐT")))</f>
        <v/>
      </c>
      <c r="R2895" s="3" t="n"/>
      <c r="S2895" s="4" t="n"/>
      <c r="T2895" s="4" t="n"/>
    </row>
    <row r="2896">
      <c r="A2896" s="3" t="n">
        <v>2895</v>
      </c>
      <c r="B2896" s="3" t="inlineStr">
        <is>
          <t>DL027</t>
        </is>
      </c>
      <c r="C2896" s="4" t="inlineStr">
        <is>
          <t>ĐL Bình Định - Khoan Pin 77</t>
        </is>
      </c>
      <c r="D2896" s="3" t="inlineStr">
        <is>
          <t>GIA LAI 
(BÌNH ĐỊNH CŨ)</t>
        </is>
      </c>
      <c r="E2896" s="3" t="inlineStr">
        <is>
          <t>THÙY TRANG</t>
        </is>
      </c>
      <c r="F2896" s="3" t="inlineStr"/>
      <c r="G2896" s="4" t="inlineStr">
        <is>
          <t>SHOPEE: TIKTOK: LAZADA: WEBSITE BÁN HÀNG: YOUTUBE: https://www.youtube.com/channel/UCowiJLhwAySOYT7OCDWOOYA</t>
        </is>
      </c>
      <c r="H2896" s="3" t="inlineStr">
        <is>
          <t>HK2-130</t>
        </is>
      </c>
      <c r="I2896" s="4" t="inlineStr">
        <is>
          <t>Hít kính HK2-130</t>
        </is>
      </c>
      <c r="J2896" s="3" t="inlineStr">
        <is>
          <t>Cái</t>
        </is>
      </c>
      <c r="K2896" s="5" t="n">
        <v>308000</v>
      </c>
      <c r="L2896" s="5" t="n">
        <v>364000</v>
      </c>
      <c r="M2896" s="6" t="n">
        <v>447000</v>
      </c>
      <c r="N2896" s="5" t="n"/>
      <c r="O2896" s="5">
        <f>IF(AND(ISNUMBER(N2896),ISNUMBER(M2896)),N2896-M2896,"")</f>
        <v/>
      </c>
      <c r="P2896" s="7">
        <f>IF(AND(ISNUMBER(N2896),ISNUMBER(M2896),M2896&gt;0),(N2896-M2896)/M2896,"")</f>
        <v/>
      </c>
      <c r="Q2896" s="3">
        <f>IF(P2896="","",IF(P2896&lt;-0.02,"🔴 Bán phá giá sàn",IF(P2896&gt;0.05,"🔵 Bán cao hơn","🟢 Đúng giá sàn TMĐT")))</f>
        <v/>
      </c>
      <c r="R2896" s="3" t="n"/>
      <c r="S2896" s="4" t="n"/>
      <c r="T2896" s="4" t="n"/>
    </row>
    <row r="2897">
      <c r="A2897" s="3" t="n">
        <v>2896</v>
      </c>
      <c r="B2897" s="3" t="inlineStr">
        <is>
          <t>DL027</t>
        </is>
      </c>
      <c r="C2897" s="4" t="inlineStr">
        <is>
          <t>ĐL Bình Định - Khoan Pin 77</t>
        </is>
      </c>
      <c r="D2897" s="3" t="inlineStr">
        <is>
          <t>GIA LAI 
(BÌNH ĐỊNH CŨ)</t>
        </is>
      </c>
      <c r="E2897" s="3" t="inlineStr">
        <is>
          <t>THÙY TRANG</t>
        </is>
      </c>
      <c r="F2897" s="3" t="inlineStr"/>
      <c r="G2897" s="4" t="inlineStr">
        <is>
          <t>SHOPEE: TIKTOK: LAZADA: WEBSITE BÁN HÀNG: YOUTUBE: https://www.youtube.com/channel/UCowiJLhwAySOYT7OCDWOOYA</t>
        </is>
      </c>
      <c r="H2897" s="3" t="inlineStr">
        <is>
          <t>S8-PA</t>
        </is>
      </c>
      <c r="I2897" s="4" t="inlineStr">
        <is>
          <t>Kéo cắt cành cây màu xanh S8-PA</t>
        </is>
      </c>
      <c r="J2897" s="3" t="inlineStr">
        <is>
          <t>Cái</t>
        </is>
      </c>
      <c r="K2897" s="5" t="n">
        <v>617000</v>
      </c>
      <c r="L2897" s="5" t="n">
        <v>728000</v>
      </c>
      <c r="M2897" s="6" t="n">
        <v>895000</v>
      </c>
      <c r="N2897" s="5" t="n"/>
      <c r="O2897" s="5">
        <f>IF(AND(ISNUMBER(N2897),ISNUMBER(M2897)),N2897-M2897,"")</f>
        <v/>
      </c>
      <c r="P2897" s="7">
        <f>IF(AND(ISNUMBER(N2897),ISNUMBER(M2897),M2897&gt;0),(N2897-M2897)/M2897,"")</f>
        <v/>
      </c>
      <c r="Q2897" s="3">
        <f>IF(P2897="","",IF(P2897&lt;-0.02,"🔴 Bán phá giá sàn",IF(P2897&gt;0.05,"🔵 Bán cao hơn","🟢 Đúng giá sàn TMĐT")))</f>
        <v/>
      </c>
      <c r="R2897" s="3" t="n"/>
      <c r="S2897" s="4" t="n"/>
      <c r="T2897" s="4" t="n"/>
    </row>
    <row r="2898">
      <c r="A2898" s="3" t="n">
        <v>2897</v>
      </c>
      <c r="B2898" s="3" t="inlineStr">
        <is>
          <t>DL027</t>
        </is>
      </c>
      <c r="C2898" s="4" t="inlineStr">
        <is>
          <t>ĐL Bình Định - Khoan Pin 77</t>
        </is>
      </c>
      <c r="D2898" s="3" t="inlineStr">
        <is>
          <t>GIA LAI 
(BÌNH ĐỊNH CŨ)</t>
        </is>
      </c>
      <c r="E2898" s="3" t="inlineStr">
        <is>
          <t>THÙY TRANG</t>
        </is>
      </c>
      <c r="F2898" s="3" t="inlineStr"/>
      <c r="G2898" s="4" t="inlineStr">
        <is>
          <t>SHOPEE: TIKTOK: LAZADA: WEBSITE BÁN HÀNG: YOUTUBE: https://www.youtube.com/channel/UCowiJLhwAySOYT7OCDWOOYA</t>
        </is>
      </c>
      <c r="H2898" s="3" t="inlineStr">
        <is>
          <t>KBE-BL2816</t>
        </is>
      </c>
      <c r="I2898" s="4" t="inlineStr">
        <is>
          <t>Kéo cắt cành pin KBE-BL2816</t>
        </is>
      </c>
      <c r="J2898" s="3" t="inlineStr">
        <is>
          <t>Cái</t>
        </is>
      </c>
      <c r="K2898" s="5" t="n">
        <v>1600000</v>
      </c>
      <c r="L2898" s="5" t="n">
        <v>1760000</v>
      </c>
      <c r="M2898" s="6" t="n">
        <v>2000000</v>
      </c>
      <c r="N2898" s="5" t="n"/>
      <c r="O2898" s="5">
        <f>IF(AND(ISNUMBER(N2898),ISNUMBER(M2898)),N2898-M2898,"")</f>
        <v/>
      </c>
      <c r="P2898" s="7">
        <f>IF(AND(ISNUMBER(N2898),ISNUMBER(M2898),M2898&gt;0),(N2898-M2898)/M2898,"")</f>
        <v/>
      </c>
      <c r="Q2898" s="3">
        <f>IF(P2898="","",IF(P2898&lt;-0.02,"🔴 Bán phá giá sàn",IF(P2898&gt;0.05,"🔵 Bán cao hơn","🟢 Đúng giá sàn TMĐT")))</f>
        <v/>
      </c>
      <c r="R2898" s="3" t="n"/>
      <c r="S2898" s="4" t="n"/>
      <c r="T2898" s="4" t="n"/>
    </row>
    <row r="2899">
      <c r="A2899" s="3" t="n">
        <v>2898</v>
      </c>
      <c r="B2899" s="3" t="inlineStr">
        <is>
          <t>DL027</t>
        </is>
      </c>
      <c r="C2899" s="4" t="inlineStr">
        <is>
          <t>ĐL Bình Định - Khoan Pin 77</t>
        </is>
      </c>
      <c r="D2899" s="3" t="inlineStr">
        <is>
          <t>GIA LAI 
(BÌNH ĐỊNH CŨ)</t>
        </is>
      </c>
      <c r="E2899" s="3" t="inlineStr">
        <is>
          <t>THÙY TRANG</t>
        </is>
      </c>
      <c r="F2899" s="3" t="inlineStr"/>
      <c r="G2899" s="4" t="inlineStr">
        <is>
          <t>SHOPEE: TIKTOK: LAZADA: WEBSITE BÁN HÀNG: YOUTUBE: https://www.youtube.com/channel/UCowiJLhwAySOYT7OCDWOOYA</t>
        </is>
      </c>
      <c r="H2899" s="3" t="inlineStr">
        <is>
          <t>QC4</t>
        </is>
      </c>
      <c r="I2899" s="4" t="inlineStr">
        <is>
          <t>Kéo cắt đa năng QC4</t>
        </is>
      </c>
      <c r="J2899" s="3" t="inlineStr">
        <is>
          <t>Cái</t>
        </is>
      </c>
      <c r="K2899" s="5" t="n">
        <v>103000</v>
      </c>
      <c r="L2899" s="5" t="n">
        <v>121000</v>
      </c>
      <c r="M2899" s="6" t="n">
        <v>149000</v>
      </c>
      <c r="N2899" s="5" t="n"/>
      <c r="O2899" s="5">
        <f>IF(AND(ISNUMBER(N2899),ISNUMBER(M2899)),N2899-M2899,"")</f>
        <v/>
      </c>
      <c r="P2899" s="7">
        <f>IF(AND(ISNUMBER(N2899),ISNUMBER(M2899),M2899&gt;0),(N2899-M2899)/M2899,"")</f>
        <v/>
      </c>
      <c r="Q2899" s="3">
        <f>IF(P2899="","",IF(P2899&lt;-0.02,"🔴 Bán phá giá sàn",IF(P2899&gt;0.05,"🔵 Bán cao hơn","🟢 Đúng giá sàn TMĐT")))</f>
        <v/>
      </c>
      <c r="R2899" s="3" t="n"/>
      <c r="S2899" s="4" t="n"/>
      <c r="T2899" s="4" t="n"/>
    </row>
    <row r="2900">
      <c r="A2900" s="3" t="n">
        <v>2899</v>
      </c>
      <c r="B2900" s="3" t="inlineStr">
        <is>
          <t>DL027</t>
        </is>
      </c>
      <c r="C2900" s="4" t="inlineStr">
        <is>
          <t>ĐL Bình Định - Khoan Pin 77</t>
        </is>
      </c>
      <c r="D2900" s="3" t="inlineStr">
        <is>
          <t>GIA LAI 
(BÌNH ĐỊNH CŨ)</t>
        </is>
      </c>
      <c r="E2900" s="3" t="inlineStr">
        <is>
          <t>THÙY TRANG</t>
        </is>
      </c>
      <c r="F2900" s="3" t="inlineStr"/>
      <c r="G2900" s="4" t="inlineStr">
        <is>
          <t>SHOPEE: TIKTOK: LAZADA: WEBSITE BÁN HÀNG: YOUTUBE: https://www.youtube.com/channel/UCowiJLhwAySOYT7OCDWOOYA</t>
        </is>
      </c>
      <c r="H2900" s="3" t="inlineStr">
        <is>
          <t>KPQ-32</t>
        </is>
      </c>
      <c r="I2900" s="4" t="inlineStr">
        <is>
          <t>Kéo cắt góc nẹp điện KPQ-32</t>
        </is>
      </c>
      <c r="J2900" s="3" t="inlineStr">
        <is>
          <t>Cái</t>
        </is>
      </c>
      <c r="K2900" s="5" t="n">
        <v>163000</v>
      </c>
      <c r="L2900" s="5" t="n">
        <v>192000</v>
      </c>
      <c r="M2900" s="6" t="n">
        <v>236000</v>
      </c>
      <c r="N2900" s="5" t="n"/>
      <c r="O2900" s="5">
        <f>IF(AND(ISNUMBER(N2900),ISNUMBER(M2900)),N2900-M2900,"")</f>
        <v/>
      </c>
      <c r="P2900" s="7">
        <f>IF(AND(ISNUMBER(N2900),ISNUMBER(M2900),M2900&gt;0),(N2900-M2900)/M2900,"")</f>
        <v/>
      </c>
      <c r="Q2900" s="3">
        <f>IF(P2900="","",IF(P2900&lt;-0.02,"🔴 Bán phá giá sàn",IF(P2900&gt;0.05,"🔵 Bán cao hơn","🟢 Đúng giá sàn TMĐT")))</f>
        <v/>
      </c>
      <c r="R2900" s="3" t="n"/>
      <c r="S2900" s="4" t="n"/>
      <c r="T2900" s="4" t="n"/>
    </row>
    <row r="2901">
      <c r="A2901" s="3" t="n">
        <v>2900</v>
      </c>
      <c r="B2901" s="3" t="inlineStr">
        <is>
          <t>DL027</t>
        </is>
      </c>
      <c r="C2901" s="4" t="inlineStr">
        <is>
          <t>ĐL Bình Định - Khoan Pin 77</t>
        </is>
      </c>
      <c r="D2901" s="3" t="inlineStr">
        <is>
          <t>GIA LAI 
(BÌNH ĐỊNH CŨ)</t>
        </is>
      </c>
      <c r="E2901" s="3" t="inlineStr">
        <is>
          <t>THÙY TRANG</t>
        </is>
      </c>
      <c r="F2901" s="3" t="inlineStr"/>
      <c r="G2901" s="4" t="inlineStr">
        <is>
          <t>SHOPEE: TIKTOK: LAZADA: WEBSITE BÁN HÀNG: YOUTUBE: https://www.youtube.com/channel/UCowiJLhwAySOYT7OCDWOOYA</t>
        </is>
      </c>
      <c r="H2901" s="3" t="inlineStr">
        <is>
          <t>KPC-132</t>
        </is>
      </c>
      <c r="I2901" s="4" t="inlineStr">
        <is>
          <t>Kéo cắt ống KPC-132</t>
        </is>
      </c>
      <c r="J2901" s="3" t="inlineStr">
        <is>
          <t>Cái</t>
        </is>
      </c>
      <c r="K2901" s="5" t="n">
        <v>101000</v>
      </c>
      <c r="L2901" s="5" t="n">
        <v>119000</v>
      </c>
      <c r="M2901" s="6" t="n">
        <v>147000</v>
      </c>
      <c r="N2901" s="5" t="n"/>
      <c r="O2901" s="5">
        <f>IF(AND(ISNUMBER(N2901),ISNUMBER(M2901)),N2901-M2901,"")</f>
        <v/>
      </c>
      <c r="P2901" s="7">
        <f>IF(AND(ISNUMBER(N2901),ISNUMBER(M2901),M2901&gt;0),(N2901-M2901)/M2901,"")</f>
        <v/>
      </c>
      <c r="Q2901" s="3">
        <f>IF(P2901="","",IF(P2901&lt;-0.02,"🔴 Bán phá giá sàn",IF(P2901&gt;0.05,"🔵 Bán cao hơn","🟢 Đúng giá sàn TMĐT")))</f>
        <v/>
      </c>
      <c r="R2901" s="3" t="n"/>
      <c r="S2901" s="4" t="n"/>
      <c r="T2901" s="4" t="n"/>
    </row>
    <row r="2902">
      <c r="A2902" s="3" t="n">
        <v>2901</v>
      </c>
      <c r="B2902" s="3" t="inlineStr">
        <is>
          <t>DL027</t>
        </is>
      </c>
      <c r="C2902" s="4" t="inlineStr">
        <is>
          <t>ĐL Bình Định - Khoan Pin 77</t>
        </is>
      </c>
      <c r="D2902" s="3" t="inlineStr">
        <is>
          <t>GIA LAI 
(BÌNH ĐỊNH CŨ)</t>
        </is>
      </c>
      <c r="E2902" s="3" t="inlineStr">
        <is>
          <t>THÙY TRANG</t>
        </is>
      </c>
      <c r="F2902" s="3" t="inlineStr"/>
      <c r="G2902" s="4" t="inlineStr">
        <is>
          <t>SHOPEE: TIKTOK: LAZADA: WEBSITE BÁN HÀNG: YOUTUBE: https://www.youtube.com/channel/UCowiJLhwAySOYT7OCDWOOYA</t>
        </is>
      </c>
      <c r="H2902" s="3" t="inlineStr">
        <is>
          <t>KPC-142</t>
        </is>
      </c>
      <c r="I2902" s="4" t="inlineStr">
        <is>
          <t>Kéo cắt ống KPC-142 (NEW)</t>
        </is>
      </c>
      <c r="J2902" s="3" t="inlineStr">
        <is>
          <t>Cái</t>
        </is>
      </c>
      <c r="K2902" s="5" t="n">
        <v>269000</v>
      </c>
      <c r="L2902" s="5" t="n">
        <v>317000</v>
      </c>
      <c r="M2902" s="6" t="n">
        <v>390000</v>
      </c>
      <c r="N2902" s="5" t="n"/>
      <c r="O2902" s="5">
        <f>IF(AND(ISNUMBER(N2902),ISNUMBER(M2902)),N2902-M2902,"")</f>
        <v/>
      </c>
      <c r="P2902" s="7">
        <f>IF(AND(ISNUMBER(N2902),ISNUMBER(M2902),M2902&gt;0),(N2902-M2902)/M2902,"")</f>
        <v/>
      </c>
      <c r="Q2902" s="3">
        <f>IF(P2902="","",IF(P2902&lt;-0.02,"🔴 Bán phá giá sàn",IF(P2902&gt;0.05,"🔵 Bán cao hơn","🟢 Đúng giá sàn TMĐT")))</f>
        <v/>
      </c>
      <c r="R2902" s="3" t="n"/>
      <c r="S2902" s="4" t="n"/>
      <c r="T2902" s="4" t="n"/>
    </row>
    <row r="2903">
      <c r="A2903" s="3" t="n">
        <v>2902</v>
      </c>
      <c r="B2903" s="3" t="inlineStr">
        <is>
          <t>DL027</t>
        </is>
      </c>
      <c r="C2903" s="4" t="inlineStr">
        <is>
          <t>ĐL Bình Định - Khoan Pin 77</t>
        </is>
      </c>
      <c r="D2903" s="3" t="inlineStr">
        <is>
          <t>GIA LAI 
(BÌNH ĐỊNH CŨ)</t>
        </is>
      </c>
      <c r="E2903" s="3" t="inlineStr">
        <is>
          <t>THÙY TRANG</t>
        </is>
      </c>
      <c r="F2903" s="3" t="inlineStr"/>
      <c r="G2903" s="4" t="inlineStr">
        <is>
          <t>SHOPEE: TIKTOK: LAZADA: WEBSITE BÁN HÀNG: YOUTUBE: https://www.youtube.com/channel/UCowiJLhwAySOYT7OCDWOOYA</t>
        </is>
      </c>
      <c r="H2903" s="3" t="inlineStr">
        <is>
          <t>KCT-250</t>
        </is>
      </c>
      <c r="I2903" s="4" t="inlineStr">
        <is>
          <t>Kéo cắt thạch cao (tole) KCT-250</t>
        </is>
      </c>
      <c r="J2903" s="3" t="inlineStr">
        <is>
          <t>Cái</t>
        </is>
      </c>
      <c r="K2903" s="5" t="n">
        <v>105000</v>
      </c>
      <c r="L2903" s="5" t="n">
        <v>124000</v>
      </c>
      <c r="M2903" s="6" t="n">
        <v>152000</v>
      </c>
      <c r="N2903" s="5" t="n"/>
      <c r="O2903" s="5">
        <f>IF(AND(ISNUMBER(N2903),ISNUMBER(M2903)),N2903-M2903,"")</f>
        <v/>
      </c>
      <c r="P2903" s="7">
        <f>IF(AND(ISNUMBER(N2903),ISNUMBER(M2903),M2903&gt;0),(N2903-M2903)/M2903,"")</f>
        <v/>
      </c>
      <c r="Q2903" s="3">
        <f>IF(P2903="","",IF(P2903&lt;-0.02,"🔴 Bán phá giá sàn",IF(P2903&gt;0.05,"🔵 Bán cao hơn","🟢 Đúng giá sàn TMĐT")))</f>
        <v/>
      </c>
      <c r="R2903" s="3" t="n"/>
      <c r="S2903" s="4" t="n"/>
      <c r="T2903" s="4" t="n"/>
    </row>
    <row r="2904">
      <c r="A2904" s="3" t="n">
        <v>2903</v>
      </c>
      <c r="B2904" s="3" t="inlineStr">
        <is>
          <t>DL027</t>
        </is>
      </c>
      <c r="C2904" s="4" t="inlineStr">
        <is>
          <t>ĐL Bình Định - Khoan Pin 77</t>
        </is>
      </c>
      <c r="D2904" s="3" t="inlineStr">
        <is>
          <t>GIA LAI 
(BÌNH ĐỊNH CŨ)</t>
        </is>
      </c>
      <c r="E2904" s="3" t="inlineStr">
        <is>
          <t>THÙY TRANG</t>
        </is>
      </c>
      <c r="F2904" s="3" t="inlineStr"/>
      <c r="G2904" s="4" t="inlineStr">
        <is>
          <t>SHOPEE: TIKTOK: LAZADA: WEBSITE BÁN HÀNG: YOUTUBE: https://www.youtube.com/channel/UCowiJLhwAySOYT7OCDWOOYA</t>
        </is>
      </c>
      <c r="H2904" s="3" t="inlineStr">
        <is>
          <t>QC2</t>
        </is>
      </c>
      <c r="I2904" s="4" t="inlineStr">
        <is>
          <t>Kéo cắt trái cây QC2</t>
        </is>
      </c>
      <c r="J2904" s="3" t="inlineStr">
        <is>
          <t>Cái</t>
        </is>
      </c>
      <c r="K2904" s="5" t="n">
        <v>65000</v>
      </c>
      <c r="L2904" s="5" t="n">
        <v>77000</v>
      </c>
      <c r="M2904" s="6" t="n">
        <v>94000</v>
      </c>
      <c r="N2904" s="5" t="n"/>
      <c r="O2904" s="5">
        <f>IF(AND(ISNUMBER(N2904),ISNUMBER(M2904)),N2904-M2904,"")</f>
        <v/>
      </c>
      <c r="P2904" s="7">
        <f>IF(AND(ISNUMBER(N2904),ISNUMBER(M2904),M2904&gt;0),(N2904-M2904)/M2904,"")</f>
        <v/>
      </c>
      <c r="Q2904" s="3">
        <f>IF(P2904="","",IF(P2904&lt;-0.02,"🔴 Bán phá giá sàn",IF(P2904&gt;0.05,"🔵 Bán cao hơn","🟢 Đúng giá sàn TMĐT")))</f>
        <v/>
      </c>
      <c r="R2904" s="3" t="n"/>
      <c r="S2904" s="4" t="n"/>
      <c r="T2904" s="4" t="n"/>
    </row>
    <row r="2905">
      <c r="A2905" s="3" t="n">
        <v>2904</v>
      </c>
      <c r="B2905" s="3" t="inlineStr">
        <is>
          <t>DL027</t>
        </is>
      </c>
      <c r="C2905" s="4" t="inlineStr">
        <is>
          <t>ĐL Bình Định - Khoan Pin 77</t>
        </is>
      </c>
      <c r="D2905" s="3" t="inlineStr">
        <is>
          <t>GIA LAI 
(BÌNH ĐỊNH CŨ)</t>
        </is>
      </c>
      <c r="E2905" s="3" t="inlineStr">
        <is>
          <t>THÙY TRANG</t>
        </is>
      </c>
      <c r="F2905" s="3" t="inlineStr"/>
      <c r="G2905" s="4" t="inlineStr">
        <is>
          <t>SHOPEE: TIKTOK: LAZADA: WEBSITE BÁN HÀNG: YOUTUBE: https://www.youtube.com/channel/UCowiJLhwAySOYT7OCDWOOYA</t>
        </is>
      </c>
      <c r="H2905" s="3" t="inlineStr">
        <is>
          <t>KB001-Q1</t>
        </is>
      </c>
      <c r="I2905" s="4" t="inlineStr">
        <is>
          <t>Kéo KB001-Q1</t>
        </is>
      </c>
      <c r="J2905" s="3" t="inlineStr">
        <is>
          <t>Cái</t>
        </is>
      </c>
      <c r="K2905" s="5" t="n">
        <v>79000</v>
      </c>
      <c r="L2905" s="5" t="n">
        <v>93000</v>
      </c>
      <c r="M2905" s="6" t="n">
        <v>115000</v>
      </c>
      <c r="N2905" s="5" t="n"/>
      <c r="O2905" s="5">
        <f>IF(AND(ISNUMBER(N2905),ISNUMBER(M2905)),N2905-M2905,"")</f>
        <v/>
      </c>
      <c r="P2905" s="7">
        <f>IF(AND(ISNUMBER(N2905),ISNUMBER(M2905),M2905&gt;0),(N2905-M2905)/M2905,"")</f>
        <v/>
      </c>
      <c r="Q2905" s="3">
        <f>IF(P2905="","",IF(P2905&lt;-0.02,"🔴 Bán phá giá sàn",IF(P2905&gt;0.05,"🔵 Bán cao hơn","🟢 Đúng giá sàn TMĐT")))</f>
        <v/>
      </c>
      <c r="R2905" s="3" t="n"/>
      <c r="S2905" s="4" t="n"/>
      <c r="T2905" s="4" t="n"/>
    </row>
    <row r="2906">
      <c r="A2906" s="3" t="n">
        <v>2905</v>
      </c>
      <c r="B2906" s="3" t="inlineStr">
        <is>
          <t>DL027</t>
        </is>
      </c>
      <c r="C2906" s="4" t="inlineStr">
        <is>
          <t>ĐL Bình Định - Khoan Pin 77</t>
        </is>
      </c>
      <c r="D2906" s="3" t="inlineStr">
        <is>
          <t>GIA LAI 
(BÌNH ĐỊNH CŨ)</t>
        </is>
      </c>
      <c r="E2906" s="3" t="inlineStr">
        <is>
          <t>THÙY TRANG</t>
        </is>
      </c>
      <c r="F2906" s="3" t="inlineStr"/>
      <c r="G2906" s="4" t="inlineStr">
        <is>
          <t>SHOPEE: TIKTOK: LAZADA: WEBSITE BÁN HÀNG: YOUTUBE: https://www.youtube.com/channel/UCowiJLhwAySOYT7OCDWOOYA</t>
        </is>
      </c>
      <c r="H2906" s="3" t="inlineStr">
        <is>
          <t>KB004-S8</t>
        </is>
      </c>
      <c r="I2906" s="4" t="inlineStr">
        <is>
          <t>Kéo KB004-S8</t>
        </is>
      </c>
      <c r="J2906" s="3" t="inlineStr">
        <is>
          <t>Cái</t>
        </is>
      </c>
      <c r="K2906" s="5" t="n">
        <v>244000</v>
      </c>
      <c r="L2906" s="5" t="n">
        <v>288000</v>
      </c>
      <c r="M2906" s="6" t="n">
        <v>354000</v>
      </c>
      <c r="N2906" s="5" t="n"/>
      <c r="O2906" s="5">
        <f>IF(AND(ISNUMBER(N2906),ISNUMBER(M2906)),N2906-M2906,"")</f>
        <v/>
      </c>
      <c r="P2906" s="7">
        <f>IF(AND(ISNUMBER(N2906),ISNUMBER(M2906),M2906&gt;0),(N2906-M2906)/M2906,"")</f>
        <v/>
      </c>
      <c r="Q2906" s="3">
        <f>IF(P2906="","",IF(P2906&lt;-0.02,"🔴 Bán phá giá sàn",IF(P2906&gt;0.05,"🔵 Bán cao hơn","🟢 Đúng giá sàn TMĐT")))</f>
        <v/>
      </c>
      <c r="R2906" s="3" t="n"/>
      <c r="S2906" s="4" t="n"/>
      <c r="T2906" s="4" t="n"/>
    </row>
    <row r="2907">
      <c r="A2907" s="3" t="n">
        <v>2906</v>
      </c>
      <c r="B2907" s="3" t="inlineStr">
        <is>
          <t>DL027</t>
        </is>
      </c>
      <c r="C2907" s="4" t="inlineStr">
        <is>
          <t>ĐL Bình Định - Khoan Pin 77</t>
        </is>
      </c>
      <c r="D2907" s="3" t="inlineStr">
        <is>
          <t>GIA LAI 
(BÌNH ĐỊNH CŨ)</t>
        </is>
      </c>
      <c r="E2907" s="3" t="inlineStr">
        <is>
          <t>THÙY TRANG</t>
        </is>
      </c>
      <c r="F2907" s="3" t="inlineStr"/>
      <c r="G2907" s="4" t="inlineStr">
        <is>
          <t>SHOPEE: TIKTOK: LAZADA: WEBSITE BÁN HÀNG: YOUTUBE: https://www.youtube.com/channel/UCowiJLhwAySOYT7OCDWOOYA</t>
        </is>
      </c>
      <c r="H2907" s="3" t="inlineStr">
        <is>
          <t>Q9</t>
        </is>
      </c>
      <c r="I2907" s="4" t="inlineStr">
        <is>
          <t>Kéo Q9</t>
        </is>
      </c>
      <c r="J2907" s="3" t="inlineStr">
        <is>
          <t>Cái</t>
        </is>
      </c>
      <c r="K2907" s="5" t="n">
        <v>185000</v>
      </c>
      <c r="L2907" s="5" t="n">
        <v>218000</v>
      </c>
      <c r="M2907" s="6" t="n">
        <v>268000</v>
      </c>
      <c r="N2907" s="5" t="n"/>
      <c r="O2907" s="5">
        <f>IF(AND(ISNUMBER(N2907),ISNUMBER(M2907)),N2907-M2907,"")</f>
        <v/>
      </c>
      <c r="P2907" s="7">
        <f>IF(AND(ISNUMBER(N2907),ISNUMBER(M2907),M2907&gt;0),(N2907-M2907)/M2907,"")</f>
        <v/>
      </c>
      <c r="Q2907" s="3">
        <f>IF(P2907="","",IF(P2907&lt;-0.02,"🔴 Bán phá giá sàn",IF(P2907&gt;0.05,"🔵 Bán cao hơn","🟢 Đúng giá sàn TMĐT")))</f>
        <v/>
      </c>
      <c r="R2907" s="3" t="n"/>
      <c r="S2907" s="4" t="n"/>
      <c r="T2907" s="4" t="n"/>
    </row>
    <row r="2908">
      <c r="A2908" s="3" t="n">
        <v>2907</v>
      </c>
      <c r="B2908" s="3" t="inlineStr">
        <is>
          <t>DL027</t>
        </is>
      </c>
      <c r="C2908" s="4" t="inlineStr">
        <is>
          <t>ĐL Bình Định - Khoan Pin 77</t>
        </is>
      </c>
      <c r="D2908" s="3" t="inlineStr">
        <is>
          <t>GIA LAI 
(BÌNH ĐỊNH CŨ)</t>
        </is>
      </c>
      <c r="E2908" s="3" t="inlineStr">
        <is>
          <t>THÙY TRANG</t>
        </is>
      </c>
      <c r="F2908" s="3" t="inlineStr"/>
      <c r="G2908" s="4" t="inlineStr">
        <is>
          <t>SHOPEE: TIKTOK: LAZADA: WEBSITE BÁN HÀNG: YOUTUBE: https://www.youtube.com/channel/UCowiJLhwAySOYT7OCDWOOYA</t>
        </is>
      </c>
      <c r="H2908" s="3" t="inlineStr">
        <is>
          <t>KBY3-030CO</t>
        </is>
      </c>
      <c r="I2908" s="4" t="inlineStr">
        <is>
          <t>Khoan inox chuôi lục KBY3-030CO</t>
        </is>
      </c>
      <c r="J2908" s="3" t="inlineStr">
        <is>
          <t>Vỉ</t>
        </is>
      </c>
      <c r="K2908" s="5" t="n">
        <v>31000</v>
      </c>
      <c r="L2908" s="5" t="n">
        <v>39000</v>
      </c>
      <c r="M2908" s="6" t="n">
        <v>50000</v>
      </c>
      <c r="N2908" s="5" t="n"/>
      <c r="O2908" s="5">
        <f>IF(AND(ISNUMBER(N2908),ISNUMBER(M2908)),N2908-M2908,"")</f>
        <v/>
      </c>
      <c r="P2908" s="7">
        <f>IF(AND(ISNUMBER(N2908),ISNUMBER(M2908),M2908&gt;0),(N2908-M2908)/M2908,"")</f>
        <v/>
      </c>
      <c r="Q2908" s="3">
        <f>IF(P2908="","",IF(P2908&lt;-0.02,"🔴 Bán phá giá sàn",IF(P2908&gt;0.05,"🔵 Bán cao hơn","🟢 Đúng giá sàn TMĐT")))</f>
        <v/>
      </c>
      <c r="R2908" s="3" t="n"/>
      <c r="S2908" s="4" t="n"/>
      <c r="T2908" s="4" t="n"/>
    </row>
    <row r="2909">
      <c r="A2909" s="3" t="n">
        <v>2908</v>
      </c>
      <c r="B2909" s="3" t="inlineStr">
        <is>
          <t>DL027</t>
        </is>
      </c>
      <c r="C2909" s="4" t="inlineStr">
        <is>
          <t>ĐL Bình Định - Khoan Pin 77</t>
        </is>
      </c>
      <c r="D2909" s="3" t="inlineStr">
        <is>
          <t>GIA LAI 
(BÌNH ĐỊNH CŨ)</t>
        </is>
      </c>
      <c r="E2909" s="3" t="inlineStr">
        <is>
          <t>THÙY TRANG</t>
        </is>
      </c>
      <c r="F2909" s="3" t="inlineStr"/>
      <c r="G2909" s="4" t="inlineStr">
        <is>
          <t>SHOPEE: TIKTOK: LAZADA: WEBSITE BÁN HÀNG: YOUTUBE: https://www.youtube.com/channel/UCowiJLhwAySOYT7OCDWOOYA</t>
        </is>
      </c>
      <c r="H2909" s="3" t="inlineStr">
        <is>
          <t>KBY3-035CO</t>
        </is>
      </c>
      <c r="I2909" s="4" t="inlineStr">
        <is>
          <t>Khoan inox chuôi lục KBY3-035CO</t>
        </is>
      </c>
      <c r="J2909" s="3" t="inlineStr">
        <is>
          <t>Vỉ</t>
        </is>
      </c>
      <c r="K2909" s="5" t="n">
        <v>36000</v>
      </c>
      <c r="L2909" s="5" t="n">
        <v>45000</v>
      </c>
      <c r="M2909" s="6" t="n">
        <v>58000</v>
      </c>
      <c r="N2909" s="5" t="n"/>
      <c r="O2909" s="5">
        <f>IF(AND(ISNUMBER(N2909),ISNUMBER(M2909)),N2909-M2909,"")</f>
        <v/>
      </c>
      <c r="P2909" s="7">
        <f>IF(AND(ISNUMBER(N2909),ISNUMBER(M2909),M2909&gt;0),(N2909-M2909)/M2909,"")</f>
        <v/>
      </c>
      <c r="Q2909" s="3">
        <f>IF(P2909="","",IF(P2909&lt;-0.02,"🔴 Bán phá giá sàn",IF(P2909&gt;0.05,"🔵 Bán cao hơn","🟢 Đúng giá sàn TMĐT")))</f>
        <v/>
      </c>
      <c r="R2909" s="3" t="n"/>
      <c r="S2909" s="4" t="n"/>
      <c r="T2909" s="4" t="n"/>
    </row>
    <row r="2910">
      <c r="A2910" s="3" t="n">
        <v>2909</v>
      </c>
      <c r="B2910" s="3" t="inlineStr">
        <is>
          <t>DL027</t>
        </is>
      </c>
      <c r="C2910" s="4" t="inlineStr">
        <is>
          <t>ĐL Bình Định - Khoan Pin 77</t>
        </is>
      </c>
      <c r="D2910" s="3" t="inlineStr">
        <is>
          <t>GIA LAI 
(BÌNH ĐỊNH CŨ)</t>
        </is>
      </c>
      <c r="E2910" s="3" t="inlineStr">
        <is>
          <t>THÙY TRANG</t>
        </is>
      </c>
      <c r="F2910" s="3" t="inlineStr"/>
      <c r="G2910" s="4" t="inlineStr">
        <is>
          <t>SHOPEE: TIKTOK: LAZADA: WEBSITE BÁN HÀNG: YOUTUBE: https://www.youtube.com/channel/UCowiJLhwAySOYT7OCDWOOYA</t>
        </is>
      </c>
      <c r="H2910" s="3" t="inlineStr">
        <is>
          <t>KBY3-040CO</t>
        </is>
      </c>
      <c r="I2910" s="4" t="inlineStr">
        <is>
          <t>Khoan inox chuôi lục KBY3-040CO</t>
        </is>
      </c>
      <c r="J2910" s="3" t="inlineStr">
        <is>
          <t>Vỉ</t>
        </is>
      </c>
      <c r="K2910" s="5" t="n">
        <v>40000</v>
      </c>
      <c r="L2910" s="5" t="n">
        <v>50000</v>
      </c>
      <c r="M2910" s="6" t="n">
        <v>64000</v>
      </c>
      <c r="N2910" s="5" t="n"/>
      <c r="O2910" s="5">
        <f>IF(AND(ISNUMBER(N2910),ISNUMBER(M2910)),N2910-M2910,"")</f>
        <v/>
      </c>
      <c r="P2910" s="7">
        <f>IF(AND(ISNUMBER(N2910),ISNUMBER(M2910),M2910&gt;0),(N2910-M2910)/M2910,"")</f>
        <v/>
      </c>
      <c r="Q2910" s="3">
        <f>IF(P2910="","",IF(P2910&lt;-0.02,"🔴 Bán phá giá sàn",IF(P2910&gt;0.05,"🔵 Bán cao hơn","🟢 Đúng giá sàn TMĐT")))</f>
        <v/>
      </c>
      <c r="R2910" s="3" t="n"/>
      <c r="S2910" s="4" t="n"/>
      <c r="T2910" s="4" t="n"/>
    </row>
    <row r="2911">
      <c r="A2911" s="3" t="n">
        <v>2910</v>
      </c>
      <c r="B2911" s="3" t="inlineStr">
        <is>
          <t>DL027</t>
        </is>
      </c>
      <c r="C2911" s="4" t="inlineStr">
        <is>
          <t>ĐL Bình Định - Khoan Pin 77</t>
        </is>
      </c>
      <c r="D2911" s="3" t="inlineStr">
        <is>
          <t>GIA LAI 
(BÌNH ĐỊNH CŨ)</t>
        </is>
      </c>
      <c r="E2911" s="3" t="inlineStr">
        <is>
          <t>THÙY TRANG</t>
        </is>
      </c>
      <c r="F2911" s="3" t="inlineStr"/>
      <c r="G2911" s="4" t="inlineStr">
        <is>
          <t>SHOPEE: TIKTOK: LAZADA: WEBSITE BÁN HÀNG: YOUTUBE: https://www.youtube.com/channel/UCowiJLhwAySOYT7OCDWOOYA</t>
        </is>
      </c>
      <c r="H2911" s="3" t="inlineStr">
        <is>
          <t>KBY3-042CO</t>
        </is>
      </c>
      <c r="I2911" s="4" t="inlineStr">
        <is>
          <t>Khoan inox chuôi lục KBY3-042CO</t>
        </is>
      </c>
      <c r="J2911" s="3" t="inlineStr">
        <is>
          <t>Vỉ</t>
        </is>
      </c>
      <c r="K2911" s="5" t="n">
        <v>45000</v>
      </c>
      <c r="L2911" s="5" t="n">
        <v>56000</v>
      </c>
      <c r="M2911" s="6" t="n">
        <v>72000</v>
      </c>
      <c r="N2911" s="5" t="n"/>
      <c r="O2911" s="5">
        <f>IF(AND(ISNUMBER(N2911),ISNUMBER(M2911)),N2911-M2911,"")</f>
        <v/>
      </c>
      <c r="P2911" s="7">
        <f>IF(AND(ISNUMBER(N2911),ISNUMBER(M2911),M2911&gt;0),(N2911-M2911)/M2911,"")</f>
        <v/>
      </c>
      <c r="Q2911" s="3">
        <f>IF(P2911="","",IF(P2911&lt;-0.02,"🔴 Bán phá giá sàn",IF(P2911&gt;0.05,"🔵 Bán cao hơn","🟢 Đúng giá sàn TMĐT")))</f>
        <v/>
      </c>
      <c r="R2911" s="3" t="n"/>
      <c r="S2911" s="4" t="n"/>
      <c r="T2911" s="4" t="n"/>
    </row>
    <row r="2912">
      <c r="A2912" s="3" t="n">
        <v>2911</v>
      </c>
      <c r="B2912" s="3" t="inlineStr">
        <is>
          <t>DL027</t>
        </is>
      </c>
      <c r="C2912" s="4" t="inlineStr">
        <is>
          <t>ĐL Bình Định - Khoan Pin 77</t>
        </is>
      </c>
      <c r="D2912" s="3" t="inlineStr">
        <is>
          <t>GIA LAI 
(BÌNH ĐỊNH CŨ)</t>
        </is>
      </c>
      <c r="E2912" s="3" t="inlineStr">
        <is>
          <t>THÙY TRANG</t>
        </is>
      </c>
      <c r="F2912" s="3" t="inlineStr"/>
      <c r="G2912" s="4" t="inlineStr">
        <is>
          <t>SHOPEE: TIKTOK: LAZADA: WEBSITE BÁN HÀNG: YOUTUBE: https://www.youtube.com/channel/UCowiJLhwAySOYT7OCDWOOYA</t>
        </is>
      </c>
      <c r="H2912" s="3" t="inlineStr">
        <is>
          <t>KBY3-045CO</t>
        </is>
      </c>
      <c r="I2912" s="4" t="inlineStr">
        <is>
          <t>Khoan inox chuôi lục KBY3-045CO</t>
        </is>
      </c>
      <c r="J2912" s="3" t="inlineStr">
        <is>
          <t>Vỉ</t>
        </is>
      </c>
      <c r="K2912" s="5" t="n">
        <v>46000</v>
      </c>
      <c r="L2912" s="5" t="n">
        <v>57000</v>
      </c>
      <c r="M2912" s="6" t="n">
        <v>74000</v>
      </c>
      <c r="N2912" s="5" t="n"/>
      <c r="O2912" s="5">
        <f>IF(AND(ISNUMBER(N2912),ISNUMBER(M2912)),N2912-M2912,"")</f>
        <v/>
      </c>
      <c r="P2912" s="7">
        <f>IF(AND(ISNUMBER(N2912),ISNUMBER(M2912),M2912&gt;0),(N2912-M2912)/M2912,"")</f>
        <v/>
      </c>
      <c r="Q2912" s="3">
        <f>IF(P2912="","",IF(P2912&lt;-0.02,"🔴 Bán phá giá sàn",IF(P2912&gt;0.05,"🔵 Bán cao hơn","🟢 Đúng giá sàn TMĐT")))</f>
        <v/>
      </c>
      <c r="R2912" s="3" t="n"/>
      <c r="S2912" s="4" t="n"/>
      <c r="T2912" s="4" t="n"/>
    </row>
    <row r="2913">
      <c r="A2913" s="3" t="n">
        <v>2912</v>
      </c>
      <c r="B2913" s="3" t="inlineStr">
        <is>
          <t>DL027</t>
        </is>
      </c>
      <c r="C2913" s="4" t="inlineStr">
        <is>
          <t>ĐL Bình Định - Khoan Pin 77</t>
        </is>
      </c>
      <c r="D2913" s="3" t="inlineStr">
        <is>
          <t>GIA LAI 
(BÌNH ĐỊNH CŨ)</t>
        </is>
      </c>
      <c r="E2913" s="3" t="inlineStr">
        <is>
          <t>THÙY TRANG</t>
        </is>
      </c>
      <c r="F2913" s="3" t="inlineStr"/>
      <c r="G2913" s="4" t="inlineStr">
        <is>
          <t>SHOPEE: TIKTOK: LAZADA: WEBSITE BÁN HÀNG: YOUTUBE: https://www.youtube.com/channel/UCowiJLhwAySOYT7OCDWOOYA</t>
        </is>
      </c>
      <c r="H2913" s="3" t="inlineStr">
        <is>
          <t>KBY3-050CO</t>
        </is>
      </c>
      <c r="I2913" s="4" t="inlineStr">
        <is>
          <t>Khoan inox chuôi lục KBY3-050CO</t>
        </is>
      </c>
      <c r="J2913" s="3" t="inlineStr">
        <is>
          <t>Vỉ</t>
        </is>
      </c>
      <c r="K2913" s="5" t="n">
        <v>53000</v>
      </c>
      <c r="L2913" s="5" t="n">
        <v>66000</v>
      </c>
      <c r="M2913" s="6" t="n">
        <v>85000</v>
      </c>
      <c r="N2913" s="5" t="n"/>
      <c r="O2913" s="5">
        <f>IF(AND(ISNUMBER(N2913),ISNUMBER(M2913)),N2913-M2913,"")</f>
        <v/>
      </c>
      <c r="P2913" s="7">
        <f>IF(AND(ISNUMBER(N2913),ISNUMBER(M2913),M2913&gt;0),(N2913-M2913)/M2913,"")</f>
        <v/>
      </c>
      <c r="Q2913" s="3">
        <f>IF(P2913="","",IF(P2913&lt;-0.02,"🔴 Bán phá giá sàn",IF(P2913&gt;0.05,"🔵 Bán cao hơn","🟢 Đúng giá sàn TMĐT")))</f>
        <v/>
      </c>
      <c r="R2913" s="3" t="n"/>
      <c r="S2913" s="4" t="n"/>
      <c r="T2913" s="4" t="n"/>
    </row>
    <row r="2914">
      <c r="A2914" s="3" t="n">
        <v>2913</v>
      </c>
      <c r="B2914" s="3" t="inlineStr">
        <is>
          <t>DL027</t>
        </is>
      </c>
      <c r="C2914" s="4" t="inlineStr">
        <is>
          <t>ĐL Bình Định - Khoan Pin 77</t>
        </is>
      </c>
      <c r="D2914" s="3" t="inlineStr">
        <is>
          <t>GIA LAI 
(BÌNH ĐỊNH CŨ)</t>
        </is>
      </c>
      <c r="E2914" s="3" t="inlineStr">
        <is>
          <t>THÙY TRANG</t>
        </is>
      </c>
      <c r="F2914" s="3" t="inlineStr"/>
      <c r="G2914" s="4" t="inlineStr">
        <is>
          <t>SHOPEE: TIKTOK: LAZADA: WEBSITE BÁN HÀNG: YOUTUBE: https://www.youtube.com/channel/UCowiJLhwAySOYT7OCDWOOYA</t>
        </is>
      </c>
      <c r="H2914" s="3" t="inlineStr">
        <is>
          <t>KBY3-060CO</t>
        </is>
      </c>
      <c r="I2914" s="4" t="inlineStr">
        <is>
          <t>Khoan inox chuôi lục KBY3-060CO</t>
        </is>
      </c>
      <c r="J2914" s="3" t="inlineStr">
        <is>
          <t>Vỉ</t>
        </is>
      </c>
      <c r="K2914" s="5" t="n">
        <v>65000</v>
      </c>
      <c r="L2914" s="5" t="n">
        <v>81000</v>
      </c>
      <c r="M2914" s="6" t="n">
        <v>104000</v>
      </c>
      <c r="N2914" s="5" t="n"/>
      <c r="O2914" s="5">
        <f>IF(AND(ISNUMBER(N2914),ISNUMBER(M2914)),N2914-M2914,"")</f>
        <v/>
      </c>
      <c r="P2914" s="7">
        <f>IF(AND(ISNUMBER(N2914),ISNUMBER(M2914),M2914&gt;0),(N2914-M2914)/M2914,"")</f>
        <v/>
      </c>
      <c r="Q2914" s="3">
        <f>IF(P2914="","",IF(P2914&lt;-0.02,"🔴 Bán phá giá sàn",IF(P2914&gt;0.05,"🔵 Bán cao hơn","🟢 Đúng giá sàn TMĐT")))</f>
        <v/>
      </c>
      <c r="R2914" s="3" t="n"/>
      <c r="S2914" s="4" t="n"/>
      <c r="T2914" s="4" t="n"/>
    </row>
    <row r="2915">
      <c r="A2915" s="3" t="n">
        <v>2914</v>
      </c>
      <c r="B2915" s="3" t="inlineStr">
        <is>
          <t>DL027</t>
        </is>
      </c>
      <c r="C2915" s="4" t="inlineStr">
        <is>
          <t>ĐL Bình Định - Khoan Pin 77</t>
        </is>
      </c>
      <c r="D2915" s="3" t="inlineStr">
        <is>
          <t>GIA LAI 
(BÌNH ĐỊNH CŨ)</t>
        </is>
      </c>
      <c r="E2915" s="3" t="inlineStr">
        <is>
          <t>THÙY TRANG</t>
        </is>
      </c>
      <c r="F2915" s="3" t="inlineStr"/>
      <c r="G2915" s="4" t="inlineStr">
        <is>
          <t>SHOPEE: TIKTOK: LAZADA: WEBSITE BÁN HÀNG: YOUTUBE: https://www.youtube.com/channel/UCowiJLhwAySOYT7OCDWOOYA</t>
        </is>
      </c>
      <c r="H2915" s="3" t="inlineStr">
        <is>
          <t>KBY3-065CO</t>
        </is>
      </c>
      <c r="I2915" s="4" t="inlineStr">
        <is>
          <t>Khoan inox chuôi lục KBY3-065CO</t>
        </is>
      </c>
      <c r="J2915" s="3" t="inlineStr">
        <is>
          <t>Cái</t>
        </is>
      </c>
      <c r="K2915" s="5" t="n">
        <v>42000</v>
      </c>
      <c r="L2915" s="5" t="n">
        <v>52000</v>
      </c>
      <c r="M2915" s="6" t="n">
        <v>67000</v>
      </c>
      <c r="N2915" s="5" t="n"/>
      <c r="O2915" s="5">
        <f>IF(AND(ISNUMBER(N2915),ISNUMBER(M2915)),N2915-M2915,"")</f>
        <v/>
      </c>
      <c r="P2915" s="7">
        <f>IF(AND(ISNUMBER(N2915),ISNUMBER(M2915),M2915&gt;0),(N2915-M2915)/M2915,"")</f>
        <v/>
      </c>
      <c r="Q2915" s="3">
        <f>IF(P2915="","",IF(P2915&lt;-0.02,"🔴 Bán phá giá sàn",IF(P2915&gt;0.05,"🔵 Bán cao hơn","🟢 Đúng giá sàn TMĐT")))</f>
        <v/>
      </c>
      <c r="R2915" s="3" t="n"/>
      <c r="S2915" s="4" t="n"/>
      <c r="T2915" s="4" t="n"/>
    </row>
    <row r="2916">
      <c r="A2916" s="3" t="n">
        <v>2915</v>
      </c>
      <c r="B2916" s="3" t="inlineStr">
        <is>
          <t>DL027</t>
        </is>
      </c>
      <c r="C2916" s="4" t="inlineStr">
        <is>
          <t>ĐL Bình Định - Khoan Pin 77</t>
        </is>
      </c>
      <c r="D2916" s="3" t="inlineStr">
        <is>
          <t>GIA LAI 
(BÌNH ĐỊNH CŨ)</t>
        </is>
      </c>
      <c r="E2916" s="3" t="inlineStr">
        <is>
          <t>THÙY TRANG</t>
        </is>
      </c>
      <c r="F2916" s="3" t="inlineStr"/>
      <c r="G2916" s="4" t="inlineStr">
        <is>
          <t>SHOPEE: TIKTOK: LAZADA: WEBSITE BÁN HÀNG: YOUTUBE: https://www.youtube.com/channel/UCowiJLhwAySOYT7OCDWOOYA</t>
        </is>
      </c>
      <c r="H2916" s="3" t="inlineStr">
        <is>
          <t>KBY3-070CO</t>
        </is>
      </c>
      <c r="I2916" s="4" t="inlineStr">
        <is>
          <t>Khoan inox chuôi lục KBY3-070CO</t>
        </is>
      </c>
      <c r="J2916" s="3" t="inlineStr">
        <is>
          <t>Cái</t>
        </is>
      </c>
      <c r="K2916" s="5" t="n">
        <v>45000</v>
      </c>
      <c r="L2916" s="5" t="n">
        <v>56000</v>
      </c>
      <c r="M2916" s="6" t="n">
        <v>72000</v>
      </c>
      <c r="N2916" s="5" t="n"/>
      <c r="O2916" s="5">
        <f>IF(AND(ISNUMBER(N2916),ISNUMBER(M2916)),N2916-M2916,"")</f>
        <v/>
      </c>
      <c r="P2916" s="7">
        <f>IF(AND(ISNUMBER(N2916),ISNUMBER(M2916),M2916&gt;0),(N2916-M2916)/M2916,"")</f>
        <v/>
      </c>
      <c r="Q2916" s="3">
        <f>IF(P2916="","",IF(P2916&lt;-0.02,"🔴 Bán phá giá sàn",IF(P2916&gt;0.05,"🔵 Bán cao hơn","🟢 Đúng giá sàn TMĐT")))</f>
        <v/>
      </c>
      <c r="R2916" s="3" t="n"/>
      <c r="S2916" s="4" t="n"/>
      <c r="T2916" s="4" t="n"/>
    </row>
    <row r="2917">
      <c r="A2917" s="3" t="n">
        <v>2916</v>
      </c>
      <c r="B2917" s="3" t="inlineStr">
        <is>
          <t>DL027</t>
        </is>
      </c>
      <c r="C2917" s="4" t="inlineStr">
        <is>
          <t>ĐL Bình Định - Khoan Pin 77</t>
        </is>
      </c>
      <c r="D2917" s="3" t="inlineStr">
        <is>
          <t>GIA LAI 
(BÌNH ĐỊNH CŨ)</t>
        </is>
      </c>
      <c r="E2917" s="3" t="inlineStr">
        <is>
          <t>THÙY TRANG</t>
        </is>
      </c>
      <c r="F2917" s="3" t="inlineStr"/>
      <c r="G2917" s="4" t="inlineStr">
        <is>
          <t>SHOPEE: TIKTOK: LAZADA: WEBSITE BÁN HÀNG: YOUTUBE: https://www.youtube.com/channel/UCowiJLhwAySOYT7OCDWOOYA</t>
        </is>
      </c>
      <c r="H2917" s="3" t="inlineStr">
        <is>
          <t>KBY3-080CO</t>
        </is>
      </c>
      <c r="I2917" s="4" t="inlineStr">
        <is>
          <t>Khoan inox chuôi lục KBY3-080CO</t>
        </is>
      </c>
      <c r="J2917" s="3" t="inlineStr">
        <is>
          <t>Cái</t>
        </is>
      </c>
      <c r="K2917" s="5" t="n">
        <v>58000</v>
      </c>
      <c r="L2917" s="5" t="n">
        <v>72000</v>
      </c>
      <c r="M2917" s="6" t="n">
        <v>93000</v>
      </c>
      <c r="N2917" s="5" t="n"/>
      <c r="O2917" s="5">
        <f>IF(AND(ISNUMBER(N2917),ISNUMBER(M2917)),N2917-M2917,"")</f>
        <v/>
      </c>
      <c r="P2917" s="7">
        <f>IF(AND(ISNUMBER(N2917),ISNUMBER(M2917),M2917&gt;0),(N2917-M2917)/M2917,"")</f>
        <v/>
      </c>
      <c r="Q2917" s="3">
        <f>IF(P2917="","",IF(P2917&lt;-0.02,"🔴 Bán phá giá sàn",IF(P2917&gt;0.05,"🔵 Bán cao hơn","🟢 Đúng giá sàn TMĐT")))</f>
        <v/>
      </c>
      <c r="R2917" s="3" t="n"/>
      <c r="S2917" s="4" t="n"/>
      <c r="T2917" s="4" t="n"/>
    </row>
    <row r="2918">
      <c r="A2918" s="3" t="n">
        <v>2917</v>
      </c>
      <c r="B2918" s="3" t="inlineStr">
        <is>
          <t>DL027</t>
        </is>
      </c>
      <c r="C2918" s="4" t="inlineStr">
        <is>
          <t>ĐL Bình Định - Khoan Pin 77</t>
        </is>
      </c>
      <c r="D2918" s="3" t="inlineStr">
        <is>
          <t>GIA LAI 
(BÌNH ĐỊNH CŨ)</t>
        </is>
      </c>
      <c r="E2918" s="3" t="inlineStr">
        <is>
          <t>THÙY TRANG</t>
        </is>
      </c>
      <c r="F2918" s="3" t="inlineStr"/>
      <c r="G2918" s="4" t="inlineStr">
        <is>
          <t>SHOPEE: TIKTOK: LAZADA: WEBSITE BÁN HÀNG: YOUTUBE: https://www.youtube.com/channel/UCowiJLhwAySOYT7OCDWOOYA</t>
        </is>
      </c>
      <c r="H2918" s="3" t="inlineStr">
        <is>
          <t>KBY3-100CO</t>
        </is>
      </c>
      <c r="I2918" s="4" t="inlineStr">
        <is>
          <t>Khoan inox chuôi lục KBY3-100CO</t>
        </is>
      </c>
      <c r="J2918" s="3" t="inlineStr">
        <is>
          <t>Cái</t>
        </is>
      </c>
      <c r="K2918" s="5" t="n">
        <v>90000</v>
      </c>
      <c r="L2918" s="5" t="n">
        <v>112000</v>
      </c>
      <c r="M2918" s="6" t="n">
        <v>144000</v>
      </c>
      <c r="N2918" s="5" t="n"/>
      <c r="O2918" s="5">
        <f>IF(AND(ISNUMBER(N2918),ISNUMBER(M2918)),N2918-M2918,"")</f>
        <v/>
      </c>
      <c r="P2918" s="7">
        <f>IF(AND(ISNUMBER(N2918),ISNUMBER(M2918),M2918&gt;0),(N2918-M2918)/M2918,"")</f>
        <v/>
      </c>
      <c r="Q2918" s="3">
        <f>IF(P2918="","",IF(P2918&lt;-0.02,"🔴 Bán phá giá sàn",IF(P2918&gt;0.05,"🔵 Bán cao hơn","🟢 Đúng giá sàn TMĐT")))</f>
        <v/>
      </c>
      <c r="R2918" s="3" t="n"/>
      <c r="S2918" s="4" t="n"/>
      <c r="T2918" s="4" t="n"/>
    </row>
    <row r="2919">
      <c r="A2919" s="3" t="n">
        <v>2918</v>
      </c>
      <c r="B2919" s="3" t="inlineStr">
        <is>
          <t>DL027</t>
        </is>
      </c>
      <c r="C2919" s="4" t="inlineStr">
        <is>
          <t>ĐL Bình Định - Khoan Pin 77</t>
        </is>
      </c>
      <c r="D2919" s="3" t="inlineStr">
        <is>
          <t>GIA LAI 
(BÌNH ĐỊNH CŨ)</t>
        </is>
      </c>
      <c r="E2919" s="3" t="inlineStr">
        <is>
          <t>THÙY TRANG</t>
        </is>
      </c>
      <c r="F2919" s="3" t="inlineStr"/>
      <c r="G2919" s="4" t="inlineStr">
        <is>
          <t>SHOPEE: TIKTOK: LAZADA: WEBSITE BÁN HÀNG: YOUTUBE: https://www.youtube.com/channel/UCowiJLhwAySOYT7OCDWOOYA</t>
        </is>
      </c>
      <c r="H2919" s="3" t="inlineStr">
        <is>
          <t>KBY2-015CO</t>
        </is>
      </c>
      <c r="I2919" s="4" t="inlineStr">
        <is>
          <t>Khoan inox KingBlue KBY2-015CO</t>
        </is>
      </c>
      <c r="J2919" s="3" t="inlineStr">
        <is>
          <t>Cái</t>
        </is>
      </c>
      <c r="K2919" s="5" t="n">
        <v>7000</v>
      </c>
      <c r="L2919" s="5" t="n">
        <v>9000</v>
      </c>
      <c r="M2919" s="6" t="n">
        <v>11000</v>
      </c>
      <c r="N2919" s="5" t="n"/>
      <c r="O2919" s="5">
        <f>IF(AND(ISNUMBER(N2919),ISNUMBER(M2919)),N2919-M2919,"")</f>
        <v/>
      </c>
      <c r="P2919" s="7">
        <f>IF(AND(ISNUMBER(N2919),ISNUMBER(M2919),M2919&gt;0),(N2919-M2919)/M2919,"")</f>
        <v/>
      </c>
      <c r="Q2919" s="3">
        <f>IF(P2919="","",IF(P2919&lt;-0.02,"🔴 Bán phá giá sàn",IF(P2919&gt;0.05,"🔵 Bán cao hơn","🟢 Đúng giá sàn TMĐT")))</f>
        <v/>
      </c>
      <c r="R2919" s="3" t="n"/>
      <c r="S2919" s="4" t="n"/>
      <c r="T2919" s="4" t="n"/>
    </row>
    <row r="2920">
      <c r="A2920" s="3" t="n">
        <v>2919</v>
      </c>
      <c r="B2920" s="3" t="inlineStr">
        <is>
          <t>DL027</t>
        </is>
      </c>
      <c r="C2920" s="4" t="inlineStr">
        <is>
          <t>ĐL Bình Định - Khoan Pin 77</t>
        </is>
      </c>
      <c r="D2920" s="3" t="inlineStr">
        <is>
          <t>GIA LAI 
(BÌNH ĐỊNH CŨ)</t>
        </is>
      </c>
      <c r="E2920" s="3" t="inlineStr">
        <is>
          <t>THÙY TRANG</t>
        </is>
      </c>
      <c r="F2920" s="3" t="inlineStr"/>
      <c r="G2920" s="4" t="inlineStr">
        <is>
          <t>SHOPEE: TIKTOK: LAZADA: WEBSITE BÁN HÀNG: YOUTUBE: https://www.youtube.com/channel/UCowiJLhwAySOYT7OCDWOOYA</t>
        </is>
      </c>
      <c r="H2920" s="3" t="inlineStr">
        <is>
          <t>KBY2-120CO</t>
        </is>
      </c>
      <c r="I2920" s="4" t="inlineStr">
        <is>
          <t>Khoan inox KingBlue KBY2-120CO</t>
        </is>
      </c>
      <c r="J2920" s="3" t="inlineStr">
        <is>
          <t>Cái</t>
        </is>
      </c>
      <c r="K2920" s="5" t="n">
        <v>162000</v>
      </c>
      <c r="L2920" s="5" t="n">
        <v>201000</v>
      </c>
      <c r="M2920" s="6" t="n">
        <v>259000</v>
      </c>
      <c r="N2920" s="5" t="n"/>
      <c r="O2920" s="5">
        <f>IF(AND(ISNUMBER(N2920),ISNUMBER(M2920)),N2920-M2920,"")</f>
        <v/>
      </c>
      <c r="P2920" s="7">
        <f>IF(AND(ISNUMBER(N2920),ISNUMBER(M2920),M2920&gt;0),(N2920-M2920)/M2920,"")</f>
        <v/>
      </c>
      <c r="Q2920" s="3">
        <f>IF(P2920="","",IF(P2920&lt;-0.02,"🔴 Bán phá giá sàn",IF(P2920&gt;0.05,"🔵 Bán cao hơn","🟢 Đúng giá sàn TMĐT")))</f>
        <v/>
      </c>
      <c r="R2920" s="3" t="n"/>
      <c r="S2920" s="4" t="n"/>
      <c r="T2920" s="4" t="n"/>
    </row>
    <row r="2921">
      <c r="A2921" s="3" t="n">
        <v>2920</v>
      </c>
      <c r="B2921" s="3" t="inlineStr">
        <is>
          <t>DL027</t>
        </is>
      </c>
      <c r="C2921" s="4" t="inlineStr">
        <is>
          <t>ĐL Bình Định - Khoan Pin 77</t>
        </is>
      </c>
      <c r="D2921" s="3" t="inlineStr">
        <is>
          <t>GIA LAI 
(BÌNH ĐỊNH CŨ)</t>
        </is>
      </c>
      <c r="E2921" s="3" t="inlineStr">
        <is>
          <t>THÙY TRANG</t>
        </is>
      </c>
      <c r="F2921" s="3" t="inlineStr"/>
      <c r="G2921" s="4" t="inlineStr">
        <is>
          <t>SHOPEE: TIKTOK: LAZADA: WEBSITE BÁN HÀNG: YOUTUBE: https://www.youtube.com/channel/UCowiJLhwAySOYT7OCDWOOYA</t>
        </is>
      </c>
      <c r="H2921" s="3" t="inlineStr">
        <is>
          <t>KRLK-63250</t>
        </is>
      </c>
      <c r="I2921" s="4" t="inlineStr">
        <is>
          <t>Khoan rút lõi bê tông khô KRLK-63*250</t>
        </is>
      </c>
      <c r="J2921" s="3" t="inlineStr">
        <is>
          <t>Cái</t>
        </is>
      </c>
      <c r="K2921" s="5" t="n">
        <v>303000</v>
      </c>
      <c r="L2921" s="5" t="n">
        <v>364000</v>
      </c>
      <c r="M2921" s="6" t="n">
        <v>455000</v>
      </c>
      <c r="N2921" s="5" t="n"/>
      <c r="O2921" s="5">
        <f>IF(AND(ISNUMBER(N2921),ISNUMBER(M2921)),N2921-M2921,"")</f>
        <v/>
      </c>
      <c r="P2921" s="7">
        <f>IF(AND(ISNUMBER(N2921),ISNUMBER(M2921),M2921&gt;0),(N2921-M2921)/M2921,"")</f>
        <v/>
      </c>
      <c r="Q2921" s="3">
        <f>IF(P2921="","",IF(P2921&lt;-0.02,"🔴 Bán phá giá sàn",IF(P2921&gt;0.05,"🔵 Bán cao hơn","🟢 Đúng giá sàn TMĐT")))</f>
        <v/>
      </c>
      <c r="R2921" s="3" t="n"/>
      <c r="S2921" s="4" t="n"/>
      <c r="T2921" s="4" t="n"/>
    </row>
    <row r="2922">
      <c r="A2922" s="3" t="n">
        <v>2921</v>
      </c>
      <c r="B2922" s="3" t="inlineStr">
        <is>
          <t>DL027</t>
        </is>
      </c>
      <c r="C2922" s="4" t="inlineStr">
        <is>
          <t>ĐL Bình Định - Khoan Pin 77</t>
        </is>
      </c>
      <c r="D2922" s="3" t="inlineStr">
        <is>
          <t>GIA LAI 
(BÌNH ĐỊNH CŨ)</t>
        </is>
      </c>
      <c r="E2922" s="3" t="inlineStr">
        <is>
          <t>THÙY TRANG</t>
        </is>
      </c>
      <c r="F2922" s="3" t="inlineStr"/>
      <c r="G2922" s="4" t="inlineStr">
        <is>
          <t>SHOPEE: TIKTOK: LAZADA: WEBSITE BÁN HÀNG: YOUTUBE: https://www.youtube.com/channel/UCowiJLhwAySOYT7OCDWOOYA</t>
        </is>
      </c>
      <c r="H2922" s="3" t="inlineStr">
        <is>
          <t>NG107</t>
        </is>
      </c>
      <c r="I2922" s="4" t="inlineStr">
        <is>
          <t>Kích nâng gạch NG107</t>
        </is>
      </c>
      <c r="J2922" s="3" t="inlineStr">
        <is>
          <t>Cái</t>
        </is>
      </c>
      <c r="K2922" s="5" t="n">
        <v>105000</v>
      </c>
      <c r="L2922" s="5" t="n">
        <v>124000</v>
      </c>
      <c r="M2922" s="6" t="n">
        <v>152000</v>
      </c>
      <c r="N2922" s="5" t="n"/>
      <c r="O2922" s="5">
        <f>IF(AND(ISNUMBER(N2922),ISNUMBER(M2922)),N2922-M2922,"")</f>
        <v/>
      </c>
      <c r="P2922" s="7">
        <f>IF(AND(ISNUMBER(N2922),ISNUMBER(M2922),M2922&gt;0),(N2922-M2922)/M2922,"")</f>
        <v/>
      </c>
      <c r="Q2922" s="3">
        <f>IF(P2922="","",IF(P2922&lt;-0.02,"🔴 Bán phá giá sàn",IF(P2922&gt;0.05,"🔵 Bán cao hơn","🟢 Đúng giá sàn TMĐT")))</f>
        <v/>
      </c>
      <c r="R2922" s="3" t="n"/>
      <c r="S2922" s="4" t="n"/>
      <c r="T2922" s="4" t="n"/>
    </row>
    <row r="2923">
      <c r="A2923" s="3" t="n">
        <v>2922</v>
      </c>
      <c r="B2923" s="3" t="inlineStr">
        <is>
          <t>DL027</t>
        </is>
      </c>
      <c r="C2923" s="4" t="inlineStr">
        <is>
          <t>ĐL Bình Định - Khoan Pin 77</t>
        </is>
      </c>
      <c r="D2923" s="3" t="inlineStr">
        <is>
          <t>GIA LAI 
(BÌNH ĐỊNH CŨ)</t>
        </is>
      </c>
      <c r="E2923" s="3" t="inlineStr">
        <is>
          <t>THÙY TRANG</t>
        </is>
      </c>
      <c r="F2923" s="3" t="inlineStr"/>
      <c r="G2923" s="4" t="inlineStr">
        <is>
          <t>SHOPEE: TIKTOK: LAZADA: WEBSITE BÁN HÀNG: YOUTUBE: https://www.youtube.com/channel/UCowiJLhwAySOYT7OCDWOOYA</t>
        </is>
      </c>
      <c r="H2923" s="3" t="inlineStr">
        <is>
          <t>KND185</t>
        </is>
      </c>
      <c r="I2923" s="4" t="inlineStr">
        <is>
          <t>Kìm bấm Cos vuông KND185</t>
        </is>
      </c>
      <c r="J2923" s="3" t="inlineStr">
        <is>
          <t>Cái</t>
        </is>
      </c>
      <c r="K2923" s="5" t="n">
        <v>182000</v>
      </c>
      <c r="L2923" s="5" t="n">
        <v>215000</v>
      </c>
      <c r="M2923" s="6" t="n">
        <v>264000</v>
      </c>
      <c r="N2923" s="5" t="n"/>
      <c r="O2923" s="5">
        <f>IF(AND(ISNUMBER(N2923),ISNUMBER(M2923)),N2923-M2923,"")</f>
        <v/>
      </c>
      <c r="P2923" s="7">
        <f>IF(AND(ISNUMBER(N2923),ISNUMBER(M2923),M2923&gt;0),(N2923-M2923)/M2923,"")</f>
        <v/>
      </c>
      <c r="Q2923" s="3">
        <f>IF(P2923="","",IF(P2923&lt;-0.02,"🔴 Bán phá giá sàn",IF(P2923&gt;0.05,"🔵 Bán cao hơn","🟢 Đúng giá sàn TMĐT")))</f>
        <v/>
      </c>
      <c r="R2923" s="3" t="n"/>
      <c r="S2923" s="4" t="n"/>
      <c r="T2923" s="4" t="n"/>
    </row>
    <row r="2924">
      <c r="A2924" s="3" t="n">
        <v>2923</v>
      </c>
      <c r="B2924" s="3" t="inlineStr">
        <is>
          <t>DL027</t>
        </is>
      </c>
      <c r="C2924" s="4" t="inlineStr">
        <is>
          <t>ĐL Bình Định - Khoan Pin 77</t>
        </is>
      </c>
      <c r="D2924" s="3" t="inlineStr">
        <is>
          <t>GIA LAI 
(BÌNH ĐỊNH CŨ)</t>
        </is>
      </c>
      <c r="E2924" s="3" t="inlineStr">
        <is>
          <t>THÙY TRANG</t>
        </is>
      </c>
      <c r="F2924" s="3" t="inlineStr"/>
      <c r="G2924" s="4" t="inlineStr">
        <is>
          <t>SHOPEE: TIKTOK: LAZADA: WEBSITE BÁN HÀNG: YOUTUBE: https://www.youtube.com/channel/UCowiJLhwAySOYT7OCDWOOYA</t>
        </is>
      </c>
      <c r="H2924" s="3" t="inlineStr">
        <is>
          <t>KND150</t>
        </is>
      </c>
      <c r="I2924" s="4" t="inlineStr">
        <is>
          <t>Kìm cắt chân mạch đa năng KND150</t>
        </is>
      </c>
      <c r="J2924" s="3" t="inlineStr">
        <is>
          <t>Cái</t>
        </is>
      </c>
      <c r="K2924" s="5" t="n">
        <v>64000</v>
      </c>
      <c r="L2924" s="5" t="n">
        <v>76000</v>
      </c>
      <c r="M2924" s="6" t="n">
        <v>93000</v>
      </c>
      <c r="N2924" s="5" t="n"/>
      <c r="O2924" s="5">
        <f>IF(AND(ISNUMBER(N2924),ISNUMBER(M2924)),N2924-M2924,"")</f>
        <v/>
      </c>
      <c r="P2924" s="7">
        <f>IF(AND(ISNUMBER(N2924),ISNUMBER(M2924),M2924&gt;0),(N2924-M2924)/M2924,"")</f>
        <v/>
      </c>
      <c r="Q2924" s="3">
        <f>IF(P2924="","",IF(P2924&lt;-0.02,"🔴 Bán phá giá sàn",IF(P2924&gt;0.05,"🔵 Bán cao hơn","🟢 Đúng giá sàn TMĐT")))</f>
        <v/>
      </c>
      <c r="R2924" s="3" t="n"/>
      <c r="S2924" s="4" t="n"/>
      <c r="T2924" s="4" t="n"/>
    </row>
    <row r="2925">
      <c r="A2925" s="3" t="n">
        <v>2924</v>
      </c>
      <c r="B2925" s="3" t="inlineStr">
        <is>
          <t>DL027</t>
        </is>
      </c>
      <c r="C2925" s="4" t="inlineStr">
        <is>
          <t>ĐL Bình Định - Khoan Pin 77</t>
        </is>
      </c>
      <c r="D2925" s="3" t="inlineStr">
        <is>
          <t>GIA LAI 
(BÌNH ĐỊNH CŨ)</t>
        </is>
      </c>
      <c r="E2925" s="3" t="inlineStr">
        <is>
          <t>THÙY TRANG</t>
        </is>
      </c>
      <c r="F2925" s="3" t="inlineStr"/>
      <c r="G2925" s="4" t="inlineStr">
        <is>
          <t>SHOPEE: TIKTOK: LAZADA: WEBSITE BÁN HÀNG: YOUTUBE: https://www.youtube.com/channel/UCowiJLhwAySOYT7OCDWOOYA</t>
        </is>
      </c>
      <c r="H2925" s="3" t="inlineStr">
        <is>
          <t>KC3-09</t>
        </is>
      </c>
      <c r="I2925" s="4" t="inlineStr">
        <is>
          <t>Kìm cắt đa năng KC3-09</t>
        </is>
      </c>
      <c r="J2925" s="3" t="inlineStr">
        <is>
          <t>Cái</t>
        </is>
      </c>
      <c r="K2925" s="5" t="n">
        <v>269000</v>
      </c>
      <c r="L2925" s="5" t="n">
        <v>317000</v>
      </c>
      <c r="M2925" s="6" t="n">
        <v>390000</v>
      </c>
      <c r="N2925" s="5" t="n"/>
      <c r="O2925" s="5">
        <f>IF(AND(ISNUMBER(N2925),ISNUMBER(M2925)),N2925-M2925,"")</f>
        <v/>
      </c>
      <c r="P2925" s="7">
        <f>IF(AND(ISNUMBER(N2925),ISNUMBER(M2925),M2925&gt;0),(N2925-M2925)/M2925,"")</f>
        <v/>
      </c>
      <c r="Q2925" s="3">
        <f>IF(P2925="","",IF(P2925&lt;-0.02,"🔴 Bán phá giá sàn",IF(P2925&gt;0.05,"🔵 Bán cao hơn","🟢 Đúng giá sàn TMĐT")))</f>
        <v/>
      </c>
      <c r="R2925" s="3" t="n"/>
      <c r="S2925" s="4" t="n"/>
      <c r="T2925" s="4" t="n"/>
    </row>
    <row r="2926">
      <c r="A2926" s="3" t="n">
        <v>2925</v>
      </c>
      <c r="B2926" s="3" t="inlineStr">
        <is>
          <t>DL027</t>
        </is>
      </c>
      <c r="C2926" s="4" t="inlineStr">
        <is>
          <t>ĐL Bình Định - Khoan Pin 77</t>
        </is>
      </c>
      <c r="D2926" s="3" t="inlineStr">
        <is>
          <t>GIA LAI 
(BÌNH ĐỊNH CŨ)</t>
        </is>
      </c>
      <c r="E2926" s="3" t="inlineStr">
        <is>
          <t>THÙY TRANG</t>
        </is>
      </c>
      <c r="F2926" s="3" t="inlineStr"/>
      <c r="G2926" s="4" t="inlineStr">
        <is>
          <t>SHOPEE: TIKTOK: LAZADA: WEBSITE BÁN HÀNG: YOUTUBE: https://www.youtube.com/channel/UCowiJLhwAySOYT7OCDWOOYA</t>
        </is>
      </c>
      <c r="H2926" s="3" t="inlineStr">
        <is>
          <t>KND200</t>
        </is>
      </c>
      <c r="I2926" s="4" t="inlineStr">
        <is>
          <t>Kìm cắt tuốt đa năng 5 in1 KND200</t>
        </is>
      </c>
      <c r="J2926" s="3" t="inlineStr">
        <is>
          <t>Cái</t>
        </is>
      </c>
      <c r="K2926" s="5" t="n">
        <v>72000</v>
      </c>
      <c r="L2926" s="5" t="n">
        <v>85000</v>
      </c>
      <c r="M2926" s="6" t="n">
        <v>104000</v>
      </c>
      <c r="N2926" s="5" t="n"/>
      <c r="O2926" s="5">
        <f>IF(AND(ISNUMBER(N2926),ISNUMBER(M2926)),N2926-M2926,"")</f>
        <v/>
      </c>
      <c r="P2926" s="7">
        <f>IF(AND(ISNUMBER(N2926),ISNUMBER(M2926),M2926&gt;0),(N2926-M2926)/M2926,"")</f>
        <v/>
      </c>
      <c r="Q2926" s="3">
        <f>IF(P2926="","",IF(P2926&lt;-0.02,"🔴 Bán phá giá sàn",IF(P2926&gt;0.05,"🔵 Bán cao hơn","🟢 Đúng giá sàn TMĐT")))</f>
        <v/>
      </c>
      <c r="R2926" s="3" t="n"/>
      <c r="S2926" s="4" t="n"/>
      <c r="T2926" s="4" t="n"/>
    </row>
    <row r="2927">
      <c r="A2927" s="3" t="n">
        <v>2926</v>
      </c>
      <c r="B2927" s="3" t="inlineStr">
        <is>
          <t>DL027</t>
        </is>
      </c>
      <c r="C2927" s="4" t="inlineStr">
        <is>
          <t>ĐL Bình Định - Khoan Pin 77</t>
        </is>
      </c>
      <c r="D2927" s="3" t="inlineStr">
        <is>
          <t>GIA LAI 
(BÌNH ĐỊNH CŨ)</t>
        </is>
      </c>
      <c r="E2927" s="3" t="inlineStr">
        <is>
          <t>THÙY TRANG</t>
        </is>
      </c>
      <c r="F2927" s="3" t="inlineStr"/>
      <c r="G2927" s="4" t="inlineStr">
        <is>
          <t>SHOPEE: TIKTOK: LAZADA: WEBSITE BÁN HÀNG: YOUTUBE: https://www.youtube.com/channel/UCowiJLhwAySOYT7OCDWOOYA</t>
        </is>
      </c>
      <c r="H2927" s="3" t="inlineStr">
        <is>
          <t>KS1-250</t>
        </is>
      </c>
      <c r="I2927" s="4" t="inlineStr">
        <is>
          <t>Kìm chết KS1-250</t>
        </is>
      </c>
      <c r="J2927" s="3" t="inlineStr">
        <is>
          <t>Cái</t>
        </is>
      </c>
      <c r="K2927" s="5" t="n">
        <v>132000</v>
      </c>
      <c r="L2927" s="5" t="n">
        <v>156000</v>
      </c>
      <c r="M2927" s="6" t="n">
        <v>191000</v>
      </c>
      <c r="N2927" s="5" t="n"/>
      <c r="O2927" s="5">
        <f>IF(AND(ISNUMBER(N2927),ISNUMBER(M2927)),N2927-M2927,"")</f>
        <v/>
      </c>
      <c r="P2927" s="7">
        <f>IF(AND(ISNUMBER(N2927),ISNUMBER(M2927),M2927&gt;0),(N2927-M2927)/M2927,"")</f>
        <v/>
      </c>
      <c r="Q2927" s="3">
        <f>IF(P2927="","",IF(P2927&lt;-0.02,"🔴 Bán phá giá sàn",IF(P2927&gt;0.05,"🔵 Bán cao hơn","🟢 Đúng giá sàn TMĐT")))</f>
        <v/>
      </c>
      <c r="R2927" s="3" t="n"/>
      <c r="S2927" s="4" t="n"/>
      <c r="T2927" s="4" t="n"/>
    </row>
    <row r="2928">
      <c r="A2928" s="3" t="n">
        <v>2927</v>
      </c>
      <c r="B2928" s="3" t="inlineStr">
        <is>
          <t>DL027</t>
        </is>
      </c>
      <c r="C2928" s="4" t="inlineStr">
        <is>
          <t>ĐL Bình Định - Khoan Pin 77</t>
        </is>
      </c>
      <c r="D2928" s="3" t="inlineStr">
        <is>
          <t>GIA LAI 
(BÌNH ĐỊNH CŨ)</t>
        </is>
      </c>
      <c r="E2928" s="3" t="inlineStr">
        <is>
          <t>THÙY TRANG</t>
        </is>
      </c>
      <c r="F2928" s="3" t="inlineStr"/>
      <c r="G2928" s="4" t="inlineStr">
        <is>
          <t>SHOPEE: TIKTOK: LAZADA: WEBSITE BÁN HÀNG: YOUTUBE: https://www.youtube.com/channel/UCowiJLhwAySOYT7OCDWOOYA</t>
        </is>
      </c>
      <c r="H2928" s="3" t="inlineStr">
        <is>
          <t>KS5-254</t>
        </is>
      </c>
      <c r="I2928" s="4" t="inlineStr">
        <is>
          <t>Kìm chết mỏ dẹt KS5-254</t>
        </is>
      </c>
      <c r="J2928" s="3" t="inlineStr">
        <is>
          <t>Cái</t>
        </is>
      </c>
      <c r="K2928" s="5" t="n">
        <v>176000</v>
      </c>
      <c r="L2928" s="5" t="n">
        <v>208000</v>
      </c>
      <c r="M2928" s="6" t="n">
        <v>255000</v>
      </c>
      <c r="N2928" s="5" t="n"/>
      <c r="O2928" s="5">
        <f>IF(AND(ISNUMBER(N2928),ISNUMBER(M2928)),N2928-M2928,"")</f>
        <v/>
      </c>
      <c r="P2928" s="7">
        <f>IF(AND(ISNUMBER(N2928),ISNUMBER(M2928),M2928&gt;0),(N2928-M2928)/M2928,"")</f>
        <v/>
      </c>
      <c r="Q2928" s="3">
        <f>IF(P2928="","",IF(P2928&lt;-0.02,"🔴 Bán phá giá sàn",IF(P2928&gt;0.05,"🔵 Bán cao hơn","🟢 Đúng giá sàn TMĐT")))</f>
        <v/>
      </c>
      <c r="R2928" s="3" t="n"/>
      <c r="S2928" s="4" t="n"/>
      <c r="T2928" s="4" t="n"/>
    </row>
    <row r="2929">
      <c r="A2929" s="3" t="n">
        <v>2928</v>
      </c>
      <c r="B2929" s="3" t="inlineStr">
        <is>
          <t>DL027</t>
        </is>
      </c>
      <c r="C2929" s="4" t="inlineStr">
        <is>
          <t>ĐL Bình Định - Khoan Pin 77</t>
        </is>
      </c>
      <c r="D2929" s="3" t="inlineStr">
        <is>
          <t>GIA LAI 
(BÌNH ĐỊNH CŨ)</t>
        </is>
      </c>
      <c r="E2929" s="3" t="inlineStr">
        <is>
          <t>THÙY TRANG</t>
        </is>
      </c>
      <c r="F2929" s="3" t="inlineStr"/>
      <c r="G2929" s="4" t="inlineStr">
        <is>
          <t>SHOPEE: TIKTOK: LAZADA: WEBSITE BÁN HÀNG: YOUTUBE: https://www.youtube.com/channel/UCowiJLhwAySOYT7OCDWOOYA</t>
        </is>
      </c>
      <c r="H2929" s="3" t="inlineStr">
        <is>
          <t>KS-216</t>
        </is>
      </c>
      <c r="I2929" s="4" t="inlineStr">
        <is>
          <t>Kìm chết mỏ nhọn KS-216</t>
        </is>
      </c>
      <c r="J2929" s="3" t="inlineStr">
        <is>
          <t>Cái</t>
        </is>
      </c>
      <c r="K2929" s="5" t="n">
        <v>132000</v>
      </c>
      <c r="L2929" s="5" t="n">
        <v>156000</v>
      </c>
      <c r="M2929" s="6" t="n">
        <v>191000</v>
      </c>
      <c r="N2929" s="5" t="n"/>
      <c r="O2929" s="5">
        <f>IF(AND(ISNUMBER(N2929),ISNUMBER(M2929)),N2929-M2929,"")</f>
        <v/>
      </c>
      <c r="P2929" s="7">
        <f>IF(AND(ISNUMBER(N2929),ISNUMBER(M2929),M2929&gt;0),(N2929-M2929)/M2929,"")</f>
        <v/>
      </c>
      <c r="Q2929" s="3">
        <f>IF(P2929="","",IF(P2929&lt;-0.02,"🔴 Bán phá giá sàn",IF(P2929&gt;0.05,"🔵 Bán cao hơn","🟢 Đúng giá sàn TMĐT")))</f>
        <v/>
      </c>
      <c r="R2929" s="3" t="n"/>
      <c r="S2929" s="4" t="n"/>
      <c r="T2929" s="4" t="n"/>
    </row>
    <row r="2930">
      <c r="A2930" s="3" t="n">
        <v>2929</v>
      </c>
      <c r="B2930" s="3" t="inlineStr">
        <is>
          <t>DL027</t>
        </is>
      </c>
      <c r="C2930" s="4" t="inlineStr">
        <is>
          <t>ĐL Bình Định - Khoan Pin 77</t>
        </is>
      </c>
      <c r="D2930" s="3" t="inlineStr">
        <is>
          <t>GIA LAI 
(BÌNH ĐỊNH CŨ)</t>
        </is>
      </c>
      <c r="E2930" s="3" t="inlineStr">
        <is>
          <t>THÙY TRANG</t>
        </is>
      </c>
      <c r="F2930" s="3" t="inlineStr"/>
      <c r="G2930" s="4" t="inlineStr">
        <is>
          <t>SHOPEE: TIKTOK: LAZADA: WEBSITE BÁN HÀNG: YOUTUBE: https://www.youtube.com/channel/UCowiJLhwAySOYT7OCDWOOYA</t>
        </is>
      </c>
      <c r="H2930" s="3" t="inlineStr">
        <is>
          <t>KS3-208</t>
        </is>
      </c>
      <c r="I2930" s="4" t="inlineStr">
        <is>
          <t>Kìm chữ C KS3-208</t>
        </is>
      </c>
      <c r="J2930" s="3" t="inlineStr">
        <is>
          <t>Cái</t>
        </is>
      </c>
      <c r="K2930" s="5" t="n">
        <v>132000</v>
      </c>
      <c r="L2930" s="5" t="n">
        <v>156000</v>
      </c>
      <c r="M2930" s="6" t="n">
        <v>191000</v>
      </c>
      <c r="N2930" s="5" t="n"/>
      <c r="O2930" s="5">
        <f>IF(AND(ISNUMBER(N2930),ISNUMBER(M2930)),N2930-M2930,"")</f>
        <v/>
      </c>
      <c r="P2930" s="7">
        <f>IF(AND(ISNUMBER(N2930),ISNUMBER(M2930),M2930&gt;0),(N2930-M2930)/M2930,"")</f>
        <v/>
      </c>
      <c r="Q2930" s="3">
        <f>IF(P2930="","",IF(P2930&lt;-0.02,"🔴 Bán phá giá sàn",IF(P2930&gt;0.05,"🔵 Bán cao hơn","🟢 Đúng giá sàn TMĐT")))</f>
        <v/>
      </c>
      <c r="R2930" s="3" t="n"/>
      <c r="S2930" s="4" t="n"/>
      <c r="T2930" s="4" t="n"/>
    </row>
    <row r="2931">
      <c r="A2931" s="3" t="n">
        <v>2930</v>
      </c>
      <c r="B2931" s="3" t="inlineStr">
        <is>
          <t>DL027</t>
        </is>
      </c>
      <c r="C2931" s="4" t="inlineStr">
        <is>
          <t>ĐL Bình Định - Khoan Pin 77</t>
        </is>
      </c>
      <c r="D2931" s="3" t="inlineStr">
        <is>
          <t>GIA LAI 
(BÌNH ĐỊNH CŨ)</t>
        </is>
      </c>
      <c r="E2931" s="3" t="inlineStr">
        <is>
          <t>THÙY TRANG</t>
        </is>
      </c>
      <c r="F2931" s="3" t="inlineStr"/>
      <c r="G2931" s="4" t="inlineStr">
        <is>
          <t>SHOPEE: TIKTOK: LAZADA: WEBSITE BÁN HÀNG: YOUTUBE: https://www.youtube.com/channel/UCowiJLhwAySOYT7OCDWOOYA</t>
        </is>
      </c>
      <c r="H2931" s="3" t="inlineStr">
        <is>
          <t>KCL-200</t>
        </is>
      </c>
      <c r="I2931" s="4" t="inlineStr">
        <is>
          <t>Kìm cộng lực mini KCL-200 pro</t>
        </is>
      </c>
      <c r="J2931" s="3" t="inlineStr">
        <is>
          <t>Cái</t>
        </is>
      </c>
      <c r="K2931" s="5" t="n">
        <v>269000</v>
      </c>
      <c r="L2931" s="5" t="n">
        <v>317000</v>
      </c>
      <c r="M2931" s="6" t="n">
        <v>390000</v>
      </c>
      <c r="N2931" s="5" t="n"/>
      <c r="O2931" s="5">
        <f>IF(AND(ISNUMBER(N2931),ISNUMBER(M2931)),N2931-M2931,"")</f>
        <v/>
      </c>
      <c r="P2931" s="7">
        <f>IF(AND(ISNUMBER(N2931),ISNUMBER(M2931),M2931&gt;0),(N2931-M2931)/M2931,"")</f>
        <v/>
      </c>
      <c r="Q2931" s="3">
        <f>IF(P2931="","",IF(P2931&lt;-0.02,"🔴 Bán phá giá sàn",IF(P2931&gt;0.05,"🔵 Bán cao hơn","🟢 Đúng giá sàn TMĐT")))</f>
        <v/>
      </c>
      <c r="R2931" s="3" t="n"/>
      <c r="S2931" s="4" t="n"/>
      <c r="T2931" s="4" t="n"/>
    </row>
    <row r="2932">
      <c r="A2932" s="3" t="n">
        <v>2931</v>
      </c>
      <c r="B2932" s="3" t="inlineStr">
        <is>
          <t>DL027</t>
        </is>
      </c>
      <c r="C2932" s="4" t="inlineStr">
        <is>
          <t>ĐL Bình Định - Khoan Pin 77</t>
        </is>
      </c>
      <c r="D2932" s="3" t="inlineStr">
        <is>
          <t>GIA LAI 
(BÌNH ĐỊNH CŨ)</t>
        </is>
      </c>
      <c r="E2932" s="3" t="inlineStr">
        <is>
          <t>THÙY TRANG</t>
        </is>
      </c>
      <c r="F2932" s="3" t="inlineStr"/>
      <c r="G2932" s="4" t="inlineStr">
        <is>
          <t>SHOPEE: TIKTOK: LAZADA: WEBSITE BÁN HÀNG: YOUTUBE: https://www.youtube.com/channel/UCowiJLhwAySOYT7OCDWOOYA</t>
        </is>
      </c>
      <c r="H2932" s="3" t="inlineStr">
        <is>
          <t>KC1-09</t>
        </is>
      </c>
      <c r="I2932" s="4" t="inlineStr">
        <is>
          <t>Kìm điện đa năng KC1-09</t>
        </is>
      </c>
      <c r="J2932" s="3" t="inlineStr">
        <is>
          <t>Cái</t>
        </is>
      </c>
      <c r="K2932" s="5" t="n">
        <v>127000</v>
      </c>
      <c r="L2932" s="5" t="n">
        <v>150000</v>
      </c>
      <c r="M2932" s="6" t="n">
        <v>184000</v>
      </c>
      <c r="N2932" s="5" t="n"/>
      <c r="O2932" s="5">
        <f>IF(AND(ISNUMBER(N2932),ISNUMBER(M2932)),N2932-M2932,"")</f>
        <v/>
      </c>
      <c r="P2932" s="7">
        <f>IF(AND(ISNUMBER(N2932),ISNUMBER(M2932),M2932&gt;0),(N2932-M2932)/M2932,"")</f>
        <v/>
      </c>
      <c r="Q2932" s="3">
        <f>IF(P2932="","",IF(P2932&lt;-0.02,"🔴 Bán phá giá sàn",IF(P2932&gt;0.05,"🔵 Bán cao hơn","🟢 Đúng giá sàn TMĐT")))</f>
        <v/>
      </c>
      <c r="R2932" s="3" t="n"/>
      <c r="S2932" s="4" t="n"/>
      <c r="T2932" s="4" t="n"/>
    </row>
    <row r="2933">
      <c r="A2933" s="3" t="n">
        <v>2932</v>
      </c>
      <c r="B2933" s="3" t="inlineStr">
        <is>
          <t>DL027</t>
        </is>
      </c>
      <c r="C2933" s="4" t="inlineStr">
        <is>
          <t>ĐL Bình Định - Khoan Pin 77</t>
        </is>
      </c>
      <c r="D2933" s="3" t="inlineStr">
        <is>
          <t>GIA LAI 
(BÌNH ĐỊNH CŨ)</t>
        </is>
      </c>
      <c r="E2933" s="3" t="inlineStr">
        <is>
          <t>THÙY TRANG</t>
        </is>
      </c>
      <c r="F2933" s="3" t="inlineStr"/>
      <c r="G2933" s="4" t="inlineStr">
        <is>
          <t>SHOPEE: TIKTOK: LAZADA: WEBSITE BÁN HÀNG: YOUTUBE: https://www.youtube.com/channel/UCowiJLhwAySOYT7OCDWOOYA</t>
        </is>
      </c>
      <c r="H2933" s="3" t="inlineStr">
        <is>
          <t>KC1-08</t>
        </is>
      </c>
      <c r="I2933" s="4" t="inlineStr">
        <is>
          <t>Kìm điện KC1-08</t>
        </is>
      </c>
      <c r="J2933" s="3" t="inlineStr">
        <is>
          <t>Cái</t>
        </is>
      </c>
      <c r="K2933" s="5" t="n">
        <v>109000</v>
      </c>
      <c r="L2933" s="5" t="n">
        <v>129000</v>
      </c>
      <c r="M2933" s="6" t="n">
        <v>158000</v>
      </c>
      <c r="N2933" s="5" t="n"/>
      <c r="O2933" s="5">
        <f>IF(AND(ISNUMBER(N2933),ISNUMBER(M2933)),N2933-M2933,"")</f>
        <v/>
      </c>
      <c r="P2933" s="7">
        <f>IF(AND(ISNUMBER(N2933),ISNUMBER(M2933),M2933&gt;0),(N2933-M2933)/M2933,"")</f>
        <v/>
      </c>
      <c r="Q2933" s="3">
        <f>IF(P2933="","",IF(P2933&lt;-0.02,"🔴 Bán phá giá sàn",IF(P2933&gt;0.05,"🔵 Bán cao hơn","🟢 Đúng giá sàn TMĐT")))</f>
        <v/>
      </c>
      <c r="R2933" s="3" t="n"/>
      <c r="S2933" s="4" t="n"/>
      <c r="T2933" s="4" t="n"/>
    </row>
    <row r="2934">
      <c r="A2934" s="3" t="n">
        <v>2933</v>
      </c>
      <c r="B2934" s="3" t="inlineStr">
        <is>
          <t>DL027</t>
        </is>
      </c>
      <c r="C2934" s="4" t="inlineStr">
        <is>
          <t>ĐL Bình Định - Khoan Pin 77</t>
        </is>
      </c>
      <c r="D2934" s="3" t="inlineStr">
        <is>
          <t>GIA LAI 
(BÌNH ĐỊNH CŨ)</t>
        </is>
      </c>
      <c r="E2934" s="3" t="inlineStr">
        <is>
          <t>THÙY TRANG</t>
        </is>
      </c>
      <c r="F2934" s="3" t="inlineStr"/>
      <c r="G2934" s="4" t="inlineStr">
        <is>
          <t>SHOPEE: TIKTOK: LAZADA: WEBSITE BÁN HÀNG: YOUTUBE: https://www.youtube.com/channel/UCowiJLhwAySOYT7OCDWOOYA</t>
        </is>
      </c>
      <c r="H2934" s="3" t="inlineStr">
        <is>
          <t>300-500A</t>
        </is>
      </c>
      <c r="I2934" s="4" t="inlineStr">
        <is>
          <t>Kìm hàn  KCH-300  (300-500A)</t>
        </is>
      </c>
      <c r="J2934" s="3" t="inlineStr">
        <is>
          <t>Cái</t>
        </is>
      </c>
      <c r="K2934" s="5" t="n">
        <v>269000</v>
      </c>
      <c r="L2934" s="5" t="n">
        <v>317000</v>
      </c>
      <c r="M2934" s="6" t="n">
        <v>390000</v>
      </c>
      <c r="N2934" s="5" t="n"/>
      <c r="O2934" s="5">
        <f>IF(AND(ISNUMBER(N2934),ISNUMBER(M2934)),N2934-M2934,"")</f>
        <v/>
      </c>
      <c r="P2934" s="7">
        <f>IF(AND(ISNUMBER(N2934),ISNUMBER(M2934),M2934&gt;0),(N2934-M2934)/M2934,"")</f>
        <v/>
      </c>
      <c r="Q2934" s="3">
        <f>IF(P2934="","",IF(P2934&lt;-0.02,"🔴 Bán phá giá sàn",IF(P2934&gt;0.05,"🔵 Bán cao hơn","🟢 Đúng giá sàn TMĐT")))</f>
        <v/>
      </c>
      <c r="R2934" s="3" t="n"/>
      <c r="S2934" s="4" t="n"/>
      <c r="T2934" s="4" t="n"/>
    </row>
    <row r="2935">
      <c r="A2935" s="3" t="n">
        <v>2934</v>
      </c>
      <c r="B2935" s="3" t="inlineStr">
        <is>
          <t>DL027</t>
        </is>
      </c>
      <c r="C2935" s="4" t="inlineStr">
        <is>
          <t>ĐL Bình Định - Khoan Pin 77</t>
        </is>
      </c>
      <c r="D2935" s="3" t="inlineStr">
        <is>
          <t>GIA LAI 
(BÌNH ĐỊNH CŨ)</t>
        </is>
      </c>
      <c r="E2935" s="3" t="inlineStr">
        <is>
          <t>THÙY TRANG</t>
        </is>
      </c>
      <c r="F2935" s="3" t="inlineStr"/>
      <c r="G2935" s="4" t="inlineStr">
        <is>
          <t>SHOPEE: TIKTOK: LAZADA: WEBSITE BÁN HÀNG: YOUTUBE: https://www.youtube.com/channel/UCowiJLhwAySOYT7OCDWOOYA</t>
        </is>
      </c>
      <c r="H2935" s="3" t="inlineStr">
        <is>
          <t>KC2-09</t>
        </is>
      </c>
      <c r="I2935" s="4" t="inlineStr">
        <is>
          <t>Kìm mỏ nhọn đa năng KC2-09</t>
        </is>
      </c>
      <c r="J2935" s="3" t="inlineStr">
        <is>
          <t>Cái</t>
        </is>
      </c>
      <c r="K2935" s="5" t="n">
        <v>127000</v>
      </c>
      <c r="L2935" s="5" t="n">
        <v>150000</v>
      </c>
      <c r="M2935" s="6" t="n">
        <v>184000</v>
      </c>
      <c r="N2935" s="5" t="n"/>
      <c r="O2935" s="5">
        <f>IF(AND(ISNUMBER(N2935),ISNUMBER(M2935)),N2935-M2935,"")</f>
        <v/>
      </c>
      <c r="P2935" s="7">
        <f>IF(AND(ISNUMBER(N2935),ISNUMBER(M2935),M2935&gt;0),(N2935-M2935)/M2935,"")</f>
        <v/>
      </c>
      <c r="Q2935" s="3">
        <f>IF(P2935="","",IF(P2935&lt;-0.02,"🔴 Bán phá giá sàn",IF(P2935&gt;0.05,"🔵 Bán cao hơn","🟢 Đúng giá sàn TMĐT")))</f>
        <v/>
      </c>
      <c r="R2935" s="3" t="n"/>
      <c r="S2935" s="4" t="n"/>
      <c r="T2935" s="4" t="n"/>
    </row>
    <row r="2936">
      <c r="A2936" s="3" t="n">
        <v>2935</v>
      </c>
      <c r="B2936" s="3" t="inlineStr">
        <is>
          <t>DL027</t>
        </is>
      </c>
      <c r="C2936" s="4" t="inlineStr">
        <is>
          <t>ĐL Bình Định - Khoan Pin 77</t>
        </is>
      </c>
      <c r="D2936" s="3" t="inlineStr">
        <is>
          <t>GIA LAI 
(BÌNH ĐỊNH CŨ)</t>
        </is>
      </c>
      <c r="E2936" s="3" t="inlineStr">
        <is>
          <t>THÙY TRANG</t>
        </is>
      </c>
      <c r="F2936" s="3" t="inlineStr"/>
      <c r="G2936" s="4" t="inlineStr">
        <is>
          <t>SHOPEE: TIKTOK: LAZADA: WEBSITE BÁN HÀNG: YOUTUBE: https://www.youtube.com/channel/UCowiJLhwAySOYT7OCDWOOYA</t>
        </is>
      </c>
      <c r="H2936" s="3" t="inlineStr">
        <is>
          <t>KC4-300</t>
        </is>
      </c>
      <c r="I2936" s="4" t="inlineStr">
        <is>
          <t>Kìm mỏ quạ KC4-300</t>
        </is>
      </c>
      <c r="J2936" s="3" t="inlineStr">
        <is>
          <t>Cái</t>
        </is>
      </c>
      <c r="K2936" s="5" t="n">
        <v>193000</v>
      </c>
      <c r="L2936" s="5" t="n">
        <v>228000</v>
      </c>
      <c r="M2936" s="6" t="n">
        <v>280000</v>
      </c>
      <c r="N2936" s="5" t="n"/>
      <c r="O2936" s="5">
        <f>IF(AND(ISNUMBER(N2936),ISNUMBER(M2936)),N2936-M2936,"")</f>
        <v/>
      </c>
      <c r="P2936" s="7">
        <f>IF(AND(ISNUMBER(N2936),ISNUMBER(M2936),M2936&gt;0),(N2936-M2936)/M2936,"")</f>
        <v/>
      </c>
      <c r="Q2936" s="3">
        <f>IF(P2936="","",IF(P2936&lt;-0.02,"🔴 Bán phá giá sàn",IF(P2936&gt;0.05,"🔵 Bán cao hơn","🟢 Đúng giá sàn TMĐT")))</f>
        <v/>
      </c>
      <c r="R2936" s="3" t="n"/>
      <c r="S2936" s="4" t="n"/>
      <c r="T2936" s="4" t="n"/>
    </row>
    <row r="2937">
      <c r="A2937" s="3" t="n">
        <v>2936</v>
      </c>
      <c r="B2937" s="3" t="inlineStr">
        <is>
          <t>DL027</t>
        </is>
      </c>
      <c r="C2937" s="4" t="inlineStr">
        <is>
          <t>ĐL Bình Định - Khoan Pin 77</t>
        </is>
      </c>
      <c r="D2937" s="3" t="inlineStr">
        <is>
          <t>GIA LAI 
(BÌNH ĐỊNH CŨ)</t>
        </is>
      </c>
      <c r="E2937" s="3" t="inlineStr">
        <is>
          <t>THÙY TRANG</t>
        </is>
      </c>
      <c r="F2937" s="3" t="inlineStr"/>
      <c r="G2937" s="4" t="inlineStr">
        <is>
          <t>SHOPEE: TIKTOK: LAZADA: WEBSITE BÁN HÀNG: YOUTUBE: https://www.youtube.com/channel/UCowiJLhwAySOYT7OCDWOOYA</t>
        </is>
      </c>
      <c r="H2937" s="3" t="inlineStr">
        <is>
          <t>KC2-150</t>
        </is>
      </c>
      <c r="I2937" s="4" t="inlineStr">
        <is>
          <t>Kìm nhọn KC2-150</t>
        </is>
      </c>
      <c r="J2937" s="3" t="inlineStr">
        <is>
          <t>Cái</t>
        </is>
      </c>
      <c r="K2937" s="5" t="n">
        <v>91000</v>
      </c>
      <c r="L2937" s="5" t="n">
        <v>107000</v>
      </c>
      <c r="M2937" s="6" t="n">
        <v>132000</v>
      </c>
      <c r="N2937" s="5" t="n"/>
      <c r="O2937" s="5">
        <f>IF(AND(ISNUMBER(N2937),ISNUMBER(M2937)),N2937-M2937,"")</f>
        <v/>
      </c>
      <c r="P2937" s="7">
        <f>IF(AND(ISNUMBER(N2937),ISNUMBER(M2937),M2937&gt;0),(N2937-M2937)/M2937,"")</f>
        <v/>
      </c>
      <c r="Q2937" s="3">
        <f>IF(P2937="","",IF(P2937&lt;-0.02,"🔴 Bán phá giá sàn",IF(P2937&gt;0.05,"🔵 Bán cao hơn","🟢 Đúng giá sàn TMĐT")))</f>
        <v/>
      </c>
      <c r="R2937" s="3" t="n"/>
      <c r="S2937" s="4" t="n"/>
      <c r="T2937" s="4" t="n"/>
    </row>
    <row r="2938">
      <c r="A2938" s="3" t="n">
        <v>2937</v>
      </c>
      <c r="B2938" s="3" t="inlineStr">
        <is>
          <t>DL027</t>
        </is>
      </c>
      <c r="C2938" s="4" t="inlineStr">
        <is>
          <t>ĐL Bình Định - Khoan Pin 77</t>
        </is>
      </c>
      <c r="D2938" s="3" t="inlineStr">
        <is>
          <t>GIA LAI 
(BÌNH ĐỊNH CŨ)</t>
        </is>
      </c>
      <c r="E2938" s="3" t="inlineStr">
        <is>
          <t>THÙY TRANG</t>
        </is>
      </c>
      <c r="F2938" s="3" t="inlineStr"/>
      <c r="G2938" s="4" t="inlineStr">
        <is>
          <t>SHOPEE: TIKTOK: LAZADA: WEBSITE BÁN HÀNG: YOUTUBE: https://www.youtube.com/channel/UCowiJLhwAySOYT7OCDWOOYA</t>
        </is>
      </c>
      <c r="H2938" s="3" t="inlineStr">
        <is>
          <t>KJ-105</t>
        </is>
      </c>
      <c r="I2938" s="4" t="inlineStr">
        <is>
          <t>Kìm rút đinh rút KJ-105</t>
        </is>
      </c>
      <c r="J2938" s="3" t="inlineStr">
        <is>
          <t>Cái</t>
        </is>
      </c>
      <c r="K2938" s="5" t="n">
        <v>154000</v>
      </c>
      <c r="L2938" s="5" t="n">
        <v>182000</v>
      </c>
      <c r="M2938" s="6" t="n">
        <v>223000</v>
      </c>
      <c r="N2938" s="5" t="n"/>
      <c r="O2938" s="5">
        <f>IF(AND(ISNUMBER(N2938),ISNUMBER(M2938)),N2938-M2938,"")</f>
        <v/>
      </c>
      <c r="P2938" s="7">
        <f>IF(AND(ISNUMBER(N2938),ISNUMBER(M2938),M2938&gt;0),(N2938-M2938)/M2938,"")</f>
        <v/>
      </c>
      <c r="Q2938" s="3">
        <f>IF(P2938="","",IF(P2938&lt;-0.02,"🔴 Bán phá giá sàn",IF(P2938&gt;0.05,"🔵 Bán cao hơn","🟢 Đúng giá sàn TMĐT")))</f>
        <v/>
      </c>
      <c r="R2938" s="3" t="n"/>
      <c r="S2938" s="4" t="n"/>
      <c r="T2938" s="4" t="n"/>
    </row>
    <row r="2939">
      <c r="A2939" s="3" t="n">
        <v>2938</v>
      </c>
      <c r="B2939" s="3" t="inlineStr">
        <is>
          <t>DL027</t>
        </is>
      </c>
      <c r="C2939" s="4" t="inlineStr">
        <is>
          <t>ĐL Bình Định - Khoan Pin 77</t>
        </is>
      </c>
      <c r="D2939" s="3" t="inlineStr">
        <is>
          <t>GIA LAI 
(BÌNH ĐỊNH CŨ)</t>
        </is>
      </c>
      <c r="E2939" s="3" t="inlineStr">
        <is>
          <t>THÙY TRANG</t>
        </is>
      </c>
      <c r="F2939" s="3" t="inlineStr"/>
      <c r="G2939" s="4" t="inlineStr">
        <is>
          <t>SHOPEE: TIKTOK: LAZADA: WEBSITE BÁN HÀNG: YOUTUBE: https://www.youtube.com/channel/UCowiJLhwAySOYT7OCDWOOYA</t>
        </is>
      </c>
      <c r="H2939" s="3" t="inlineStr">
        <is>
          <t>KJ-104</t>
        </is>
      </c>
      <c r="I2939" s="4" t="inlineStr">
        <is>
          <t>Kìm rút đinh rút trợ lực KJ-104</t>
        </is>
      </c>
      <c r="J2939" s="3" t="inlineStr">
        <is>
          <t>Cái</t>
        </is>
      </c>
      <c r="K2939" s="5" t="n">
        <v>204000</v>
      </c>
      <c r="L2939" s="5" t="n">
        <v>241000</v>
      </c>
      <c r="M2939" s="6" t="n">
        <v>296000</v>
      </c>
      <c r="N2939" s="5" t="n"/>
      <c r="O2939" s="5">
        <f>IF(AND(ISNUMBER(N2939),ISNUMBER(M2939)),N2939-M2939,"")</f>
        <v/>
      </c>
      <c r="P2939" s="7">
        <f>IF(AND(ISNUMBER(N2939),ISNUMBER(M2939),M2939&gt;0),(N2939-M2939)/M2939,"")</f>
        <v/>
      </c>
      <c r="Q2939" s="3">
        <f>IF(P2939="","",IF(P2939&lt;-0.02,"🔴 Bán phá giá sàn",IF(P2939&gt;0.05,"🔵 Bán cao hơn","🟢 Đúng giá sàn TMĐT")))</f>
        <v/>
      </c>
      <c r="R2939" s="3" t="n"/>
      <c r="S2939" s="4" t="n"/>
      <c r="T2939" s="4" t="n"/>
    </row>
    <row r="2940">
      <c r="A2940" s="3" t="n">
        <v>2939</v>
      </c>
      <c r="B2940" s="3" t="inlineStr">
        <is>
          <t>DL027</t>
        </is>
      </c>
      <c r="C2940" s="4" t="inlineStr">
        <is>
          <t>ĐL Bình Định - Khoan Pin 77</t>
        </is>
      </c>
      <c r="D2940" s="3" t="inlineStr">
        <is>
          <t>GIA LAI 
(BÌNH ĐỊNH CŨ)</t>
        </is>
      </c>
      <c r="E2940" s="3" t="inlineStr">
        <is>
          <t>THÙY TRANG</t>
        </is>
      </c>
      <c r="F2940" s="3" t="inlineStr"/>
      <c r="G2940" s="4" t="inlineStr">
        <is>
          <t>SHOPEE: TIKTOK: LAZADA: WEBSITE BÁN HÀNG: YOUTUBE: https://www.youtube.com/channel/UCowiJLhwAySOYT7OCDWOOYA</t>
        </is>
      </c>
      <c r="H2940" s="3" t="inlineStr"/>
      <c r="I2940" s="4" t="inlineStr">
        <is>
          <t>Kìm thẳng phe ngoài KCB 180</t>
        </is>
      </c>
      <c r="J2940" s="3" t="inlineStr">
        <is>
          <t>Cái</t>
        </is>
      </c>
      <c r="K2940" s="5" t="n">
        <v>269000</v>
      </c>
      <c r="L2940" s="5" t="n">
        <v>317000</v>
      </c>
      <c r="M2940" s="6" t="n">
        <v>390000</v>
      </c>
      <c r="N2940" s="5" t="n"/>
      <c r="O2940" s="5">
        <f>IF(AND(ISNUMBER(N2940),ISNUMBER(M2940)),N2940-M2940,"")</f>
        <v/>
      </c>
      <c r="P2940" s="7">
        <f>IF(AND(ISNUMBER(N2940),ISNUMBER(M2940),M2940&gt;0),(N2940-M2940)/M2940,"")</f>
        <v/>
      </c>
      <c r="Q2940" s="3">
        <f>IF(P2940="","",IF(P2940&lt;-0.02,"🔴 Bán phá giá sàn",IF(P2940&gt;0.05,"🔵 Bán cao hơn","🟢 Đúng giá sàn TMĐT")))</f>
        <v/>
      </c>
      <c r="R2940" s="3" t="n"/>
      <c r="S2940" s="4" t="n"/>
      <c r="T2940" s="4" t="n"/>
    </row>
    <row r="2941">
      <c r="A2941" s="3" t="n">
        <v>2940</v>
      </c>
      <c r="B2941" s="3" t="inlineStr">
        <is>
          <t>DL027</t>
        </is>
      </c>
      <c r="C2941" s="4" t="inlineStr">
        <is>
          <t>ĐL Bình Định - Khoan Pin 77</t>
        </is>
      </c>
      <c r="D2941" s="3" t="inlineStr">
        <is>
          <t>GIA LAI 
(BÌNH ĐỊNH CŨ)</t>
        </is>
      </c>
      <c r="E2941" s="3" t="inlineStr">
        <is>
          <t>THÙY TRANG</t>
        </is>
      </c>
      <c r="F2941" s="3" t="inlineStr"/>
      <c r="G2941" s="4" t="inlineStr">
        <is>
          <t>SHOPEE: TIKTOK: LAZADA: WEBSITE BÁN HÀNG: YOUTUBE: https://www.youtube.com/channel/UCowiJLhwAySOYT7OCDWOOYA</t>
        </is>
      </c>
      <c r="H2941" s="3" t="inlineStr">
        <is>
          <t>KND180</t>
        </is>
      </c>
      <c r="I2941" s="4" t="inlineStr">
        <is>
          <t>Kìm tuốt dây điện đa năng KND180</t>
        </is>
      </c>
      <c r="J2941" s="3" t="inlineStr">
        <is>
          <t>Cái</t>
        </is>
      </c>
      <c r="K2941" s="5" t="n">
        <v>127000</v>
      </c>
      <c r="L2941" s="5" t="n">
        <v>150000</v>
      </c>
      <c r="M2941" s="6" t="n">
        <v>184000</v>
      </c>
      <c r="N2941" s="5" t="n"/>
      <c r="O2941" s="5">
        <f>IF(AND(ISNUMBER(N2941),ISNUMBER(M2941)),N2941-M2941,"")</f>
        <v/>
      </c>
      <c r="P2941" s="7">
        <f>IF(AND(ISNUMBER(N2941),ISNUMBER(M2941),M2941&gt;0),(N2941-M2941)/M2941,"")</f>
        <v/>
      </c>
      <c r="Q2941" s="3">
        <f>IF(P2941="","",IF(P2941&lt;-0.02,"🔴 Bán phá giá sàn",IF(P2941&gt;0.05,"🔵 Bán cao hơn","🟢 Đúng giá sàn TMĐT")))</f>
        <v/>
      </c>
      <c r="R2941" s="3" t="n"/>
      <c r="S2941" s="4" t="n"/>
      <c r="T2941" s="4" t="n"/>
    </row>
    <row r="2942">
      <c r="A2942" s="3" t="n">
        <v>2941</v>
      </c>
      <c r="B2942" s="3" t="inlineStr">
        <is>
          <t>DL027</t>
        </is>
      </c>
      <c r="C2942" s="4" t="inlineStr">
        <is>
          <t>ĐL Bình Định - Khoan Pin 77</t>
        </is>
      </c>
      <c r="D2942" s="3" t="inlineStr">
        <is>
          <t>GIA LAI 
(BÌNH ĐỊNH CŨ)</t>
        </is>
      </c>
      <c r="E2942" s="3" t="inlineStr">
        <is>
          <t>THÙY TRANG</t>
        </is>
      </c>
      <c r="F2942" s="3" t="inlineStr"/>
      <c r="G2942" s="4" t="inlineStr">
        <is>
          <t>SHOPEE: TIKTOK: LAZADA: WEBSITE BÁN HÀNG: YOUTUBE: https://www.youtube.com/channel/UCowiJLhwAySOYT7OCDWOOYA</t>
        </is>
      </c>
      <c r="H2942" s="3" t="inlineStr">
        <is>
          <t>KND205</t>
        </is>
      </c>
      <c r="I2942" s="4" t="inlineStr">
        <is>
          <t>Kìm tuốt dây điện đa năng KND205</t>
        </is>
      </c>
      <c r="J2942" s="3" t="inlineStr">
        <is>
          <t>Cái</t>
        </is>
      </c>
      <c r="K2942" s="5" t="n">
        <v>160000</v>
      </c>
      <c r="L2942" s="5" t="n">
        <v>189000</v>
      </c>
      <c r="M2942" s="6" t="n">
        <v>232000</v>
      </c>
      <c r="N2942" s="5" t="n"/>
      <c r="O2942" s="5">
        <f>IF(AND(ISNUMBER(N2942),ISNUMBER(M2942)),N2942-M2942,"")</f>
        <v/>
      </c>
      <c r="P2942" s="7">
        <f>IF(AND(ISNUMBER(N2942),ISNUMBER(M2942),M2942&gt;0),(N2942-M2942)/M2942,"")</f>
        <v/>
      </c>
      <c r="Q2942" s="3">
        <f>IF(P2942="","",IF(P2942&lt;-0.02,"🔴 Bán phá giá sàn",IF(P2942&gt;0.05,"🔵 Bán cao hơn","🟢 Đúng giá sàn TMĐT")))</f>
        <v/>
      </c>
      <c r="R2942" s="3" t="n"/>
      <c r="S2942" s="4" t="n"/>
      <c r="T2942" s="4" t="n"/>
    </row>
    <row r="2943">
      <c r="A2943" s="3" t="n">
        <v>2942</v>
      </c>
      <c r="B2943" s="3" t="inlineStr">
        <is>
          <t>DL027</t>
        </is>
      </c>
      <c r="C2943" s="4" t="inlineStr">
        <is>
          <t>ĐL Bình Định - Khoan Pin 77</t>
        </is>
      </c>
      <c r="D2943" s="3" t="inlineStr">
        <is>
          <t>GIA LAI 
(BÌNH ĐỊNH CŨ)</t>
        </is>
      </c>
      <c r="E2943" s="3" t="inlineStr">
        <is>
          <t>THÙY TRANG</t>
        </is>
      </c>
      <c r="F2943" s="3" t="inlineStr"/>
      <c r="G2943" s="4" t="inlineStr">
        <is>
          <t>SHOPEE: TIKTOK: LAZADA: WEBSITE BÁN HÀNG: YOUTUBE: https://www.youtube.com/channel/UCowiJLhwAySOYT7OCDWOOYA</t>
        </is>
      </c>
      <c r="H2943" s="3" t="inlineStr">
        <is>
          <t>E2-110X20</t>
        </is>
      </c>
      <c r="I2943" s="4" t="inlineStr">
        <is>
          <t>Lưỡi cắt KingBlue E2-110X20</t>
        </is>
      </c>
      <c r="J2943" s="3" t="inlineStr">
        <is>
          <t>Cái</t>
        </is>
      </c>
      <c r="K2943" s="5" t="n">
        <v>48000</v>
      </c>
      <c r="L2943" s="5" t="n">
        <v>57000</v>
      </c>
      <c r="M2943" s="6" t="n">
        <v>70000</v>
      </c>
      <c r="N2943" s="5" t="n"/>
      <c r="O2943" s="5">
        <f>IF(AND(ISNUMBER(N2943),ISNUMBER(M2943)),N2943-M2943,"")</f>
        <v/>
      </c>
      <c r="P2943" s="7">
        <f>IF(AND(ISNUMBER(N2943),ISNUMBER(M2943),M2943&gt;0),(N2943-M2943)/M2943,"")</f>
        <v/>
      </c>
      <c r="Q2943" s="3">
        <f>IF(P2943="","",IF(P2943&lt;-0.02,"🔴 Bán phá giá sàn",IF(P2943&gt;0.05,"🔵 Bán cao hơn","🟢 Đúng giá sàn TMĐT")))</f>
        <v/>
      </c>
      <c r="R2943" s="3" t="n"/>
      <c r="S2943" s="4" t="n"/>
      <c r="T2943" s="4" t="n"/>
    </row>
    <row r="2944">
      <c r="A2944" s="3" t="n">
        <v>2943</v>
      </c>
      <c r="B2944" s="3" t="inlineStr">
        <is>
          <t>DL027</t>
        </is>
      </c>
      <c r="C2944" s="4" t="inlineStr">
        <is>
          <t>ĐL Bình Định - Khoan Pin 77</t>
        </is>
      </c>
      <c r="D2944" s="3" t="inlineStr">
        <is>
          <t>GIA LAI 
(BÌNH ĐỊNH CŨ)</t>
        </is>
      </c>
      <c r="E2944" s="3" t="inlineStr">
        <is>
          <t>THÙY TRANG</t>
        </is>
      </c>
      <c r="F2944" s="3" t="inlineStr"/>
      <c r="G2944" s="4" t="inlineStr">
        <is>
          <t>SHOPEE: TIKTOK: LAZADA: WEBSITE BÁN HÀNG: YOUTUBE: https://www.youtube.com/channel/UCowiJLhwAySOYT7OCDWOOYA</t>
        </is>
      </c>
      <c r="H2944" s="3" t="inlineStr">
        <is>
          <t>E3-105DN</t>
        </is>
      </c>
      <c r="I2944" s="4" t="inlineStr">
        <is>
          <t>Lưỡi cắt KingBlue E3-105DN</t>
        </is>
      </c>
      <c r="J2944" s="3" t="inlineStr">
        <is>
          <t>Cái</t>
        </is>
      </c>
      <c r="K2944" s="5" t="n">
        <v>70000</v>
      </c>
      <c r="L2944" s="5" t="n">
        <v>83000</v>
      </c>
      <c r="M2944" s="6" t="n">
        <v>102000</v>
      </c>
      <c r="N2944" s="5" t="n"/>
      <c r="O2944" s="5">
        <f>IF(AND(ISNUMBER(N2944),ISNUMBER(M2944)),N2944-M2944,"")</f>
        <v/>
      </c>
      <c r="P2944" s="7">
        <f>IF(AND(ISNUMBER(N2944),ISNUMBER(M2944),M2944&gt;0),(N2944-M2944)/M2944,"")</f>
        <v/>
      </c>
      <c r="Q2944" s="3">
        <f>IF(P2944="","",IF(P2944&lt;-0.02,"🔴 Bán phá giá sàn",IF(P2944&gt;0.05,"🔵 Bán cao hơn","🟢 Đúng giá sàn TMĐT")))</f>
        <v/>
      </c>
      <c r="R2944" s="3" t="n"/>
      <c r="S2944" s="4" t="n"/>
      <c r="T2944" s="4" t="n"/>
    </row>
    <row r="2945">
      <c r="A2945" s="3" t="n">
        <v>2944</v>
      </c>
      <c r="B2945" s="3" t="inlineStr">
        <is>
          <t>DL027</t>
        </is>
      </c>
      <c r="C2945" s="4" t="inlineStr">
        <is>
          <t>ĐL Bình Định - Khoan Pin 77</t>
        </is>
      </c>
      <c r="D2945" s="3" t="inlineStr">
        <is>
          <t>GIA LAI 
(BÌNH ĐỊNH CŨ)</t>
        </is>
      </c>
      <c r="E2945" s="3" t="inlineStr">
        <is>
          <t>THÙY TRANG</t>
        </is>
      </c>
      <c r="F2945" s="3" t="inlineStr"/>
      <c r="G2945" s="4" t="inlineStr">
        <is>
          <t>SHOPEE: TIKTOK: LAZADA: WEBSITE BÁN HÀNG: YOUTUBE: https://www.youtube.com/channel/UCowiJLhwAySOYT7OCDWOOYA</t>
        </is>
      </c>
      <c r="H2945" s="3" t="inlineStr">
        <is>
          <t>G1-125R</t>
        </is>
      </c>
      <c r="I2945" s="4" t="inlineStr">
        <is>
          <t>Lưỡi cắt Kingblue G1-125R</t>
        </is>
      </c>
      <c r="J2945" s="3" t="inlineStr">
        <is>
          <t>Cái</t>
        </is>
      </c>
      <c r="K2945" s="5" t="n">
        <v>83000</v>
      </c>
      <c r="L2945" s="5" t="n">
        <v>98000</v>
      </c>
      <c r="M2945" s="6" t="n">
        <v>120000</v>
      </c>
      <c r="N2945" s="5" t="n"/>
      <c r="O2945" s="5">
        <f>IF(AND(ISNUMBER(N2945),ISNUMBER(M2945)),N2945-M2945,"")</f>
        <v/>
      </c>
      <c r="P2945" s="7">
        <f>IF(AND(ISNUMBER(N2945),ISNUMBER(M2945),M2945&gt;0),(N2945-M2945)/M2945,"")</f>
        <v/>
      </c>
      <c r="Q2945" s="3">
        <f>IF(P2945="","",IF(P2945&lt;-0.02,"🔴 Bán phá giá sàn",IF(P2945&gt;0.05,"🔵 Bán cao hơn","🟢 Đúng giá sàn TMĐT")))</f>
        <v/>
      </c>
      <c r="R2945" s="3" t="n"/>
      <c r="S2945" s="4" t="n"/>
      <c r="T2945" s="4" t="n"/>
    </row>
    <row r="2946">
      <c r="A2946" s="3" t="n">
        <v>2945</v>
      </c>
      <c r="B2946" s="3" t="inlineStr">
        <is>
          <t>DL027</t>
        </is>
      </c>
      <c r="C2946" s="4" t="inlineStr">
        <is>
          <t>ĐL Bình Định - Khoan Pin 77</t>
        </is>
      </c>
      <c r="D2946" s="3" t="inlineStr">
        <is>
          <t>GIA LAI 
(BÌNH ĐỊNH CŨ)</t>
        </is>
      </c>
      <c r="E2946" s="3" t="inlineStr">
        <is>
          <t>THÙY TRANG</t>
        </is>
      </c>
      <c r="F2946" s="3" t="inlineStr"/>
      <c r="G2946" s="4" t="inlineStr">
        <is>
          <t>SHOPEE: TIKTOK: LAZADA: WEBSITE BÁN HÀNG: YOUTUBE: https://www.youtube.com/channel/UCowiJLhwAySOYT7OCDWOOYA</t>
        </is>
      </c>
      <c r="H2946" s="3" t="inlineStr">
        <is>
          <t>G1-133R</t>
        </is>
      </c>
      <c r="I2946" s="4" t="inlineStr">
        <is>
          <t>Lưỡi cắt Kingblue G1-133R</t>
        </is>
      </c>
      <c r="J2946" s="3" t="inlineStr">
        <is>
          <t>Cái</t>
        </is>
      </c>
      <c r="K2946" s="5" t="n">
        <v>92000</v>
      </c>
      <c r="L2946" s="5" t="n">
        <v>108000</v>
      </c>
      <c r="M2946" s="6" t="n">
        <v>133000</v>
      </c>
      <c r="N2946" s="5" t="n"/>
      <c r="O2946" s="5">
        <f>IF(AND(ISNUMBER(N2946),ISNUMBER(M2946)),N2946-M2946,"")</f>
        <v/>
      </c>
      <c r="P2946" s="7">
        <f>IF(AND(ISNUMBER(N2946),ISNUMBER(M2946),M2946&gt;0),(N2946-M2946)/M2946,"")</f>
        <v/>
      </c>
      <c r="Q2946" s="3">
        <f>IF(P2946="","",IF(P2946&lt;-0.02,"🔴 Bán phá giá sàn",IF(P2946&gt;0.05,"🔵 Bán cao hơn","🟢 Đúng giá sàn TMĐT")))</f>
        <v/>
      </c>
      <c r="R2946" s="3" t="n"/>
      <c r="S2946" s="4" t="n"/>
      <c r="T2946" s="4" t="n"/>
    </row>
    <row r="2947">
      <c r="A2947" s="3" t="n">
        <v>2946</v>
      </c>
      <c r="B2947" s="3" t="inlineStr">
        <is>
          <t>DL027</t>
        </is>
      </c>
      <c r="C2947" s="4" t="inlineStr">
        <is>
          <t>ĐL Bình Định - Khoan Pin 77</t>
        </is>
      </c>
      <c r="D2947" s="3" t="inlineStr">
        <is>
          <t>GIA LAI 
(BÌNH ĐỊNH CŨ)</t>
        </is>
      </c>
      <c r="E2947" s="3" t="inlineStr">
        <is>
          <t>THÙY TRANG</t>
        </is>
      </c>
      <c r="F2947" s="3" t="inlineStr"/>
      <c r="G2947" s="4" t="inlineStr">
        <is>
          <t>SHOPEE: TIKTOK: LAZADA: WEBSITE BÁN HÀNG: YOUTUBE: https://www.youtube.com/channel/UCowiJLhwAySOYT7OCDWOOYA</t>
        </is>
      </c>
      <c r="H2947" s="3" t="inlineStr">
        <is>
          <t>GT-110R</t>
        </is>
      </c>
      <c r="I2947" s="4" t="inlineStr">
        <is>
          <t>Lưỡi cắt KingBlue GT-110R</t>
        </is>
      </c>
      <c r="J2947" s="3" t="inlineStr">
        <is>
          <t>Cái</t>
        </is>
      </c>
      <c r="K2947" s="5" t="n">
        <v>68000</v>
      </c>
      <c r="L2947" s="5" t="n">
        <v>80000</v>
      </c>
      <c r="M2947" s="6" t="n">
        <v>99000</v>
      </c>
      <c r="N2947" s="5" t="n"/>
      <c r="O2947" s="5">
        <f>IF(AND(ISNUMBER(N2947),ISNUMBER(M2947)),N2947-M2947,"")</f>
        <v/>
      </c>
      <c r="P2947" s="7">
        <f>IF(AND(ISNUMBER(N2947),ISNUMBER(M2947),M2947&gt;0),(N2947-M2947)/M2947,"")</f>
        <v/>
      </c>
      <c r="Q2947" s="3">
        <f>IF(P2947="","",IF(P2947&lt;-0.02,"🔴 Bán phá giá sàn",IF(P2947&gt;0.05,"🔵 Bán cao hơn","🟢 Đúng giá sàn TMĐT")))</f>
        <v/>
      </c>
      <c r="R2947" s="3" t="n"/>
      <c r="S2947" s="4" t="n"/>
      <c r="T2947" s="4" t="n"/>
    </row>
    <row r="2948">
      <c r="A2948" s="3" t="n">
        <v>2947</v>
      </c>
      <c r="B2948" s="3" t="inlineStr">
        <is>
          <t>DL027</t>
        </is>
      </c>
      <c r="C2948" s="4" t="inlineStr">
        <is>
          <t>ĐL Bình Định - Khoan Pin 77</t>
        </is>
      </c>
      <c r="D2948" s="3" t="inlineStr">
        <is>
          <t>GIA LAI 
(BÌNH ĐỊNH CŨ)</t>
        </is>
      </c>
      <c r="E2948" s="3" t="inlineStr">
        <is>
          <t>THÙY TRANG</t>
        </is>
      </c>
      <c r="F2948" s="3" t="inlineStr"/>
      <c r="G2948" s="4" t="inlineStr">
        <is>
          <t>SHOPEE: TIKTOK: LAZADA: WEBSITE BÁN HÀNG: YOUTUBE: https://www.youtube.com/channel/UCowiJLhwAySOYT7OCDWOOYA</t>
        </is>
      </c>
      <c r="H2948" s="3" t="inlineStr">
        <is>
          <t>S3</t>
        </is>
      </c>
      <c r="I2948" s="4" t="inlineStr">
        <is>
          <t>Lưỡi cắt KingBlue S3 105DN (xanh dương) (NEW)</t>
        </is>
      </c>
      <c r="J2948" s="3" t="inlineStr">
        <is>
          <t>Cái</t>
        </is>
      </c>
      <c r="K2948" s="5" t="n">
        <v>263000</v>
      </c>
      <c r="L2948" s="5" t="n">
        <v>310000</v>
      </c>
      <c r="M2948" s="6" t="n">
        <v>381000</v>
      </c>
      <c r="N2948" s="5" t="n"/>
      <c r="O2948" s="5">
        <f>IF(AND(ISNUMBER(N2948),ISNUMBER(M2948)),N2948-M2948,"")</f>
        <v/>
      </c>
      <c r="P2948" s="7">
        <f>IF(AND(ISNUMBER(N2948),ISNUMBER(M2948),M2948&gt;0),(N2948-M2948)/M2948,"")</f>
        <v/>
      </c>
      <c r="Q2948" s="3">
        <f>IF(P2948="","",IF(P2948&lt;-0.02,"🔴 Bán phá giá sàn",IF(P2948&gt;0.05,"🔵 Bán cao hơn","🟢 Đúng giá sàn TMĐT")))</f>
        <v/>
      </c>
      <c r="R2948" s="3" t="n"/>
      <c r="S2948" s="4" t="n"/>
      <c r="T2948" s="4" t="n"/>
    </row>
    <row r="2949">
      <c r="A2949" s="3" t="n">
        <v>2948</v>
      </c>
      <c r="B2949" s="3" t="inlineStr">
        <is>
          <t>DL027</t>
        </is>
      </c>
      <c r="C2949" s="4" t="inlineStr">
        <is>
          <t>ĐL Bình Định - Khoan Pin 77</t>
        </is>
      </c>
      <c r="D2949" s="3" t="inlineStr">
        <is>
          <t>GIA LAI 
(BÌNH ĐỊNH CŨ)</t>
        </is>
      </c>
      <c r="E2949" s="3" t="inlineStr">
        <is>
          <t>THÙY TRANG</t>
        </is>
      </c>
      <c r="F2949" s="3" t="inlineStr"/>
      <c r="G2949" s="4" t="inlineStr">
        <is>
          <t>SHOPEE: TIKTOK: LAZADA: WEBSITE BÁN HÀNG: YOUTUBE: https://www.youtube.com/channel/UCowiJLhwAySOYT7OCDWOOYA</t>
        </is>
      </c>
      <c r="H2949" s="3" t="inlineStr">
        <is>
          <t>S4-105DN</t>
        </is>
      </c>
      <c r="I2949" s="4" t="inlineStr">
        <is>
          <t>Lưỡi cắt KingBlue S4-105DN</t>
        </is>
      </c>
      <c r="J2949" s="3" t="inlineStr">
        <is>
          <t>Cái</t>
        </is>
      </c>
      <c r="K2949" s="5" t="n">
        <v>125000</v>
      </c>
      <c r="L2949" s="5" t="n">
        <v>147000</v>
      </c>
      <c r="M2949" s="6" t="n">
        <v>181000</v>
      </c>
      <c r="N2949" s="5" t="n"/>
      <c r="O2949" s="5">
        <f>IF(AND(ISNUMBER(N2949),ISNUMBER(M2949)),N2949-M2949,"")</f>
        <v/>
      </c>
      <c r="P2949" s="7">
        <f>IF(AND(ISNUMBER(N2949),ISNUMBER(M2949),M2949&gt;0),(N2949-M2949)/M2949,"")</f>
        <v/>
      </c>
      <c r="Q2949" s="3">
        <f>IF(P2949="","",IF(P2949&lt;-0.02,"🔴 Bán phá giá sàn",IF(P2949&gt;0.05,"🔵 Bán cao hơn","🟢 Đúng giá sàn TMĐT")))</f>
        <v/>
      </c>
      <c r="R2949" s="3" t="n"/>
      <c r="S2949" s="4" t="n"/>
      <c r="T2949" s="4" t="n"/>
    </row>
    <row r="2950">
      <c r="A2950" s="3" t="n">
        <v>2949</v>
      </c>
      <c r="B2950" s="3" t="inlineStr">
        <is>
          <t>DL027</t>
        </is>
      </c>
      <c r="C2950" s="4" t="inlineStr">
        <is>
          <t>ĐL Bình Định - Khoan Pin 77</t>
        </is>
      </c>
      <c r="D2950" s="3" t="inlineStr">
        <is>
          <t>GIA LAI 
(BÌNH ĐỊNH CŨ)</t>
        </is>
      </c>
      <c r="E2950" s="3" t="inlineStr">
        <is>
          <t>THÙY TRANG</t>
        </is>
      </c>
      <c r="F2950" s="3" t="inlineStr"/>
      <c r="G2950" s="4" t="inlineStr">
        <is>
          <t>SHOPEE: TIKTOK: LAZADA: WEBSITE BÁN HÀNG: YOUTUBE: https://www.youtube.com/channel/UCowiJLhwAySOYT7OCDWOOYA</t>
        </is>
      </c>
      <c r="H2950" s="3" t="inlineStr">
        <is>
          <t>K1-185x32T</t>
        </is>
      </c>
      <c r="I2950" s="4" t="inlineStr">
        <is>
          <t>Lưỡi cưa kim loại KingBlue K1-185x32T (Cưa sắt)</t>
        </is>
      </c>
      <c r="J2950" s="3" t="inlineStr">
        <is>
          <t>Cái</t>
        </is>
      </c>
      <c r="K2950" s="5" t="n">
        <v>273000</v>
      </c>
      <c r="L2950" s="5" t="n">
        <v>322000</v>
      </c>
      <c r="M2950" s="6" t="n">
        <v>396000</v>
      </c>
      <c r="N2950" s="5" t="n"/>
      <c r="O2950" s="5">
        <f>IF(AND(ISNUMBER(N2950),ISNUMBER(M2950)),N2950-M2950,"")</f>
        <v/>
      </c>
      <c r="P2950" s="7">
        <f>IF(AND(ISNUMBER(N2950),ISNUMBER(M2950),M2950&gt;0),(N2950-M2950)/M2950,"")</f>
        <v/>
      </c>
      <c r="Q2950" s="3">
        <f>IF(P2950="","",IF(P2950&lt;-0.02,"🔴 Bán phá giá sàn",IF(P2950&gt;0.05,"🔵 Bán cao hơn","🟢 Đúng giá sàn TMĐT")))</f>
        <v/>
      </c>
      <c r="R2950" s="3" t="n"/>
      <c r="S2950" s="4" t="n"/>
      <c r="T2950" s="4" t="n"/>
    </row>
    <row r="2951">
      <c r="A2951" s="3" t="n">
        <v>2950</v>
      </c>
      <c r="B2951" s="3" t="inlineStr">
        <is>
          <t>DL027</t>
        </is>
      </c>
      <c r="C2951" s="4" t="inlineStr">
        <is>
          <t>ĐL Bình Định - Khoan Pin 77</t>
        </is>
      </c>
      <c r="D2951" s="3" t="inlineStr">
        <is>
          <t>GIA LAI 
(BÌNH ĐỊNH CŨ)</t>
        </is>
      </c>
      <c r="E2951" s="3" t="inlineStr">
        <is>
          <t>THÙY TRANG</t>
        </is>
      </c>
      <c r="F2951" s="3" t="inlineStr"/>
      <c r="G2951" s="4" t="inlineStr">
        <is>
          <t>SHOPEE: TIKTOK: LAZADA: WEBSITE BÁN HÀNG: YOUTUBE: https://www.youtube.com/channel/UCowiJLhwAySOYT7OCDWOOYA</t>
        </is>
      </c>
      <c r="H2951" s="3" t="inlineStr">
        <is>
          <t>KB-LE350</t>
        </is>
      </c>
      <c r="I2951" s="4" t="inlineStr">
        <is>
          <t>Lưỡi Cưa KingBlue KB-LE350</t>
        </is>
      </c>
      <c r="J2951" s="3" t="inlineStr">
        <is>
          <t>Cái</t>
        </is>
      </c>
      <c r="K2951" s="5" t="n">
        <v>158000</v>
      </c>
      <c r="L2951" s="5" t="n">
        <v>186000</v>
      </c>
      <c r="M2951" s="6" t="n">
        <v>229000</v>
      </c>
      <c r="N2951" s="5" t="n"/>
      <c r="O2951" s="5">
        <f>IF(AND(ISNUMBER(N2951),ISNUMBER(M2951)),N2951-M2951,"")</f>
        <v/>
      </c>
      <c r="P2951" s="7">
        <f>IF(AND(ISNUMBER(N2951),ISNUMBER(M2951),M2951&gt;0),(N2951-M2951)/M2951,"")</f>
        <v/>
      </c>
      <c r="Q2951" s="3">
        <f>IF(P2951="","",IF(P2951&lt;-0.02,"🔴 Bán phá giá sàn",IF(P2951&gt;0.05,"🔵 Bán cao hơn","🟢 Đúng giá sàn TMĐT")))</f>
        <v/>
      </c>
      <c r="R2951" s="3" t="n"/>
      <c r="S2951" s="4" t="n"/>
      <c r="T2951" s="4" t="n"/>
    </row>
    <row r="2952">
      <c r="A2952" s="3" t="n">
        <v>2951</v>
      </c>
      <c r="B2952" s="3" t="inlineStr">
        <is>
          <t>DL027</t>
        </is>
      </c>
      <c r="C2952" s="4" t="inlineStr">
        <is>
          <t>ĐL Bình Định - Khoan Pin 77</t>
        </is>
      </c>
      <c r="D2952" s="3" t="inlineStr">
        <is>
          <t>GIA LAI 
(BÌNH ĐỊNH CŨ)</t>
        </is>
      </c>
      <c r="E2952" s="3" t="inlineStr">
        <is>
          <t>THÙY TRANG</t>
        </is>
      </c>
      <c r="F2952" s="3" t="inlineStr"/>
      <c r="G2952" s="4" t="inlineStr">
        <is>
          <t>SHOPEE: TIKTOK: LAZADA: WEBSITE BÁN HÀNG: YOUTUBE: https://www.youtube.com/channel/UCowiJLhwAySOYT7OCDWOOYA</t>
        </is>
      </c>
      <c r="H2952" s="3" t="inlineStr">
        <is>
          <t>KB-LS330</t>
        </is>
      </c>
      <c r="I2952" s="4" t="inlineStr">
        <is>
          <t>Lưỡi Cưa KingBlue KB-LS330</t>
        </is>
      </c>
      <c r="J2952" s="3" t="inlineStr">
        <is>
          <t>Cái</t>
        </is>
      </c>
      <c r="K2952" s="5" t="n">
        <v>184000</v>
      </c>
      <c r="L2952" s="5" t="n">
        <v>217000</v>
      </c>
      <c r="M2952" s="6" t="n">
        <v>267000</v>
      </c>
      <c r="N2952" s="5" t="n"/>
      <c r="O2952" s="5">
        <f>IF(AND(ISNUMBER(N2952),ISNUMBER(M2952)),N2952-M2952,"")</f>
        <v/>
      </c>
      <c r="P2952" s="7">
        <f>IF(AND(ISNUMBER(N2952),ISNUMBER(M2952),M2952&gt;0),(N2952-M2952)/M2952,"")</f>
        <v/>
      </c>
      <c r="Q2952" s="3">
        <f>IF(P2952="","",IF(P2952&lt;-0.02,"🔴 Bán phá giá sàn",IF(P2952&gt;0.05,"🔵 Bán cao hơn","🟢 Đúng giá sàn TMĐT")))</f>
        <v/>
      </c>
      <c r="R2952" s="3" t="n"/>
      <c r="S2952" s="4" t="n"/>
      <c r="T2952" s="4" t="n"/>
    </row>
    <row r="2953">
      <c r="A2953" s="3" t="n">
        <v>2952</v>
      </c>
      <c r="B2953" s="3" t="inlineStr">
        <is>
          <t>DL027</t>
        </is>
      </c>
      <c r="C2953" s="4" t="inlineStr">
        <is>
          <t>ĐL Bình Định - Khoan Pin 77</t>
        </is>
      </c>
      <c r="D2953" s="3" t="inlineStr">
        <is>
          <t>GIA LAI 
(BÌNH ĐỊNH CŨ)</t>
        </is>
      </c>
      <c r="E2953" s="3" t="inlineStr">
        <is>
          <t>THÙY TRANG</t>
        </is>
      </c>
      <c r="F2953" s="3" t="inlineStr"/>
      <c r="G2953" s="4" t="inlineStr">
        <is>
          <t>SHOPEE: TIKTOK: LAZADA: WEBSITE BÁN HÀNG: YOUTUBE: https://www.youtube.com/channel/UCowiJLhwAySOYT7OCDWOOYA</t>
        </is>
      </c>
      <c r="H2953" s="3" t="inlineStr">
        <is>
          <t>X1-150x40T</t>
        </is>
      </c>
      <c r="I2953" s="4" t="inlineStr">
        <is>
          <t>Lưỡi cưa Kingblue X1-150x40T (Cưa gỗ)-NEW</t>
        </is>
      </c>
      <c r="J2953" s="3" t="inlineStr">
        <is>
          <t>Cái</t>
        </is>
      </c>
      <c r="K2953" s="5" t="n">
        <v>135000</v>
      </c>
      <c r="L2953" s="5" t="n">
        <v>159000</v>
      </c>
      <c r="M2953" s="6" t="n">
        <v>196000</v>
      </c>
      <c r="N2953" s="5" t="n"/>
      <c r="O2953" s="5">
        <f>IF(AND(ISNUMBER(N2953),ISNUMBER(M2953)),N2953-M2953,"")</f>
        <v/>
      </c>
      <c r="P2953" s="7">
        <f>IF(AND(ISNUMBER(N2953),ISNUMBER(M2953),M2953&gt;0),(N2953-M2953)/M2953,"")</f>
        <v/>
      </c>
      <c r="Q2953" s="3">
        <f>IF(P2953="","",IF(P2953&lt;-0.02,"🔴 Bán phá giá sàn",IF(P2953&gt;0.05,"🔵 Bán cao hơn","🟢 Đúng giá sàn TMĐT")))</f>
        <v/>
      </c>
      <c r="R2953" s="3" t="n"/>
      <c r="S2953" s="4" t="n"/>
      <c r="T2953" s="4" t="n"/>
    </row>
    <row r="2954">
      <c r="A2954" s="3" t="n">
        <v>2953</v>
      </c>
      <c r="B2954" s="3" t="inlineStr">
        <is>
          <t>DL027</t>
        </is>
      </c>
      <c r="C2954" s="4" t="inlineStr">
        <is>
          <t>ĐL Bình Định - Khoan Pin 77</t>
        </is>
      </c>
      <c r="D2954" s="3" t="inlineStr">
        <is>
          <t>GIA LAI 
(BÌNH ĐỊNH CŨ)</t>
        </is>
      </c>
      <c r="E2954" s="3" t="inlineStr">
        <is>
          <t>THÙY TRANG</t>
        </is>
      </c>
      <c r="F2954" s="3" t="inlineStr"/>
      <c r="G2954" s="4" t="inlineStr">
        <is>
          <t>SHOPEE: TIKTOK: LAZADA: WEBSITE BÁN HÀNG: YOUTUBE: https://www.youtube.com/channel/UCowiJLhwAySOYT7OCDWOOYA</t>
        </is>
      </c>
      <c r="H2954" s="3" t="inlineStr">
        <is>
          <t>X1-180x40T</t>
        </is>
      </c>
      <c r="I2954" s="4" t="inlineStr">
        <is>
          <t>Lưỡi cưa Kingblue X1-180x40T (Cưa gỗ)-NEW</t>
        </is>
      </c>
      <c r="J2954" s="3" t="inlineStr">
        <is>
          <t>Cái</t>
        </is>
      </c>
      <c r="K2954" s="5" t="n">
        <v>190000</v>
      </c>
      <c r="L2954" s="5" t="n">
        <v>224000</v>
      </c>
      <c r="M2954" s="6" t="n">
        <v>276000</v>
      </c>
      <c r="N2954" s="5" t="n"/>
      <c r="O2954" s="5">
        <f>IF(AND(ISNUMBER(N2954),ISNUMBER(M2954)),N2954-M2954,"")</f>
        <v/>
      </c>
      <c r="P2954" s="7">
        <f>IF(AND(ISNUMBER(N2954),ISNUMBER(M2954),M2954&gt;0),(N2954-M2954)/M2954,"")</f>
        <v/>
      </c>
      <c r="Q2954" s="3">
        <f>IF(P2954="","",IF(P2954&lt;-0.02,"🔴 Bán phá giá sàn",IF(P2954&gt;0.05,"🔵 Bán cao hơn","🟢 Đúng giá sàn TMĐT")))</f>
        <v/>
      </c>
      <c r="R2954" s="3" t="n"/>
      <c r="S2954" s="4" t="n"/>
      <c r="T2954" s="4" t="n"/>
    </row>
    <row r="2955">
      <c r="A2955" s="3" t="n">
        <v>2954</v>
      </c>
      <c r="B2955" s="3" t="inlineStr">
        <is>
          <t>DL027</t>
        </is>
      </c>
      <c r="C2955" s="4" t="inlineStr">
        <is>
          <t>ĐL Bình Định - Khoan Pin 77</t>
        </is>
      </c>
      <c r="D2955" s="3" t="inlineStr">
        <is>
          <t>GIA LAI 
(BÌNH ĐỊNH CŨ)</t>
        </is>
      </c>
      <c r="E2955" s="3" t="inlineStr">
        <is>
          <t>THÙY TRANG</t>
        </is>
      </c>
      <c r="F2955" s="3" t="inlineStr"/>
      <c r="G2955" s="4" t="inlineStr">
        <is>
          <t>SHOPEE: TIKTOK: LAZADA: WEBSITE BÁN HÀNG: YOUTUBE: https://www.youtube.com/channel/UCowiJLhwAySOYT7OCDWOOYA</t>
        </is>
      </c>
      <c r="H2955" s="3" t="inlineStr">
        <is>
          <t>X2-180x60T</t>
        </is>
      </c>
      <c r="I2955" s="4" t="inlineStr">
        <is>
          <t>Lưỡi cưa KingBlue X2-180x60T (Cưa gỗ)</t>
        </is>
      </c>
      <c r="J2955" s="3" t="inlineStr">
        <is>
          <t>Cái</t>
        </is>
      </c>
      <c r="K2955" s="5" t="n">
        <v>269000</v>
      </c>
      <c r="L2955" s="5" t="n">
        <v>317000</v>
      </c>
      <c r="M2955" s="6" t="n">
        <v>390000</v>
      </c>
      <c r="N2955" s="5" t="n"/>
      <c r="O2955" s="5">
        <f>IF(AND(ISNUMBER(N2955),ISNUMBER(M2955)),N2955-M2955,"")</f>
        <v/>
      </c>
      <c r="P2955" s="7">
        <f>IF(AND(ISNUMBER(N2955),ISNUMBER(M2955),M2955&gt;0),(N2955-M2955)/M2955,"")</f>
        <v/>
      </c>
      <c r="Q2955" s="3">
        <f>IF(P2955="","",IF(P2955&lt;-0.02,"🔴 Bán phá giá sàn",IF(P2955&gt;0.05,"🔵 Bán cao hơn","🟢 Đúng giá sàn TMĐT")))</f>
        <v/>
      </c>
      <c r="R2955" s="3" t="n"/>
      <c r="S2955" s="4" t="n"/>
      <c r="T2955" s="4" t="n"/>
    </row>
    <row r="2956">
      <c r="A2956" s="3" t="n">
        <v>2955</v>
      </c>
      <c r="B2956" s="3" t="inlineStr">
        <is>
          <t>DL027</t>
        </is>
      </c>
      <c r="C2956" s="4" t="inlineStr">
        <is>
          <t>ĐL Bình Định - Khoan Pin 77</t>
        </is>
      </c>
      <c r="D2956" s="3" t="inlineStr">
        <is>
          <t>GIA LAI 
(BÌNH ĐỊNH CŨ)</t>
        </is>
      </c>
      <c r="E2956" s="3" t="inlineStr">
        <is>
          <t>THÙY TRANG</t>
        </is>
      </c>
      <c r="F2956" s="3" t="inlineStr"/>
      <c r="G2956" s="4" t="inlineStr">
        <is>
          <t>SHOPEE: TIKTOK: LAZADA: WEBSITE BÁN HÀNG: YOUTUBE: https://www.youtube.com/channel/UCowiJLhwAySOYT7OCDWOOYA</t>
        </is>
      </c>
      <c r="H2956" s="3" t="inlineStr">
        <is>
          <t>X2-305x96T</t>
        </is>
      </c>
      <c r="I2956" s="4" t="inlineStr">
        <is>
          <t>Lưỡi cưa KingBlue X2-305x96T (Cắt gỗ MDF)</t>
        </is>
      </c>
      <c r="J2956" s="3" t="inlineStr">
        <is>
          <t>Cái</t>
        </is>
      </c>
      <c r="K2956" s="5" t="n">
        <v>1029000</v>
      </c>
      <c r="L2956" s="5" t="n">
        <v>1214000</v>
      </c>
      <c r="M2956" s="6" t="n">
        <v>1492000</v>
      </c>
      <c r="N2956" s="5" t="n"/>
      <c r="O2956" s="5">
        <f>IF(AND(ISNUMBER(N2956),ISNUMBER(M2956)),N2956-M2956,"")</f>
        <v/>
      </c>
      <c r="P2956" s="7">
        <f>IF(AND(ISNUMBER(N2956),ISNUMBER(M2956),M2956&gt;0),(N2956-M2956)/M2956,"")</f>
        <v/>
      </c>
      <c r="Q2956" s="3">
        <f>IF(P2956="","",IF(P2956&lt;-0.02,"🔴 Bán phá giá sàn",IF(P2956&gt;0.05,"🔵 Bán cao hơn","🟢 Đúng giá sàn TMĐT")))</f>
        <v/>
      </c>
      <c r="R2956" s="3" t="n"/>
      <c r="S2956" s="4" t="n"/>
      <c r="T2956" s="4" t="n"/>
    </row>
    <row r="2957">
      <c r="A2957" s="3" t="n">
        <v>2956</v>
      </c>
      <c r="B2957" s="3" t="inlineStr">
        <is>
          <t>DL027</t>
        </is>
      </c>
      <c r="C2957" s="4" t="inlineStr">
        <is>
          <t>ĐL Bình Định - Khoan Pin 77</t>
        </is>
      </c>
      <c r="D2957" s="3" t="inlineStr">
        <is>
          <t>GIA LAI 
(BÌNH ĐỊNH CŨ)</t>
        </is>
      </c>
      <c r="E2957" s="3" t="inlineStr">
        <is>
          <t>THÙY TRANG</t>
        </is>
      </c>
      <c r="F2957" s="3" t="inlineStr"/>
      <c r="G2957" s="4" t="inlineStr">
        <is>
          <t>SHOPEE: TIKTOK: LAZADA: WEBSITE BÁN HÀNG: YOUTUBE: https://www.youtube.com/channel/UCowiJLhwAySOYT7OCDWOOYA</t>
        </is>
      </c>
      <c r="H2957" s="3" t="inlineStr">
        <is>
          <t>XS-110x30T</t>
        </is>
      </c>
      <c r="I2957" s="4" t="inlineStr">
        <is>
          <t>Lưỡi cưa Kingblue XS-110x30T (Cưa gỗ)-NEW</t>
        </is>
      </c>
      <c r="J2957" s="3" t="inlineStr">
        <is>
          <t>Cái</t>
        </is>
      </c>
      <c r="K2957" s="5" t="n">
        <v>72000</v>
      </c>
      <c r="L2957" s="5" t="n">
        <v>85000</v>
      </c>
      <c r="M2957" s="6" t="n">
        <v>104000</v>
      </c>
      <c r="N2957" s="5" t="n"/>
      <c r="O2957" s="5">
        <f>IF(AND(ISNUMBER(N2957),ISNUMBER(M2957)),N2957-M2957,"")</f>
        <v/>
      </c>
      <c r="P2957" s="7">
        <f>IF(AND(ISNUMBER(N2957),ISNUMBER(M2957),M2957&gt;0),(N2957-M2957)/M2957,"")</f>
        <v/>
      </c>
      <c r="Q2957" s="3">
        <f>IF(P2957="","",IF(P2957&lt;-0.02,"🔴 Bán phá giá sàn",IF(P2957&gt;0.05,"🔵 Bán cao hơn","🟢 Đúng giá sàn TMĐT")))</f>
        <v/>
      </c>
      <c r="R2957" s="3" t="n"/>
      <c r="S2957" s="4" t="n"/>
      <c r="T2957" s="4" t="n"/>
    </row>
    <row r="2958">
      <c r="A2958" s="3" t="n">
        <v>2957</v>
      </c>
      <c r="B2958" s="3" t="inlineStr">
        <is>
          <t>DL027</t>
        </is>
      </c>
      <c r="C2958" s="4" t="inlineStr">
        <is>
          <t>ĐL Bình Định - Khoan Pin 77</t>
        </is>
      </c>
      <c r="D2958" s="3" t="inlineStr">
        <is>
          <t>GIA LAI 
(BÌNH ĐỊNH CŨ)</t>
        </is>
      </c>
      <c r="E2958" s="3" t="inlineStr">
        <is>
          <t>THÙY TRANG</t>
        </is>
      </c>
      <c r="F2958" s="3" t="inlineStr"/>
      <c r="G2958" s="4" t="inlineStr">
        <is>
          <t>SHOPEE: TIKTOK: LAZADA: WEBSITE BÁN HÀNG: YOUTUBE: https://www.youtube.com/channel/UCowiJLhwAySOYT7OCDWOOYA</t>
        </is>
      </c>
      <c r="H2958" s="3" t="inlineStr">
        <is>
          <t>JH-06</t>
        </is>
      </c>
      <c r="I2958" s="4" t="inlineStr">
        <is>
          <t>Lưỡi dao rọc cáp đa năng JH-06</t>
        </is>
      </c>
      <c r="J2958" s="3" t="inlineStr">
        <is>
          <t>Vỉ</t>
        </is>
      </c>
      <c r="K2958" s="5" t="n">
        <v>22000</v>
      </c>
      <c r="L2958" s="5" t="n">
        <v>26000</v>
      </c>
      <c r="M2958" s="6" t="n">
        <v>32000</v>
      </c>
      <c r="N2958" s="5" t="n"/>
      <c r="O2958" s="5">
        <f>IF(AND(ISNUMBER(N2958),ISNUMBER(M2958)),N2958-M2958,"")</f>
        <v/>
      </c>
      <c r="P2958" s="7">
        <f>IF(AND(ISNUMBER(N2958),ISNUMBER(M2958),M2958&gt;0),(N2958-M2958)/M2958,"")</f>
        <v/>
      </c>
      <c r="Q2958" s="3">
        <f>IF(P2958="","",IF(P2958&lt;-0.02,"🔴 Bán phá giá sàn",IF(P2958&gt;0.05,"🔵 Bán cao hơn","🟢 Đúng giá sàn TMĐT")))</f>
        <v/>
      </c>
      <c r="R2958" s="3" t="n"/>
      <c r="S2958" s="4" t="n"/>
      <c r="T2958" s="4" t="n"/>
    </row>
    <row r="2959">
      <c r="A2959" s="3" t="n">
        <v>2958</v>
      </c>
      <c r="B2959" s="3" t="inlineStr">
        <is>
          <t>DL027</t>
        </is>
      </c>
      <c r="C2959" s="4" t="inlineStr">
        <is>
          <t>ĐL Bình Định - Khoan Pin 77</t>
        </is>
      </c>
      <c r="D2959" s="3" t="inlineStr">
        <is>
          <t>GIA LAI 
(BÌNH ĐỊNH CŨ)</t>
        </is>
      </c>
      <c r="E2959" s="3" t="inlineStr">
        <is>
          <t>THÙY TRANG</t>
        </is>
      </c>
      <c r="F2959" s="3" t="inlineStr"/>
      <c r="G2959" s="4" t="inlineStr">
        <is>
          <t>SHOPEE: TIKTOK: LAZADA: WEBSITE BÁN HÀNG: YOUTUBE: https://www.youtube.com/channel/UCowiJLhwAySOYT7OCDWOOYA</t>
        </is>
      </c>
      <c r="H2959" s="3" t="inlineStr">
        <is>
          <t>MK-150</t>
        </is>
      </c>
      <c r="I2959" s="4" t="inlineStr">
        <is>
          <t>Mài kéo MK-150</t>
        </is>
      </c>
      <c r="J2959" s="3" t="inlineStr">
        <is>
          <t>Cái</t>
        </is>
      </c>
      <c r="K2959" s="5" t="n">
        <v>100000</v>
      </c>
      <c r="L2959" s="5" t="n">
        <v>118000</v>
      </c>
      <c r="M2959" s="6" t="n">
        <v>145000</v>
      </c>
      <c r="N2959" s="5" t="n"/>
      <c r="O2959" s="5">
        <f>IF(AND(ISNUMBER(N2959),ISNUMBER(M2959)),N2959-M2959,"")</f>
        <v/>
      </c>
      <c r="P2959" s="7">
        <f>IF(AND(ISNUMBER(N2959),ISNUMBER(M2959),M2959&gt;0),(N2959-M2959)/M2959,"")</f>
        <v/>
      </c>
      <c r="Q2959" s="3">
        <f>IF(P2959="","",IF(P2959&lt;-0.02,"🔴 Bán phá giá sàn",IF(P2959&gt;0.05,"🔵 Bán cao hơn","🟢 Đúng giá sàn TMĐT")))</f>
        <v/>
      </c>
      <c r="R2959" s="3" t="n"/>
      <c r="S2959" s="4" t="n"/>
      <c r="T2959" s="4" t="n"/>
    </row>
    <row r="2960">
      <c r="A2960" s="3" t="n">
        <v>2959</v>
      </c>
      <c r="B2960" s="3" t="inlineStr">
        <is>
          <t>DL027</t>
        </is>
      </c>
      <c r="C2960" s="4" t="inlineStr">
        <is>
          <t>ĐL Bình Định - Khoan Pin 77</t>
        </is>
      </c>
      <c r="D2960" s="3" t="inlineStr">
        <is>
          <t>GIA LAI 
(BÌNH ĐỊNH CŨ)</t>
        </is>
      </c>
      <c r="E2960" s="3" t="inlineStr">
        <is>
          <t>THÙY TRANG</t>
        </is>
      </c>
      <c r="F2960" s="3" t="inlineStr"/>
      <c r="G2960" s="4" t="inlineStr">
        <is>
          <t>SHOPEE: TIKTOK: LAZADA: WEBSITE BÁN HÀNG: YOUTUBE: https://www.youtube.com/channel/UCowiJLhwAySOYT7OCDWOOYA</t>
        </is>
      </c>
      <c r="H2960" s="3" t="inlineStr">
        <is>
          <t>K18VFS</t>
        </is>
      </c>
      <c r="I2960" s="4" t="inlineStr">
        <is>
          <t>Máy Bắn Vít 18V K18VFS</t>
        </is>
      </c>
      <c r="J2960" s="3" t="inlineStr">
        <is>
          <t>Cái</t>
        </is>
      </c>
      <c r="K2960" s="5" t="n">
        <v>1540000</v>
      </c>
      <c r="L2960" s="5" t="n">
        <v>1690000</v>
      </c>
      <c r="M2960" s="6" t="n">
        <v>1930000</v>
      </c>
      <c r="N2960" s="5" t="n"/>
      <c r="O2960" s="5">
        <f>IF(AND(ISNUMBER(N2960),ISNUMBER(M2960)),N2960-M2960,"")</f>
        <v/>
      </c>
      <c r="P2960" s="7">
        <f>IF(AND(ISNUMBER(N2960),ISNUMBER(M2960),M2960&gt;0),(N2960-M2960)/M2960,"")</f>
        <v/>
      </c>
      <c r="Q2960" s="3">
        <f>IF(P2960="","",IF(P2960&lt;-0.02,"🔴 Bán phá giá sàn",IF(P2960&gt;0.05,"🔵 Bán cao hơn","🟢 Đúng giá sàn TMĐT")))</f>
        <v/>
      </c>
      <c r="R2960" s="3" t="n"/>
      <c r="S2960" s="4" t="n"/>
      <c r="T2960" s="4" t="n"/>
    </row>
    <row r="2961">
      <c r="A2961" s="3" t="n">
        <v>2960</v>
      </c>
      <c r="B2961" s="3" t="inlineStr">
        <is>
          <t>DL027</t>
        </is>
      </c>
      <c r="C2961" s="4" t="inlineStr">
        <is>
          <t>ĐL Bình Định - Khoan Pin 77</t>
        </is>
      </c>
      <c r="D2961" s="3" t="inlineStr">
        <is>
          <t>GIA LAI 
(BÌNH ĐỊNH CŨ)</t>
        </is>
      </c>
      <c r="E2961" s="3" t="inlineStr">
        <is>
          <t>THÙY TRANG</t>
        </is>
      </c>
      <c r="F2961" s="3" t="inlineStr"/>
      <c r="G2961" s="4" t="inlineStr">
        <is>
          <t>SHOPEE: TIKTOK: LAZADA: WEBSITE BÁN HÀNG: YOUTUBE: https://www.youtube.com/channel/UCowiJLhwAySOYT7OCDWOOYA</t>
        </is>
      </c>
      <c r="H2961" s="3" t="inlineStr">
        <is>
          <t>KM18VF</t>
        </is>
      </c>
      <c r="I2961" s="4" t="inlineStr">
        <is>
          <t>Máy Bắn Vít 18V KM18VF</t>
        </is>
      </c>
      <c r="J2961" s="3" t="inlineStr">
        <is>
          <t>Cái</t>
        </is>
      </c>
      <c r="K2961" s="5" t="n">
        <v>1450000</v>
      </c>
      <c r="L2961" s="5" t="n">
        <v>1600000</v>
      </c>
      <c r="M2961" s="6" t="n">
        <v>1820000</v>
      </c>
      <c r="N2961" s="5" t="n"/>
      <c r="O2961" s="5">
        <f>IF(AND(ISNUMBER(N2961),ISNUMBER(M2961)),N2961-M2961,"")</f>
        <v/>
      </c>
      <c r="P2961" s="7">
        <f>IF(AND(ISNUMBER(N2961),ISNUMBER(M2961),M2961&gt;0),(N2961-M2961)/M2961,"")</f>
        <v/>
      </c>
      <c r="Q2961" s="3">
        <f>IF(P2961="","",IF(P2961&lt;-0.02,"🔴 Bán phá giá sàn",IF(P2961&gt;0.05,"🔵 Bán cao hơn","🟢 Đúng giá sàn TMĐT")))</f>
        <v/>
      </c>
      <c r="R2961" s="3" t="n"/>
      <c r="S2961" s="4" t="n"/>
      <c r="T2961" s="4" t="n"/>
    </row>
    <row r="2962">
      <c r="A2962" s="3" t="n">
        <v>2961</v>
      </c>
      <c r="B2962" s="3" t="inlineStr">
        <is>
          <t>DL027</t>
        </is>
      </c>
      <c r="C2962" s="4" t="inlineStr">
        <is>
          <t>ĐL Bình Định - Khoan Pin 77</t>
        </is>
      </c>
      <c r="D2962" s="3" t="inlineStr">
        <is>
          <t>GIA LAI 
(BÌNH ĐỊNH CŨ)</t>
        </is>
      </c>
      <c r="E2962" s="3" t="inlineStr">
        <is>
          <t>THÙY TRANG</t>
        </is>
      </c>
      <c r="F2962" s="3" t="inlineStr"/>
      <c r="G2962" s="4" t="inlineStr">
        <is>
          <t>SHOPEE: TIKTOK: LAZADA: WEBSITE BÁN HÀNG: YOUTUBE: https://www.youtube.com/channel/UCowiJLhwAySOYT7OCDWOOYA</t>
        </is>
      </c>
      <c r="H2962" s="3" t="inlineStr">
        <is>
          <t>KB-12XV</t>
        </is>
      </c>
      <c r="I2962" s="4" t="inlineStr">
        <is>
          <t>Máy cân bằng 12 tia KB-12XV</t>
        </is>
      </c>
      <c r="J2962" s="3" t="inlineStr">
        <is>
          <t>Cái</t>
        </is>
      </c>
      <c r="K2962" s="5" t="n">
        <v>2300000</v>
      </c>
      <c r="L2962" s="5" t="n">
        <v>2580000</v>
      </c>
      <c r="M2962" s="6" t="n">
        <v>2990000</v>
      </c>
      <c r="N2962" s="5" t="n"/>
      <c r="O2962" s="5">
        <f>IF(AND(ISNUMBER(N2962),ISNUMBER(M2962)),N2962-M2962,"")</f>
        <v/>
      </c>
      <c r="P2962" s="7">
        <f>IF(AND(ISNUMBER(N2962),ISNUMBER(M2962),M2962&gt;0),(N2962-M2962)/M2962,"")</f>
        <v/>
      </c>
      <c r="Q2962" s="3">
        <f>IF(P2962="","",IF(P2962&lt;-0.02,"🔴 Bán phá giá sàn",IF(P2962&gt;0.05,"🔵 Bán cao hơn","🟢 Đúng giá sàn TMĐT")))</f>
        <v/>
      </c>
      <c r="R2962" s="3" t="n"/>
      <c r="S2962" s="4" t="n"/>
      <c r="T2962" s="4" t="n"/>
    </row>
    <row r="2963">
      <c r="A2963" s="3" t="n">
        <v>2962</v>
      </c>
      <c r="B2963" s="3" t="inlineStr">
        <is>
          <t>DL027</t>
        </is>
      </c>
      <c r="C2963" s="4" t="inlineStr">
        <is>
          <t>ĐL Bình Định - Khoan Pin 77</t>
        </is>
      </c>
      <c r="D2963" s="3" t="inlineStr">
        <is>
          <t>GIA LAI 
(BÌNH ĐỊNH CŨ)</t>
        </is>
      </c>
      <c r="E2963" s="3" t="inlineStr">
        <is>
          <t>THÙY TRANG</t>
        </is>
      </c>
      <c r="F2963" s="3" t="inlineStr"/>
      <c r="G2963" s="4" t="inlineStr">
        <is>
          <t>SHOPEE: TIKTOK: LAZADA: WEBSITE BÁN HÀNG: YOUTUBE: https://www.youtube.com/channel/UCowiJLhwAySOYT7OCDWOOYA</t>
        </is>
      </c>
      <c r="H2963" s="3" t="inlineStr">
        <is>
          <t>KB-02XS</t>
        </is>
      </c>
      <c r="I2963" s="4" t="inlineStr">
        <is>
          <t>Máy cân bằng KB-02XS</t>
        </is>
      </c>
      <c r="J2963" s="3" t="inlineStr">
        <is>
          <t>Cái</t>
        </is>
      </c>
      <c r="K2963" s="5" t="n">
        <v>269000</v>
      </c>
      <c r="L2963" s="5" t="n">
        <v>317000</v>
      </c>
      <c r="M2963" s="6" t="n">
        <v>390000</v>
      </c>
      <c r="N2963" s="5" t="n"/>
      <c r="O2963" s="5">
        <f>IF(AND(ISNUMBER(N2963),ISNUMBER(M2963)),N2963-M2963,"")</f>
        <v/>
      </c>
      <c r="P2963" s="7">
        <f>IF(AND(ISNUMBER(N2963),ISNUMBER(M2963),M2963&gt;0),(N2963-M2963)/M2963,"")</f>
        <v/>
      </c>
      <c r="Q2963" s="3">
        <f>IF(P2963="","",IF(P2963&lt;-0.02,"🔴 Bán phá giá sàn",IF(P2963&gt;0.05,"🔵 Bán cao hơn","🟢 Đúng giá sàn TMĐT")))</f>
        <v/>
      </c>
      <c r="R2963" s="3" t="n"/>
      <c r="S2963" s="4" t="n"/>
      <c r="T2963" s="4" t="n"/>
    </row>
    <row r="2964">
      <c r="A2964" s="3" t="n">
        <v>2963</v>
      </c>
      <c r="B2964" s="3" t="inlineStr">
        <is>
          <t>DL027</t>
        </is>
      </c>
      <c r="C2964" s="4" t="inlineStr">
        <is>
          <t>ĐL Bình Định - Khoan Pin 77</t>
        </is>
      </c>
      <c r="D2964" s="3" t="inlineStr">
        <is>
          <t>GIA LAI 
(BÌNH ĐỊNH CŨ)</t>
        </is>
      </c>
      <c r="E2964" s="3" t="inlineStr">
        <is>
          <t>THÙY TRANG</t>
        </is>
      </c>
      <c r="F2964" s="3" t="inlineStr"/>
      <c r="G2964" s="4" t="inlineStr">
        <is>
          <t>SHOPEE: TIKTOK: LAZADA: WEBSITE BÁN HÀNG: YOUTUBE: https://www.youtube.com/channel/UCowiJLhwAySOYT7OCDWOOYA</t>
        </is>
      </c>
      <c r="H2964" s="3" t="inlineStr">
        <is>
          <t>KB-12XS</t>
        </is>
      </c>
      <c r="I2964" s="4" t="inlineStr">
        <is>
          <t>Máy cân bằng KB-12XS</t>
        </is>
      </c>
      <c r="J2964" s="3" t="inlineStr">
        <is>
          <t>Cái</t>
        </is>
      </c>
      <c r="K2964" s="5" t="n">
        <v>269000</v>
      </c>
      <c r="L2964" s="5" t="n">
        <v>317000</v>
      </c>
      <c r="M2964" s="6" t="n">
        <v>390000</v>
      </c>
      <c r="N2964" s="5" t="n"/>
      <c r="O2964" s="5">
        <f>IF(AND(ISNUMBER(N2964),ISNUMBER(M2964)),N2964-M2964,"")</f>
        <v/>
      </c>
      <c r="P2964" s="7">
        <f>IF(AND(ISNUMBER(N2964),ISNUMBER(M2964),M2964&gt;0),(N2964-M2964)/M2964,"")</f>
        <v/>
      </c>
      <c r="Q2964" s="3">
        <f>IF(P2964="","",IF(P2964&lt;-0.02,"🔴 Bán phá giá sàn",IF(P2964&gt;0.05,"🔵 Bán cao hơn","🟢 Đúng giá sàn TMĐT")))</f>
        <v/>
      </c>
      <c r="R2964" s="3" t="n"/>
      <c r="S2964" s="4" t="n"/>
      <c r="T2964" s="4" t="n"/>
    </row>
    <row r="2965">
      <c r="A2965" s="3" t="n">
        <v>2964</v>
      </c>
      <c r="B2965" s="3" t="inlineStr">
        <is>
          <t>DL027</t>
        </is>
      </c>
      <c r="C2965" s="4" t="inlineStr">
        <is>
          <t>ĐL Bình Định - Khoan Pin 77</t>
        </is>
      </c>
      <c r="D2965" s="3" t="inlineStr">
        <is>
          <t>GIA LAI 
(BÌNH ĐỊNH CŨ)</t>
        </is>
      </c>
      <c r="E2965" s="3" t="inlineStr">
        <is>
          <t>THÙY TRANG</t>
        </is>
      </c>
      <c r="F2965" s="3" t="inlineStr"/>
      <c r="G2965" s="4" t="inlineStr">
        <is>
          <t>SHOPEE: TIKTOK: LAZADA: WEBSITE BÁN HÀNG: YOUTUBE: https://www.youtube.com/channel/UCowiJLhwAySOYT7OCDWOOYA</t>
        </is>
      </c>
      <c r="H2965" s="3" t="inlineStr">
        <is>
          <t>KM18CD</t>
        </is>
      </c>
      <c r="I2965" s="4" t="inlineStr">
        <is>
          <t>Máy Cưa Đĩa 2in 1 dùng Pin 18V KM18CD</t>
        </is>
      </c>
      <c r="J2965" s="3" t="inlineStr">
        <is>
          <t>Cái</t>
        </is>
      </c>
      <c r="K2965" s="5" t="n">
        <v>2130000</v>
      </c>
      <c r="L2965" s="5" t="n">
        <v>2350000</v>
      </c>
      <c r="M2965" s="6" t="n">
        <v>2670000</v>
      </c>
      <c r="N2965" s="5" t="n"/>
      <c r="O2965" s="5">
        <f>IF(AND(ISNUMBER(N2965),ISNUMBER(M2965)),N2965-M2965,"")</f>
        <v/>
      </c>
      <c r="P2965" s="7">
        <f>IF(AND(ISNUMBER(N2965),ISNUMBER(M2965),M2965&gt;0),(N2965-M2965)/M2965,"")</f>
        <v/>
      </c>
      <c r="Q2965" s="3">
        <f>IF(P2965="","",IF(P2965&lt;-0.02,"🔴 Bán phá giá sàn",IF(P2965&gt;0.05,"🔵 Bán cao hơn","🟢 Đúng giá sàn TMĐT")))</f>
        <v/>
      </c>
      <c r="R2965" s="3" t="n"/>
      <c r="S2965" s="4" t="n"/>
      <c r="T2965" s="4" t="n"/>
    </row>
    <row r="2966">
      <c r="A2966" s="3" t="n">
        <v>2965</v>
      </c>
      <c r="B2966" s="3" t="inlineStr">
        <is>
          <t>DL027</t>
        </is>
      </c>
      <c r="C2966" s="4" t="inlineStr">
        <is>
          <t>ĐL Bình Định - Khoan Pin 77</t>
        </is>
      </c>
      <c r="D2966" s="3" t="inlineStr">
        <is>
          <t>GIA LAI 
(BÌNH ĐỊNH CŨ)</t>
        </is>
      </c>
      <c r="E2966" s="3" t="inlineStr">
        <is>
          <t>THÙY TRANG</t>
        </is>
      </c>
      <c r="F2966" s="3" t="inlineStr"/>
      <c r="G2966" s="4" t="inlineStr">
        <is>
          <t>SHOPEE: TIKTOK: LAZADA: WEBSITE BÁN HÀNG: YOUTUBE: https://www.youtube.com/channel/UCowiJLhwAySOYT7OCDWOOYA</t>
        </is>
      </c>
      <c r="H2966" s="3" t="inlineStr">
        <is>
          <t>KM18CK</t>
        </is>
      </c>
      <c r="I2966" s="4" t="inlineStr">
        <is>
          <t>Máy Cưa Kiếm 18V KM18CK</t>
        </is>
      </c>
      <c r="J2966" s="3" t="inlineStr">
        <is>
          <t>Cái</t>
        </is>
      </c>
      <c r="K2966" s="5" t="n">
        <v>2110000</v>
      </c>
      <c r="L2966" s="5" t="n">
        <v>2320000</v>
      </c>
      <c r="M2966" s="6" t="n">
        <v>2640000</v>
      </c>
      <c r="N2966" s="5" t="n"/>
      <c r="O2966" s="5">
        <f>IF(AND(ISNUMBER(N2966),ISNUMBER(M2966)),N2966-M2966,"")</f>
        <v/>
      </c>
      <c r="P2966" s="7">
        <f>IF(AND(ISNUMBER(N2966),ISNUMBER(M2966),M2966&gt;0),(N2966-M2966)/M2966,"")</f>
        <v/>
      </c>
      <c r="Q2966" s="3">
        <f>IF(P2966="","",IF(P2966&lt;-0.02,"🔴 Bán phá giá sàn",IF(P2966&gt;0.05,"🔵 Bán cao hơn","🟢 Đúng giá sàn TMĐT")))</f>
        <v/>
      </c>
      <c r="R2966" s="3" t="n"/>
      <c r="S2966" s="4" t="n"/>
      <c r="T2966" s="4" t="n"/>
    </row>
    <row r="2967">
      <c r="A2967" s="3" t="n">
        <v>2966</v>
      </c>
      <c r="B2967" s="3" t="inlineStr">
        <is>
          <t>DL027</t>
        </is>
      </c>
      <c r="C2967" s="4" t="inlineStr">
        <is>
          <t>ĐL Bình Định - Khoan Pin 77</t>
        </is>
      </c>
      <c r="D2967" s="3" t="inlineStr">
        <is>
          <t>GIA LAI 
(BÌNH ĐỊNH CŨ)</t>
        </is>
      </c>
      <c r="E2967" s="3" t="inlineStr">
        <is>
          <t>THÙY TRANG</t>
        </is>
      </c>
      <c r="F2967" s="3" t="inlineStr"/>
      <c r="G2967" s="4" t="inlineStr">
        <is>
          <t>SHOPEE: TIKTOK: LAZADA: WEBSITE BÁN HÀNG: YOUTUBE: https://www.youtube.com/channel/UCowiJLhwAySOYT7OCDWOOYA</t>
        </is>
      </c>
      <c r="H2967" s="3" t="inlineStr">
        <is>
          <t>KM18CX</t>
        </is>
      </c>
      <c r="I2967" s="4" t="inlineStr">
        <is>
          <t>Máy Cưa Xích dùng Pin 18V KM18CX</t>
        </is>
      </c>
      <c r="J2967" s="3" t="inlineStr">
        <is>
          <t>Cái</t>
        </is>
      </c>
      <c r="K2967" s="5" t="n">
        <v>1890000</v>
      </c>
      <c r="L2967" s="5" t="n">
        <v>2080000</v>
      </c>
      <c r="M2967" s="6" t="n">
        <v>2370000</v>
      </c>
      <c r="N2967" s="5" t="n"/>
      <c r="O2967" s="5">
        <f>IF(AND(ISNUMBER(N2967),ISNUMBER(M2967)),N2967-M2967,"")</f>
        <v/>
      </c>
      <c r="P2967" s="7">
        <f>IF(AND(ISNUMBER(N2967),ISNUMBER(M2967),M2967&gt;0),(N2967-M2967)/M2967,"")</f>
        <v/>
      </c>
      <c r="Q2967" s="3">
        <f>IF(P2967="","",IF(P2967&lt;-0.02,"🔴 Bán phá giá sàn",IF(P2967&gt;0.05,"🔵 Bán cao hơn","🟢 Đúng giá sàn TMĐT")))</f>
        <v/>
      </c>
      <c r="R2967" s="3" t="n"/>
      <c r="S2967" s="4" t="n"/>
      <c r="T2967" s="4" t="n"/>
    </row>
    <row r="2968">
      <c r="A2968" s="3" t="n">
        <v>2967</v>
      </c>
      <c r="B2968" s="3" t="inlineStr">
        <is>
          <t>DL027</t>
        </is>
      </c>
      <c r="C2968" s="4" t="inlineStr">
        <is>
          <t>ĐL Bình Định - Khoan Pin 77</t>
        </is>
      </c>
      <c r="D2968" s="3" t="inlineStr">
        <is>
          <t>GIA LAI 
(BÌNH ĐỊNH CŨ)</t>
        </is>
      </c>
      <c r="E2968" s="3" t="inlineStr">
        <is>
          <t>THÙY TRANG</t>
        </is>
      </c>
      <c r="F2968" s="3" t="inlineStr"/>
      <c r="G2968" s="4" t="inlineStr">
        <is>
          <t>SHOPEE: TIKTOK: LAZADA: WEBSITE BÁN HÀNG: YOUTUBE: https://www.youtube.com/channel/UCowiJLhwAySOYT7OCDWOOYA</t>
        </is>
      </c>
      <c r="H2968" s="3" t="inlineStr">
        <is>
          <t>KB-2.5CFM</t>
        </is>
      </c>
      <c r="I2968" s="4" t="inlineStr">
        <is>
          <t>Máy hút chân không dùng pin KingBlue KB-2.5CFM</t>
        </is>
      </c>
      <c r="J2968" s="3" t="inlineStr">
        <is>
          <t>Cái</t>
        </is>
      </c>
      <c r="K2968" s="5" t="n">
        <v>269000</v>
      </c>
      <c r="L2968" s="5" t="n">
        <v>317000</v>
      </c>
      <c r="M2968" s="6" t="n">
        <v>390000</v>
      </c>
      <c r="N2968" s="5" t="n"/>
      <c r="O2968" s="5">
        <f>IF(AND(ISNUMBER(N2968),ISNUMBER(M2968)),N2968-M2968,"")</f>
        <v/>
      </c>
      <c r="P2968" s="7">
        <f>IF(AND(ISNUMBER(N2968),ISNUMBER(M2968),M2968&gt;0),(N2968-M2968)/M2968,"")</f>
        <v/>
      </c>
      <c r="Q2968" s="3">
        <f>IF(P2968="","",IF(P2968&lt;-0.02,"🔴 Bán phá giá sàn",IF(P2968&gt;0.05,"🔵 Bán cao hơn","🟢 Đúng giá sàn TMĐT")))</f>
        <v/>
      </c>
      <c r="R2968" s="3" t="n"/>
      <c r="S2968" s="4" t="n"/>
      <c r="T2968" s="4" t="n"/>
    </row>
    <row r="2969">
      <c r="A2969" s="3" t="n">
        <v>2968</v>
      </c>
      <c r="B2969" s="3" t="inlineStr">
        <is>
          <t>DL027</t>
        </is>
      </c>
      <c r="C2969" s="4" t="inlineStr">
        <is>
          <t>ĐL Bình Định - Khoan Pin 77</t>
        </is>
      </c>
      <c r="D2969" s="3" t="inlineStr">
        <is>
          <t>GIA LAI 
(BÌNH ĐỊNH CŨ)</t>
        </is>
      </c>
      <c r="E2969" s="3" t="inlineStr">
        <is>
          <t>THÙY TRANG</t>
        </is>
      </c>
      <c r="F2969" s="3" t="inlineStr"/>
      <c r="G2969" s="4" t="inlineStr">
        <is>
          <t>SHOPEE: TIKTOK: LAZADA: WEBSITE BÁN HÀNG: YOUTUBE: https://www.youtube.com/channel/UCowiJLhwAySOYT7OCDWOOYA</t>
        </is>
      </c>
      <c r="H2969" s="3" t="inlineStr">
        <is>
          <t>K18QES</t>
        </is>
      </c>
      <c r="I2969" s="4" t="inlineStr">
        <is>
          <t>Máy Khoan 3 Chức Năng 18V K18QES</t>
        </is>
      </c>
      <c r="J2969" s="3" t="inlineStr">
        <is>
          <t>Cái</t>
        </is>
      </c>
      <c r="K2969" s="5" t="n">
        <v>2380000</v>
      </c>
      <c r="L2969" s="5" t="n">
        <v>2610000</v>
      </c>
      <c r="M2969" s="6" t="n">
        <v>2970000</v>
      </c>
      <c r="N2969" s="5" t="n"/>
      <c r="O2969" s="5">
        <f>IF(AND(ISNUMBER(N2969),ISNUMBER(M2969)),N2969-M2969,"")</f>
        <v/>
      </c>
      <c r="P2969" s="7">
        <f>IF(AND(ISNUMBER(N2969),ISNUMBER(M2969),M2969&gt;0),(N2969-M2969)/M2969,"")</f>
        <v/>
      </c>
      <c r="Q2969" s="3">
        <f>IF(P2969="","",IF(P2969&lt;-0.02,"🔴 Bán phá giá sàn",IF(P2969&gt;0.05,"🔵 Bán cao hơn","🟢 Đúng giá sàn TMĐT")))</f>
        <v/>
      </c>
      <c r="R2969" s="3" t="n"/>
      <c r="S2969" s="4" t="n"/>
      <c r="T2969" s="4" t="n"/>
    </row>
    <row r="2970">
      <c r="A2970" s="3" t="n">
        <v>2969</v>
      </c>
      <c r="B2970" s="3" t="inlineStr">
        <is>
          <t>DL027</t>
        </is>
      </c>
      <c r="C2970" s="4" t="inlineStr">
        <is>
          <t>ĐL Bình Định - Khoan Pin 77</t>
        </is>
      </c>
      <c r="D2970" s="3" t="inlineStr">
        <is>
          <t>GIA LAI 
(BÌNH ĐỊNH CŨ)</t>
        </is>
      </c>
      <c r="E2970" s="3" t="inlineStr">
        <is>
          <t>THÙY TRANG</t>
        </is>
      </c>
      <c r="F2970" s="3" t="inlineStr"/>
      <c r="G2970" s="4" t="inlineStr">
        <is>
          <t>SHOPEE: TIKTOK: LAZADA: WEBSITE BÁN HÀNG: YOUTUBE: https://www.youtube.com/channel/UCowiJLhwAySOYT7OCDWOOYA</t>
        </is>
      </c>
      <c r="H2970" s="3" t="inlineStr">
        <is>
          <t>KM18QD</t>
        </is>
      </c>
      <c r="I2970" s="4" t="inlineStr">
        <is>
          <t>Máy Khoan 3 Chức Năng 18V KM18QD</t>
        </is>
      </c>
      <c r="J2970" s="3" t="inlineStr">
        <is>
          <t>Cái</t>
        </is>
      </c>
      <c r="K2970" s="5" t="n">
        <v>1780000</v>
      </c>
      <c r="L2970" s="5" t="n">
        <v>1960000</v>
      </c>
      <c r="M2970" s="6" t="n">
        <v>2230000</v>
      </c>
      <c r="N2970" s="5" t="n"/>
      <c r="O2970" s="5">
        <f>IF(AND(ISNUMBER(N2970),ISNUMBER(M2970)),N2970-M2970,"")</f>
        <v/>
      </c>
      <c r="P2970" s="7">
        <f>IF(AND(ISNUMBER(N2970),ISNUMBER(M2970),M2970&gt;0),(N2970-M2970)/M2970,"")</f>
        <v/>
      </c>
      <c r="Q2970" s="3">
        <f>IF(P2970="","",IF(P2970&lt;-0.02,"🔴 Bán phá giá sàn",IF(P2970&gt;0.05,"🔵 Bán cao hơn","🟢 Đúng giá sàn TMĐT")))</f>
        <v/>
      </c>
      <c r="R2970" s="3" t="n"/>
      <c r="S2970" s="4" t="n"/>
      <c r="T2970" s="4" t="n"/>
    </row>
    <row r="2971">
      <c r="A2971" s="3" t="n">
        <v>2970</v>
      </c>
      <c r="B2971" s="3" t="inlineStr">
        <is>
          <t>DL027</t>
        </is>
      </c>
      <c r="C2971" s="4" t="inlineStr">
        <is>
          <t>ĐL Bình Định - Khoan Pin 77</t>
        </is>
      </c>
      <c r="D2971" s="3" t="inlineStr">
        <is>
          <t>GIA LAI 
(BÌNH ĐỊNH CŨ)</t>
        </is>
      </c>
      <c r="E2971" s="3" t="inlineStr">
        <is>
          <t>THÙY TRANG</t>
        </is>
      </c>
      <c r="F2971" s="3" t="inlineStr"/>
      <c r="G2971" s="4" t="inlineStr">
        <is>
          <t>SHOPEE: TIKTOK: LAZADA: WEBSITE BÁN HÀNG: YOUTUBE: https://www.youtube.com/channel/UCowiJLhwAySOYT7OCDWOOYA</t>
        </is>
      </c>
      <c r="H2971" s="3" t="inlineStr">
        <is>
          <t>K18QFS</t>
        </is>
      </c>
      <c r="I2971" s="4" t="inlineStr">
        <is>
          <t>Máy khoan bê tông 18V K18QFS</t>
        </is>
      </c>
      <c r="J2971" s="3" t="inlineStr">
        <is>
          <t>Cái</t>
        </is>
      </c>
      <c r="K2971" s="5" t="n">
        <v>2110000</v>
      </c>
      <c r="L2971" s="5" t="n">
        <v>2320000</v>
      </c>
      <c r="M2971" s="6" t="n">
        <v>2640000</v>
      </c>
      <c r="N2971" s="5" t="n"/>
      <c r="O2971" s="5">
        <f>IF(AND(ISNUMBER(N2971),ISNUMBER(M2971)),N2971-M2971,"")</f>
        <v/>
      </c>
      <c r="P2971" s="7">
        <f>IF(AND(ISNUMBER(N2971),ISNUMBER(M2971),M2971&gt;0),(N2971-M2971)/M2971,"")</f>
        <v/>
      </c>
      <c r="Q2971" s="3">
        <f>IF(P2971="","",IF(P2971&lt;-0.02,"🔴 Bán phá giá sàn",IF(P2971&gt;0.05,"🔵 Bán cao hơn","🟢 Đúng giá sàn TMĐT")))</f>
        <v/>
      </c>
      <c r="R2971" s="3" t="n"/>
      <c r="S2971" s="4" t="n"/>
      <c r="T2971" s="4" t="n"/>
    </row>
    <row r="2972">
      <c r="A2972" s="3" t="n">
        <v>2971</v>
      </c>
      <c r="B2972" s="3" t="inlineStr">
        <is>
          <t>DL027</t>
        </is>
      </c>
      <c r="C2972" s="4" t="inlineStr">
        <is>
          <t>ĐL Bình Định - Khoan Pin 77</t>
        </is>
      </c>
      <c r="D2972" s="3" t="inlineStr">
        <is>
          <t>GIA LAI 
(BÌNH ĐỊNH CŨ)</t>
        </is>
      </c>
      <c r="E2972" s="3" t="inlineStr">
        <is>
          <t>THÙY TRANG</t>
        </is>
      </c>
      <c r="F2972" s="3" t="inlineStr"/>
      <c r="G2972" s="4" t="inlineStr">
        <is>
          <t>SHOPEE: TIKTOK: LAZADA: WEBSITE BÁN HÀNG: YOUTUBE: https://www.youtube.com/channel/UCowiJLhwAySOYT7OCDWOOYA</t>
        </is>
      </c>
      <c r="H2972" s="3" t="inlineStr">
        <is>
          <t>KM18QF</t>
        </is>
      </c>
      <c r="I2972" s="4" t="inlineStr">
        <is>
          <t>Máy Khoan Bê Tông 18V KM18QF</t>
        </is>
      </c>
      <c r="J2972" s="3" t="inlineStr">
        <is>
          <t>Cái</t>
        </is>
      </c>
      <c r="K2972" s="5" t="n">
        <v>2110000</v>
      </c>
      <c r="L2972" s="5" t="n">
        <v>2320000</v>
      </c>
      <c r="M2972" s="6" t="n">
        <v>2640000</v>
      </c>
      <c r="N2972" s="5" t="n"/>
      <c r="O2972" s="5">
        <f>IF(AND(ISNUMBER(N2972),ISNUMBER(M2972)),N2972-M2972,"")</f>
        <v/>
      </c>
      <c r="P2972" s="7">
        <f>IF(AND(ISNUMBER(N2972),ISNUMBER(M2972),M2972&gt;0),(N2972-M2972)/M2972,"")</f>
        <v/>
      </c>
      <c r="Q2972" s="3">
        <f>IF(P2972="","",IF(P2972&lt;-0.02,"🔴 Bán phá giá sàn",IF(P2972&gt;0.05,"🔵 Bán cao hơn","🟢 Đúng giá sàn TMĐT")))</f>
        <v/>
      </c>
      <c r="R2972" s="3" t="n"/>
      <c r="S2972" s="4" t="n"/>
      <c r="T2972" s="4" t="n"/>
    </row>
    <row r="2973">
      <c r="A2973" s="3" t="n">
        <v>2972</v>
      </c>
      <c r="B2973" s="3" t="inlineStr">
        <is>
          <t>DL027</t>
        </is>
      </c>
      <c r="C2973" s="4" t="inlineStr">
        <is>
          <t>ĐL Bình Định - Khoan Pin 77</t>
        </is>
      </c>
      <c r="D2973" s="3" t="inlineStr">
        <is>
          <t>GIA LAI 
(BÌNH ĐỊNH CŨ)</t>
        </is>
      </c>
      <c r="E2973" s="3" t="inlineStr">
        <is>
          <t>THÙY TRANG</t>
        </is>
      </c>
      <c r="F2973" s="3" t="inlineStr"/>
      <c r="G2973" s="4" t="inlineStr">
        <is>
          <t>SHOPEE: TIKTOK: LAZADA: WEBSITE BÁN HÀNG: YOUTUBE: https://www.youtube.com/channel/UCowiJLhwAySOYT7OCDWOOYA</t>
        </is>
      </c>
      <c r="H2973" s="3" t="inlineStr">
        <is>
          <t>KM18QB</t>
        </is>
      </c>
      <c r="I2973" s="4" t="inlineStr">
        <is>
          <t>Máy Khoan Pin 18V KM18QB</t>
        </is>
      </c>
      <c r="J2973" s="3" t="inlineStr">
        <is>
          <t>Cái</t>
        </is>
      </c>
      <c r="K2973" s="5" t="n">
        <v>920000</v>
      </c>
      <c r="L2973" s="5" t="n">
        <v>1020000</v>
      </c>
      <c r="M2973" s="6" t="n">
        <v>1160000</v>
      </c>
      <c r="N2973" s="5" t="n"/>
      <c r="O2973" s="5">
        <f>IF(AND(ISNUMBER(N2973),ISNUMBER(M2973)),N2973-M2973,"")</f>
        <v/>
      </c>
      <c r="P2973" s="7">
        <f>IF(AND(ISNUMBER(N2973),ISNUMBER(M2973),M2973&gt;0),(N2973-M2973)/M2973,"")</f>
        <v/>
      </c>
      <c r="Q2973" s="3">
        <f>IF(P2973="","",IF(P2973&lt;-0.02,"🔴 Bán phá giá sàn",IF(P2973&gt;0.05,"🔵 Bán cao hơn","🟢 Đúng giá sàn TMĐT")))</f>
        <v/>
      </c>
      <c r="R2973" s="3" t="n"/>
      <c r="S2973" s="4" t="n"/>
      <c r="T2973" s="4" t="n"/>
    </row>
    <row r="2974">
      <c r="A2974" s="3" t="n">
        <v>2973</v>
      </c>
      <c r="B2974" s="3" t="inlineStr">
        <is>
          <t>DL027</t>
        </is>
      </c>
      <c r="C2974" s="4" t="inlineStr">
        <is>
          <t>ĐL Bình Định - Khoan Pin 77</t>
        </is>
      </c>
      <c r="D2974" s="3" t="inlineStr">
        <is>
          <t>GIA LAI 
(BÌNH ĐỊNH CŨ)</t>
        </is>
      </c>
      <c r="E2974" s="3" t="inlineStr">
        <is>
          <t>THÙY TRANG</t>
        </is>
      </c>
      <c r="F2974" s="3" t="inlineStr"/>
      <c r="G2974" s="4" t="inlineStr">
        <is>
          <t>SHOPEE: TIKTOK: LAZADA: WEBSITE BÁN HÀNG: YOUTUBE: https://www.youtube.com/channel/UCowiJLhwAySOYT7OCDWOOYA</t>
        </is>
      </c>
      <c r="H2974" s="3" t="inlineStr">
        <is>
          <t>KB20QB</t>
        </is>
      </c>
      <c r="I2974" s="4" t="inlineStr">
        <is>
          <t>Máy Khoan Pin 20V KB20QB</t>
        </is>
      </c>
      <c r="J2974" s="3" t="inlineStr">
        <is>
          <t>Cái</t>
        </is>
      </c>
      <c r="K2974" s="5" t="n">
        <v>940000</v>
      </c>
      <c r="L2974" s="5" t="n">
        <v>1030000</v>
      </c>
      <c r="M2974" s="6" t="n">
        <v>1170000</v>
      </c>
      <c r="N2974" s="5" t="n"/>
      <c r="O2974" s="5">
        <f>IF(AND(ISNUMBER(N2974),ISNUMBER(M2974)),N2974-M2974,"")</f>
        <v/>
      </c>
      <c r="P2974" s="7">
        <f>IF(AND(ISNUMBER(N2974),ISNUMBER(M2974),M2974&gt;0),(N2974-M2974)/M2974,"")</f>
        <v/>
      </c>
      <c r="Q2974" s="3">
        <f>IF(P2974="","",IF(P2974&lt;-0.02,"🔴 Bán phá giá sàn",IF(P2974&gt;0.05,"🔵 Bán cao hơn","🟢 Đúng giá sàn TMĐT")))</f>
        <v/>
      </c>
      <c r="R2974" s="3" t="n"/>
      <c r="S2974" s="4" t="n"/>
      <c r="T2974" s="4" t="n"/>
    </row>
    <row r="2975">
      <c r="A2975" s="3" t="n">
        <v>2974</v>
      </c>
      <c r="B2975" s="3" t="inlineStr">
        <is>
          <t>DL027</t>
        </is>
      </c>
      <c r="C2975" s="4" t="inlineStr">
        <is>
          <t>ĐL Bình Định - Khoan Pin 77</t>
        </is>
      </c>
      <c r="D2975" s="3" t="inlineStr">
        <is>
          <t>GIA LAI 
(BÌNH ĐỊNH CŨ)</t>
        </is>
      </c>
      <c r="E2975" s="3" t="inlineStr">
        <is>
          <t>THÙY TRANG</t>
        </is>
      </c>
      <c r="F2975" s="3" t="inlineStr"/>
      <c r="G2975" s="4" t="inlineStr">
        <is>
          <t>SHOPEE: TIKTOK: LAZADA: WEBSITE BÁN HÀNG: YOUTUBE: https://www.youtube.com/channel/UCowiJLhwAySOYT7OCDWOOYA</t>
        </is>
      </c>
      <c r="H2975" s="3" t="inlineStr">
        <is>
          <t>K18MGS</t>
        </is>
      </c>
      <c r="I2975" s="4" t="inlineStr">
        <is>
          <t>Máy Mài Góc 18V K18MGS</t>
        </is>
      </c>
      <c r="J2975" s="3" t="inlineStr">
        <is>
          <t>Cái</t>
        </is>
      </c>
      <c r="K2975" s="5" t="n">
        <v>1340000</v>
      </c>
      <c r="L2975" s="5" t="n">
        <v>1480000</v>
      </c>
      <c r="M2975" s="6" t="n">
        <v>1680000</v>
      </c>
      <c r="N2975" s="5" t="n"/>
      <c r="O2975" s="5">
        <f>IF(AND(ISNUMBER(N2975),ISNUMBER(M2975)),N2975-M2975,"")</f>
        <v/>
      </c>
      <c r="P2975" s="7">
        <f>IF(AND(ISNUMBER(N2975),ISNUMBER(M2975),M2975&gt;0),(N2975-M2975)/M2975,"")</f>
        <v/>
      </c>
      <c r="Q2975" s="3">
        <f>IF(P2975="","",IF(P2975&lt;-0.02,"🔴 Bán phá giá sàn",IF(P2975&gt;0.05,"🔵 Bán cao hơn","🟢 Đúng giá sàn TMĐT")))</f>
        <v/>
      </c>
      <c r="R2975" s="3" t="n"/>
      <c r="S2975" s="4" t="n"/>
      <c r="T2975" s="4" t="n"/>
    </row>
    <row r="2976">
      <c r="A2976" s="3" t="n">
        <v>2975</v>
      </c>
      <c r="B2976" s="3" t="inlineStr">
        <is>
          <t>DL027</t>
        </is>
      </c>
      <c r="C2976" s="4" t="inlineStr">
        <is>
          <t>ĐL Bình Định - Khoan Pin 77</t>
        </is>
      </c>
      <c r="D2976" s="3" t="inlineStr">
        <is>
          <t>GIA LAI 
(BÌNH ĐỊNH CŨ)</t>
        </is>
      </c>
      <c r="E2976" s="3" t="inlineStr">
        <is>
          <t>THÙY TRANG</t>
        </is>
      </c>
      <c r="F2976" s="3" t="inlineStr"/>
      <c r="G2976" s="4" t="inlineStr">
        <is>
          <t>SHOPEE: TIKTOK: LAZADA: WEBSITE BÁN HÀNG: YOUTUBE: https://www.youtube.com/channel/UCowiJLhwAySOYT7OCDWOOYA</t>
        </is>
      </c>
      <c r="H2976" s="3" t="inlineStr">
        <is>
          <t>KBA-UL1200</t>
        </is>
      </c>
      <c r="I2976" s="4" t="inlineStr">
        <is>
          <t>Máy rửa xe áp lực cao KBA-UL1200</t>
        </is>
      </c>
      <c r="J2976" s="3" t="inlineStr">
        <is>
          <t>Cái</t>
        </is>
      </c>
      <c r="K2976" s="5" t="n">
        <v>1290000</v>
      </c>
      <c r="L2976" s="5" t="n">
        <v>1450000</v>
      </c>
      <c r="M2976" s="6" t="n">
        <v>1680000</v>
      </c>
      <c r="N2976" s="5" t="n"/>
      <c r="O2976" s="5">
        <f>IF(AND(ISNUMBER(N2976),ISNUMBER(M2976)),N2976-M2976,"")</f>
        <v/>
      </c>
      <c r="P2976" s="7">
        <f>IF(AND(ISNUMBER(N2976),ISNUMBER(M2976),M2976&gt;0),(N2976-M2976)/M2976,"")</f>
        <v/>
      </c>
      <c r="Q2976" s="3">
        <f>IF(P2976="","",IF(P2976&lt;-0.02,"🔴 Bán phá giá sàn",IF(P2976&gt;0.05,"🔵 Bán cao hơn","🟢 Đúng giá sàn TMĐT")))</f>
        <v/>
      </c>
      <c r="R2976" s="3" t="n"/>
      <c r="S2976" s="4" t="n"/>
      <c r="T2976" s="4" t="n"/>
    </row>
    <row r="2977">
      <c r="A2977" s="3" t="n">
        <v>2976</v>
      </c>
      <c r="B2977" s="3" t="inlineStr">
        <is>
          <t>DL027</t>
        </is>
      </c>
      <c r="C2977" s="4" t="inlineStr">
        <is>
          <t>ĐL Bình Định - Khoan Pin 77</t>
        </is>
      </c>
      <c r="D2977" s="3" t="inlineStr">
        <is>
          <t>GIA LAI 
(BÌNH ĐỊNH CŨ)</t>
        </is>
      </c>
      <c r="E2977" s="3" t="inlineStr">
        <is>
          <t>THÙY TRANG</t>
        </is>
      </c>
      <c r="F2977" s="3" t="inlineStr"/>
      <c r="G2977" s="4" t="inlineStr">
        <is>
          <t>SHOPEE: TIKTOK: LAZADA: WEBSITE BÁN HÀNG: YOUTUBE: https://www.youtube.com/channel/UCowiJLhwAySOYT7OCDWOOYA</t>
        </is>
      </c>
      <c r="H2977" s="3" t="inlineStr">
        <is>
          <t>KBA-I1500</t>
        </is>
      </c>
      <c r="I2977" s="4" t="inlineStr">
        <is>
          <t>Máy rửa xe KBA-I1500</t>
        </is>
      </c>
      <c r="J2977" s="3" t="inlineStr">
        <is>
          <t>Cái</t>
        </is>
      </c>
      <c r="K2977" s="5" t="n">
        <v>2050000</v>
      </c>
      <c r="L2977" s="5" t="n">
        <v>2300000</v>
      </c>
      <c r="M2977" s="6" t="n">
        <v>2670000</v>
      </c>
      <c r="N2977" s="5" t="n"/>
      <c r="O2977" s="5">
        <f>IF(AND(ISNUMBER(N2977),ISNUMBER(M2977)),N2977-M2977,"")</f>
        <v/>
      </c>
      <c r="P2977" s="7">
        <f>IF(AND(ISNUMBER(N2977),ISNUMBER(M2977),M2977&gt;0),(N2977-M2977)/M2977,"")</f>
        <v/>
      </c>
      <c r="Q2977" s="3">
        <f>IF(P2977="","",IF(P2977&lt;-0.02,"🔴 Bán phá giá sàn",IF(P2977&gt;0.05,"🔵 Bán cao hơn","🟢 Đúng giá sàn TMĐT")))</f>
        <v/>
      </c>
      <c r="R2977" s="3" t="n"/>
      <c r="S2977" s="4" t="n"/>
      <c r="T2977" s="4" t="n"/>
    </row>
    <row r="2978">
      <c r="A2978" s="3" t="n">
        <v>2977</v>
      </c>
      <c r="B2978" s="3" t="inlineStr">
        <is>
          <t>DL027</t>
        </is>
      </c>
      <c r="C2978" s="4" t="inlineStr">
        <is>
          <t>ĐL Bình Định - Khoan Pin 77</t>
        </is>
      </c>
      <c r="D2978" s="3" t="inlineStr">
        <is>
          <t>GIA LAI 
(BÌNH ĐỊNH CŨ)</t>
        </is>
      </c>
      <c r="E2978" s="3" t="inlineStr">
        <is>
          <t>THÙY TRANG</t>
        </is>
      </c>
      <c r="F2978" s="3" t="inlineStr"/>
      <c r="G2978" s="4" t="inlineStr">
        <is>
          <t>SHOPEE: TIKTOK: LAZADA: WEBSITE BÁN HÀNG: YOUTUBE: https://www.youtube.com/channel/UCowiJLhwAySOYT7OCDWOOYA</t>
        </is>
      </c>
      <c r="H2978" s="3" t="inlineStr">
        <is>
          <t>KBA-U1200</t>
        </is>
      </c>
      <c r="I2978" s="4" t="inlineStr">
        <is>
          <t>Máy rửa xe KBA-U1200</t>
        </is>
      </c>
      <c r="J2978" s="3" t="inlineStr">
        <is>
          <t>Cái</t>
        </is>
      </c>
      <c r="K2978" s="5" t="n">
        <v>1100000</v>
      </c>
      <c r="L2978" s="5" t="n">
        <v>1230000</v>
      </c>
      <c r="M2978" s="6" t="n">
        <v>1430000</v>
      </c>
      <c r="N2978" s="5" t="n"/>
      <c r="O2978" s="5">
        <f>IF(AND(ISNUMBER(N2978),ISNUMBER(M2978)),N2978-M2978,"")</f>
        <v/>
      </c>
      <c r="P2978" s="7">
        <f>IF(AND(ISNUMBER(N2978),ISNUMBER(M2978),M2978&gt;0),(N2978-M2978)/M2978,"")</f>
        <v/>
      </c>
      <c r="Q2978" s="3">
        <f>IF(P2978="","",IF(P2978&lt;-0.02,"🔴 Bán phá giá sàn",IF(P2978&gt;0.05,"🔵 Bán cao hơn","🟢 Đúng giá sàn TMĐT")))</f>
        <v/>
      </c>
      <c r="R2978" s="3" t="n"/>
      <c r="S2978" s="4" t="n"/>
      <c r="T2978" s="4" t="n"/>
    </row>
    <row r="2979">
      <c r="A2979" s="3" t="n">
        <v>2978</v>
      </c>
      <c r="B2979" s="3" t="inlineStr">
        <is>
          <t>DL027</t>
        </is>
      </c>
      <c r="C2979" s="4" t="inlineStr">
        <is>
          <t>ĐL Bình Định - Khoan Pin 77</t>
        </is>
      </c>
      <c r="D2979" s="3" t="inlineStr">
        <is>
          <t>GIA LAI 
(BÌNH ĐỊNH CŨ)</t>
        </is>
      </c>
      <c r="E2979" s="3" t="inlineStr">
        <is>
          <t>THÙY TRANG</t>
        </is>
      </c>
      <c r="F2979" s="3" t="inlineStr"/>
      <c r="G2979" s="4" t="inlineStr">
        <is>
          <t>SHOPEE: TIKTOK: LAZADA: WEBSITE BÁN HÀNG: YOUTUBE: https://www.youtube.com/channel/UCowiJLhwAySOYT7OCDWOOYA</t>
        </is>
      </c>
      <c r="H2979" s="3" t="inlineStr">
        <is>
          <t>KBC-I1800</t>
        </is>
      </c>
      <c r="I2979" s="4" t="inlineStr">
        <is>
          <t>Máy rửa xe KBC-I1800</t>
        </is>
      </c>
      <c r="J2979" s="3" t="inlineStr">
        <is>
          <t>Cái</t>
        </is>
      </c>
      <c r="K2979" s="5" t="n">
        <v>3120000</v>
      </c>
      <c r="L2979" s="5" t="n">
        <v>3490000</v>
      </c>
      <c r="M2979" s="6" t="n">
        <v>4060000</v>
      </c>
      <c r="N2979" s="5" t="n"/>
      <c r="O2979" s="5">
        <f>IF(AND(ISNUMBER(N2979),ISNUMBER(M2979)),N2979-M2979,"")</f>
        <v/>
      </c>
      <c r="P2979" s="7">
        <f>IF(AND(ISNUMBER(N2979),ISNUMBER(M2979),M2979&gt;0),(N2979-M2979)/M2979,"")</f>
        <v/>
      </c>
      <c r="Q2979" s="3">
        <f>IF(P2979="","",IF(P2979&lt;-0.02,"🔴 Bán phá giá sàn",IF(P2979&gt;0.05,"🔵 Bán cao hơn","🟢 Đúng giá sàn TMĐT")))</f>
        <v/>
      </c>
      <c r="R2979" s="3" t="n"/>
      <c r="S2979" s="4" t="n"/>
      <c r="T2979" s="4" t="n"/>
    </row>
    <row r="2980">
      <c r="A2980" s="3" t="n">
        <v>2979</v>
      </c>
      <c r="B2980" s="3" t="inlineStr">
        <is>
          <t>DL027</t>
        </is>
      </c>
      <c r="C2980" s="4" t="inlineStr">
        <is>
          <t>ĐL Bình Định - Khoan Pin 77</t>
        </is>
      </c>
      <c r="D2980" s="3" t="inlineStr">
        <is>
          <t>GIA LAI 
(BÌNH ĐỊNH CŨ)</t>
        </is>
      </c>
      <c r="E2980" s="3" t="inlineStr">
        <is>
          <t>THÙY TRANG</t>
        </is>
      </c>
      <c r="F2980" s="3" t="inlineStr"/>
      <c r="G2980" s="4" t="inlineStr">
        <is>
          <t>SHOPEE: TIKTOK: LAZADA: WEBSITE BÁN HÀNG: YOUTUBE: https://www.youtube.com/channel/UCowiJLhwAySOYT7OCDWOOYA</t>
        </is>
      </c>
      <c r="H2980" s="3" t="inlineStr">
        <is>
          <t>KBC-I2400</t>
        </is>
      </c>
      <c r="I2980" s="4" t="inlineStr">
        <is>
          <t>Máy rửa xe KBC-I2400</t>
        </is>
      </c>
      <c r="J2980" s="3" t="inlineStr">
        <is>
          <t>Cái</t>
        </is>
      </c>
      <c r="K2980" s="5" t="n">
        <v>7900000</v>
      </c>
      <c r="L2980" s="5" t="n">
        <v>8850000</v>
      </c>
      <c r="M2980" s="6" t="n">
        <v>10270000</v>
      </c>
      <c r="N2980" s="5" t="n"/>
      <c r="O2980" s="5">
        <f>IF(AND(ISNUMBER(N2980),ISNUMBER(M2980)),N2980-M2980,"")</f>
        <v/>
      </c>
      <c r="P2980" s="7">
        <f>IF(AND(ISNUMBER(N2980),ISNUMBER(M2980),M2980&gt;0),(N2980-M2980)/M2980,"")</f>
        <v/>
      </c>
      <c r="Q2980" s="3">
        <f>IF(P2980="","",IF(P2980&lt;-0.02,"🔴 Bán phá giá sàn",IF(P2980&gt;0.05,"🔵 Bán cao hơn","🟢 Đúng giá sàn TMĐT")))</f>
        <v/>
      </c>
      <c r="R2980" s="3" t="n"/>
      <c r="S2980" s="4" t="n"/>
      <c r="T2980" s="4" t="n"/>
    </row>
    <row r="2981">
      <c r="A2981" s="3" t="n">
        <v>2980</v>
      </c>
      <c r="B2981" s="3" t="inlineStr">
        <is>
          <t>DL027</t>
        </is>
      </c>
      <c r="C2981" s="4" t="inlineStr">
        <is>
          <t>ĐL Bình Định - Khoan Pin 77</t>
        </is>
      </c>
      <c r="D2981" s="3" t="inlineStr">
        <is>
          <t>GIA LAI 
(BÌNH ĐỊNH CŨ)</t>
        </is>
      </c>
      <c r="E2981" s="3" t="inlineStr">
        <is>
          <t>THÙY TRANG</t>
        </is>
      </c>
      <c r="F2981" s="3" t="inlineStr"/>
      <c r="G2981" s="4" t="inlineStr">
        <is>
          <t>SHOPEE: TIKTOK: LAZADA: WEBSITE BÁN HÀNG: YOUTUBE: https://www.youtube.com/channel/UCowiJLhwAySOYT7OCDWOOYA</t>
        </is>
      </c>
      <c r="H2981" s="3" t="inlineStr">
        <is>
          <t>KBA-US1500</t>
        </is>
      </c>
      <c r="I2981" s="4" t="inlineStr">
        <is>
          <t>Máy rửa xe tiêu âm KBA-US1500</t>
        </is>
      </c>
      <c r="J2981" s="3" t="inlineStr">
        <is>
          <t>Cái</t>
        </is>
      </c>
      <c r="K2981" s="5" t="n">
        <v>1900000</v>
      </c>
      <c r="L2981" s="5" t="n">
        <v>2130000</v>
      </c>
      <c r="M2981" s="6" t="n">
        <v>2470000</v>
      </c>
      <c r="N2981" s="5" t="n"/>
      <c r="O2981" s="5">
        <f>IF(AND(ISNUMBER(N2981),ISNUMBER(M2981)),N2981-M2981,"")</f>
        <v/>
      </c>
      <c r="P2981" s="7">
        <f>IF(AND(ISNUMBER(N2981),ISNUMBER(M2981),M2981&gt;0),(N2981-M2981)/M2981,"")</f>
        <v/>
      </c>
      <c r="Q2981" s="3">
        <f>IF(P2981="","",IF(P2981&lt;-0.02,"🔴 Bán phá giá sàn",IF(P2981&gt;0.05,"🔵 Bán cao hơn","🟢 Đúng giá sàn TMĐT")))</f>
        <v/>
      </c>
      <c r="R2981" s="3" t="n"/>
      <c r="S2981" s="4" t="n"/>
      <c r="T2981" s="4" t="n"/>
    </row>
    <row r="2982">
      <c r="A2982" s="3" t="n">
        <v>2981</v>
      </c>
      <c r="B2982" s="3" t="inlineStr">
        <is>
          <t>DL027</t>
        </is>
      </c>
      <c r="C2982" s="4" t="inlineStr">
        <is>
          <t>ĐL Bình Định - Khoan Pin 77</t>
        </is>
      </c>
      <c r="D2982" s="3" t="inlineStr">
        <is>
          <t>GIA LAI 
(BÌNH ĐỊNH CŨ)</t>
        </is>
      </c>
      <c r="E2982" s="3" t="inlineStr">
        <is>
          <t>THÙY TRANG</t>
        </is>
      </c>
      <c r="F2982" s="3" t="inlineStr"/>
      <c r="G2982" s="4" t="inlineStr">
        <is>
          <t>SHOPEE: TIKTOK: LAZADA: WEBSITE BÁN HÀNG: YOUTUBE: https://www.youtube.com/channel/UCowiJLhwAySOYT7OCDWOOYA</t>
        </is>
      </c>
      <c r="H2982" s="3" t="inlineStr">
        <is>
          <t>KM18-HR1</t>
        </is>
      </c>
      <c r="I2982" s="4" t="inlineStr">
        <is>
          <t>Máy rung ốp lát gạch KM18-HR1</t>
        </is>
      </c>
      <c r="J2982" s="3" t="inlineStr">
        <is>
          <t>Cái</t>
        </is>
      </c>
      <c r="K2982" s="5" t="n">
        <v>269000</v>
      </c>
      <c r="L2982" s="5" t="n">
        <v>317000</v>
      </c>
      <c r="M2982" s="6" t="n">
        <v>390000</v>
      </c>
      <c r="N2982" s="5" t="n"/>
      <c r="O2982" s="5">
        <f>IF(AND(ISNUMBER(N2982),ISNUMBER(M2982)),N2982-M2982,"")</f>
        <v/>
      </c>
      <c r="P2982" s="7">
        <f>IF(AND(ISNUMBER(N2982),ISNUMBER(M2982),M2982&gt;0),(N2982-M2982)/M2982,"")</f>
        <v/>
      </c>
      <c r="Q2982" s="3">
        <f>IF(P2982="","",IF(P2982&lt;-0.02,"🔴 Bán phá giá sàn",IF(P2982&gt;0.05,"🔵 Bán cao hơn","🟢 Đúng giá sàn TMĐT")))</f>
        <v/>
      </c>
      <c r="R2982" s="3" t="n"/>
      <c r="S2982" s="4" t="n"/>
      <c r="T2982" s="4" t="n"/>
    </row>
    <row r="2983">
      <c r="A2983" s="3" t="n">
        <v>2982</v>
      </c>
      <c r="B2983" s="3" t="inlineStr">
        <is>
          <t>DL027</t>
        </is>
      </c>
      <c r="C2983" s="4" t="inlineStr">
        <is>
          <t>ĐL Bình Định - Khoan Pin 77</t>
        </is>
      </c>
      <c r="D2983" s="3" t="inlineStr">
        <is>
          <t>GIA LAI 
(BÌNH ĐỊNH CŨ)</t>
        </is>
      </c>
      <c r="E2983" s="3" t="inlineStr">
        <is>
          <t>THÙY TRANG</t>
        </is>
      </c>
      <c r="F2983" s="3" t="inlineStr"/>
      <c r="G2983" s="4" t="inlineStr">
        <is>
          <t>SHOPEE: TIKTOK: LAZADA: WEBSITE BÁN HÀNG: YOUTUBE: https://www.youtube.com/channel/UCowiJLhwAySOYT7OCDWOOYA</t>
        </is>
      </c>
      <c r="H2983" s="3" t="inlineStr">
        <is>
          <t>K18SVS</t>
        </is>
      </c>
      <c r="I2983" s="4" t="inlineStr">
        <is>
          <t>Máy siết Bulon 18V 2in1 K18SVS</t>
        </is>
      </c>
      <c r="J2983" s="3" t="inlineStr">
        <is>
          <t>Cái</t>
        </is>
      </c>
      <c r="K2983" s="5" t="n">
        <v>1630000</v>
      </c>
      <c r="L2983" s="5" t="n">
        <v>1790000</v>
      </c>
      <c r="M2983" s="6" t="n">
        <v>2040000</v>
      </c>
      <c r="N2983" s="5" t="n"/>
      <c r="O2983" s="5">
        <f>IF(AND(ISNUMBER(N2983),ISNUMBER(M2983)),N2983-M2983,"")</f>
        <v/>
      </c>
      <c r="P2983" s="7">
        <f>IF(AND(ISNUMBER(N2983),ISNUMBER(M2983),M2983&gt;0),(N2983-M2983)/M2983,"")</f>
        <v/>
      </c>
      <c r="Q2983" s="3">
        <f>IF(P2983="","",IF(P2983&lt;-0.02,"🔴 Bán phá giá sàn",IF(P2983&gt;0.05,"🔵 Bán cao hơn","🟢 Đúng giá sàn TMĐT")))</f>
        <v/>
      </c>
      <c r="R2983" s="3" t="n"/>
      <c r="S2983" s="4" t="n"/>
      <c r="T2983" s="4" t="n"/>
    </row>
    <row r="2984">
      <c r="A2984" s="3" t="n">
        <v>2983</v>
      </c>
      <c r="B2984" s="3" t="inlineStr">
        <is>
          <t>DL027</t>
        </is>
      </c>
      <c r="C2984" s="4" t="inlineStr">
        <is>
          <t>ĐL Bình Định - Khoan Pin 77</t>
        </is>
      </c>
      <c r="D2984" s="3" t="inlineStr">
        <is>
          <t>GIA LAI 
(BÌNH ĐỊNH CŨ)</t>
        </is>
      </c>
      <c r="E2984" s="3" t="inlineStr">
        <is>
          <t>THÙY TRANG</t>
        </is>
      </c>
      <c r="F2984" s="3" t="inlineStr"/>
      <c r="G2984" s="4" t="inlineStr">
        <is>
          <t>SHOPEE: TIKTOK: LAZADA: WEBSITE BÁN HÀNG: YOUTUBE: https://www.youtube.com/channel/UCowiJLhwAySOYT7OCDWOOYA</t>
        </is>
      </c>
      <c r="H2984" s="3" t="inlineStr">
        <is>
          <t>KM18S34</t>
        </is>
      </c>
      <c r="I2984" s="4" t="inlineStr">
        <is>
          <t>Máy siết bulon 18V KM18S34</t>
        </is>
      </c>
      <c r="J2984" s="3" t="inlineStr">
        <is>
          <t>Cái</t>
        </is>
      </c>
      <c r="K2984" s="5" t="n">
        <v>3960000</v>
      </c>
      <c r="L2984" s="5" t="n">
        <v>4360000</v>
      </c>
      <c r="M2984" s="6" t="n">
        <v>4950000</v>
      </c>
      <c r="N2984" s="5" t="n"/>
      <c r="O2984" s="5">
        <f>IF(AND(ISNUMBER(N2984),ISNUMBER(M2984)),N2984-M2984,"")</f>
        <v/>
      </c>
      <c r="P2984" s="7">
        <f>IF(AND(ISNUMBER(N2984),ISNUMBER(M2984),M2984&gt;0),(N2984-M2984)/M2984,"")</f>
        <v/>
      </c>
      <c r="Q2984" s="3">
        <f>IF(P2984="","",IF(P2984&lt;-0.02,"🔴 Bán phá giá sàn",IF(P2984&gt;0.05,"🔵 Bán cao hơn","🟢 Đúng giá sàn TMĐT")))</f>
        <v/>
      </c>
      <c r="R2984" s="3" t="n"/>
      <c r="S2984" s="4" t="n"/>
      <c r="T2984" s="4" t="n"/>
    </row>
    <row r="2985">
      <c r="A2985" s="3" t="n">
        <v>2984</v>
      </c>
      <c r="B2985" s="3" t="inlineStr">
        <is>
          <t>DL027</t>
        </is>
      </c>
      <c r="C2985" s="4" t="inlineStr">
        <is>
          <t>ĐL Bình Định - Khoan Pin 77</t>
        </is>
      </c>
      <c r="D2985" s="3" t="inlineStr">
        <is>
          <t>GIA LAI 
(BÌNH ĐỊNH CŨ)</t>
        </is>
      </c>
      <c r="E2985" s="3" t="inlineStr">
        <is>
          <t>THÙY TRANG</t>
        </is>
      </c>
      <c r="F2985" s="3" t="inlineStr"/>
      <c r="G2985" s="4" t="inlineStr">
        <is>
          <t>SHOPEE: TIKTOK: LAZADA: WEBSITE BÁN HÀNG: YOUTUBE: https://www.youtube.com/channel/UCowiJLhwAySOYT7OCDWOOYA</t>
        </is>
      </c>
      <c r="H2985" s="3" t="inlineStr">
        <is>
          <t>KM18SE</t>
        </is>
      </c>
      <c r="I2985" s="4" t="inlineStr">
        <is>
          <t>Máy siết bulon 18V KM18SE</t>
        </is>
      </c>
      <c r="J2985" s="3" t="inlineStr">
        <is>
          <t>Cái</t>
        </is>
      </c>
      <c r="K2985" s="5" t="n">
        <v>2090000</v>
      </c>
      <c r="L2985" s="5" t="n">
        <v>2300000</v>
      </c>
      <c r="M2985" s="6" t="n">
        <v>2610000</v>
      </c>
      <c r="N2985" s="5" t="n"/>
      <c r="O2985" s="5">
        <f>IF(AND(ISNUMBER(N2985),ISNUMBER(M2985)),N2985-M2985,"")</f>
        <v/>
      </c>
      <c r="P2985" s="7">
        <f>IF(AND(ISNUMBER(N2985),ISNUMBER(M2985),M2985&gt;0),(N2985-M2985)/M2985,"")</f>
        <v/>
      </c>
      <c r="Q2985" s="3">
        <f>IF(P2985="","",IF(P2985&lt;-0.02,"🔴 Bán phá giá sàn",IF(P2985&gt;0.05,"🔵 Bán cao hơn","🟢 Đúng giá sàn TMĐT")))</f>
        <v/>
      </c>
      <c r="R2985" s="3" t="n"/>
      <c r="S2985" s="4" t="n"/>
      <c r="T2985" s="4" t="n"/>
    </row>
    <row r="2986">
      <c r="A2986" s="3" t="n">
        <v>2985</v>
      </c>
      <c r="B2986" s="3" t="inlineStr">
        <is>
          <t>DL027</t>
        </is>
      </c>
      <c r="C2986" s="4" t="inlineStr">
        <is>
          <t>ĐL Bình Định - Khoan Pin 77</t>
        </is>
      </c>
      <c r="D2986" s="3" t="inlineStr">
        <is>
          <t>GIA LAI 
(BÌNH ĐỊNH CŨ)</t>
        </is>
      </c>
      <c r="E2986" s="3" t="inlineStr">
        <is>
          <t>THÙY TRANG</t>
        </is>
      </c>
      <c r="F2986" s="3" t="inlineStr"/>
      <c r="G2986" s="4" t="inlineStr">
        <is>
          <t>SHOPEE: TIKTOK: LAZADA: WEBSITE BÁN HÀNG: YOUTUBE: https://www.youtube.com/channel/UCowiJLhwAySOYT7OCDWOOYA</t>
        </is>
      </c>
      <c r="H2986" s="3" t="inlineStr">
        <is>
          <t>KM18SF</t>
        </is>
      </c>
      <c r="I2986" s="4" t="inlineStr">
        <is>
          <t>Máy Siết Bulon 18V KM18SF</t>
        </is>
      </c>
      <c r="J2986" s="3" t="inlineStr">
        <is>
          <t>Cái</t>
        </is>
      </c>
      <c r="K2986" s="5" t="n">
        <v>2620000</v>
      </c>
      <c r="L2986" s="5" t="n">
        <v>2880000</v>
      </c>
      <c r="M2986" s="6" t="n">
        <v>3270000</v>
      </c>
      <c r="N2986" s="5" t="n"/>
      <c r="O2986" s="5">
        <f>IF(AND(ISNUMBER(N2986),ISNUMBER(M2986)),N2986-M2986,"")</f>
        <v/>
      </c>
      <c r="P2986" s="7">
        <f>IF(AND(ISNUMBER(N2986),ISNUMBER(M2986),M2986&gt;0),(N2986-M2986)/M2986,"")</f>
        <v/>
      </c>
      <c r="Q2986" s="3">
        <f>IF(P2986="","",IF(P2986&lt;-0.02,"🔴 Bán phá giá sàn",IF(P2986&gt;0.05,"🔵 Bán cao hơn","🟢 Đúng giá sàn TMĐT")))</f>
        <v/>
      </c>
      <c r="R2986" s="3" t="n"/>
      <c r="S2986" s="4" t="n"/>
      <c r="T2986" s="4" t="n"/>
    </row>
    <row r="2987">
      <c r="A2987" s="3" t="n">
        <v>2986</v>
      </c>
      <c r="B2987" s="3" t="inlineStr">
        <is>
          <t>DL027</t>
        </is>
      </c>
      <c r="C2987" s="4" t="inlineStr">
        <is>
          <t>ĐL Bình Định - Khoan Pin 77</t>
        </is>
      </c>
      <c r="D2987" s="3" t="inlineStr">
        <is>
          <t>GIA LAI 
(BÌNH ĐỊNH CŨ)</t>
        </is>
      </c>
      <c r="E2987" s="3" t="inlineStr">
        <is>
          <t>THÙY TRANG</t>
        </is>
      </c>
      <c r="F2987" s="3" t="inlineStr"/>
      <c r="G2987" s="4" t="inlineStr">
        <is>
          <t>SHOPEE: TIKTOK: LAZADA: WEBSITE BÁN HÀNG: YOUTUBE: https://www.youtube.com/channel/UCowiJLhwAySOYT7OCDWOOYA</t>
        </is>
      </c>
      <c r="H2987" s="3" t="inlineStr">
        <is>
          <t>KM18SM</t>
        </is>
      </c>
      <c r="I2987" s="4" t="inlineStr">
        <is>
          <t>Máy Siết Bulon 18V KM18SM</t>
        </is>
      </c>
      <c r="J2987" s="3" t="inlineStr">
        <is>
          <t>Cái</t>
        </is>
      </c>
      <c r="K2987" s="5" t="n">
        <v>1720000</v>
      </c>
      <c r="L2987" s="5" t="n">
        <v>1890000</v>
      </c>
      <c r="M2987" s="6" t="n">
        <v>2150000</v>
      </c>
      <c r="N2987" s="5" t="n"/>
      <c r="O2987" s="5">
        <f>IF(AND(ISNUMBER(N2987),ISNUMBER(M2987)),N2987-M2987,"")</f>
        <v/>
      </c>
      <c r="P2987" s="7">
        <f>IF(AND(ISNUMBER(N2987),ISNUMBER(M2987),M2987&gt;0),(N2987-M2987)/M2987,"")</f>
        <v/>
      </c>
      <c r="Q2987" s="3">
        <f>IF(P2987="","",IF(P2987&lt;-0.02,"🔴 Bán phá giá sàn",IF(P2987&gt;0.05,"🔵 Bán cao hơn","🟢 Đúng giá sàn TMĐT")))</f>
        <v/>
      </c>
      <c r="R2987" s="3" t="n"/>
      <c r="S2987" s="4" t="n"/>
      <c r="T2987" s="4" t="n"/>
    </row>
    <row r="2988">
      <c r="A2988" s="3" t="n">
        <v>2987</v>
      </c>
      <c r="B2988" s="3" t="inlineStr">
        <is>
          <t>DL027</t>
        </is>
      </c>
      <c r="C2988" s="4" t="inlineStr">
        <is>
          <t>ĐL Bình Định - Khoan Pin 77</t>
        </is>
      </c>
      <c r="D2988" s="3" t="inlineStr">
        <is>
          <t>GIA LAI 
(BÌNH ĐỊNH CŨ)</t>
        </is>
      </c>
      <c r="E2988" s="3" t="inlineStr">
        <is>
          <t>THÙY TRANG</t>
        </is>
      </c>
      <c r="F2988" s="3" t="inlineStr"/>
      <c r="G2988" s="4" t="inlineStr">
        <is>
          <t>SHOPEE: TIKTOK: LAZADA: WEBSITE BÁN HÀNG: YOUTUBE: https://www.youtube.com/channel/UCowiJLhwAySOYT7OCDWOOYA</t>
        </is>
      </c>
      <c r="H2988" s="3" t="inlineStr">
        <is>
          <t>K18SFS</t>
        </is>
      </c>
      <c r="I2988" s="4" t="inlineStr">
        <is>
          <t>Máy siết bulong 18V K18SFS</t>
        </is>
      </c>
      <c r="J2988" s="3" t="inlineStr">
        <is>
          <t>Cái</t>
        </is>
      </c>
      <c r="K2988" s="5" t="n">
        <v>2620000</v>
      </c>
      <c r="L2988" s="5" t="n">
        <v>2880000</v>
      </c>
      <c r="M2988" s="6" t="n">
        <v>3270000</v>
      </c>
      <c r="N2988" s="5" t="n"/>
      <c r="O2988" s="5">
        <f>IF(AND(ISNUMBER(N2988),ISNUMBER(M2988)),N2988-M2988,"")</f>
        <v/>
      </c>
      <c r="P2988" s="7">
        <f>IF(AND(ISNUMBER(N2988),ISNUMBER(M2988),M2988&gt;0),(N2988-M2988)/M2988,"")</f>
        <v/>
      </c>
      <c r="Q2988" s="3">
        <f>IF(P2988="","",IF(P2988&lt;-0.02,"🔴 Bán phá giá sàn",IF(P2988&gt;0.05,"🔵 Bán cao hơn","🟢 Đúng giá sàn TMĐT")))</f>
        <v/>
      </c>
      <c r="R2988" s="3" t="n"/>
      <c r="S2988" s="4" t="n"/>
      <c r="T2988" s="4" t="n"/>
    </row>
    <row r="2989">
      <c r="A2989" s="3" t="n">
        <v>2988</v>
      </c>
      <c r="B2989" s="3" t="inlineStr">
        <is>
          <t>DL027</t>
        </is>
      </c>
      <c r="C2989" s="4" t="inlineStr">
        <is>
          <t>ĐL Bình Định - Khoan Pin 77</t>
        </is>
      </c>
      <c r="D2989" s="3" t="inlineStr">
        <is>
          <t>GIA LAI 
(BÌNH ĐỊNH CŨ)</t>
        </is>
      </c>
      <c r="E2989" s="3" t="inlineStr">
        <is>
          <t>THÙY TRANG</t>
        </is>
      </c>
      <c r="F2989" s="3" t="inlineStr"/>
      <c r="G2989" s="4" t="inlineStr">
        <is>
          <t>SHOPEE: TIKTOK: LAZADA: WEBSITE BÁN HÀNG: YOUTUBE: https://www.youtube.com/channel/UCowiJLhwAySOYT7OCDWOOYA</t>
        </is>
      </c>
      <c r="H2989" s="3" t="inlineStr">
        <is>
          <t>K18PLS</t>
        </is>
      </c>
      <c r="I2989" s="4" t="inlineStr">
        <is>
          <t>Máy thổi phản lực 18V K18PLS</t>
        </is>
      </c>
      <c r="J2989" s="3" t="inlineStr">
        <is>
          <t>Cái</t>
        </is>
      </c>
      <c r="K2989" s="5" t="n">
        <v>990000</v>
      </c>
      <c r="L2989" s="5" t="n">
        <v>1090000</v>
      </c>
      <c r="M2989" s="6" t="n">
        <v>1240000</v>
      </c>
      <c r="N2989" s="5" t="n"/>
      <c r="O2989" s="5">
        <f>IF(AND(ISNUMBER(N2989),ISNUMBER(M2989)),N2989-M2989,"")</f>
        <v/>
      </c>
      <c r="P2989" s="7">
        <f>IF(AND(ISNUMBER(N2989),ISNUMBER(M2989),M2989&gt;0),(N2989-M2989)/M2989,"")</f>
        <v/>
      </c>
      <c r="Q2989" s="3">
        <f>IF(P2989="","",IF(P2989&lt;-0.02,"🔴 Bán phá giá sàn",IF(P2989&gt;0.05,"🔵 Bán cao hơn","🟢 Đúng giá sàn TMĐT")))</f>
        <v/>
      </c>
      <c r="R2989" s="3" t="n"/>
      <c r="S2989" s="4" t="n"/>
      <c r="T2989" s="4" t="n"/>
    </row>
    <row r="2990">
      <c r="A2990" s="3" t="n">
        <v>2989</v>
      </c>
      <c r="B2990" s="3" t="inlineStr">
        <is>
          <t>DL027</t>
        </is>
      </c>
      <c r="C2990" s="4" t="inlineStr">
        <is>
          <t>ĐL Bình Định - Khoan Pin 77</t>
        </is>
      </c>
      <c r="D2990" s="3" t="inlineStr">
        <is>
          <t>GIA LAI 
(BÌNH ĐỊNH CŨ)</t>
        </is>
      </c>
      <c r="E2990" s="3" t="inlineStr">
        <is>
          <t>THÙY TRANG</t>
        </is>
      </c>
      <c r="F2990" s="3" t="inlineStr"/>
      <c r="G2990" s="4" t="inlineStr">
        <is>
          <t>SHOPEE: TIKTOK: LAZADA: WEBSITE BÁN HÀNG: YOUTUBE: https://www.youtube.com/channel/UCowiJLhwAySOYT7OCDWOOYA</t>
        </is>
      </c>
      <c r="H2990" s="3" t="inlineStr">
        <is>
          <t>KUC60</t>
        </is>
      </c>
      <c r="I2990" s="4" t="inlineStr">
        <is>
          <t>Mỏ hàn thiếc KUC60</t>
        </is>
      </c>
      <c r="J2990" s="3" t="inlineStr">
        <is>
          <t>Cái</t>
        </is>
      </c>
      <c r="K2990" s="5" t="n">
        <v>132000</v>
      </c>
      <c r="L2990" s="5" t="n">
        <v>156000</v>
      </c>
      <c r="M2990" s="6" t="n">
        <v>191000</v>
      </c>
      <c r="N2990" s="5" t="n"/>
      <c r="O2990" s="5">
        <f>IF(AND(ISNUMBER(N2990),ISNUMBER(M2990)),N2990-M2990,"")</f>
        <v/>
      </c>
      <c r="P2990" s="7">
        <f>IF(AND(ISNUMBER(N2990),ISNUMBER(M2990),M2990&gt;0),(N2990-M2990)/M2990,"")</f>
        <v/>
      </c>
      <c r="Q2990" s="3">
        <f>IF(P2990="","",IF(P2990&lt;-0.02,"🔴 Bán phá giá sàn",IF(P2990&gt;0.05,"🔵 Bán cao hơn","🟢 Đúng giá sàn TMĐT")))</f>
        <v/>
      </c>
      <c r="R2990" s="3" t="n"/>
      <c r="S2990" s="4" t="n"/>
      <c r="T2990" s="4" t="n"/>
    </row>
    <row r="2991">
      <c r="A2991" s="3" t="n">
        <v>2990</v>
      </c>
      <c r="B2991" s="3" t="inlineStr">
        <is>
          <t>DL027</t>
        </is>
      </c>
      <c r="C2991" s="4" t="inlineStr">
        <is>
          <t>ĐL Bình Định - Khoan Pin 77</t>
        </is>
      </c>
      <c r="D2991" s="3" t="inlineStr">
        <is>
          <t>GIA LAI 
(BÌNH ĐỊNH CŨ)</t>
        </is>
      </c>
      <c r="E2991" s="3" t="inlineStr">
        <is>
          <t>THÙY TRANG</t>
        </is>
      </c>
      <c r="F2991" s="3" t="inlineStr"/>
      <c r="G2991" s="4" t="inlineStr">
        <is>
          <t>SHOPEE: TIKTOK: LAZADA: WEBSITE BÁN HÀNG: YOUTUBE: https://www.youtube.com/channel/UCowiJLhwAySOYT7OCDWOOYA</t>
        </is>
      </c>
      <c r="H2991" s="3" t="inlineStr">
        <is>
          <t>KUC80</t>
        </is>
      </c>
      <c r="I2991" s="4" t="inlineStr">
        <is>
          <t>Mỏ hàn thiếc KUC80</t>
        </is>
      </c>
      <c r="J2991" s="3" t="inlineStr">
        <is>
          <t>Cái</t>
        </is>
      </c>
      <c r="K2991" s="5" t="n">
        <v>154000</v>
      </c>
      <c r="L2991" s="5" t="n">
        <v>182000</v>
      </c>
      <c r="M2991" s="6" t="n">
        <v>223000</v>
      </c>
      <c r="N2991" s="5" t="n"/>
      <c r="O2991" s="5">
        <f>IF(AND(ISNUMBER(N2991),ISNUMBER(M2991)),N2991-M2991,"")</f>
        <v/>
      </c>
      <c r="P2991" s="7">
        <f>IF(AND(ISNUMBER(N2991),ISNUMBER(M2991),M2991&gt;0),(N2991-M2991)/M2991,"")</f>
        <v/>
      </c>
      <c r="Q2991" s="3">
        <f>IF(P2991="","",IF(P2991&lt;-0.02,"🔴 Bán phá giá sàn",IF(P2991&gt;0.05,"🔵 Bán cao hơn","🟢 Đúng giá sàn TMĐT")))</f>
        <v/>
      </c>
      <c r="R2991" s="3" t="n"/>
      <c r="S2991" s="4" t="n"/>
      <c r="T2991" s="4" t="n"/>
    </row>
    <row r="2992">
      <c r="A2992" s="3" t="n">
        <v>2991</v>
      </c>
      <c r="B2992" s="3" t="inlineStr">
        <is>
          <t>DL027</t>
        </is>
      </c>
      <c r="C2992" s="4" t="inlineStr">
        <is>
          <t>ĐL Bình Định - Khoan Pin 77</t>
        </is>
      </c>
      <c r="D2992" s="3" t="inlineStr">
        <is>
          <t>GIA LAI 
(BÌNH ĐỊNH CŨ)</t>
        </is>
      </c>
      <c r="E2992" s="3" t="inlineStr">
        <is>
          <t>THÙY TRANG</t>
        </is>
      </c>
      <c r="F2992" s="3" t="inlineStr"/>
      <c r="G2992" s="4" t="inlineStr">
        <is>
          <t>SHOPEE: TIKTOK: LAZADA: WEBSITE BÁN HÀNG: YOUTUBE: https://www.youtube.com/channel/UCowiJLhwAySOYT7OCDWOOYA</t>
        </is>
      </c>
      <c r="H2992" s="3" t="inlineStr">
        <is>
          <t>V100R</t>
        </is>
      </c>
      <c r="I2992" s="4" t="inlineStr">
        <is>
          <t>Mũi bắn vít chống trượt KingBlue V100R</t>
        </is>
      </c>
      <c r="J2992" s="3" t="inlineStr">
        <is>
          <t>Vỉ</t>
        </is>
      </c>
      <c r="K2992" s="5" t="n">
        <v>29000</v>
      </c>
      <c r="L2992" s="5" t="n">
        <v>37000</v>
      </c>
      <c r="M2992" s="6" t="n">
        <v>48000</v>
      </c>
      <c r="N2992" s="5" t="n"/>
      <c r="O2992" s="5">
        <f>IF(AND(ISNUMBER(N2992),ISNUMBER(M2992)),N2992-M2992,"")</f>
        <v/>
      </c>
      <c r="P2992" s="7">
        <f>IF(AND(ISNUMBER(N2992),ISNUMBER(M2992),M2992&gt;0),(N2992-M2992)/M2992,"")</f>
        <v/>
      </c>
      <c r="Q2992" s="3">
        <f>IF(P2992="","",IF(P2992&lt;-0.02,"🔴 Bán phá giá sàn",IF(P2992&gt;0.05,"🔵 Bán cao hơn","🟢 Đúng giá sàn TMĐT")))</f>
        <v/>
      </c>
      <c r="R2992" s="3" t="n"/>
      <c r="S2992" s="4" t="n"/>
      <c r="T2992" s="4" t="n"/>
    </row>
    <row r="2993">
      <c r="A2993" s="3" t="n">
        <v>2992</v>
      </c>
      <c r="B2993" s="3" t="inlineStr">
        <is>
          <t>DL027</t>
        </is>
      </c>
      <c r="C2993" s="4" t="inlineStr">
        <is>
          <t>ĐL Bình Định - Khoan Pin 77</t>
        </is>
      </c>
      <c r="D2993" s="3" t="inlineStr">
        <is>
          <t>GIA LAI 
(BÌNH ĐỊNH CŨ)</t>
        </is>
      </c>
      <c r="E2993" s="3" t="inlineStr">
        <is>
          <t>THÙY TRANG</t>
        </is>
      </c>
      <c r="F2993" s="3" t="inlineStr"/>
      <c r="G2993" s="4" t="inlineStr">
        <is>
          <t>SHOPEE: TIKTOK: LAZADA: WEBSITE BÁN HÀNG: YOUTUBE: https://www.youtube.com/channel/UCowiJLhwAySOYT7OCDWOOYA</t>
        </is>
      </c>
      <c r="H2993" s="3" t="inlineStr">
        <is>
          <t>V65R</t>
        </is>
      </c>
      <c r="I2993" s="4" t="inlineStr">
        <is>
          <t>Mũi bắn vít chống trượt KingBlue V65R</t>
        </is>
      </c>
      <c r="J2993" s="3" t="inlineStr">
        <is>
          <t>Vỉ</t>
        </is>
      </c>
      <c r="K2993" s="5" t="n">
        <v>20000</v>
      </c>
      <c r="L2993" s="5" t="n">
        <v>25000</v>
      </c>
      <c r="M2993" s="6" t="n">
        <v>33000</v>
      </c>
      <c r="N2993" s="5" t="n"/>
      <c r="O2993" s="5">
        <f>IF(AND(ISNUMBER(N2993),ISNUMBER(M2993)),N2993-M2993,"")</f>
        <v/>
      </c>
      <c r="P2993" s="7">
        <f>IF(AND(ISNUMBER(N2993),ISNUMBER(M2993),M2993&gt;0),(N2993-M2993)/M2993,"")</f>
        <v/>
      </c>
      <c r="Q2993" s="3">
        <f>IF(P2993="","",IF(P2993&lt;-0.02,"🔴 Bán phá giá sàn",IF(P2993&gt;0.05,"🔵 Bán cao hơn","🟢 Đúng giá sàn TMĐT")))</f>
        <v/>
      </c>
      <c r="R2993" s="3" t="n"/>
      <c r="S2993" s="4" t="n"/>
      <c r="T2993" s="4" t="n"/>
    </row>
    <row r="2994">
      <c r="A2994" s="3" t="n">
        <v>2993</v>
      </c>
      <c r="B2994" s="3" t="inlineStr">
        <is>
          <t>DL027</t>
        </is>
      </c>
      <c r="C2994" s="4" t="inlineStr">
        <is>
          <t>ĐL Bình Định - Khoan Pin 77</t>
        </is>
      </c>
      <c r="D2994" s="3" t="inlineStr">
        <is>
          <t>GIA LAI 
(BÌNH ĐỊNH CŨ)</t>
        </is>
      </c>
      <c r="E2994" s="3" t="inlineStr">
        <is>
          <t>THÙY TRANG</t>
        </is>
      </c>
      <c r="F2994" s="3" t="inlineStr"/>
      <c r="G2994" s="4" t="inlineStr">
        <is>
          <t>SHOPEE: TIKTOK: LAZADA: WEBSITE BÁN HÀNG: YOUTUBE: https://www.youtube.com/channel/UCowiJLhwAySOYT7OCDWOOYA</t>
        </is>
      </c>
      <c r="H2994" s="3" t="inlineStr">
        <is>
          <t>V50S</t>
        </is>
      </c>
      <c r="I2994" s="4" t="inlineStr">
        <is>
          <t>Mũi bắn vít PH2 V50S</t>
        </is>
      </c>
      <c r="J2994" s="3" t="inlineStr">
        <is>
          <t>Vỉ</t>
        </is>
      </c>
      <c r="K2994" s="5" t="n">
        <v>28000</v>
      </c>
      <c r="L2994" s="5" t="n">
        <v>36000</v>
      </c>
      <c r="M2994" s="6" t="n">
        <v>48000</v>
      </c>
      <c r="N2994" s="5" t="n"/>
      <c r="O2994" s="5">
        <f>IF(AND(ISNUMBER(N2994),ISNUMBER(M2994)),N2994-M2994,"")</f>
        <v/>
      </c>
      <c r="P2994" s="7">
        <f>IF(AND(ISNUMBER(N2994),ISNUMBER(M2994),M2994&gt;0),(N2994-M2994)/M2994,"")</f>
        <v/>
      </c>
      <c r="Q2994" s="3">
        <f>IF(P2994="","",IF(P2994&lt;-0.02,"🔴 Bán phá giá sàn",IF(P2994&gt;0.05,"🔵 Bán cao hơn","🟢 Đúng giá sàn TMĐT")))</f>
        <v/>
      </c>
      <c r="R2994" s="3" t="n"/>
      <c r="S2994" s="4" t="n"/>
      <c r="T2994" s="4" t="n"/>
    </row>
    <row r="2995">
      <c r="A2995" s="3" t="n">
        <v>2994</v>
      </c>
      <c r="B2995" s="3" t="inlineStr">
        <is>
          <t>DL027</t>
        </is>
      </c>
      <c r="C2995" s="4" t="inlineStr">
        <is>
          <t>ĐL Bình Định - Khoan Pin 77</t>
        </is>
      </c>
      <c r="D2995" s="3" t="inlineStr">
        <is>
          <t>GIA LAI 
(BÌNH ĐỊNH CŨ)</t>
        </is>
      </c>
      <c r="E2995" s="3" t="inlineStr">
        <is>
          <t>THÙY TRANG</t>
        </is>
      </c>
      <c r="F2995" s="3" t="inlineStr"/>
      <c r="G2995" s="4" t="inlineStr">
        <is>
          <t>SHOPEE: TIKTOK: LAZADA: WEBSITE BÁN HÀNG: YOUTUBE: https://www.youtube.com/channel/UCowiJLhwAySOYT7OCDWOOYA</t>
        </is>
      </c>
      <c r="H2995" s="3" t="inlineStr"/>
      <c r="I2995" s="4" t="inlineStr">
        <is>
          <t>Mũi định tâm chuôi dài</t>
        </is>
      </c>
      <c r="J2995" s="3" t="inlineStr">
        <is>
          <t>Cái</t>
        </is>
      </c>
      <c r="K2995" s="5" t="n">
        <v>269000</v>
      </c>
      <c r="L2995" s="5" t="n">
        <v>317000</v>
      </c>
      <c r="M2995" s="6" t="n">
        <v>390000</v>
      </c>
      <c r="N2995" s="5" t="n"/>
      <c r="O2995" s="5">
        <f>IF(AND(ISNUMBER(N2995),ISNUMBER(M2995)),N2995-M2995,"")</f>
        <v/>
      </c>
      <c r="P2995" s="7">
        <f>IF(AND(ISNUMBER(N2995),ISNUMBER(M2995),M2995&gt;0),(N2995-M2995)/M2995,"")</f>
        <v/>
      </c>
      <c r="Q2995" s="3">
        <f>IF(P2995="","",IF(P2995&lt;-0.02,"🔴 Bán phá giá sàn",IF(P2995&gt;0.05,"🔵 Bán cao hơn","🟢 Đúng giá sàn TMĐT")))</f>
        <v/>
      </c>
      <c r="R2995" s="3" t="n"/>
      <c r="S2995" s="4" t="n"/>
      <c r="T2995" s="4" t="n"/>
    </row>
    <row r="2996">
      <c r="A2996" s="3" t="n">
        <v>2995</v>
      </c>
      <c r="B2996" s="3" t="inlineStr">
        <is>
          <t>DL027</t>
        </is>
      </c>
      <c r="C2996" s="4" t="inlineStr">
        <is>
          <t>ĐL Bình Định - Khoan Pin 77</t>
        </is>
      </c>
      <c r="D2996" s="3" t="inlineStr">
        <is>
          <t>GIA LAI 
(BÌNH ĐỊNH CŨ)</t>
        </is>
      </c>
      <c r="E2996" s="3" t="inlineStr">
        <is>
          <t>THÙY TRANG</t>
        </is>
      </c>
      <c r="F2996" s="3" t="inlineStr"/>
      <c r="G2996" s="4" t="inlineStr">
        <is>
          <t>SHOPEE: TIKTOK: LAZADA: WEBSITE BÁN HÀNG: YOUTUBE: https://www.youtube.com/channel/UCowiJLhwAySOYT7OCDWOOYA</t>
        </is>
      </c>
      <c r="H2996" s="3" t="inlineStr"/>
      <c r="I2996" s="4" t="inlineStr">
        <is>
          <t>Mũi định tâm chuôi ngắn kẹp</t>
        </is>
      </c>
      <c r="J2996" s="3" t="inlineStr">
        <is>
          <t>Cái</t>
        </is>
      </c>
      <c r="K2996" s="5" t="n">
        <v>269000</v>
      </c>
      <c r="L2996" s="5" t="n">
        <v>317000</v>
      </c>
      <c r="M2996" s="6" t="n">
        <v>390000</v>
      </c>
      <c r="N2996" s="5" t="n"/>
      <c r="O2996" s="5">
        <f>IF(AND(ISNUMBER(N2996),ISNUMBER(M2996)),N2996-M2996,"")</f>
        <v/>
      </c>
      <c r="P2996" s="7">
        <f>IF(AND(ISNUMBER(N2996),ISNUMBER(M2996),M2996&gt;0),(N2996-M2996)/M2996,"")</f>
        <v/>
      </c>
      <c r="Q2996" s="3">
        <f>IF(P2996="","",IF(P2996&lt;-0.02,"🔴 Bán phá giá sàn",IF(P2996&gt;0.05,"🔵 Bán cao hơn","🟢 Đúng giá sàn TMĐT")))</f>
        <v/>
      </c>
      <c r="R2996" s="3" t="n"/>
      <c r="S2996" s="4" t="n"/>
      <c r="T2996" s="4" t="n"/>
    </row>
    <row r="2997">
      <c r="A2997" s="3" t="n">
        <v>2996</v>
      </c>
      <c r="B2997" s="3" t="inlineStr">
        <is>
          <t>DL027</t>
        </is>
      </c>
      <c r="C2997" s="4" t="inlineStr">
        <is>
          <t>ĐL Bình Định - Khoan Pin 77</t>
        </is>
      </c>
      <c r="D2997" s="3" t="inlineStr">
        <is>
          <t>GIA LAI 
(BÌNH ĐỊNH CŨ)</t>
        </is>
      </c>
      <c r="E2997" s="3" t="inlineStr">
        <is>
          <t>THÙY TRANG</t>
        </is>
      </c>
      <c r="F2997" s="3" t="inlineStr"/>
      <c r="G2997" s="4" t="inlineStr">
        <is>
          <t>SHOPEE: TIKTOK: LAZADA: WEBSITE BÁN HÀNG: YOUTUBE: https://www.youtube.com/channel/UCowiJLhwAySOYT7OCDWOOYA</t>
        </is>
      </c>
      <c r="H2997" s="3" t="inlineStr"/>
      <c r="I2997" s="4" t="inlineStr">
        <is>
          <t>Mũi đục bê tông KBVd-14*250*22</t>
        </is>
      </c>
      <c r="J2997" s="3" t="inlineStr">
        <is>
          <t>Cái</t>
        </is>
      </c>
      <c r="K2997" s="5" t="n">
        <v>269000</v>
      </c>
      <c r="L2997" s="5" t="n">
        <v>317000</v>
      </c>
      <c r="M2997" s="6" t="n">
        <v>390000</v>
      </c>
      <c r="N2997" s="5" t="n"/>
      <c r="O2997" s="5">
        <f>IF(AND(ISNUMBER(N2997),ISNUMBER(M2997)),N2997-M2997,"")</f>
        <v/>
      </c>
      <c r="P2997" s="7">
        <f>IF(AND(ISNUMBER(N2997),ISNUMBER(M2997),M2997&gt;0),(N2997-M2997)/M2997,"")</f>
        <v/>
      </c>
      <c r="Q2997" s="3">
        <f>IF(P2997="","",IF(P2997&lt;-0.02,"🔴 Bán phá giá sàn",IF(P2997&gt;0.05,"🔵 Bán cao hơn","🟢 Đúng giá sàn TMĐT")))</f>
        <v/>
      </c>
      <c r="R2997" s="3" t="n"/>
      <c r="S2997" s="4" t="n"/>
      <c r="T2997" s="4" t="n"/>
    </row>
    <row r="2998">
      <c r="A2998" s="3" t="n">
        <v>2997</v>
      </c>
      <c r="B2998" s="3" t="inlineStr">
        <is>
          <t>DL027</t>
        </is>
      </c>
      <c r="C2998" s="4" t="inlineStr">
        <is>
          <t>ĐL Bình Định - Khoan Pin 77</t>
        </is>
      </c>
      <c r="D2998" s="3" t="inlineStr">
        <is>
          <t>GIA LAI 
(BÌNH ĐỊNH CŨ)</t>
        </is>
      </c>
      <c r="E2998" s="3" t="inlineStr">
        <is>
          <t>THÙY TRANG</t>
        </is>
      </c>
      <c r="F2998" s="3" t="inlineStr"/>
      <c r="G2998" s="4" t="inlineStr">
        <is>
          <t>SHOPEE: TIKTOK: LAZADA: WEBSITE BÁN HÀNG: YOUTUBE: https://www.youtube.com/channel/UCowiJLhwAySOYT7OCDWOOYA</t>
        </is>
      </c>
      <c r="H2998" s="3" t="inlineStr"/>
      <c r="I2998" s="4" t="inlineStr">
        <is>
          <t>Mũi đục bê tông KBVd-17*280*25</t>
        </is>
      </c>
      <c r="J2998" s="3" t="inlineStr">
        <is>
          <t>Cái</t>
        </is>
      </c>
      <c r="K2998" s="5" t="n">
        <v>269000</v>
      </c>
      <c r="L2998" s="5" t="n">
        <v>317000</v>
      </c>
      <c r="M2998" s="6" t="n">
        <v>390000</v>
      </c>
      <c r="N2998" s="5" t="n"/>
      <c r="O2998" s="5">
        <f>IF(AND(ISNUMBER(N2998),ISNUMBER(M2998)),N2998-M2998,"")</f>
        <v/>
      </c>
      <c r="P2998" s="7">
        <f>IF(AND(ISNUMBER(N2998),ISNUMBER(M2998),M2998&gt;0),(N2998-M2998)/M2998,"")</f>
        <v/>
      </c>
      <c r="Q2998" s="3">
        <f>IF(P2998="","",IF(P2998&lt;-0.02,"🔴 Bán phá giá sàn",IF(P2998&gt;0.05,"🔵 Bán cao hơn","🟢 Đúng giá sàn TMĐT")))</f>
        <v/>
      </c>
      <c r="R2998" s="3" t="n"/>
      <c r="S2998" s="4" t="n"/>
      <c r="T2998" s="4" t="n"/>
    </row>
    <row r="2999">
      <c r="A2999" s="3" t="n">
        <v>2998</v>
      </c>
      <c r="B2999" s="3" t="inlineStr">
        <is>
          <t>DL027</t>
        </is>
      </c>
      <c r="C2999" s="4" t="inlineStr">
        <is>
          <t>ĐL Bình Định - Khoan Pin 77</t>
        </is>
      </c>
      <c r="D2999" s="3" t="inlineStr">
        <is>
          <t>GIA LAI 
(BÌNH ĐỊNH CŨ)</t>
        </is>
      </c>
      <c r="E2999" s="3" t="inlineStr">
        <is>
          <t>THÙY TRANG</t>
        </is>
      </c>
      <c r="F2999" s="3" t="inlineStr"/>
      <c r="G2999" s="4" t="inlineStr">
        <is>
          <t>SHOPEE: TIKTOK: LAZADA: WEBSITE BÁN HÀNG: YOUTUBE: https://www.youtube.com/channel/UCowiJLhwAySOYT7OCDWOOYA</t>
        </is>
      </c>
      <c r="H2999" s="3" t="inlineStr"/>
      <c r="I2999" s="4" t="inlineStr">
        <is>
          <t>Mũi đục bê tông KBVn-14*250</t>
        </is>
      </c>
      <c r="J2999" s="3" t="inlineStr">
        <is>
          <t>Cái</t>
        </is>
      </c>
      <c r="K2999" s="5" t="n">
        <v>269000</v>
      </c>
      <c r="L2999" s="5" t="n">
        <v>317000</v>
      </c>
      <c r="M2999" s="6" t="n">
        <v>390000</v>
      </c>
      <c r="N2999" s="5" t="n"/>
      <c r="O2999" s="5">
        <f>IF(AND(ISNUMBER(N2999),ISNUMBER(M2999)),N2999-M2999,"")</f>
        <v/>
      </c>
      <c r="P2999" s="7">
        <f>IF(AND(ISNUMBER(N2999),ISNUMBER(M2999),M2999&gt;0),(N2999-M2999)/M2999,"")</f>
        <v/>
      </c>
      <c r="Q2999" s="3">
        <f>IF(P2999="","",IF(P2999&lt;-0.02,"🔴 Bán phá giá sàn",IF(P2999&gt;0.05,"🔵 Bán cao hơn","🟢 Đúng giá sàn TMĐT")))</f>
        <v/>
      </c>
      <c r="R2999" s="3" t="n"/>
      <c r="S2999" s="4" t="n"/>
      <c r="T2999" s="4" t="n"/>
    </row>
    <row r="3000">
      <c r="A3000" s="3" t="n">
        <v>2999</v>
      </c>
      <c r="B3000" s="3" t="inlineStr">
        <is>
          <t>DL027</t>
        </is>
      </c>
      <c r="C3000" s="4" t="inlineStr">
        <is>
          <t>ĐL Bình Định - Khoan Pin 77</t>
        </is>
      </c>
      <c r="D3000" s="3" t="inlineStr">
        <is>
          <t>GIA LAI 
(BÌNH ĐỊNH CŨ)</t>
        </is>
      </c>
      <c r="E3000" s="3" t="inlineStr">
        <is>
          <t>THÙY TRANG</t>
        </is>
      </c>
      <c r="F3000" s="3" t="inlineStr"/>
      <c r="G3000" s="4" t="inlineStr">
        <is>
          <t>SHOPEE: TIKTOK: LAZADA: WEBSITE BÁN HÀNG: YOUTUBE: https://www.youtube.com/channel/UCowiJLhwAySOYT7OCDWOOYA</t>
        </is>
      </c>
      <c r="H3000" s="3" t="inlineStr"/>
      <c r="I3000" s="4" t="inlineStr">
        <is>
          <t>Mũi đục bê tông KBVn-17*280</t>
        </is>
      </c>
      <c r="J3000" s="3" t="inlineStr">
        <is>
          <t>Cái</t>
        </is>
      </c>
      <c r="K3000" s="5" t="n">
        <v>269000</v>
      </c>
      <c r="L3000" s="5" t="n">
        <v>317000</v>
      </c>
      <c r="M3000" s="6" t="n">
        <v>390000</v>
      </c>
      <c r="N3000" s="5" t="n"/>
      <c r="O3000" s="5">
        <f>IF(AND(ISNUMBER(N3000),ISNUMBER(M3000)),N3000-M3000,"")</f>
        <v/>
      </c>
      <c r="P3000" s="7">
        <f>IF(AND(ISNUMBER(N3000),ISNUMBER(M3000),M3000&gt;0),(N3000-M3000)/M3000,"")</f>
        <v/>
      </c>
      <c r="Q3000" s="3">
        <f>IF(P3000="","",IF(P3000&lt;-0.02,"🔴 Bán phá giá sàn",IF(P3000&gt;0.05,"🔵 Bán cao hơn","🟢 Đúng giá sàn TMĐT")))</f>
        <v/>
      </c>
      <c r="R3000" s="3" t="n"/>
      <c r="S3000" s="4" t="n"/>
      <c r="T3000" s="4" t="n"/>
    </row>
    <row r="3001">
      <c r="A3001" s="3" t="n">
        <v>3000</v>
      </c>
      <c r="B3001" s="3" t="inlineStr">
        <is>
          <t>DL027</t>
        </is>
      </c>
      <c r="C3001" s="4" t="inlineStr">
        <is>
          <t>ĐL Bình Định - Khoan Pin 77</t>
        </is>
      </c>
      <c r="D3001" s="3" t="inlineStr">
        <is>
          <t>GIA LAI 
(BÌNH ĐỊNH CŨ)</t>
        </is>
      </c>
      <c r="E3001" s="3" t="inlineStr">
        <is>
          <t>THÙY TRANG</t>
        </is>
      </c>
      <c r="F3001" s="3" t="inlineStr"/>
      <c r="G3001" s="4" t="inlineStr">
        <is>
          <t>SHOPEE: TIKTOK: LAZADA: WEBSITE BÁN HÀNG: YOUTUBE: https://www.youtube.com/channel/UCowiJLhwAySOYT7OCDWOOYA</t>
        </is>
      </c>
      <c r="H3001" s="3" t="inlineStr">
        <is>
          <t>KBL4-06160</t>
        </is>
      </c>
      <c r="I3001" s="4" t="inlineStr">
        <is>
          <t>Mũi khoan bê tông 4 cạnh KBL4-06*160</t>
        </is>
      </c>
      <c r="J3001" s="3" t="inlineStr">
        <is>
          <t>Cái</t>
        </is>
      </c>
      <c r="K3001" s="5" t="n">
        <v>24000</v>
      </c>
      <c r="L3001" s="5" t="n">
        <v>29000</v>
      </c>
      <c r="M3001" s="6" t="n">
        <v>37000</v>
      </c>
      <c r="N3001" s="5" t="n"/>
      <c r="O3001" s="5">
        <f>IF(AND(ISNUMBER(N3001),ISNUMBER(M3001)),N3001-M3001,"")</f>
        <v/>
      </c>
      <c r="P3001" s="7">
        <f>IF(AND(ISNUMBER(N3001),ISNUMBER(M3001),M3001&gt;0),(N3001-M3001)/M3001,"")</f>
        <v/>
      </c>
      <c r="Q3001" s="3">
        <f>IF(P3001="","",IF(P3001&lt;-0.02,"🔴 Bán phá giá sàn",IF(P3001&gt;0.05,"🔵 Bán cao hơn","🟢 Đúng giá sàn TMĐT")))</f>
        <v/>
      </c>
      <c r="R3001" s="3" t="n"/>
      <c r="S3001" s="4" t="n"/>
      <c r="T3001" s="4" t="n"/>
    </row>
    <row r="3002">
      <c r="A3002" s="3" t="n">
        <v>3001</v>
      </c>
      <c r="B3002" s="3" t="inlineStr">
        <is>
          <t>DL027</t>
        </is>
      </c>
      <c r="C3002" s="4" t="inlineStr">
        <is>
          <t>ĐL Bình Định - Khoan Pin 77</t>
        </is>
      </c>
      <c r="D3002" s="3" t="inlineStr">
        <is>
          <t>GIA LAI 
(BÌNH ĐỊNH CŨ)</t>
        </is>
      </c>
      <c r="E3002" s="3" t="inlineStr">
        <is>
          <t>THÙY TRANG</t>
        </is>
      </c>
      <c r="F3002" s="3" t="inlineStr"/>
      <c r="G3002" s="4" t="inlineStr">
        <is>
          <t>SHOPEE: TIKTOK: LAZADA: WEBSITE BÁN HÀNG: YOUTUBE: https://www.youtube.com/channel/UCowiJLhwAySOYT7OCDWOOYA</t>
        </is>
      </c>
      <c r="H3002" s="3" t="inlineStr">
        <is>
          <t>KBL4-08160</t>
        </is>
      </c>
      <c r="I3002" s="4" t="inlineStr">
        <is>
          <t>Mũi khoan bê tông 4 cạnh KBL4-08*160</t>
        </is>
      </c>
      <c r="J3002" s="3" t="inlineStr">
        <is>
          <t>Cái</t>
        </is>
      </c>
      <c r="K3002" s="5" t="n">
        <v>27000</v>
      </c>
      <c r="L3002" s="5" t="n">
        <v>33000</v>
      </c>
      <c r="M3002" s="6" t="n">
        <v>42000</v>
      </c>
      <c r="N3002" s="5" t="n"/>
      <c r="O3002" s="5">
        <f>IF(AND(ISNUMBER(N3002),ISNUMBER(M3002)),N3002-M3002,"")</f>
        <v/>
      </c>
      <c r="P3002" s="7">
        <f>IF(AND(ISNUMBER(N3002),ISNUMBER(M3002),M3002&gt;0),(N3002-M3002)/M3002,"")</f>
        <v/>
      </c>
      <c r="Q3002" s="3">
        <f>IF(P3002="","",IF(P3002&lt;-0.02,"🔴 Bán phá giá sàn",IF(P3002&gt;0.05,"🔵 Bán cao hơn","🟢 Đúng giá sàn TMĐT")))</f>
        <v/>
      </c>
      <c r="R3002" s="3" t="n"/>
      <c r="S3002" s="4" t="n"/>
      <c r="T3002" s="4" t="n"/>
    </row>
    <row r="3003">
      <c r="A3003" s="3" t="n">
        <v>3002</v>
      </c>
      <c r="B3003" s="3" t="inlineStr">
        <is>
          <t>DL027</t>
        </is>
      </c>
      <c r="C3003" s="4" t="inlineStr">
        <is>
          <t>ĐL Bình Định - Khoan Pin 77</t>
        </is>
      </c>
      <c r="D3003" s="3" t="inlineStr">
        <is>
          <t>GIA LAI 
(BÌNH ĐỊNH CŨ)</t>
        </is>
      </c>
      <c r="E3003" s="3" t="inlineStr">
        <is>
          <t>THÙY TRANG</t>
        </is>
      </c>
      <c r="F3003" s="3" t="inlineStr"/>
      <c r="G3003" s="4" t="inlineStr">
        <is>
          <t>SHOPEE: TIKTOK: LAZADA: WEBSITE BÁN HÀNG: YOUTUBE: https://www.youtube.com/channel/UCowiJLhwAySOYT7OCDWOOYA</t>
        </is>
      </c>
      <c r="H3003" s="3" t="inlineStr">
        <is>
          <t>KBL4-10160</t>
        </is>
      </c>
      <c r="I3003" s="4" t="inlineStr">
        <is>
          <t>Mũi khoan bê tông 4 cạnh KBL4-10*160</t>
        </is>
      </c>
      <c r="J3003" s="3" t="inlineStr">
        <is>
          <t>Cái</t>
        </is>
      </c>
      <c r="K3003" s="5" t="n">
        <v>30000</v>
      </c>
      <c r="L3003" s="5" t="n">
        <v>37000</v>
      </c>
      <c r="M3003" s="6" t="n">
        <v>47000</v>
      </c>
      <c r="N3003" s="5" t="n"/>
      <c r="O3003" s="5">
        <f>IF(AND(ISNUMBER(N3003),ISNUMBER(M3003)),N3003-M3003,"")</f>
        <v/>
      </c>
      <c r="P3003" s="7">
        <f>IF(AND(ISNUMBER(N3003),ISNUMBER(M3003),M3003&gt;0),(N3003-M3003)/M3003,"")</f>
        <v/>
      </c>
      <c r="Q3003" s="3">
        <f>IF(P3003="","",IF(P3003&lt;-0.02,"🔴 Bán phá giá sàn",IF(P3003&gt;0.05,"🔵 Bán cao hơn","🟢 Đúng giá sàn TMĐT")))</f>
        <v/>
      </c>
      <c r="R3003" s="3" t="n"/>
      <c r="S3003" s="4" t="n"/>
      <c r="T3003" s="4" t="n"/>
    </row>
    <row r="3004">
      <c r="A3004" s="3" t="n">
        <v>3003</v>
      </c>
      <c r="B3004" s="3" t="inlineStr">
        <is>
          <t>DL027</t>
        </is>
      </c>
      <c r="C3004" s="4" t="inlineStr">
        <is>
          <t>ĐL Bình Định - Khoan Pin 77</t>
        </is>
      </c>
      <c r="D3004" s="3" t="inlineStr">
        <is>
          <t>GIA LAI 
(BÌNH ĐỊNH CŨ)</t>
        </is>
      </c>
      <c r="E3004" s="3" t="inlineStr">
        <is>
          <t>THÙY TRANG</t>
        </is>
      </c>
      <c r="F3004" s="3" t="inlineStr"/>
      <c r="G3004" s="4" t="inlineStr">
        <is>
          <t>SHOPEE: TIKTOK: LAZADA: WEBSITE BÁN HÀNG: YOUTUBE: https://www.youtube.com/channel/UCowiJLhwAySOYT7OCDWOOYA</t>
        </is>
      </c>
      <c r="H3004" s="3" t="inlineStr">
        <is>
          <t>KBL4-12160</t>
        </is>
      </c>
      <c r="I3004" s="4" t="inlineStr">
        <is>
          <t>Mũi khoan bê tông 4 cạnh KBL4-12*160</t>
        </is>
      </c>
      <c r="J3004" s="3" t="inlineStr">
        <is>
          <t>Cái</t>
        </is>
      </c>
      <c r="K3004" s="5" t="n">
        <v>33000</v>
      </c>
      <c r="L3004" s="5" t="n">
        <v>40000</v>
      </c>
      <c r="M3004" s="6" t="n">
        <v>51000</v>
      </c>
      <c r="N3004" s="5" t="n"/>
      <c r="O3004" s="5">
        <f>IF(AND(ISNUMBER(N3004),ISNUMBER(M3004)),N3004-M3004,"")</f>
        <v/>
      </c>
      <c r="P3004" s="7">
        <f>IF(AND(ISNUMBER(N3004),ISNUMBER(M3004),M3004&gt;0),(N3004-M3004)/M3004,"")</f>
        <v/>
      </c>
      <c r="Q3004" s="3">
        <f>IF(P3004="","",IF(P3004&lt;-0.02,"🔴 Bán phá giá sàn",IF(P3004&gt;0.05,"🔵 Bán cao hơn","🟢 Đúng giá sàn TMĐT")))</f>
        <v/>
      </c>
      <c r="R3004" s="3" t="n"/>
      <c r="S3004" s="4" t="n"/>
      <c r="T3004" s="4" t="n"/>
    </row>
    <row r="3005">
      <c r="A3005" s="3" t="n">
        <v>3004</v>
      </c>
      <c r="B3005" s="3" t="inlineStr">
        <is>
          <t>DL027</t>
        </is>
      </c>
      <c r="C3005" s="4" t="inlineStr">
        <is>
          <t>ĐL Bình Định - Khoan Pin 77</t>
        </is>
      </c>
      <c r="D3005" s="3" t="inlineStr">
        <is>
          <t>GIA LAI 
(BÌNH ĐỊNH CŨ)</t>
        </is>
      </c>
      <c r="E3005" s="3" t="inlineStr">
        <is>
          <t>THÙY TRANG</t>
        </is>
      </c>
      <c r="F3005" s="3" t="inlineStr"/>
      <c r="G3005" s="4" t="inlineStr">
        <is>
          <t>SHOPEE: TIKTOK: LAZADA: WEBSITE BÁN HÀNG: YOUTUBE: https://www.youtube.com/channel/UCowiJLhwAySOYT7OCDWOOYA</t>
        </is>
      </c>
      <c r="H3005" s="3" t="inlineStr">
        <is>
          <t>KBL2-18260</t>
        </is>
      </c>
      <c r="I3005" s="4" t="inlineStr">
        <is>
          <t>Mũi khoan bê tông gài 2 cạnh KBL2-18*260</t>
        </is>
      </c>
      <c r="J3005" s="3" t="inlineStr">
        <is>
          <t>Cái</t>
        </is>
      </c>
      <c r="K3005" s="5" t="n">
        <v>73000</v>
      </c>
      <c r="L3005" s="5" t="n">
        <v>89000</v>
      </c>
      <c r="M3005" s="6" t="n">
        <v>113000</v>
      </c>
      <c r="N3005" s="5" t="n"/>
      <c r="O3005" s="5">
        <f>IF(AND(ISNUMBER(N3005),ISNUMBER(M3005)),N3005-M3005,"")</f>
        <v/>
      </c>
      <c r="P3005" s="7">
        <f>IF(AND(ISNUMBER(N3005),ISNUMBER(M3005),M3005&gt;0),(N3005-M3005)/M3005,"")</f>
        <v/>
      </c>
      <c r="Q3005" s="3">
        <f>IF(P3005="","",IF(P3005&lt;-0.02,"🔴 Bán phá giá sàn",IF(P3005&gt;0.05,"🔵 Bán cao hơn","🟢 Đúng giá sàn TMĐT")))</f>
        <v/>
      </c>
      <c r="R3005" s="3" t="n"/>
      <c r="S3005" s="4" t="n"/>
      <c r="T3005" s="4" t="n"/>
    </row>
    <row r="3006">
      <c r="A3006" s="3" t="n">
        <v>3005</v>
      </c>
      <c r="B3006" s="3" t="inlineStr">
        <is>
          <t>DL027</t>
        </is>
      </c>
      <c r="C3006" s="4" t="inlineStr">
        <is>
          <t>ĐL Bình Định - Khoan Pin 77</t>
        </is>
      </c>
      <c r="D3006" s="3" t="inlineStr">
        <is>
          <t>GIA LAI 
(BÌNH ĐỊNH CŨ)</t>
        </is>
      </c>
      <c r="E3006" s="3" t="inlineStr">
        <is>
          <t>THÙY TRANG</t>
        </is>
      </c>
      <c r="F3006" s="3" t="inlineStr"/>
      <c r="G3006" s="4" t="inlineStr">
        <is>
          <t>SHOPEE: TIKTOK: LAZADA: WEBSITE BÁN HÀNG: YOUTUBE: https://www.youtube.com/channel/UCowiJLhwAySOYT7OCDWOOYA</t>
        </is>
      </c>
      <c r="H3006" s="3" t="inlineStr">
        <is>
          <t>KBL2-22260</t>
        </is>
      </c>
      <c r="I3006" s="4" t="inlineStr">
        <is>
          <t>Mũi khoan bê tông gài 2 cạnh KBL2-22*260</t>
        </is>
      </c>
      <c r="J3006" s="3" t="inlineStr">
        <is>
          <t>Cái</t>
        </is>
      </c>
      <c r="K3006" s="5" t="n">
        <v>109000</v>
      </c>
      <c r="L3006" s="5" t="n">
        <v>133000</v>
      </c>
      <c r="M3006" s="6" t="n">
        <v>169000</v>
      </c>
      <c r="N3006" s="5" t="n"/>
      <c r="O3006" s="5">
        <f>IF(AND(ISNUMBER(N3006),ISNUMBER(M3006)),N3006-M3006,"")</f>
        <v/>
      </c>
      <c r="P3006" s="7">
        <f>IF(AND(ISNUMBER(N3006),ISNUMBER(M3006),M3006&gt;0),(N3006-M3006)/M3006,"")</f>
        <v/>
      </c>
      <c r="Q3006" s="3">
        <f>IF(P3006="","",IF(P3006&lt;-0.02,"🔴 Bán phá giá sàn",IF(P3006&gt;0.05,"🔵 Bán cao hơn","🟢 Đúng giá sàn TMĐT")))</f>
        <v/>
      </c>
      <c r="R3006" s="3" t="n"/>
      <c r="S3006" s="4" t="n"/>
      <c r="T3006" s="4" t="n"/>
    </row>
    <row r="3007">
      <c r="A3007" s="3" t="n">
        <v>3006</v>
      </c>
      <c r="B3007" s="3" t="inlineStr">
        <is>
          <t>DL027</t>
        </is>
      </c>
      <c r="C3007" s="4" t="inlineStr">
        <is>
          <t>ĐL Bình Định - Khoan Pin 77</t>
        </is>
      </c>
      <c r="D3007" s="3" t="inlineStr">
        <is>
          <t>GIA LAI 
(BÌNH ĐỊNH CŨ)</t>
        </is>
      </c>
      <c r="E3007" s="3" t="inlineStr">
        <is>
          <t>THÙY TRANG</t>
        </is>
      </c>
      <c r="F3007" s="3" t="inlineStr"/>
      <c r="G3007" s="4" t="inlineStr">
        <is>
          <t>SHOPEE: TIKTOK: LAZADA: WEBSITE BÁN HÀNG: YOUTUBE: https://www.youtube.com/channel/UCowiJLhwAySOYT7OCDWOOYA</t>
        </is>
      </c>
      <c r="H3007" s="3" t="inlineStr">
        <is>
          <t>KBL2-3.290</t>
        </is>
      </c>
      <c r="I3007" s="4" t="inlineStr">
        <is>
          <t>Mũi khoan bê tông không tắc kê KBL2-3.2*90</t>
        </is>
      </c>
      <c r="J3007" s="3" t="inlineStr">
        <is>
          <t>Cái</t>
        </is>
      </c>
      <c r="K3007" s="5" t="n">
        <v>23000</v>
      </c>
      <c r="L3007" s="5" t="n">
        <v>29000</v>
      </c>
      <c r="M3007" s="6" t="n">
        <v>38000</v>
      </c>
      <c r="N3007" s="5" t="n"/>
      <c r="O3007" s="5">
        <f>IF(AND(ISNUMBER(N3007),ISNUMBER(M3007)),N3007-M3007,"")</f>
        <v/>
      </c>
      <c r="P3007" s="7">
        <f>IF(AND(ISNUMBER(N3007),ISNUMBER(M3007),M3007&gt;0),(N3007-M3007)/M3007,"")</f>
        <v/>
      </c>
      <c r="Q3007" s="3">
        <f>IF(P3007="","",IF(P3007&lt;-0.02,"🔴 Bán phá giá sàn",IF(P3007&gt;0.05,"🔵 Bán cao hơn","🟢 Đúng giá sàn TMĐT")))</f>
        <v/>
      </c>
      <c r="R3007" s="3" t="n"/>
      <c r="S3007" s="4" t="n"/>
      <c r="T3007" s="4" t="n"/>
    </row>
    <row r="3008">
      <c r="A3008" s="3" t="n">
        <v>3007</v>
      </c>
      <c r="B3008" s="3" t="inlineStr">
        <is>
          <t>DL027</t>
        </is>
      </c>
      <c r="C3008" s="4" t="inlineStr">
        <is>
          <t>ĐL Bình Định - Khoan Pin 77</t>
        </is>
      </c>
      <c r="D3008" s="3" t="inlineStr">
        <is>
          <t>GIA LAI 
(BÌNH ĐỊNH CŨ)</t>
        </is>
      </c>
      <c r="E3008" s="3" t="inlineStr">
        <is>
          <t>THÙY TRANG</t>
        </is>
      </c>
      <c r="F3008" s="3" t="inlineStr"/>
      <c r="G3008" s="4" t="inlineStr">
        <is>
          <t>SHOPEE: TIKTOK: LAZADA: WEBSITE BÁN HÀNG: YOUTUBE: https://www.youtube.com/channel/UCowiJLhwAySOYT7OCDWOOYA</t>
        </is>
      </c>
      <c r="H3008" s="3" t="inlineStr">
        <is>
          <t>KBL2-3.5110</t>
        </is>
      </c>
      <c r="I3008" s="4" t="inlineStr">
        <is>
          <t>Mũi khoan bê tông không tắc kê KBL2-3.5*110</t>
        </is>
      </c>
      <c r="J3008" s="3" t="inlineStr">
        <is>
          <t>Cái</t>
        </is>
      </c>
      <c r="K3008" s="5" t="n">
        <v>23000</v>
      </c>
      <c r="L3008" s="5" t="n">
        <v>29000</v>
      </c>
      <c r="M3008" s="6" t="n">
        <v>38000</v>
      </c>
      <c r="N3008" s="5" t="n"/>
      <c r="O3008" s="5">
        <f>IF(AND(ISNUMBER(N3008),ISNUMBER(M3008)),N3008-M3008,"")</f>
        <v/>
      </c>
      <c r="P3008" s="7">
        <f>IF(AND(ISNUMBER(N3008),ISNUMBER(M3008),M3008&gt;0),(N3008-M3008)/M3008,"")</f>
        <v/>
      </c>
      <c r="Q3008" s="3">
        <f>IF(P3008="","",IF(P3008&lt;-0.02,"🔴 Bán phá giá sàn",IF(P3008&gt;0.05,"🔵 Bán cao hơn","🟢 Đúng giá sàn TMĐT")))</f>
        <v/>
      </c>
      <c r="R3008" s="3" t="n"/>
      <c r="S3008" s="4" t="n"/>
      <c r="T3008" s="4" t="n"/>
    </row>
    <row r="3009">
      <c r="A3009" s="3" t="n">
        <v>3008</v>
      </c>
      <c r="B3009" s="3" t="inlineStr">
        <is>
          <t>DL027</t>
        </is>
      </c>
      <c r="C3009" s="4" t="inlineStr">
        <is>
          <t>ĐL Bình Định - Khoan Pin 77</t>
        </is>
      </c>
      <c r="D3009" s="3" t="inlineStr">
        <is>
          <t>GIA LAI 
(BÌNH ĐỊNH CŨ)</t>
        </is>
      </c>
      <c r="E3009" s="3" t="inlineStr">
        <is>
          <t>THÙY TRANG</t>
        </is>
      </c>
      <c r="F3009" s="3" t="inlineStr"/>
      <c r="G3009" s="4" t="inlineStr">
        <is>
          <t>SHOPEE: TIKTOK: LAZADA: WEBSITE BÁN HÀNG: YOUTUBE: https://www.youtube.com/channel/UCowiJLhwAySOYT7OCDWOOYA</t>
        </is>
      </c>
      <c r="H3009" s="3" t="inlineStr">
        <is>
          <t>KBL2-4.2110</t>
        </is>
      </c>
      <c r="I3009" s="4" t="inlineStr">
        <is>
          <t>Mũi khoan bê tông không tắc kê KBL2-4.2*110</t>
        </is>
      </c>
      <c r="J3009" s="3" t="inlineStr">
        <is>
          <t>Cái</t>
        </is>
      </c>
      <c r="K3009" s="5" t="n">
        <v>23000</v>
      </c>
      <c r="L3009" s="5" t="n">
        <v>29000</v>
      </c>
      <c r="M3009" s="6" t="n">
        <v>38000</v>
      </c>
      <c r="N3009" s="5" t="n"/>
      <c r="O3009" s="5">
        <f>IF(AND(ISNUMBER(N3009),ISNUMBER(M3009)),N3009-M3009,"")</f>
        <v/>
      </c>
      <c r="P3009" s="7">
        <f>IF(AND(ISNUMBER(N3009),ISNUMBER(M3009),M3009&gt;0),(N3009-M3009)/M3009,"")</f>
        <v/>
      </c>
      <c r="Q3009" s="3">
        <f>IF(P3009="","",IF(P3009&lt;-0.02,"🔴 Bán phá giá sàn",IF(P3009&gt;0.05,"🔵 Bán cao hơn","🟢 Đúng giá sàn TMĐT")))</f>
        <v/>
      </c>
      <c r="R3009" s="3" t="n"/>
      <c r="S3009" s="4" t="n"/>
      <c r="T3009" s="4" t="n"/>
    </row>
    <row r="3010">
      <c r="A3010" s="3" t="n">
        <v>3009</v>
      </c>
      <c r="B3010" s="3" t="inlineStr">
        <is>
          <t>DL027</t>
        </is>
      </c>
      <c r="C3010" s="4" t="inlineStr">
        <is>
          <t>ĐL Bình Định - Khoan Pin 77</t>
        </is>
      </c>
      <c r="D3010" s="3" t="inlineStr">
        <is>
          <t>GIA LAI 
(BÌNH ĐỊNH CŨ)</t>
        </is>
      </c>
      <c r="E3010" s="3" t="inlineStr">
        <is>
          <t>THÙY TRANG</t>
        </is>
      </c>
      <c r="F3010" s="3" t="inlineStr"/>
      <c r="G3010" s="4" t="inlineStr">
        <is>
          <t>SHOPEE: TIKTOK: LAZADA: WEBSITE BÁN HÀNG: YOUTUBE: https://www.youtube.com/channel/UCowiJLhwAySOYT7OCDWOOYA</t>
        </is>
      </c>
      <c r="H3010" s="3" t="inlineStr">
        <is>
          <t>KBK-06</t>
        </is>
      </c>
      <c r="I3010" s="4" t="inlineStr">
        <is>
          <t>Mũi khoan đá KBK-06</t>
        </is>
      </c>
      <c r="J3010" s="3" t="inlineStr">
        <is>
          <t>Cái</t>
        </is>
      </c>
      <c r="K3010" s="5" t="n">
        <v>22000</v>
      </c>
      <c r="L3010" s="5" t="n">
        <v>27000</v>
      </c>
      <c r="M3010" s="6" t="n">
        <v>35000</v>
      </c>
      <c r="N3010" s="5" t="n"/>
      <c r="O3010" s="5">
        <f>IF(AND(ISNUMBER(N3010),ISNUMBER(M3010)),N3010-M3010,"")</f>
        <v/>
      </c>
      <c r="P3010" s="7">
        <f>IF(AND(ISNUMBER(N3010),ISNUMBER(M3010),M3010&gt;0),(N3010-M3010)/M3010,"")</f>
        <v/>
      </c>
      <c r="Q3010" s="3">
        <f>IF(P3010="","",IF(P3010&lt;-0.02,"🔴 Bán phá giá sàn",IF(P3010&gt;0.05,"🔵 Bán cao hơn","🟢 Đúng giá sàn TMĐT")))</f>
        <v/>
      </c>
      <c r="R3010" s="3" t="n"/>
      <c r="S3010" s="4" t="n"/>
      <c r="T3010" s="4" t="n"/>
    </row>
    <row r="3011">
      <c r="A3011" s="3" t="n">
        <v>3010</v>
      </c>
      <c r="B3011" s="3" t="inlineStr">
        <is>
          <t>DL027</t>
        </is>
      </c>
      <c r="C3011" s="4" t="inlineStr">
        <is>
          <t>ĐL Bình Định - Khoan Pin 77</t>
        </is>
      </c>
      <c r="D3011" s="3" t="inlineStr">
        <is>
          <t>GIA LAI 
(BÌNH ĐỊNH CŨ)</t>
        </is>
      </c>
      <c r="E3011" s="3" t="inlineStr">
        <is>
          <t>THÙY TRANG</t>
        </is>
      </c>
      <c r="F3011" s="3" t="inlineStr"/>
      <c r="G3011" s="4" t="inlineStr">
        <is>
          <t>SHOPEE: TIKTOK: LAZADA: WEBSITE BÁN HÀNG: YOUTUBE: https://www.youtube.com/channel/UCowiJLhwAySOYT7OCDWOOYA</t>
        </is>
      </c>
      <c r="H3011" s="3" t="inlineStr">
        <is>
          <t>KBK-08</t>
        </is>
      </c>
      <c r="I3011" s="4" t="inlineStr">
        <is>
          <t>Mũi khoan đá KBK-08</t>
        </is>
      </c>
      <c r="J3011" s="3" t="inlineStr">
        <is>
          <t>Cái</t>
        </is>
      </c>
      <c r="K3011" s="5" t="n">
        <v>25000</v>
      </c>
      <c r="L3011" s="5" t="n">
        <v>31000</v>
      </c>
      <c r="M3011" s="6" t="n">
        <v>40000</v>
      </c>
      <c r="N3011" s="5" t="n"/>
      <c r="O3011" s="5">
        <f>IF(AND(ISNUMBER(N3011),ISNUMBER(M3011)),N3011-M3011,"")</f>
        <v/>
      </c>
      <c r="P3011" s="7">
        <f>IF(AND(ISNUMBER(N3011),ISNUMBER(M3011),M3011&gt;0),(N3011-M3011)/M3011,"")</f>
        <v/>
      </c>
      <c r="Q3011" s="3">
        <f>IF(P3011="","",IF(P3011&lt;-0.02,"🔴 Bán phá giá sàn",IF(P3011&gt;0.05,"🔵 Bán cao hơn","🟢 Đúng giá sàn TMĐT")))</f>
        <v/>
      </c>
      <c r="R3011" s="3" t="n"/>
      <c r="S3011" s="4" t="n"/>
      <c r="T3011" s="4" t="n"/>
    </row>
    <row r="3012">
      <c r="A3012" s="3" t="n">
        <v>3011</v>
      </c>
      <c r="B3012" s="3" t="inlineStr">
        <is>
          <t>DL027</t>
        </is>
      </c>
      <c r="C3012" s="4" t="inlineStr">
        <is>
          <t>ĐL Bình Định - Khoan Pin 77</t>
        </is>
      </c>
      <c r="D3012" s="3" t="inlineStr">
        <is>
          <t>GIA LAI 
(BÌNH ĐỊNH CŨ)</t>
        </is>
      </c>
      <c r="E3012" s="3" t="inlineStr">
        <is>
          <t>THÙY TRANG</t>
        </is>
      </c>
      <c r="F3012" s="3" t="inlineStr"/>
      <c r="G3012" s="4" t="inlineStr">
        <is>
          <t>SHOPEE: TIKTOK: LAZADA: WEBSITE BÁN HÀNG: YOUTUBE: https://www.youtube.com/channel/UCowiJLhwAySOYT7OCDWOOYA</t>
        </is>
      </c>
      <c r="H3012" s="3" t="inlineStr">
        <is>
          <t>KBK-16</t>
        </is>
      </c>
      <c r="I3012" s="4" t="inlineStr">
        <is>
          <t>Mũi khoan đá KBK-16</t>
        </is>
      </c>
      <c r="J3012" s="3" t="inlineStr">
        <is>
          <t>Cái</t>
        </is>
      </c>
      <c r="K3012" s="5" t="n">
        <v>48000</v>
      </c>
      <c r="L3012" s="5" t="n">
        <v>60000</v>
      </c>
      <c r="M3012" s="6" t="n">
        <v>77000</v>
      </c>
      <c r="N3012" s="5" t="n"/>
      <c r="O3012" s="5">
        <f>IF(AND(ISNUMBER(N3012),ISNUMBER(M3012)),N3012-M3012,"")</f>
        <v/>
      </c>
      <c r="P3012" s="7">
        <f>IF(AND(ISNUMBER(N3012),ISNUMBER(M3012),M3012&gt;0),(N3012-M3012)/M3012,"")</f>
        <v/>
      </c>
      <c r="Q3012" s="3">
        <f>IF(P3012="","",IF(P3012&lt;-0.02,"🔴 Bán phá giá sàn",IF(P3012&gt;0.05,"🔵 Bán cao hơn","🟢 Đúng giá sàn TMĐT")))</f>
        <v/>
      </c>
      <c r="R3012" s="3" t="n"/>
      <c r="S3012" s="4" t="n"/>
      <c r="T3012" s="4" t="n"/>
    </row>
    <row r="3013">
      <c r="A3013" s="3" t="n">
        <v>3012</v>
      </c>
      <c r="B3013" s="3" t="inlineStr">
        <is>
          <t>DL027</t>
        </is>
      </c>
      <c r="C3013" s="4" t="inlineStr">
        <is>
          <t>ĐL Bình Định - Khoan Pin 77</t>
        </is>
      </c>
      <c r="D3013" s="3" t="inlineStr">
        <is>
          <t>GIA LAI 
(BÌNH ĐỊNH CŨ)</t>
        </is>
      </c>
      <c r="E3013" s="3" t="inlineStr">
        <is>
          <t>THÙY TRANG</t>
        </is>
      </c>
      <c r="F3013" s="3" t="inlineStr"/>
      <c r="G3013" s="4" t="inlineStr">
        <is>
          <t>SHOPEE: TIKTOK: LAZADA: WEBSITE BÁN HÀNG: YOUTUBE: https://www.youtube.com/channel/UCowiJLhwAySOYT7OCDWOOYA</t>
        </is>
      </c>
      <c r="H3013" s="3" t="inlineStr">
        <is>
          <t>KBK-20</t>
        </is>
      </c>
      <c r="I3013" s="4" t="inlineStr">
        <is>
          <t>Mũi khoan đá KBK-20</t>
        </is>
      </c>
      <c r="J3013" s="3" t="inlineStr">
        <is>
          <t>Cái</t>
        </is>
      </c>
      <c r="K3013" s="5" t="n">
        <v>61000</v>
      </c>
      <c r="L3013" s="5" t="n">
        <v>76000</v>
      </c>
      <c r="M3013" s="6" t="n">
        <v>98000</v>
      </c>
      <c r="N3013" s="5" t="n"/>
      <c r="O3013" s="5">
        <f>IF(AND(ISNUMBER(N3013),ISNUMBER(M3013)),N3013-M3013,"")</f>
        <v/>
      </c>
      <c r="P3013" s="7">
        <f>IF(AND(ISNUMBER(N3013),ISNUMBER(M3013),M3013&gt;0),(N3013-M3013)/M3013,"")</f>
        <v/>
      </c>
      <c r="Q3013" s="3">
        <f>IF(P3013="","",IF(P3013&lt;-0.02,"🔴 Bán phá giá sàn",IF(P3013&gt;0.05,"🔵 Bán cao hơn","🟢 Đúng giá sàn TMĐT")))</f>
        <v/>
      </c>
      <c r="R3013" s="3" t="n"/>
      <c r="S3013" s="4" t="n"/>
      <c r="T3013" s="4" t="n"/>
    </row>
    <row r="3014">
      <c r="A3014" s="3" t="n">
        <v>3013</v>
      </c>
      <c r="B3014" s="3" t="inlineStr">
        <is>
          <t>DL027</t>
        </is>
      </c>
      <c r="C3014" s="4" t="inlineStr">
        <is>
          <t>ĐL Bình Định - Khoan Pin 77</t>
        </is>
      </c>
      <c r="D3014" s="3" t="inlineStr">
        <is>
          <t>GIA LAI 
(BÌNH ĐỊNH CŨ)</t>
        </is>
      </c>
      <c r="E3014" s="3" t="inlineStr">
        <is>
          <t>THÙY TRANG</t>
        </is>
      </c>
      <c r="F3014" s="3" t="inlineStr"/>
      <c r="G3014" s="4" t="inlineStr">
        <is>
          <t>SHOPEE: TIKTOK: LAZADA: WEBSITE BÁN HÀNG: YOUTUBE: https://www.youtube.com/channel/UCowiJLhwAySOYT7OCDWOOYA</t>
        </is>
      </c>
      <c r="H3014" s="3" t="inlineStr">
        <is>
          <t>KBK-21</t>
        </is>
      </c>
      <c r="I3014" s="4" t="inlineStr">
        <is>
          <t>Mũi khoan đá KBK-21</t>
        </is>
      </c>
      <c r="J3014" s="3" t="inlineStr">
        <is>
          <t>Cái</t>
        </is>
      </c>
      <c r="K3014" s="5" t="n">
        <v>64000</v>
      </c>
      <c r="L3014" s="5" t="n">
        <v>79000</v>
      </c>
      <c r="M3014" s="6" t="n">
        <v>102000</v>
      </c>
      <c r="N3014" s="5" t="n"/>
      <c r="O3014" s="5">
        <f>IF(AND(ISNUMBER(N3014),ISNUMBER(M3014)),N3014-M3014,"")</f>
        <v/>
      </c>
      <c r="P3014" s="7">
        <f>IF(AND(ISNUMBER(N3014),ISNUMBER(M3014),M3014&gt;0),(N3014-M3014)/M3014,"")</f>
        <v/>
      </c>
      <c r="Q3014" s="3">
        <f>IF(P3014="","",IF(P3014&lt;-0.02,"🔴 Bán phá giá sàn",IF(P3014&gt;0.05,"🔵 Bán cao hơn","🟢 Đúng giá sàn TMĐT")))</f>
        <v/>
      </c>
      <c r="R3014" s="3" t="n"/>
      <c r="S3014" s="4" t="n"/>
      <c r="T3014" s="4" t="n"/>
    </row>
    <row r="3015">
      <c r="A3015" s="3" t="n">
        <v>3014</v>
      </c>
      <c r="B3015" s="3" t="inlineStr">
        <is>
          <t>DL027</t>
        </is>
      </c>
      <c r="C3015" s="4" t="inlineStr">
        <is>
          <t>ĐL Bình Định - Khoan Pin 77</t>
        </is>
      </c>
      <c r="D3015" s="3" t="inlineStr">
        <is>
          <t>GIA LAI 
(BÌNH ĐỊNH CŨ)</t>
        </is>
      </c>
      <c r="E3015" s="3" t="inlineStr">
        <is>
          <t>THÙY TRANG</t>
        </is>
      </c>
      <c r="F3015" s="3" t="inlineStr"/>
      <c r="G3015" s="4" t="inlineStr">
        <is>
          <t>SHOPEE: TIKTOK: LAZADA: WEBSITE BÁN HÀNG: YOUTUBE: https://www.youtube.com/channel/UCowiJLhwAySOYT7OCDWOOYA</t>
        </is>
      </c>
      <c r="H3015" s="3" t="inlineStr">
        <is>
          <t>KBK-22</t>
        </is>
      </c>
      <c r="I3015" s="4" t="inlineStr">
        <is>
          <t>Mũi khoan đá KBK-22</t>
        </is>
      </c>
      <c r="J3015" s="3" t="inlineStr">
        <is>
          <t>Cái</t>
        </is>
      </c>
      <c r="K3015" s="5" t="n">
        <v>67000</v>
      </c>
      <c r="L3015" s="5" t="n">
        <v>83000</v>
      </c>
      <c r="M3015" s="6" t="n">
        <v>107000</v>
      </c>
      <c r="N3015" s="5" t="n"/>
      <c r="O3015" s="5">
        <f>IF(AND(ISNUMBER(N3015),ISNUMBER(M3015)),N3015-M3015,"")</f>
        <v/>
      </c>
      <c r="P3015" s="7">
        <f>IF(AND(ISNUMBER(N3015),ISNUMBER(M3015),M3015&gt;0),(N3015-M3015)/M3015,"")</f>
        <v/>
      </c>
      <c r="Q3015" s="3">
        <f>IF(P3015="","",IF(P3015&lt;-0.02,"🔴 Bán phá giá sàn",IF(P3015&gt;0.05,"🔵 Bán cao hơn","🟢 Đúng giá sàn TMĐT")))</f>
        <v/>
      </c>
      <c r="R3015" s="3" t="n"/>
      <c r="S3015" s="4" t="n"/>
      <c r="T3015" s="4" t="n"/>
    </row>
    <row r="3016">
      <c r="A3016" s="3" t="n">
        <v>3015</v>
      </c>
      <c r="B3016" s="3" t="inlineStr">
        <is>
          <t>DL027</t>
        </is>
      </c>
      <c r="C3016" s="4" t="inlineStr">
        <is>
          <t>ĐL Bình Định - Khoan Pin 77</t>
        </is>
      </c>
      <c r="D3016" s="3" t="inlineStr">
        <is>
          <t>GIA LAI 
(BÌNH ĐỊNH CŨ)</t>
        </is>
      </c>
      <c r="E3016" s="3" t="inlineStr">
        <is>
          <t>THÙY TRANG</t>
        </is>
      </c>
      <c r="F3016" s="3" t="inlineStr"/>
      <c r="G3016" s="4" t="inlineStr">
        <is>
          <t>SHOPEE: TIKTOK: LAZADA: WEBSITE BÁN HÀNG: YOUTUBE: https://www.youtube.com/channel/UCowiJLhwAySOYT7OCDWOOYA</t>
        </is>
      </c>
      <c r="H3016" s="3" t="inlineStr">
        <is>
          <t>KBK-25</t>
        </is>
      </c>
      <c r="I3016" s="4" t="inlineStr">
        <is>
          <t>Mũi khoan đá KBK-25</t>
        </is>
      </c>
      <c r="J3016" s="3" t="inlineStr">
        <is>
          <t>Cái</t>
        </is>
      </c>
      <c r="K3016" s="5" t="n">
        <v>77000</v>
      </c>
      <c r="L3016" s="5" t="n">
        <v>95000</v>
      </c>
      <c r="M3016" s="6" t="n">
        <v>123000</v>
      </c>
      <c r="N3016" s="5" t="n"/>
      <c r="O3016" s="5">
        <f>IF(AND(ISNUMBER(N3016),ISNUMBER(M3016)),N3016-M3016,"")</f>
        <v/>
      </c>
      <c r="P3016" s="7">
        <f>IF(AND(ISNUMBER(N3016),ISNUMBER(M3016),M3016&gt;0),(N3016-M3016)/M3016,"")</f>
        <v/>
      </c>
      <c r="Q3016" s="3">
        <f>IF(P3016="","",IF(P3016&lt;-0.02,"🔴 Bán phá giá sàn",IF(P3016&gt;0.05,"🔵 Bán cao hơn","🟢 Đúng giá sàn TMĐT")))</f>
        <v/>
      </c>
      <c r="R3016" s="3" t="n"/>
      <c r="S3016" s="4" t="n"/>
      <c r="T3016" s="4" t="n"/>
    </row>
    <row r="3017">
      <c r="A3017" s="3" t="n">
        <v>3016</v>
      </c>
      <c r="B3017" s="3" t="inlineStr">
        <is>
          <t>DL027</t>
        </is>
      </c>
      <c r="C3017" s="4" t="inlineStr">
        <is>
          <t>ĐL Bình Định - Khoan Pin 77</t>
        </is>
      </c>
      <c r="D3017" s="3" t="inlineStr">
        <is>
          <t>GIA LAI 
(BÌNH ĐỊNH CŨ)</t>
        </is>
      </c>
      <c r="E3017" s="3" t="inlineStr">
        <is>
          <t>THÙY TRANG</t>
        </is>
      </c>
      <c r="F3017" s="3" t="inlineStr"/>
      <c r="G3017" s="4" t="inlineStr">
        <is>
          <t>SHOPEE: TIKTOK: LAZADA: WEBSITE BÁN HÀNG: YOUTUBE: https://www.youtube.com/channel/UCowiJLhwAySOYT7OCDWOOYA</t>
        </is>
      </c>
      <c r="H3017" s="3" t="inlineStr">
        <is>
          <t>KBK-27</t>
        </is>
      </c>
      <c r="I3017" s="4" t="inlineStr">
        <is>
          <t>Mũi khoan đá KBK-27</t>
        </is>
      </c>
      <c r="J3017" s="3" t="inlineStr">
        <is>
          <t>Cái</t>
        </is>
      </c>
      <c r="K3017" s="5" t="n">
        <v>84000</v>
      </c>
      <c r="L3017" s="5" t="n">
        <v>104000</v>
      </c>
      <c r="M3017" s="6" t="n">
        <v>134000</v>
      </c>
      <c r="N3017" s="5" t="n"/>
      <c r="O3017" s="5">
        <f>IF(AND(ISNUMBER(N3017),ISNUMBER(M3017)),N3017-M3017,"")</f>
        <v/>
      </c>
      <c r="P3017" s="7">
        <f>IF(AND(ISNUMBER(N3017),ISNUMBER(M3017),M3017&gt;0),(N3017-M3017)/M3017,"")</f>
        <v/>
      </c>
      <c r="Q3017" s="3">
        <f>IF(P3017="","",IF(P3017&lt;-0.02,"🔴 Bán phá giá sàn",IF(P3017&gt;0.05,"🔵 Bán cao hơn","🟢 Đúng giá sàn TMĐT")))</f>
        <v/>
      </c>
      <c r="R3017" s="3" t="n"/>
      <c r="S3017" s="4" t="n"/>
      <c r="T3017" s="4" t="n"/>
    </row>
    <row r="3018">
      <c r="A3018" s="3" t="n">
        <v>3017</v>
      </c>
      <c r="B3018" s="3" t="inlineStr">
        <is>
          <t>DL027</t>
        </is>
      </c>
      <c r="C3018" s="4" t="inlineStr">
        <is>
          <t>ĐL Bình Định - Khoan Pin 77</t>
        </is>
      </c>
      <c r="D3018" s="3" t="inlineStr">
        <is>
          <t>GIA LAI 
(BÌNH ĐỊNH CŨ)</t>
        </is>
      </c>
      <c r="E3018" s="3" t="inlineStr">
        <is>
          <t>THÙY TRANG</t>
        </is>
      </c>
      <c r="F3018" s="3" t="inlineStr"/>
      <c r="G3018" s="4" t="inlineStr">
        <is>
          <t>SHOPEE: TIKTOK: LAZADA: WEBSITE BÁN HÀNG: YOUTUBE: https://www.youtube.com/channel/UCowiJLhwAySOYT7OCDWOOYA</t>
        </is>
      </c>
      <c r="H3018" s="3" t="inlineStr">
        <is>
          <t>KBK-42</t>
        </is>
      </c>
      <c r="I3018" s="4" t="inlineStr">
        <is>
          <t>Mũi khoan đá KBK-42</t>
        </is>
      </c>
      <c r="J3018" s="3" t="inlineStr">
        <is>
          <t>Cái</t>
        </is>
      </c>
      <c r="K3018" s="5" t="n">
        <v>129000</v>
      </c>
      <c r="L3018" s="5" t="n">
        <v>160000</v>
      </c>
      <c r="M3018" s="6" t="n">
        <v>206000</v>
      </c>
      <c r="N3018" s="5" t="n"/>
      <c r="O3018" s="5">
        <f>IF(AND(ISNUMBER(N3018),ISNUMBER(M3018)),N3018-M3018,"")</f>
        <v/>
      </c>
      <c r="P3018" s="7">
        <f>IF(AND(ISNUMBER(N3018),ISNUMBER(M3018),M3018&gt;0),(N3018-M3018)/M3018,"")</f>
        <v/>
      </c>
      <c r="Q3018" s="3">
        <f>IF(P3018="","",IF(P3018&lt;-0.02,"🔴 Bán phá giá sàn",IF(P3018&gt;0.05,"🔵 Bán cao hơn","🟢 Đúng giá sàn TMĐT")))</f>
        <v/>
      </c>
      <c r="R3018" s="3" t="n"/>
      <c r="S3018" s="4" t="n"/>
      <c r="T3018" s="4" t="n"/>
    </row>
    <row r="3019">
      <c r="A3019" s="3" t="n">
        <v>3018</v>
      </c>
      <c r="B3019" s="3" t="inlineStr">
        <is>
          <t>DL027</t>
        </is>
      </c>
      <c r="C3019" s="4" t="inlineStr">
        <is>
          <t>ĐL Bình Định - Khoan Pin 77</t>
        </is>
      </c>
      <c r="D3019" s="3" t="inlineStr">
        <is>
          <t>GIA LAI 
(BÌNH ĐỊNH CŨ)</t>
        </is>
      </c>
      <c r="E3019" s="3" t="inlineStr">
        <is>
          <t>THÙY TRANG</t>
        </is>
      </c>
      <c r="F3019" s="3" t="inlineStr"/>
      <c r="G3019" s="4" t="inlineStr">
        <is>
          <t>SHOPEE: TIKTOK: LAZADA: WEBSITE BÁN HÀNG: YOUTUBE: https://www.youtube.com/channel/UCowiJLhwAySOYT7OCDWOOYA</t>
        </is>
      </c>
      <c r="H3019" s="3" t="inlineStr">
        <is>
          <t>KBL4S-06160</t>
        </is>
      </c>
      <c r="I3019" s="4" t="inlineStr">
        <is>
          <t>Mũi khoan đa năng chuôi gài 4 cạnh KBL4S-06*160</t>
        </is>
      </c>
      <c r="J3019" s="3" t="inlineStr">
        <is>
          <t>Cái</t>
        </is>
      </c>
      <c r="K3019" s="5" t="n">
        <v>28000</v>
      </c>
      <c r="L3019" s="5" t="n">
        <v>35000</v>
      </c>
      <c r="M3019" s="6" t="n">
        <v>45000</v>
      </c>
      <c r="N3019" s="5" t="n"/>
      <c r="O3019" s="5">
        <f>IF(AND(ISNUMBER(N3019),ISNUMBER(M3019)),N3019-M3019,"")</f>
        <v/>
      </c>
      <c r="P3019" s="7">
        <f>IF(AND(ISNUMBER(N3019),ISNUMBER(M3019),M3019&gt;0),(N3019-M3019)/M3019,"")</f>
        <v/>
      </c>
      <c r="Q3019" s="3">
        <f>IF(P3019="","",IF(P3019&lt;-0.02,"🔴 Bán phá giá sàn",IF(P3019&gt;0.05,"🔵 Bán cao hơn","🟢 Đúng giá sàn TMĐT")))</f>
        <v/>
      </c>
      <c r="R3019" s="3" t="n"/>
      <c r="S3019" s="4" t="n"/>
      <c r="T3019" s="4" t="n"/>
    </row>
    <row r="3020">
      <c r="A3020" s="3" t="n">
        <v>3019</v>
      </c>
      <c r="B3020" s="3" t="inlineStr">
        <is>
          <t>DL027</t>
        </is>
      </c>
      <c r="C3020" s="4" t="inlineStr">
        <is>
          <t>ĐL Bình Định - Khoan Pin 77</t>
        </is>
      </c>
      <c r="D3020" s="3" t="inlineStr">
        <is>
          <t>GIA LAI 
(BÌNH ĐỊNH CŨ)</t>
        </is>
      </c>
      <c r="E3020" s="3" t="inlineStr">
        <is>
          <t>THÙY TRANG</t>
        </is>
      </c>
      <c r="F3020" s="3" t="inlineStr"/>
      <c r="G3020" s="4" t="inlineStr">
        <is>
          <t>SHOPEE: TIKTOK: LAZADA: WEBSITE BÁN HÀNG: YOUTUBE: https://www.youtube.com/channel/UCowiJLhwAySOYT7OCDWOOYA</t>
        </is>
      </c>
      <c r="H3020" s="3" t="inlineStr">
        <is>
          <t>KBL4S-08160</t>
        </is>
      </c>
      <c r="I3020" s="4" t="inlineStr">
        <is>
          <t>Mũi khoan đa năng chuôi gài 4 cạnh KBL4S-08*160</t>
        </is>
      </c>
      <c r="J3020" s="3" t="inlineStr">
        <is>
          <t>Cái</t>
        </is>
      </c>
      <c r="K3020" s="5" t="n">
        <v>32000</v>
      </c>
      <c r="L3020" s="5" t="n">
        <v>40000</v>
      </c>
      <c r="M3020" s="6" t="n">
        <v>51000</v>
      </c>
      <c r="N3020" s="5" t="n"/>
      <c r="O3020" s="5">
        <f>IF(AND(ISNUMBER(N3020),ISNUMBER(M3020)),N3020-M3020,"")</f>
        <v/>
      </c>
      <c r="P3020" s="7">
        <f>IF(AND(ISNUMBER(N3020),ISNUMBER(M3020),M3020&gt;0),(N3020-M3020)/M3020,"")</f>
        <v/>
      </c>
      <c r="Q3020" s="3">
        <f>IF(P3020="","",IF(P3020&lt;-0.02,"🔴 Bán phá giá sàn",IF(P3020&gt;0.05,"🔵 Bán cao hơn","🟢 Đúng giá sàn TMĐT")))</f>
        <v/>
      </c>
      <c r="R3020" s="3" t="n"/>
      <c r="S3020" s="4" t="n"/>
      <c r="T3020" s="4" t="n"/>
    </row>
    <row r="3021">
      <c r="A3021" s="3" t="n">
        <v>3020</v>
      </c>
      <c r="B3021" s="3" t="inlineStr">
        <is>
          <t>DL027</t>
        </is>
      </c>
      <c r="C3021" s="4" t="inlineStr">
        <is>
          <t>ĐL Bình Định - Khoan Pin 77</t>
        </is>
      </c>
      <c r="D3021" s="3" t="inlineStr">
        <is>
          <t>GIA LAI 
(BÌNH ĐỊNH CŨ)</t>
        </is>
      </c>
      <c r="E3021" s="3" t="inlineStr">
        <is>
          <t>THÙY TRANG</t>
        </is>
      </c>
      <c r="F3021" s="3" t="inlineStr"/>
      <c r="G3021" s="4" t="inlineStr">
        <is>
          <t>SHOPEE: TIKTOK: LAZADA: WEBSITE BÁN HÀNG: YOUTUBE: https://www.youtube.com/channel/UCowiJLhwAySOYT7OCDWOOYA</t>
        </is>
      </c>
      <c r="H3021" s="3" t="inlineStr">
        <is>
          <t>KBL4S-10160</t>
        </is>
      </c>
      <c r="I3021" s="4" t="inlineStr">
        <is>
          <t>Mũi khoan đa năng chuôi gài 4 cạnh KBL4S-10*160</t>
        </is>
      </c>
      <c r="J3021" s="3" t="inlineStr">
        <is>
          <t>Cái</t>
        </is>
      </c>
      <c r="K3021" s="5" t="n">
        <v>40000</v>
      </c>
      <c r="L3021" s="5" t="n">
        <v>50000</v>
      </c>
      <c r="M3021" s="6" t="n">
        <v>64000</v>
      </c>
      <c r="N3021" s="5" t="n"/>
      <c r="O3021" s="5">
        <f>IF(AND(ISNUMBER(N3021),ISNUMBER(M3021)),N3021-M3021,"")</f>
        <v/>
      </c>
      <c r="P3021" s="7">
        <f>IF(AND(ISNUMBER(N3021),ISNUMBER(M3021),M3021&gt;0),(N3021-M3021)/M3021,"")</f>
        <v/>
      </c>
      <c r="Q3021" s="3">
        <f>IF(P3021="","",IF(P3021&lt;-0.02,"🔴 Bán phá giá sàn",IF(P3021&gt;0.05,"🔵 Bán cao hơn","🟢 Đúng giá sàn TMĐT")))</f>
        <v/>
      </c>
      <c r="R3021" s="3" t="n"/>
      <c r="S3021" s="4" t="n"/>
      <c r="T3021" s="4" t="n"/>
    </row>
    <row r="3022">
      <c r="A3022" s="3" t="n">
        <v>3021</v>
      </c>
      <c r="B3022" s="3" t="inlineStr">
        <is>
          <t>DL027</t>
        </is>
      </c>
      <c r="C3022" s="4" t="inlineStr">
        <is>
          <t>ĐL Bình Định - Khoan Pin 77</t>
        </is>
      </c>
      <c r="D3022" s="3" t="inlineStr">
        <is>
          <t>GIA LAI 
(BÌNH ĐỊNH CŨ)</t>
        </is>
      </c>
      <c r="E3022" s="3" t="inlineStr">
        <is>
          <t>THÙY TRANG</t>
        </is>
      </c>
      <c r="F3022" s="3" t="inlineStr"/>
      <c r="G3022" s="4" t="inlineStr">
        <is>
          <t>SHOPEE: TIKTOK: LAZADA: WEBSITE BÁN HÀNG: YOUTUBE: https://www.youtube.com/channel/UCowiJLhwAySOYT7OCDWOOYA</t>
        </is>
      </c>
      <c r="H3022" s="3" t="inlineStr">
        <is>
          <t>KBH2E-06150</t>
        </is>
      </c>
      <c r="I3022" s="4" t="inlineStr">
        <is>
          <t>Mũi khoan ĐN lục giác 2 cạnh KBH2E-06*150</t>
        </is>
      </c>
      <c r="J3022" s="3" t="inlineStr">
        <is>
          <t>Cái</t>
        </is>
      </c>
      <c r="K3022" s="5" t="n">
        <v>31000</v>
      </c>
      <c r="L3022" s="5" t="n">
        <v>39000</v>
      </c>
      <c r="M3022" s="6" t="n">
        <v>50000</v>
      </c>
      <c r="N3022" s="5" t="n"/>
      <c r="O3022" s="5">
        <f>IF(AND(ISNUMBER(N3022),ISNUMBER(M3022)),N3022-M3022,"")</f>
        <v/>
      </c>
      <c r="P3022" s="7">
        <f>IF(AND(ISNUMBER(N3022),ISNUMBER(M3022),M3022&gt;0),(N3022-M3022)/M3022,"")</f>
        <v/>
      </c>
      <c r="Q3022" s="3">
        <f>IF(P3022="","",IF(P3022&lt;-0.02,"🔴 Bán phá giá sàn",IF(P3022&gt;0.05,"🔵 Bán cao hơn","🟢 Đúng giá sàn TMĐT")))</f>
        <v/>
      </c>
      <c r="R3022" s="3" t="n"/>
      <c r="S3022" s="4" t="n"/>
      <c r="T3022" s="4" t="n"/>
    </row>
    <row r="3023">
      <c r="A3023" s="3" t="n">
        <v>3022</v>
      </c>
      <c r="B3023" s="3" t="inlineStr">
        <is>
          <t>DL027</t>
        </is>
      </c>
      <c r="C3023" s="4" t="inlineStr">
        <is>
          <t>ĐL Bình Định - Khoan Pin 77</t>
        </is>
      </c>
      <c r="D3023" s="3" t="inlineStr">
        <is>
          <t>GIA LAI 
(BÌNH ĐỊNH CŨ)</t>
        </is>
      </c>
      <c r="E3023" s="3" t="inlineStr">
        <is>
          <t>THÙY TRANG</t>
        </is>
      </c>
      <c r="F3023" s="3" t="inlineStr"/>
      <c r="G3023" s="4" t="inlineStr">
        <is>
          <t>SHOPEE: TIKTOK: LAZADA: WEBSITE BÁN HÀNG: YOUTUBE: https://www.youtube.com/channel/UCowiJLhwAySOYT7OCDWOOYA</t>
        </is>
      </c>
      <c r="H3023" s="3" t="inlineStr">
        <is>
          <t>KBH2E-08150</t>
        </is>
      </c>
      <c r="I3023" s="4" t="inlineStr">
        <is>
          <t>Mũi khoan ĐN lục giác 2 cạnh KBH2E-08*150</t>
        </is>
      </c>
      <c r="J3023" s="3" t="inlineStr">
        <is>
          <t>Cái</t>
        </is>
      </c>
      <c r="K3023" s="5" t="n">
        <v>41000</v>
      </c>
      <c r="L3023" s="5" t="n">
        <v>51000</v>
      </c>
      <c r="M3023" s="6" t="n">
        <v>66000</v>
      </c>
      <c r="N3023" s="5" t="n"/>
      <c r="O3023" s="5">
        <f>IF(AND(ISNUMBER(N3023),ISNUMBER(M3023)),N3023-M3023,"")</f>
        <v/>
      </c>
      <c r="P3023" s="7">
        <f>IF(AND(ISNUMBER(N3023),ISNUMBER(M3023),M3023&gt;0),(N3023-M3023)/M3023,"")</f>
        <v/>
      </c>
      <c r="Q3023" s="3">
        <f>IF(P3023="","",IF(P3023&lt;-0.02,"🔴 Bán phá giá sàn",IF(P3023&gt;0.05,"🔵 Bán cao hơn","🟢 Đúng giá sàn TMĐT")))</f>
        <v/>
      </c>
      <c r="R3023" s="3" t="n"/>
      <c r="S3023" s="4" t="n"/>
      <c r="T3023" s="4" t="n"/>
    </row>
    <row r="3024">
      <c r="A3024" s="3" t="n">
        <v>3023</v>
      </c>
      <c r="B3024" s="3" t="inlineStr">
        <is>
          <t>DL027</t>
        </is>
      </c>
      <c r="C3024" s="4" t="inlineStr">
        <is>
          <t>ĐL Bình Định - Khoan Pin 77</t>
        </is>
      </c>
      <c r="D3024" s="3" t="inlineStr">
        <is>
          <t>GIA LAI 
(BÌNH ĐỊNH CŨ)</t>
        </is>
      </c>
      <c r="E3024" s="3" t="inlineStr">
        <is>
          <t>THÙY TRANG</t>
        </is>
      </c>
      <c r="F3024" s="3" t="inlineStr"/>
      <c r="G3024" s="4" t="inlineStr">
        <is>
          <t>SHOPEE: TIKTOK: LAZADA: WEBSITE BÁN HÀNG: YOUTUBE: https://www.youtube.com/channel/UCowiJLhwAySOYT7OCDWOOYA</t>
        </is>
      </c>
      <c r="H3024" s="3" t="inlineStr">
        <is>
          <t>KBH2F-0395</t>
        </is>
      </c>
      <c r="I3024" s="4" t="inlineStr">
        <is>
          <t>Mũi khoan ĐN lục giác 2 cạnh KBH2F-03*95</t>
        </is>
      </c>
      <c r="J3024" s="3" t="inlineStr">
        <is>
          <t>Cái</t>
        </is>
      </c>
      <c r="K3024" s="5" t="n">
        <v>26000</v>
      </c>
      <c r="L3024" s="5" t="n">
        <v>32000</v>
      </c>
      <c r="M3024" s="6" t="n">
        <v>42000</v>
      </c>
      <c r="N3024" s="5" t="n"/>
      <c r="O3024" s="5">
        <f>IF(AND(ISNUMBER(N3024),ISNUMBER(M3024)),N3024-M3024,"")</f>
        <v/>
      </c>
      <c r="P3024" s="7">
        <f>IF(AND(ISNUMBER(N3024),ISNUMBER(M3024),M3024&gt;0),(N3024-M3024)/M3024,"")</f>
        <v/>
      </c>
      <c r="Q3024" s="3">
        <f>IF(P3024="","",IF(P3024&lt;-0.02,"🔴 Bán phá giá sàn",IF(P3024&gt;0.05,"🔵 Bán cao hơn","🟢 Đúng giá sàn TMĐT")))</f>
        <v/>
      </c>
      <c r="R3024" s="3" t="n"/>
      <c r="S3024" s="4" t="n"/>
      <c r="T3024" s="4" t="n"/>
    </row>
    <row r="3025">
      <c r="A3025" s="3" t="n">
        <v>3024</v>
      </c>
      <c r="B3025" s="3" t="inlineStr">
        <is>
          <t>DL027</t>
        </is>
      </c>
      <c r="C3025" s="4" t="inlineStr">
        <is>
          <t>ĐL Bình Định - Khoan Pin 77</t>
        </is>
      </c>
      <c r="D3025" s="3" t="inlineStr">
        <is>
          <t>GIA LAI 
(BÌNH ĐỊNH CŨ)</t>
        </is>
      </c>
      <c r="E3025" s="3" t="inlineStr">
        <is>
          <t>THÙY TRANG</t>
        </is>
      </c>
      <c r="F3025" s="3" t="inlineStr"/>
      <c r="G3025" s="4" t="inlineStr">
        <is>
          <t>SHOPEE: TIKTOK: LAZADA: WEBSITE BÁN HÀNG: YOUTUBE: https://www.youtube.com/channel/UCowiJLhwAySOYT7OCDWOOYA</t>
        </is>
      </c>
      <c r="H3025" s="3" t="inlineStr">
        <is>
          <t>KBH2F-0495</t>
        </is>
      </c>
      <c r="I3025" s="4" t="inlineStr">
        <is>
          <t>Mũi khoan ĐN lục giác 2 cạnh KBH2F-04*95</t>
        </is>
      </c>
      <c r="J3025" s="3" t="inlineStr">
        <is>
          <t>Cái</t>
        </is>
      </c>
      <c r="K3025" s="5" t="n">
        <v>26000</v>
      </c>
      <c r="L3025" s="5" t="n">
        <v>32000</v>
      </c>
      <c r="M3025" s="6" t="n">
        <v>42000</v>
      </c>
      <c r="N3025" s="5" t="n"/>
      <c r="O3025" s="5">
        <f>IF(AND(ISNUMBER(N3025),ISNUMBER(M3025)),N3025-M3025,"")</f>
        <v/>
      </c>
      <c r="P3025" s="7">
        <f>IF(AND(ISNUMBER(N3025),ISNUMBER(M3025),M3025&gt;0),(N3025-M3025)/M3025,"")</f>
        <v/>
      </c>
      <c r="Q3025" s="3">
        <f>IF(P3025="","",IF(P3025&lt;-0.02,"🔴 Bán phá giá sàn",IF(P3025&gt;0.05,"🔵 Bán cao hơn","🟢 Đúng giá sàn TMĐT")))</f>
        <v/>
      </c>
      <c r="R3025" s="3" t="n"/>
      <c r="S3025" s="4" t="n"/>
      <c r="T3025" s="4" t="n"/>
    </row>
    <row r="3026">
      <c r="A3026" s="3" t="n">
        <v>3025</v>
      </c>
      <c r="B3026" s="3" t="inlineStr">
        <is>
          <t>DL027</t>
        </is>
      </c>
      <c r="C3026" s="4" t="inlineStr">
        <is>
          <t>ĐL Bình Định - Khoan Pin 77</t>
        </is>
      </c>
      <c r="D3026" s="3" t="inlineStr">
        <is>
          <t>GIA LAI 
(BÌNH ĐỊNH CŨ)</t>
        </is>
      </c>
      <c r="E3026" s="3" t="inlineStr">
        <is>
          <t>THÙY TRANG</t>
        </is>
      </c>
      <c r="F3026" s="3" t="inlineStr"/>
      <c r="G3026" s="4" t="inlineStr">
        <is>
          <t>SHOPEE: TIKTOK: LAZADA: WEBSITE BÁN HÀNG: YOUTUBE: https://www.youtube.com/channel/UCowiJLhwAySOYT7OCDWOOYA</t>
        </is>
      </c>
      <c r="H3026" s="3" t="inlineStr">
        <is>
          <t>KBH2F-0595</t>
        </is>
      </c>
      <c r="I3026" s="4" t="inlineStr">
        <is>
          <t>Mũi khoan ĐN lục giác 2 cạnh KBH2F-05*95</t>
        </is>
      </c>
      <c r="J3026" s="3" t="inlineStr">
        <is>
          <t>Cái</t>
        </is>
      </c>
      <c r="K3026" s="5" t="n">
        <v>26000</v>
      </c>
      <c r="L3026" s="5" t="n">
        <v>32000</v>
      </c>
      <c r="M3026" s="6" t="n">
        <v>42000</v>
      </c>
      <c r="N3026" s="5" t="n"/>
      <c r="O3026" s="5">
        <f>IF(AND(ISNUMBER(N3026),ISNUMBER(M3026)),N3026-M3026,"")</f>
        <v/>
      </c>
      <c r="P3026" s="7">
        <f>IF(AND(ISNUMBER(N3026),ISNUMBER(M3026),M3026&gt;0),(N3026-M3026)/M3026,"")</f>
        <v/>
      </c>
      <c r="Q3026" s="3">
        <f>IF(P3026="","",IF(P3026&lt;-0.02,"🔴 Bán phá giá sàn",IF(P3026&gt;0.05,"🔵 Bán cao hơn","🟢 Đúng giá sàn TMĐT")))</f>
        <v/>
      </c>
      <c r="R3026" s="3" t="n"/>
      <c r="S3026" s="4" t="n"/>
      <c r="T3026" s="4" t="n"/>
    </row>
    <row r="3027">
      <c r="A3027" s="3" t="n">
        <v>3026</v>
      </c>
      <c r="B3027" s="3" t="inlineStr">
        <is>
          <t>DL027</t>
        </is>
      </c>
      <c r="C3027" s="4" t="inlineStr">
        <is>
          <t>ĐL Bình Định - Khoan Pin 77</t>
        </is>
      </c>
      <c r="D3027" s="3" t="inlineStr">
        <is>
          <t>GIA LAI 
(BÌNH ĐỊNH CŨ)</t>
        </is>
      </c>
      <c r="E3027" s="3" t="inlineStr">
        <is>
          <t>THÙY TRANG</t>
        </is>
      </c>
      <c r="F3027" s="3" t="inlineStr"/>
      <c r="G3027" s="4" t="inlineStr">
        <is>
          <t>SHOPEE: TIKTOK: LAZADA: WEBSITE BÁN HÀNG: YOUTUBE: https://www.youtube.com/channel/UCowiJLhwAySOYT7OCDWOOYA</t>
        </is>
      </c>
      <c r="H3027" s="3" t="inlineStr">
        <is>
          <t>KBH2F-0695</t>
        </is>
      </c>
      <c r="I3027" s="4" t="inlineStr">
        <is>
          <t>Mũi khoan ĐN lục giác 2 cạnh KBH2F-06*95</t>
        </is>
      </c>
      <c r="J3027" s="3" t="inlineStr">
        <is>
          <t>Cái</t>
        </is>
      </c>
      <c r="K3027" s="5" t="n">
        <v>26000</v>
      </c>
      <c r="L3027" s="5" t="n">
        <v>32000</v>
      </c>
      <c r="M3027" s="6" t="n">
        <v>42000</v>
      </c>
      <c r="N3027" s="5" t="n"/>
      <c r="O3027" s="5">
        <f>IF(AND(ISNUMBER(N3027),ISNUMBER(M3027)),N3027-M3027,"")</f>
        <v/>
      </c>
      <c r="P3027" s="7">
        <f>IF(AND(ISNUMBER(N3027),ISNUMBER(M3027),M3027&gt;0),(N3027-M3027)/M3027,"")</f>
        <v/>
      </c>
      <c r="Q3027" s="3">
        <f>IF(P3027="","",IF(P3027&lt;-0.02,"🔴 Bán phá giá sàn",IF(P3027&gt;0.05,"🔵 Bán cao hơn","🟢 Đúng giá sàn TMĐT")))</f>
        <v/>
      </c>
      <c r="R3027" s="3" t="n"/>
      <c r="S3027" s="4" t="n"/>
      <c r="T3027" s="4" t="n"/>
    </row>
    <row r="3028">
      <c r="A3028" s="3" t="n">
        <v>3027</v>
      </c>
      <c r="B3028" s="3" t="inlineStr">
        <is>
          <t>DL027</t>
        </is>
      </c>
      <c r="C3028" s="4" t="inlineStr">
        <is>
          <t>ĐL Bình Định - Khoan Pin 77</t>
        </is>
      </c>
      <c r="D3028" s="3" t="inlineStr">
        <is>
          <t>GIA LAI 
(BÌNH ĐỊNH CŨ)</t>
        </is>
      </c>
      <c r="E3028" s="3" t="inlineStr">
        <is>
          <t>THÙY TRANG</t>
        </is>
      </c>
      <c r="F3028" s="3" t="inlineStr"/>
      <c r="G3028" s="4" t="inlineStr">
        <is>
          <t>SHOPEE: TIKTOK: LAZADA: WEBSITE BÁN HÀNG: YOUTUBE: https://www.youtube.com/channel/UCowiJLhwAySOYT7OCDWOOYA</t>
        </is>
      </c>
      <c r="H3028" s="3" t="inlineStr">
        <is>
          <t>KBH2F-0895</t>
        </is>
      </c>
      <c r="I3028" s="4" t="inlineStr">
        <is>
          <t>Mũi khoan ĐN lục giác 2 cạnh KBH2F-08*95</t>
        </is>
      </c>
      <c r="J3028" s="3" t="inlineStr">
        <is>
          <t>Cái</t>
        </is>
      </c>
      <c r="K3028" s="5" t="n">
        <v>33000</v>
      </c>
      <c r="L3028" s="5" t="n">
        <v>41000</v>
      </c>
      <c r="M3028" s="6" t="n">
        <v>53000</v>
      </c>
      <c r="N3028" s="5" t="n"/>
      <c r="O3028" s="5">
        <f>IF(AND(ISNUMBER(N3028),ISNUMBER(M3028)),N3028-M3028,"")</f>
        <v/>
      </c>
      <c r="P3028" s="7">
        <f>IF(AND(ISNUMBER(N3028),ISNUMBER(M3028),M3028&gt;0),(N3028-M3028)/M3028,"")</f>
        <v/>
      </c>
      <c r="Q3028" s="3">
        <f>IF(P3028="","",IF(P3028&lt;-0.02,"🔴 Bán phá giá sàn",IF(P3028&gt;0.05,"🔵 Bán cao hơn","🟢 Đúng giá sàn TMĐT")))</f>
        <v/>
      </c>
      <c r="R3028" s="3" t="n"/>
      <c r="S3028" s="4" t="n"/>
      <c r="T3028" s="4" t="n"/>
    </row>
    <row r="3029">
      <c r="A3029" s="3" t="n">
        <v>3028</v>
      </c>
      <c r="B3029" s="3" t="inlineStr">
        <is>
          <t>DL027</t>
        </is>
      </c>
      <c r="C3029" s="4" t="inlineStr">
        <is>
          <t>ĐL Bình Định - Khoan Pin 77</t>
        </is>
      </c>
      <c r="D3029" s="3" t="inlineStr">
        <is>
          <t>GIA LAI 
(BÌNH ĐỊNH CŨ)</t>
        </is>
      </c>
      <c r="E3029" s="3" t="inlineStr">
        <is>
          <t>THÙY TRANG</t>
        </is>
      </c>
      <c r="F3029" s="3" t="inlineStr"/>
      <c r="G3029" s="4" t="inlineStr">
        <is>
          <t>SHOPEE: TIKTOK: LAZADA: WEBSITE BÁN HÀNG: YOUTUBE: https://www.youtube.com/channel/UCowiJLhwAySOYT7OCDWOOYA</t>
        </is>
      </c>
      <c r="H3029" s="3" t="inlineStr">
        <is>
          <t>KBH2F-1095</t>
        </is>
      </c>
      <c r="I3029" s="4" t="inlineStr">
        <is>
          <t>Mũi khoan ĐN lục giác 2 cạnh KBH2F-10*95</t>
        </is>
      </c>
      <c r="J3029" s="3" t="inlineStr">
        <is>
          <t>Cái</t>
        </is>
      </c>
      <c r="K3029" s="5" t="n">
        <v>42000</v>
      </c>
      <c r="L3029" s="5" t="n">
        <v>52000</v>
      </c>
      <c r="M3029" s="6" t="n">
        <v>67000</v>
      </c>
      <c r="N3029" s="5" t="n"/>
      <c r="O3029" s="5">
        <f>IF(AND(ISNUMBER(N3029),ISNUMBER(M3029)),N3029-M3029,"")</f>
        <v/>
      </c>
      <c r="P3029" s="7">
        <f>IF(AND(ISNUMBER(N3029),ISNUMBER(M3029),M3029&gt;0),(N3029-M3029)/M3029,"")</f>
        <v/>
      </c>
      <c r="Q3029" s="3">
        <f>IF(P3029="","",IF(P3029&lt;-0.02,"🔴 Bán phá giá sàn",IF(P3029&gt;0.05,"🔵 Bán cao hơn","🟢 Đúng giá sàn TMĐT")))</f>
        <v/>
      </c>
      <c r="R3029" s="3" t="n"/>
      <c r="S3029" s="4" t="n"/>
      <c r="T3029" s="4" t="n"/>
    </row>
    <row r="3030">
      <c r="A3030" s="3" t="n">
        <v>3029</v>
      </c>
      <c r="B3030" s="3" t="inlineStr">
        <is>
          <t>DL027</t>
        </is>
      </c>
      <c r="C3030" s="4" t="inlineStr">
        <is>
          <t>ĐL Bình Định - Khoan Pin 77</t>
        </is>
      </c>
      <c r="D3030" s="3" t="inlineStr">
        <is>
          <t>GIA LAI 
(BÌNH ĐỊNH CŨ)</t>
        </is>
      </c>
      <c r="E3030" s="3" t="inlineStr">
        <is>
          <t>THÙY TRANG</t>
        </is>
      </c>
      <c r="F3030" s="3" t="inlineStr"/>
      <c r="G3030" s="4" t="inlineStr">
        <is>
          <t>SHOPEE: TIKTOK: LAZADA: WEBSITE BÁN HÀNG: YOUTUBE: https://www.youtube.com/channel/UCowiJLhwAySOYT7OCDWOOYA</t>
        </is>
      </c>
      <c r="H3030" s="3" t="inlineStr">
        <is>
          <t>KBH2F-1295</t>
        </is>
      </c>
      <c r="I3030" s="4" t="inlineStr">
        <is>
          <t>Mũi khoan ĐN lục giác 2 cạnh KBH2F-12*95</t>
        </is>
      </c>
      <c r="J3030" s="3" t="inlineStr">
        <is>
          <t>Cái</t>
        </is>
      </c>
      <c r="K3030" s="5" t="n">
        <v>53000</v>
      </c>
      <c r="L3030" s="5" t="n">
        <v>66000</v>
      </c>
      <c r="M3030" s="6" t="n">
        <v>85000</v>
      </c>
      <c r="N3030" s="5" t="n"/>
      <c r="O3030" s="5">
        <f>IF(AND(ISNUMBER(N3030),ISNUMBER(M3030)),N3030-M3030,"")</f>
        <v/>
      </c>
      <c r="P3030" s="7">
        <f>IF(AND(ISNUMBER(N3030),ISNUMBER(M3030),M3030&gt;0),(N3030-M3030)/M3030,"")</f>
        <v/>
      </c>
      <c r="Q3030" s="3">
        <f>IF(P3030="","",IF(P3030&lt;-0.02,"🔴 Bán phá giá sàn",IF(P3030&gt;0.05,"🔵 Bán cao hơn","🟢 Đúng giá sàn TMĐT")))</f>
        <v/>
      </c>
      <c r="R3030" s="3" t="n"/>
      <c r="S3030" s="4" t="n"/>
      <c r="T3030" s="4" t="n"/>
    </row>
    <row r="3031">
      <c r="A3031" s="3" t="n">
        <v>3030</v>
      </c>
      <c r="B3031" s="3" t="inlineStr">
        <is>
          <t>DL027</t>
        </is>
      </c>
      <c r="C3031" s="4" t="inlineStr">
        <is>
          <t>ĐL Bình Định - Khoan Pin 77</t>
        </is>
      </c>
      <c r="D3031" s="3" t="inlineStr">
        <is>
          <t>GIA LAI 
(BÌNH ĐỊNH CŨ)</t>
        </is>
      </c>
      <c r="E3031" s="3" t="inlineStr">
        <is>
          <t>THÙY TRANG</t>
        </is>
      </c>
      <c r="F3031" s="3" t="inlineStr"/>
      <c r="G3031" s="4" t="inlineStr">
        <is>
          <t>SHOPEE: TIKTOK: LAZADA: WEBSITE BÁN HÀNG: YOUTUBE: https://www.youtube.com/channel/UCowiJLhwAySOYT7OCDWOOYA</t>
        </is>
      </c>
      <c r="H3031" s="3" t="inlineStr">
        <is>
          <t>KBH4S-06100</t>
        </is>
      </c>
      <c r="I3031" s="4" t="inlineStr">
        <is>
          <t>Mũi khoan ĐN lục giác 4 cạnh KBH4S-06*100</t>
        </is>
      </c>
      <c r="J3031" s="3" t="inlineStr">
        <is>
          <t>Cái</t>
        </is>
      </c>
      <c r="K3031" s="5" t="n">
        <v>41000</v>
      </c>
      <c r="L3031" s="5" t="n">
        <v>51000</v>
      </c>
      <c r="M3031" s="6" t="n">
        <v>65000</v>
      </c>
      <c r="N3031" s="5" t="n"/>
      <c r="O3031" s="5">
        <f>IF(AND(ISNUMBER(N3031),ISNUMBER(M3031)),N3031-M3031,"")</f>
        <v/>
      </c>
      <c r="P3031" s="7">
        <f>IF(AND(ISNUMBER(N3031),ISNUMBER(M3031),M3031&gt;0),(N3031-M3031)/M3031,"")</f>
        <v/>
      </c>
      <c r="Q3031" s="3">
        <f>IF(P3031="","",IF(P3031&lt;-0.02,"🔴 Bán phá giá sàn",IF(P3031&gt;0.05,"🔵 Bán cao hơn","🟢 Đúng giá sàn TMĐT")))</f>
        <v/>
      </c>
      <c r="R3031" s="3" t="n"/>
      <c r="S3031" s="4" t="n"/>
      <c r="T3031" s="4" t="n"/>
    </row>
    <row r="3032">
      <c r="A3032" s="3" t="n">
        <v>3031</v>
      </c>
      <c r="B3032" s="3" t="inlineStr">
        <is>
          <t>DL027</t>
        </is>
      </c>
      <c r="C3032" s="4" t="inlineStr">
        <is>
          <t>ĐL Bình Định - Khoan Pin 77</t>
        </is>
      </c>
      <c r="D3032" s="3" t="inlineStr">
        <is>
          <t>GIA LAI 
(BÌNH ĐỊNH CŨ)</t>
        </is>
      </c>
      <c r="E3032" s="3" t="inlineStr">
        <is>
          <t>THÙY TRANG</t>
        </is>
      </c>
      <c r="F3032" s="3" t="inlineStr"/>
      <c r="G3032" s="4" t="inlineStr">
        <is>
          <t>SHOPEE: TIKTOK: LAZADA: WEBSITE BÁN HÀNG: YOUTUBE: https://www.youtube.com/channel/UCowiJLhwAySOYT7OCDWOOYA</t>
        </is>
      </c>
      <c r="H3032" s="3" t="inlineStr">
        <is>
          <t>KBH4S-3.592</t>
        </is>
      </c>
      <c r="I3032" s="4" t="inlineStr">
        <is>
          <t>Mũi khoan ĐN lục giác 4 cạnh KBH4S-3.5*92</t>
        </is>
      </c>
      <c r="J3032" s="3" t="inlineStr">
        <is>
          <t>Cái</t>
        </is>
      </c>
      <c r="K3032" s="5" t="n">
        <v>23000</v>
      </c>
      <c r="L3032" s="5" t="n">
        <v>29000</v>
      </c>
      <c r="M3032" s="6" t="n">
        <v>37000</v>
      </c>
      <c r="N3032" s="5" t="n"/>
      <c r="O3032" s="5">
        <f>IF(AND(ISNUMBER(N3032),ISNUMBER(M3032)),N3032-M3032,"")</f>
        <v/>
      </c>
      <c r="P3032" s="7">
        <f>IF(AND(ISNUMBER(N3032),ISNUMBER(M3032),M3032&gt;0),(N3032-M3032)/M3032,"")</f>
        <v/>
      </c>
      <c r="Q3032" s="3">
        <f>IF(P3032="","",IF(P3032&lt;-0.02,"🔴 Bán phá giá sàn",IF(P3032&gt;0.05,"🔵 Bán cao hơn","🟢 Đúng giá sàn TMĐT")))</f>
        <v/>
      </c>
      <c r="R3032" s="3" t="n"/>
      <c r="S3032" s="4" t="n"/>
      <c r="T3032" s="4" t="n"/>
    </row>
    <row r="3033">
      <c r="A3033" s="3" t="n">
        <v>3032</v>
      </c>
      <c r="B3033" s="3" t="inlineStr">
        <is>
          <t>DL027</t>
        </is>
      </c>
      <c r="C3033" s="4" t="inlineStr">
        <is>
          <t>ĐL Bình Định - Khoan Pin 77</t>
        </is>
      </c>
      <c r="D3033" s="3" t="inlineStr">
        <is>
          <t>GIA LAI 
(BÌNH ĐỊNH CŨ)</t>
        </is>
      </c>
      <c r="E3033" s="3" t="inlineStr">
        <is>
          <t>THÙY TRANG</t>
        </is>
      </c>
      <c r="F3033" s="3" t="inlineStr"/>
      <c r="G3033" s="4" t="inlineStr">
        <is>
          <t>SHOPEE: TIKTOK: LAZADA: WEBSITE BÁN HÀNG: YOUTUBE: https://www.youtube.com/channel/UCowiJLhwAySOYT7OCDWOOYA</t>
        </is>
      </c>
      <c r="H3033" s="3" t="inlineStr">
        <is>
          <t>KBX1-06200</t>
        </is>
      </c>
      <c r="I3033" s="4" t="inlineStr">
        <is>
          <t>Mũi khoan gỗ chuôi lục KBX1-06*200</t>
        </is>
      </c>
      <c r="J3033" s="3" t="inlineStr">
        <is>
          <t>Cái</t>
        </is>
      </c>
      <c r="K3033" s="5" t="n">
        <v>32000</v>
      </c>
      <c r="L3033" s="5" t="n">
        <v>40000</v>
      </c>
      <c r="M3033" s="6" t="n">
        <v>51000</v>
      </c>
      <c r="N3033" s="5" t="n"/>
      <c r="O3033" s="5">
        <f>IF(AND(ISNUMBER(N3033),ISNUMBER(M3033)),N3033-M3033,"")</f>
        <v/>
      </c>
      <c r="P3033" s="7">
        <f>IF(AND(ISNUMBER(N3033),ISNUMBER(M3033),M3033&gt;0),(N3033-M3033)/M3033,"")</f>
        <v/>
      </c>
      <c r="Q3033" s="3">
        <f>IF(P3033="","",IF(P3033&lt;-0.02,"🔴 Bán phá giá sàn",IF(P3033&gt;0.05,"🔵 Bán cao hơn","🟢 Đúng giá sàn TMĐT")))</f>
        <v/>
      </c>
      <c r="R3033" s="3" t="n"/>
      <c r="S3033" s="4" t="n"/>
      <c r="T3033" s="4" t="n"/>
    </row>
    <row r="3034">
      <c r="A3034" s="3" t="n">
        <v>3033</v>
      </c>
      <c r="B3034" s="3" t="inlineStr">
        <is>
          <t>DL027</t>
        </is>
      </c>
      <c r="C3034" s="4" t="inlineStr">
        <is>
          <t>ĐL Bình Định - Khoan Pin 77</t>
        </is>
      </c>
      <c r="D3034" s="3" t="inlineStr">
        <is>
          <t>GIA LAI 
(BÌNH ĐỊNH CŨ)</t>
        </is>
      </c>
      <c r="E3034" s="3" t="inlineStr">
        <is>
          <t>THÙY TRANG</t>
        </is>
      </c>
      <c r="F3034" s="3" t="inlineStr"/>
      <c r="G3034" s="4" t="inlineStr">
        <is>
          <t>SHOPEE: TIKTOK: LAZADA: WEBSITE BÁN HÀNG: YOUTUBE: https://www.youtube.com/channel/UCowiJLhwAySOYT7OCDWOOYA</t>
        </is>
      </c>
      <c r="H3034" s="3" t="inlineStr">
        <is>
          <t>KBX1-08200</t>
        </is>
      </c>
      <c r="I3034" s="4" t="inlineStr">
        <is>
          <t>Mũi khoan gỗ chuôi lục KBX1-08*200</t>
        </is>
      </c>
      <c r="J3034" s="3" t="inlineStr">
        <is>
          <t>Cái</t>
        </is>
      </c>
      <c r="K3034" s="5" t="n">
        <v>39000</v>
      </c>
      <c r="L3034" s="5" t="n">
        <v>48000</v>
      </c>
      <c r="M3034" s="6" t="n">
        <v>62000</v>
      </c>
      <c r="N3034" s="5" t="n"/>
      <c r="O3034" s="5">
        <f>IF(AND(ISNUMBER(N3034),ISNUMBER(M3034)),N3034-M3034,"")</f>
        <v/>
      </c>
      <c r="P3034" s="7">
        <f>IF(AND(ISNUMBER(N3034),ISNUMBER(M3034),M3034&gt;0),(N3034-M3034)/M3034,"")</f>
        <v/>
      </c>
      <c r="Q3034" s="3">
        <f>IF(P3034="","",IF(P3034&lt;-0.02,"🔴 Bán phá giá sàn",IF(P3034&gt;0.05,"🔵 Bán cao hơn","🟢 Đúng giá sàn TMĐT")))</f>
        <v/>
      </c>
      <c r="R3034" s="3" t="n"/>
      <c r="S3034" s="4" t="n"/>
      <c r="T3034" s="4" t="n"/>
    </row>
    <row r="3035">
      <c r="A3035" s="3" t="n">
        <v>3034</v>
      </c>
      <c r="B3035" s="3" t="inlineStr">
        <is>
          <t>DL027</t>
        </is>
      </c>
      <c r="C3035" s="4" t="inlineStr">
        <is>
          <t>ĐL Bình Định - Khoan Pin 77</t>
        </is>
      </c>
      <c r="D3035" s="3" t="inlineStr">
        <is>
          <t>GIA LAI 
(BÌNH ĐỊNH CŨ)</t>
        </is>
      </c>
      <c r="E3035" s="3" t="inlineStr">
        <is>
          <t>THÙY TRANG</t>
        </is>
      </c>
      <c r="F3035" s="3" t="inlineStr"/>
      <c r="G3035" s="4" t="inlineStr">
        <is>
          <t>SHOPEE: TIKTOK: LAZADA: WEBSITE BÁN HÀNG: YOUTUBE: https://www.youtube.com/channel/UCowiJLhwAySOYT7OCDWOOYA</t>
        </is>
      </c>
      <c r="H3035" s="3" t="inlineStr">
        <is>
          <t>KBX1-10200</t>
        </is>
      </c>
      <c r="I3035" s="4" t="inlineStr">
        <is>
          <t>Mũi khoan gỗ chuôi lục KBX1-10*200</t>
        </is>
      </c>
      <c r="J3035" s="3" t="inlineStr">
        <is>
          <t>Cái</t>
        </is>
      </c>
      <c r="K3035" s="5" t="n">
        <v>43000</v>
      </c>
      <c r="L3035" s="5" t="n">
        <v>53000</v>
      </c>
      <c r="M3035" s="6" t="n">
        <v>69000</v>
      </c>
      <c r="N3035" s="5" t="n"/>
      <c r="O3035" s="5">
        <f>IF(AND(ISNUMBER(N3035),ISNUMBER(M3035)),N3035-M3035,"")</f>
        <v/>
      </c>
      <c r="P3035" s="7">
        <f>IF(AND(ISNUMBER(N3035),ISNUMBER(M3035),M3035&gt;0),(N3035-M3035)/M3035,"")</f>
        <v/>
      </c>
      <c r="Q3035" s="3">
        <f>IF(P3035="","",IF(P3035&lt;-0.02,"🔴 Bán phá giá sàn",IF(P3035&gt;0.05,"🔵 Bán cao hơn","🟢 Đúng giá sàn TMĐT")))</f>
        <v/>
      </c>
      <c r="R3035" s="3" t="n"/>
      <c r="S3035" s="4" t="n"/>
      <c r="T3035" s="4" t="n"/>
    </row>
    <row r="3036">
      <c r="A3036" s="3" t="n">
        <v>3035</v>
      </c>
      <c r="B3036" s="3" t="inlineStr">
        <is>
          <t>DL027</t>
        </is>
      </c>
      <c r="C3036" s="4" t="inlineStr">
        <is>
          <t>ĐL Bình Định - Khoan Pin 77</t>
        </is>
      </c>
      <c r="D3036" s="3" t="inlineStr">
        <is>
          <t>GIA LAI 
(BÌNH ĐỊNH CŨ)</t>
        </is>
      </c>
      <c r="E3036" s="3" t="inlineStr">
        <is>
          <t>THÙY TRANG</t>
        </is>
      </c>
      <c r="F3036" s="3" t="inlineStr"/>
      <c r="G3036" s="4" t="inlineStr">
        <is>
          <t>SHOPEE: TIKTOK: LAZADA: WEBSITE BÁN HÀNG: YOUTUBE: https://www.youtube.com/channel/UCowiJLhwAySOYT7OCDWOOYA</t>
        </is>
      </c>
      <c r="H3036" s="3" t="inlineStr"/>
      <c r="I3036" s="4" t="inlineStr">
        <is>
          <t>Mũi khoan rút lõi  KBRS- 63*155</t>
        </is>
      </c>
      <c r="J3036" s="3" t="inlineStr">
        <is>
          <t>Cái</t>
        </is>
      </c>
      <c r="K3036" s="5" t="n">
        <v>269000</v>
      </c>
      <c r="L3036" s="5" t="n">
        <v>317000</v>
      </c>
      <c r="M3036" s="6" t="n">
        <v>390000</v>
      </c>
      <c r="N3036" s="5" t="n"/>
      <c r="O3036" s="5">
        <f>IF(AND(ISNUMBER(N3036),ISNUMBER(M3036)),N3036-M3036,"")</f>
        <v/>
      </c>
      <c r="P3036" s="7">
        <f>IF(AND(ISNUMBER(N3036),ISNUMBER(M3036),M3036&gt;0),(N3036-M3036)/M3036,"")</f>
        <v/>
      </c>
      <c r="Q3036" s="3">
        <f>IF(P3036="","",IF(P3036&lt;-0.02,"🔴 Bán phá giá sàn",IF(P3036&gt;0.05,"🔵 Bán cao hơn","🟢 Đúng giá sàn TMĐT")))</f>
        <v/>
      </c>
      <c r="R3036" s="3" t="n"/>
      <c r="S3036" s="4" t="n"/>
      <c r="T3036" s="4" t="n"/>
    </row>
    <row r="3037">
      <c r="A3037" s="3" t="n">
        <v>3036</v>
      </c>
      <c r="B3037" s="3" t="inlineStr">
        <is>
          <t>DL027</t>
        </is>
      </c>
      <c r="C3037" s="4" t="inlineStr">
        <is>
          <t>ĐL Bình Định - Khoan Pin 77</t>
        </is>
      </c>
      <c r="D3037" s="3" t="inlineStr">
        <is>
          <t>GIA LAI 
(BÌNH ĐỊNH CŨ)</t>
        </is>
      </c>
      <c r="E3037" s="3" t="inlineStr">
        <is>
          <t>THÙY TRANG</t>
        </is>
      </c>
      <c r="F3037" s="3" t="inlineStr"/>
      <c r="G3037" s="4" t="inlineStr">
        <is>
          <t>SHOPEE: TIKTOK: LAZADA: WEBSITE BÁN HÀNG: YOUTUBE: https://www.youtube.com/channel/UCowiJLhwAySOYT7OCDWOOYA</t>
        </is>
      </c>
      <c r="H3037" s="3" t="inlineStr">
        <is>
          <t>KRS-27155</t>
        </is>
      </c>
      <c r="I3037" s="4" t="inlineStr">
        <is>
          <t>Mũi khoan rút lõi khô KRS-27*155</t>
        </is>
      </c>
      <c r="J3037" s="3" t="inlineStr">
        <is>
          <t>Cái</t>
        </is>
      </c>
      <c r="K3037" s="5" t="n">
        <v>269000</v>
      </c>
      <c r="L3037" s="5" t="n">
        <v>317000</v>
      </c>
      <c r="M3037" s="6" t="n">
        <v>390000</v>
      </c>
      <c r="N3037" s="5" t="n"/>
      <c r="O3037" s="5">
        <f>IF(AND(ISNUMBER(N3037),ISNUMBER(M3037)),N3037-M3037,"")</f>
        <v/>
      </c>
      <c r="P3037" s="7">
        <f>IF(AND(ISNUMBER(N3037),ISNUMBER(M3037),M3037&gt;0),(N3037-M3037)/M3037,"")</f>
        <v/>
      </c>
      <c r="Q3037" s="3">
        <f>IF(P3037="","",IF(P3037&lt;-0.02,"🔴 Bán phá giá sàn",IF(P3037&gt;0.05,"🔵 Bán cao hơn","🟢 Đúng giá sàn TMĐT")))</f>
        <v/>
      </c>
      <c r="R3037" s="3" t="n"/>
      <c r="S3037" s="4" t="n"/>
      <c r="T3037" s="4" t="n"/>
    </row>
    <row r="3038">
      <c r="A3038" s="3" t="n">
        <v>3037</v>
      </c>
      <c r="B3038" s="3" t="inlineStr">
        <is>
          <t>DL027</t>
        </is>
      </c>
      <c r="C3038" s="4" t="inlineStr">
        <is>
          <t>ĐL Bình Định - Khoan Pin 77</t>
        </is>
      </c>
      <c r="D3038" s="3" t="inlineStr">
        <is>
          <t>GIA LAI 
(BÌNH ĐỊNH CŨ)</t>
        </is>
      </c>
      <c r="E3038" s="3" t="inlineStr">
        <is>
          <t>THÙY TRANG</t>
        </is>
      </c>
      <c r="F3038" s="3" t="inlineStr"/>
      <c r="G3038" s="4" t="inlineStr">
        <is>
          <t>SHOPEE: TIKTOK: LAZADA: WEBSITE BÁN HÀNG: YOUTUBE: https://www.youtube.com/channel/UCowiJLhwAySOYT7OCDWOOYA</t>
        </is>
      </c>
      <c r="H3038" s="3" t="inlineStr">
        <is>
          <t>KRS-32155</t>
        </is>
      </c>
      <c r="I3038" s="4" t="inlineStr">
        <is>
          <t>Mũi khoan rút lõi khô KRS-32*155</t>
        </is>
      </c>
      <c r="J3038" s="3" t="inlineStr">
        <is>
          <t>Cái</t>
        </is>
      </c>
      <c r="K3038" s="5" t="n">
        <v>269000</v>
      </c>
      <c r="L3038" s="5" t="n">
        <v>317000</v>
      </c>
      <c r="M3038" s="6" t="n">
        <v>390000</v>
      </c>
      <c r="N3038" s="5" t="n"/>
      <c r="O3038" s="5">
        <f>IF(AND(ISNUMBER(N3038),ISNUMBER(M3038)),N3038-M3038,"")</f>
        <v/>
      </c>
      <c r="P3038" s="7">
        <f>IF(AND(ISNUMBER(N3038),ISNUMBER(M3038),M3038&gt;0),(N3038-M3038)/M3038,"")</f>
        <v/>
      </c>
      <c r="Q3038" s="3">
        <f>IF(P3038="","",IF(P3038&lt;-0.02,"🔴 Bán phá giá sàn",IF(P3038&gt;0.05,"🔵 Bán cao hơn","🟢 Đúng giá sàn TMĐT")))</f>
        <v/>
      </c>
      <c r="R3038" s="3" t="n"/>
      <c r="S3038" s="4" t="n"/>
      <c r="T3038" s="4" t="n"/>
    </row>
    <row r="3039">
      <c r="A3039" s="3" t="n">
        <v>3038</v>
      </c>
      <c r="B3039" s="3" t="inlineStr">
        <is>
          <t>DL027</t>
        </is>
      </c>
      <c r="C3039" s="4" t="inlineStr">
        <is>
          <t>ĐL Bình Định - Khoan Pin 77</t>
        </is>
      </c>
      <c r="D3039" s="3" t="inlineStr">
        <is>
          <t>GIA LAI 
(BÌNH ĐỊNH CŨ)</t>
        </is>
      </c>
      <c r="E3039" s="3" t="inlineStr">
        <is>
          <t>THÙY TRANG</t>
        </is>
      </c>
      <c r="F3039" s="3" t="inlineStr"/>
      <c r="G3039" s="4" t="inlineStr">
        <is>
          <t>SHOPEE: TIKTOK: LAZADA: WEBSITE BÁN HÀNG: YOUTUBE: https://www.youtube.com/channel/UCowiJLhwAySOYT7OCDWOOYA</t>
        </is>
      </c>
      <c r="H3039" s="3" t="inlineStr">
        <is>
          <t>KRS-36155</t>
        </is>
      </c>
      <c r="I3039" s="4" t="inlineStr">
        <is>
          <t>Mũi khoan rút lõi khô KRS-36*155</t>
        </is>
      </c>
      <c r="J3039" s="3" t="inlineStr">
        <is>
          <t>Cái</t>
        </is>
      </c>
      <c r="K3039" s="5" t="n">
        <v>269000</v>
      </c>
      <c r="L3039" s="5" t="n">
        <v>317000</v>
      </c>
      <c r="M3039" s="6" t="n">
        <v>390000</v>
      </c>
      <c r="N3039" s="5" t="n"/>
      <c r="O3039" s="5">
        <f>IF(AND(ISNUMBER(N3039),ISNUMBER(M3039)),N3039-M3039,"")</f>
        <v/>
      </c>
      <c r="P3039" s="7">
        <f>IF(AND(ISNUMBER(N3039),ISNUMBER(M3039),M3039&gt;0),(N3039-M3039)/M3039,"")</f>
        <v/>
      </c>
      <c r="Q3039" s="3">
        <f>IF(P3039="","",IF(P3039&lt;-0.02,"🔴 Bán phá giá sàn",IF(P3039&gt;0.05,"🔵 Bán cao hơn","🟢 Đúng giá sàn TMĐT")))</f>
        <v/>
      </c>
      <c r="R3039" s="3" t="n"/>
      <c r="S3039" s="4" t="n"/>
      <c r="T3039" s="4" t="n"/>
    </row>
    <row r="3040">
      <c r="A3040" s="3" t="n">
        <v>3039</v>
      </c>
      <c r="B3040" s="3" t="inlineStr">
        <is>
          <t>DL027</t>
        </is>
      </c>
      <c r="C3040" s="4" t="inlineStr">
        <is>
          <t>ĐL Bình Định - Khoan Pin 77</t>
        </is>
      </c>
      <c r="D3040" s="3" t="inlineStr">
        <is>
          <t>GIA LAI 
(BÌNH ĐỊNH CŨ)</t>
        </is>
      </c>
      <c r="E3040" s="3" t="inlineStr">
        <is>
          <t>THÙY TRANG</t>
        </is>
      </c>
      <c r="F3040" s="3" t="inlineStr"/>
      <c r="G3040" s="4" t="inlineStr">
        <is>
          <t>SHOPEE: TIKTOK: LAZADA: WEBSITE BÁN HÀNG: YOUTUBE: https://www.youtube.com/channel/UCowiJLhwAySOYT7OCDWOOYA</t>
        </is>
      </c>
      <c r="H3040" s="3" t="inlineStr">
        <is>
          <t>KBR-M61.0</t>
        </is>
      </c>
      <c r="I3040" s="4" t="inlineStr">
        <is>
          <t>Mũi khoan TARO KBR-M6*1.0</t>
        </is>
      </c>
      <c r="J3040" s="3" t="inlineStr">
        <is>
          <t>Cái</t>
        </is>
      </c>
      <c r="K3040" s="5" t="n">
        <v>58000</v>
      </c>
      <c r="L3040" s="5" t="n">
        <v>72000</v>
      </c>
      <c r="M3040" s="6" t="n">
        <v>93000</v>
      </c>
      <c r="N3040" s="5" t="n"/>
      <c r="O3040" s="5">
        <f>IF(AND(ISNUMBER(N3040),ISNUMBER(M3040)),N3040-M3040,"")</f>
        <v/>
      </c>
      <c r="P3040" s="7">
        <f>IF(AND(ISNUMBER(N3040),ISNUMBER(M3040),M3040&gt;0),(N3040-M3040)/M3040,"")</f>
        <v/>
      </c>
      <c r="Q3040" s="3">
        <f>IF(P3040="","",IF(P3040&lt;-0.02,"🔴 Bán phá giá sàn",IF(P3040&gt;0.05,"🔵 Bán cao hơn","🟢 Đúng giá sàn TMĐT")))</f>
        <v/>
      </c>
      <c r="R3040" s="3" t="n"/>
      <c r="S3040" s="4" t="n"/>
      <c r="T3040" s="4" t="n"/>
    </row>
    <row r="3041">
      <c r="A3041" s="3" t="n">
        <v>3040</v>
      </c>
      <c r="B3041" s="3" t="inlineStr">
        <is>
          <t>DL027</t>
        </is>
      </c>
      <c r="C3041" s="4" t="inlineStr">
        <is>
          <t>ĐL Bình Định - Khoan Pin 77</t>
        </is>
      </c>
      <c r="D3041" s="3" t="inlineStr">
        <is>
          <t>GIA LAI 
(BÌNH ĐỊNH CŨ)</t>
        </is>
      </c>
      <c r="E3041" s="3" t="inlineStr">
        <is>
          <t>THÙY TRANG</t>
        </is>
      </c>
      <c r="F3041" s="3" t="inlineStr"/>
      <c r="G3041" s="4" t="inlineStr">
        <is>
          <t>SHOPEE: TIKTOK: LAZADA: WEBSITE BÁN HÀNG: YOUTUBE: https://www.youtube.com/channel/UCowiJLhwAySOYT7OCDWOOYA</t>
        </is>
      </c>
      <c r="H3041" s="3" t="inlineStr">
        <is>
          <t>KBT-0412</t>
        </is>
      </c>
      <c r="I3041" s="4" t="inlineStr">
        <is>
          <t>Mũi khoan tháp M2 KBT-04*12</t>
        </is>
      </c>
      <c r="J3041" s="3" t="inlineStr">
        <is>
          <t>Cái</t>
        </is>
      </c>
      <c r="K3041" s="5" t="n">
        <v>88000</v>
      </c>
      <c r="L3041" s="5" t="n">
        <v>109000</v>
      </c>
      <c r="M3041" s="6" t="n">
        <v>141000</v>
      </c>
      <c r="N3041" s="5" t="n"/>
      <c r="O3041" s="5">
        <f>IF(AND(ISNUMBER(N3041),ISNUMBER(M3041)),N3041-M3041,"")</f>
        <v/>
      </c>
      <c r="P3041" s="7">
        <f>IF(AND(ISNUMBER(N3041),ISNUMBER(M3041),M3041&gt;0),(N3041-M3041)/M3041,"")</f>
        <v/>
      </c>
      <c r="Q3041" s="3">
        <f>IF(P3041="","",IF(P3041&lt;-0.02,"🔴 Bán phá giá sàn",IF(P3041&gt;0.05,"🔵 Bán cao hơn","🟢 Đúng giá sàn TMĐT")))</f>
        <v/>
      </c>
      <c r="R3041" s="3" t="n"/>
      <c r="S3041" s="4" t="n"/>
      <c r="T3041" s="4" t="n"/>
    </row>
    <row r="3042">
      <c r="A3042" s="3" t="n">
        <v>3041</v>
      </c>
      <c r="B3042" s="3" t="inlineStr">
        <is>
          <t>DL027</t>
        </is>
      </c>
      <c r="C3042" s="4" t="inlineStr">
        <is>
          <t>ĐL Bình Định - Khoan Pin 77</t>
        </is>
      </c>
      <c r="D3042" s="3" t="inlineStr">
        <is>
          <t>GIA LAI 
(BÌNH ĐỊNH CŨ)</t>
        </is>
      </c>
      <c r="E3042" s="3" t="inlineStr">
        <is>
          <t>THÙY TRANG</t>
        </is>
      </c>
      <c r="F3042" s="3" t="inlineStr"/>
      <c r="G3042" s="4" t="inlineStr">
        <is>
          <t>SHOPEE: TIKTOK: LAZADA: WEBSITE BÁN HÀNG: YOUTUBE: https://www.youtube.com/channel/UCowiJLhwAySOYT7OCDWOOYA</t>
        </is>
      </c>
      <c r="H3042" s="3" t="inlineStr">
        <is>
          <t>KBT-0420</t>
        </is>
      </c>
      <c r="I3042" s="4" t="inlineStr">
        <is>
          <t>Mũi khoan tháp M2 KBT-04*20</t>
        </is>
      </c>
      <c r="J3042" s="3" t="inlineStr">
        <is>
          <t>Cái</t>
        </is>
      </c>
      <c r="K3042" s="5" t="n">
        <v>170000</v>
      </c>
      <c r="L3042" s="5" t="n">
        <v>211000</v>
      </c>
      <c r="M3042" s="6" t="n">
        <v>272000</v>
      </c>
      <c r="N3042" s="5" t="n"/>
      <c r="O3042" s="5">
        <f>IF(AND(ISNUMBER(N3042),ISNUMBER(M3042)),N3042-M3042,"")</f>
        <v/>
      </c>
      <c r="P3042" s="7">
        <f>IF(AND(ISNUMBER(N3042),ISNUMBER(M3042),M3042&gt;0),(N3042-M3042)/M3042,"")</f>
        <v/>
      </c>
      <c r="Q3042" s="3">
        <f>IF(P3042="","",IF(P3042&lt;-0.02,"🔴 Bán phá giá sàn",IF(P3042&gt;0.05,"🔵 Bán cao hơn","🟢 Đúng giá sàn TMĐT")))</f>
        <v/>
      </c>
      <c r="R3042" s="3" t="n"/>
      <c r="S3042" s="4" t="n"/>
      <c r="T3042" s="4" t="n"/>
    </row>
    <row r="3043">
      <c r="A3043" s="3" t="n">
        <v>3042</v>
      </c>
      <c r="B3043" s="3" t="inlineStr">
        <is>
          <t>DL027</t>
        </is>
      </c>
      <c r="C3043" s="4" t="inlineStr">
        <is>
          <t>ĐL Bình Định - Khoan Pin 77</t>
        </is>
      </c>
      <c r="D3043" s="3" t="inlineStr">
        <is>
          <t>GIA LAI 
(BÌNH ĐỊNH CŨ)</t>
        </is>
      </c>
      <c r="E3043" s="3" t="inlineStr">
        <is>
          <t>THÙY TRANG</t>
        </is>
      </c>
      <c r="F3043" s="3" t="inlineStr"/>
      <c r="G3043" s="4" t="inlineStr">
        <is>
          <t>SHOPEE: TIKTOK: LAZADA: WEBSITE BÁN HÀNG: YOUTUBE: https://www.youtube.com/channel/UCowiJLhwAySOYT7OCDWOOYA</t>
        </is>
      </c>
      <c r="H3043" s="3" t="inlineStr">
        <is>
          <t>KBT-0432</t>
        </is>
      </c>
      <c r="I3043" s="4" t="inlineStr">
        <is>
          <t>Mũi khoan tháp M2 KBT-04*32</t>
        </is>
      </c>
      <c r="J3043" s="3" t="inlineStr">
        <is>
          <t>Cái</t>
        </is>
      </c>
      <c r="K3043" s="5" t="n">
        <v>319000</v>
      </c>
      <c r="L3043" s="5" t="n">
        <v>395000</v>
      </c>
      <c r="M3043" s="6" t="n">
        <v>510000</v>
      </c>
      <c r="N3043" s="5" t="n"/>
      <c r="O3043" s="5">
        <f>IF(AND(ISNUMBER(N3043),ISNUMBER(M3043)),N3043-M3043,"")</f>
        <v/>
      </c>
      <c r="P3043" s="7">
        <f>IF(AND(ISNUMBER(N3043),ISNUMBER(M3043),M3043&gt;0),(N3043-M3043)/M3043,"")</f>
        <v/>
      </c>
      <c r="Q3043" s="3">
        <f>IF(P3043="","",IF(P3043&lt;-0.02,"🔴 Bán phá giá sàn",IF(P3043&gt;0.05,"🔵 Bán cao hơn","🟢 Đúng giá sàn TMĐT")))</f>
        <v/>
      </c>
      <c r="R3043" s="3" t="n"/>
      <c r="S3043" s="4" t="n"/>
      <c r="T3043" s="4" t="n"/>
    </row>
    <row r="3044">
      <c r="A3044" s="3" t="n">
        <v>3043</v>
      </c>
      <c r="B3044" s="3" t="inlineStr">
        <is>
          <t>DL027</t>
        </is>
      </c>
      <c r="C3044" s="4" t="inlineStr">
        <is>
          <t>ĐL Bình Định - Khoan Pin 77</t>
        </is>
      </c>
      <c r="D3044" s="3" t="inlineStr">
        <is>
          <t>GIA LAI 
(BÌNH ĐỊNH CŨ)</t>
        </is>
      </c>
      <c r="E3044" s="3" t="inlineStr">
        <is>
          <t>THÙY TRANG</t>
        </is>
      </c>
      <c r="F3044" s="3" t="inlineStr"/>
      <c r="G3044" s="4" t="inlineStr">
        <is>
          <t>SHOPEE: TIKTOK: LAZADA: WEBSITE BÁN HÀNG: YOUTUBE: https://www.youtube.com/channel/UCowiJLhwAySOYT7OCDWOOYA</t>
        </is>
      </c>
      <c r="H3044" s="3" t="inlineStr"/>
      <c r="I3044" s="4" t="inlineStr">
        <is>
          <t>Mũi khoan tường không tắc kê KBLJ - 03*100</t>
        </is>
      </c>
      <c r="J3044" s="3" t="inlineStr">
        <is>
          <t>Cái</t>
        </is>
      </c>
      <c r="K3044" s="5" t="n">
        <v>269000</v>
      </c>
      <c r="L3044" s="5" t="n">
        <v>317000</v>
      </c>
      <c r="M3044" s="6" t="n">
        <v>390000</v>
      </c>
      <c r="N3044" s="5" t="n"/>
      <c r="O3044" s="5">
        <f>IF(AND(ISNUMBER(N3044),ISNUMBER(M3044)),N3044-M3044,"")</f>
        <v/>
      </c>
      <c r="P3044" s="7">
        <f>IF(AND(ISNUMBER(N3044),ISNUMBER(M3044),M3044&gt;0),(N3044-M3044)/M3044,"")</f>
        <v/>
      </c>
      <c r="Q3044" s="3">
        <f>IF(P3044="","",IF(P3044&lt;-0.02,"🔴 Bán phá giá sàn",IF(P3044&gt;0.05,"🔵 Bán cao hơn","🟢 Đúng giá sàn TMĐT")))</f>
        <v/>
      </c>
      <c r="R3044" s="3" t="n"/>
      <c r="S3044" s="4" t="n"/>
      <c r="T3044" s="4" t="n"/>
    </row>
    <row r="3045">
      <c r="A3045" s="3" t="n">
        <v>3044</v>
      </c>
      <c r="B3045" s="3" t="inlineStr">
        <is>
          <t>DL027</t>
        </is>
      </c>
      <c r="C3045" s="4" t="inlineStr">
        <is>
          <t>ĐL Bình Định - Khoan Pin 77</t>
        </is>
      </c>
      <c r="D3045" s="3" t="inlineStr">
        <is>
          <t>GIA LAI 
(BÌNH ĐỊNH CŨ)</t>
        </is>
      </c>
      <c r="E3045" s="3" t="inlineStr">
        <is>
          <t>THÙY TRANG</t>
        </is>
      </c>
      <c r="F3045" s="3" t="inlineStr"/>
      <c r="G3045" s="4" t="inlineStr">
        <is>
          <t>SHOPEE: TIKTOK: LAZADA: WEBSITE BÁN HÀNG: YOUTUBE: https://www.youtube.com/channel/UCowiJLhwAySOYT7OCDWOOYA</t>
        </is>
      </c>
      <c r="H3045" s="3" t="inlineStr"/>
      <c r="I3045" s="4" t="inlineStr">
        <is>
          <t>Mũi khoan tường không tắc kê KBLJ - 03.2*100</t>
        </is>
      </c>
      <c r="J3045" s="3" t="inlineStr">
        <is>
          <t>Cái</t>
        </is>
      </c>
      <c r="K3045" s="5" t="n">
        <v>269000</v>
      </c>
      <c r="L3045" s="5" t="n">
        <v>317000</v>
      </c>
      <c r="M3045" s="6" t="n">
        <v>390000</v>
      </c>
      <c r="N3045" s="5" t="n"/>
      <c r="O3045" s="5">
        <f>IF(AND(ISNUMBER(N3045),ISNUMBER(M3045)),N3045-M3045,"")</f>
        <v/>
      </c>
      <c r="P3045" s="7">
        <f>IF(AND(ISNUMBER(N3045),ISNUMBER(M3045),M3045&gt;0),(N3045-M3045)/M3045,"")</f>
        <v/>
      </c>
      <c r="Q3045" s="3">
        <f>IF(P3045="","",IF(P3045&lt;-0.02,"🔴 Bán phá giá sàn",IF(P3045&gt;0.05,"🔵 Bán cao hơn","🟢 Đúng giá sàn TMĐT")))</f>
        <v/>
      </c>
      <c r="R3045" s="3" t="n"/>
      <c r="S3045" s="4" t="n"/>
      <c r="T3045" s="4" t="n"/>
    </row>
    <row r="3046">
      <c r="A3046" s="3" t="n">
        <v>3045</v>
      </c>
      <c r="B3046" s="3" t="inlineStr">
        <is>
          <t>DL027</t>
        </is>
      </c>
      <c r="C3046" s="4" t="inlineStr">
        <is>
          <t>ĐL Bình Định - Khoan Pin 77</t>
        </is>
      </c>
      <c r="D3046" s="3" t="inlineStr">
        <is>
          <t>GIA LAI 
(BÌNH ĐỊNH CŨ)</t>
        </is>
      </c>
      <c r="E3046" s="3" t="inlineStr">
        <is>
          <t>THÙY TRANG</t>
        </is>
      </c>
      <c r="F3046" s="3" t="inlineStr"/>
      <c r="G3046" s="4" t="inlineStr">
        <is>
          <t>SHOPEE: TIKTOK: LAZADA: WEBSITE BÁN HÀNG: YOUTUBE: https://www.youtube.com/channel/UCowiJLhwAySOYT7OCDWOOYA</t>
        </is>
      </c>
      <c r="H3046" s="3" t="inlineStr"/>
      <c r="I3046" s="4" t="inlineStr">
        <is>
          <t>Mũi khoan tường không tắc kê KBLJ - 03.5*100</t>
        </is>
      </c>
      <c r="J3046" s="3" t="inlineStr">
        <is>
          <t>Cái</t>
        </is>
      </c>
      <c r="K3046" s="5" t="n">
        <v>269000</v>
      </c>
      <c r="L3046" s="5" t="n">
        <v>317000</v>
      </c>
      <c r="M3046" s="6" t="n">
        <v>390000</v>
      </c>
      <c r="N3046" s="5" t="n"/>
      <c r="O3046" s="5">
        <f>IF(AND(ISNUMBER(N3046),ISNUMBER(M3046)),N3046-M3046,"")</f>
        <v/>
      </c>
      <c r="P3046" s="7">
        <f>IF(AND(ISNUMBER(N3046),ISNUMBER(M3046),M3046&gt;0),(N3046-M3046)/M3046,"")</f>
        <v/>
      </c>
      <c r="Q3046" s="3">
        <f>IF(P3046="","",IF(P3046&lt;-0.02,"🔴 Bán phá giá sàn",IF(P3046&gt;0.05,"🔵 Bán cao hơn","🟢 Đúng giá sàn TMĐT")))</f>
        <v/>
      </c>
      <c r="R3046" s="3" t="n"/>
      <c r="S3046" s="4" t="n"/>
      <c r="T3046" s="4" t="n"/>
    </row>
    <row r="3047">
      <c r="A3047" s="3" t="n">
        <v>3046</v>
      </c>
      <c r="B3047" s="3" t="inlineStr">
        <is>
          <t>DL027</t>
        </is>
      </c>
      <c r="C3047" s="4" t="inlineStr">
        <is>
          <t>ĐL Bình Định - Khoan Pin 77</t>
        </is>
      </c>
      <c r="D3047" s="3" t="inlineStr">
        <is>
          <t>GIA LAI 
(BÌNH ĐỊNH CŨ)</t>
        </is>
      </c>
      <c r="E3047" s="3" t="inlineStr">
        <is>
          <t>THÙY TRANG</t>
        </is>
      </c>
      <c r="F3047" s="3" t="inlineStr"/>
      <c r="G3047" s="4" t="inlineStr">
        <is>
          <t>SHOPEE: TIKTOK: LAZADA: WEBSITE BÁN HÀNG: YOUTUBE: https://www.youtube.com/channel/UCowiJLhwAySOYT7OCDWOOYA</t>
        </is>
      </c>
      <c r="H3047" s="3" t="inlineStr"/>
      <c r="I3047" s="4" t="inlineStr">
        <is>
          <t>Mũi khoan tường không tắc kê KBLJ - 04*100</t>
        </is>
      </c>
      <c r="J3047" s="3" t="inlineStr">
        <is>
          <t>Cái</t>
        </is>
      </c>
      <c r="K3047" s="5" t="n">
        <v>269000</v>
      </c>
      <c r="L3047" s="5" t="n">
        <v>317000</v>
      </c>
      <c r="M3047" s="6" t="n">
        <v>390000</v>
      </c>
      <c r="N3047" s="5" t="n"/>
      <c r="O3047" s="5">
        <f>IF(AND(ISNUMBER(N3047),ISNUMBER(M3047)),N3047-M3047,"")</f>
        <v/>
      </c>
      <c r="P3047" s="7">
        <f>IF(AND(ISNUMBER(N3047),ISNUMBER(M3047),M3047&gt;0),(N3047-M3047)/M3047,"")</f>
        <v/>
      </c>
      <c r="Q3047" s="3">
        <f>IF(P3047="","",IF(P3047&lt;-0.02,"🔴 Bán phá giá sàn",IF(P3047&gt;0.05,"🔵 Bán cao hơn","🟢 Đúng giá sàn TMĐT")))</f>
        <v/>
      </c>
      <c r="R3047" s="3" t="n"/>
      <c r="S3047" s="4" t="n"/>
      <c r="T3047" s="4" t="n"/>
    </row>
    <row r="3048">
      <c r="A3048" s="3" t="n">
        <v>3047</v>
      </c>
      <c r="B3048" s="3" t="inlineStr">
        <is>
          <t>DL027</t>
        </is>
      </c>
      <c r="C3048" s="4" t="inlineStr">
        <is>
          <t>ĐL Bình Định - Khoan Pin 77</t>
        </is>
      </c>
      <c r="D3048" s="3" t="inlineStr">
        <is>
          <t>GIA LAI 
(BÌNH ĐỊNH CŨ)</t>
        </is>
      </c>
      <c r="E3048" s="3" t="inlineStr">
        <is>
          <t>THÙY TRANG</t>
        </is>
      </c>
      <c r="F3048" s="3" t="inlineStr"/>
      <c r="G3048" s="4" t="inlineStr">
        <is>
          <t>SHOPEE: TIKTOK: LAZADA: WEBSITE BÁN HÀNG: YOUTUBE: https://www.youtube.com/channel/UCowiJLhwAySOYT7OCDWOOYA</t>
        </is>
      </c>
      <c r="H3048" s="3" t="inlineStr"/>
      <c r="I3048" s="4" t="inlineStr">
        <is>
          <t>Mũi khoan tường không tắc kê KBLJ - 04.2*100</t>
        </is>
      </c>
      <c r="J3048" s="3" t="inlineStr">
        <is>
          <t>Cái</t>
        </is>
      </c>
      <c r="K3048" s="5" t="n">
        <v>269000</v>
      </c>
      <c r="L3048" s="5" t="n">
        <v>317000</v>
      </c>
      <c r="M3048" s="6" t="n">
        <v>390000</v>
      </c>
      <c r="N3048" s="5" t="n"/>
      <c r="O3048" s="5">
        <f>IF(AND(ISNUMBER(N3048),ISNUMBER(M3048)),N3048-M3048,"")</f>
        <v/>
      </c>
      <c r="P3048" s="7">
        <f>IF(AND(ISNUMBER(N3048),ISNUMBER(M3048),M3048&gt;0),(N3048-M3048)/M3048,"")</f>
        <v/>
      </c>
      <c r="Q3048" s="3">
        <f>IF(P3048="","",IF(P3048&lt;-0.02,"🔴 Bán phá giá sàn",IF(P3048&gt;0.05,"🔵 Bán cao hơn","🟢 Đúng giá sàn TMĐT")))</f>
        <v/>
      </c>
      <c r="R3048" s="3" t="n"/>
      <c r="S3048" s="4" t="n"/>
      <c r="T3048" s="4" t="n"/>
    </row>
    <row r="3049">
      <c r="A3049" s="3" t="n">
        <v>3048</v>
      </c>
      <c r="B3049" s="3" t="inlineStr">
        <is>
          <t>DL027</t>
        </is>
      </c>
      <c r="C3049" s="4" t="inlineStr">
        <is>
          <t>ĐL Bình Định - Khoan Pin 77</t>
        </is>
      </c>
      <c r="D3049" s="3" t="inlineStr">
        <is>
          <t>GIA LAI 
(BÌNH ĐỊNH CŨ)</t>
        </is>
      </c>
      <c r="E3049" s="3" t="inlineStr">
        <is>
          <t>THÙY TRANG</t>
        </is>
      </c>
      <c r="F3049" s="3" t="inlineStr"/>
      <c r="G3049" s="4" t="inlineStr">
        <is>
          <t>SHOPEE: TIKTOK: LAZADA: WEBSITE BÁN HÀNG: YOUTUBE: https://www.youtube.com/channel/UCowiJLhwAySOYT7OCDWOOYA</t>
        </is>
      </c>
      <c r="H3049" s="3" t="inlineStr"/>
      <c r="I3049" s="4" t="inlineStr">
        <is>
          <t>Mũi khoan tường không tắc kê KBLJ - 06*125</t>
        </is>
      </c>
      <c r="J3049" s="3" t="inlineStr">
        <is>
          <t>Cái</t>
        </is>
      </c>
      <c r="K3049" s="5" t="n">
        <v>269000</v>
      </c>
      <c r="L3049" s="5" t="n">
        <v>317000</v>
      </c>
      <c r="M3049" s="6" t="n">
        <v>390000</v>
      </c>
      <c r="N3049" s="5" t="n"/>
      <c r="O3049" s="5">
        <f>IF(AND(ISNUMBER(N3049),ISNUMBER(M3049)),N3049-M3049,"")</f>
        <v/>
      </c>
      <c r="P3049" s="7">
        <f>IF(AND(ISNUMBER(N3049),ISNUMBER(M3049),M3049&gt;0),(N3049-M3049)/M3049,"")</f>
        <v/>
      </c>
      <c r="Q3049" s="3">
        <f>IF(P3049="","",IF(P3049&lt;-0.02,"🔴 Bán phá giá sàn",IF(P3049&gt;0.05,"🔵 Bán cao hơn","🟢 Đúng giá sàn TMĐT")))</f>
        <v/>
      </c>
      <c r="R3049" s="3" t="n"/>
      <c r="S3049" s="4" t="n"/>
      <c r="T3049" s="4" t="n"/>
    </row>
    <row r="3050">
      <c r="A3050" s="3" t="n">
        <v>3049</v>
      </c>
      <c r="B3050" s="3" t="inlineStr">
        <is>
          <t>DL027</t>
        </is>
      </c>
      <c r="C3050" s="4" t="inlineStr">
        <is>
          <t>ĐL Bình Định - Khoan Pin 77</t>
        </is>
      </c>
      <c r="D3050" s="3" t="inlineStr">
        <is>
          <t>GIA LAI 
(BÌNH ĐỊNH CŨ)</t>
        </is>
      </c>
      <c r="E3050" s="3" t="inlineStr">
        <is>
          <t>THÙY TRANG</t>
        </is>
      </c>
      <c r="F3050" s="3" t="inlineStr"/>
      <c r="G3050" s="4" t="inlineStr">
        <is>
          <t>SHOPEE: TIKTOK: LAZADA: WEBSITE BÁN HÀNG: YOUTUBE: https://www.youtube.com/channel/UCowiJLhwAySOYT7OCDWOOYA</t>
        </is>
      </c>
      <c r="H3050" s="3" t="inlineStr"/>
      <c r="I3050" s="4" t="inlineStr">
        <is>
          <t>Mũi khoan tường không tắc kê KBLJ - 08*125</t>
        </is>
      </c>
      <c r="J3050" s="3" t="inlineStr">
        <is>
          <t>Cái</t>
        </is>
      </c>
      <c r="K3050" s="5" t="n">
        <v>269000</v>
      </c>
      <c r="L3050" s="5" t="n">
        <v>317000</v>
      </c>
      <c r="M3050" s="6" t="n">
        <v>390000</v>
      </c>
      <c r="N3050" s="5" t="n"/>
      <c r="O3050" s="5">
        <f>IF(AND(ISNUMBER(N3050),ISNUMBER(M3050)),N3050-M3050,"")</f>
        <v/>
      </c>
      <c r="P3050" s="7">
        <f>IF(AND(ISNUMBER(N3050),ISNUMBER(M3050),M3050&gt;0),(N3050-M3050)/M3050,"")</f>
        <v/>
      </c>
      <c r="Q3050" s="3">
        <f>IF(P3050="","",IF(P3050&lt;-0.02,"🔴 Bán phá giá sàn",IF(P3050&gt;0.05,"🔵 Bán cao hơn","🟢 Đúng giá sàn TMĐT")))</f>
        <v/>
      </c>
      <c r="R3050" s="3" t="n"/>
      <c r="S3050" s="4" t="n"/>
      <c r="T3050" s="4" t="n"/>
    </row>
    <row r="3051">
      <c r="A3051" s="3" t="n">
        <v>3050</v>
      </c>
      <c r="B3051" s="3" t="inlineStr">
        <is>
          <t>DL027</t>
        </is>
      </c>
      <c r="C3051" s="4" t="inlineStr">
        <is>
          <t>ĐL Bình Định - Khoan Pin 77</t>
        </is>
      </c>
      <c r="D3051" s="3" t="inlineStr">
        <is>
          <t>GIA LAI 
(BÌNH ĐỊNH CŨ)</t>
        </is>
      </c>
      <c r="E3051" s="3" t="inlineStr">
        <is>
          <t>THÙY TRANG</t>
        </is>
      </c>
      <c r="F3051" s="3" t="inlineStr"/>
      <c r="G3051" s="4" t="inlineStr">
        <is>
          <t>SHOPEE: TIKTOK: LAZADA: WEBSITE BÁN HÀNG: YOUTUBE: https://www.youtube.com/channel/UCowiJLhwAySOYT7OCDWOOYA</t>
        </is>
      </c>
      <c r="H3051" s="3" t="inlineStr">
        <is>
          <t>KBL4-10350</t>
        </is>
      </c>
      <c r="I3051" s="4" t="inlineStr">
        <is>
          <t>Mũi khoan xuyên tường 4 cạnh KBL4-10*350</t>
        </is>
      </c>
      <c r="J3051" s="3" t="inlineStr">
        <is>
          <t>Cái</t>
        </is>
      </c>
      <c r="K3051" s="5" t="n">
        <v>81000</v>
      </c>
      <c r="L3051" s="5" t="n">
        <v>99000</v>
      </c>
      <c r="M3051" s="6" t="n">
        <v>126000</v>
      </c>
      <c r="N3051" s="5" t="n"/>
      <c r="O3051" s="5">
        <f>IF(AND(ISNUMBER(N3051),ISNUMBER(M3051)),N3051-M3051,"")</f>
        <v/>
      </c>
      <c r="P3051" s="7">
        <f>IF(AND(ISNUMBER(N3051),ISNUMBER(M3051),M3051&gt;0),(N3051-M3051)/M3051,"")</f>
        <v/>
      </c>
      <c r="Q3051" s="3">
        <f>IF(P3051="","",IF(P3051&lt;-0.02,"🔴 Bán phá giá sàn",IF(P3051&gt;0.05,"🔵 Bán cao hơn","🟢 Đúng giá sàn TMĐT")))</f>
        <v/>
      </c>
      <c r="R3051" s="3" t="n"/>
      <c r="S3051" s="4" t="n"/>
      <c r="T3051" s="4" t="n"/>
    </row>
    <row r="3052">
      <c r="A3052" s="3" t="n">
        <v>3051</v>
      </c>
      <c r="B3052" s="3" t="inlineStr">
        <is>
          <t>DL027</t>
        </is>
      </c>
      <c r="C3052" s="4" t="inlineStr">
        <is>
          <t>ĐL Bình Định - Khoan Pin 77</t>
        </is>
      </c>
      <c r="D3052" s="3" t="inlineStr">
        <is>
          <t>GIA LAI 
(BÌNH ĐỊNH CŨ)</t>
        </is>
      </c>
      <c r="E3052" s="3" t="inlineStr">
        <is>
          <t>THÙY TRANG</t>
        </is>
      </c>
      <c r="F3052" s="3" t="inlineStr"/>
      <c r="G3052" s="4" t="inlineStr">
        <is>
          <t>SHOPEE: TIKTOK: LAZADA: WEBSITE BÁN HÀNG: YOUTUBE: https://www.youtube.com/channel/UCowiJLhwAySOYT7OCDWOOYA</t>
        </is>
      </c>
      <c r="H3052" s="3" t="inlineStr">
        <is>
          <t>KBL4-18350</t>
        </is>
      </c>
      <c r="I3052" s="4" t="inlineStr">
        <is>
          <t>Mũi khoan xuyên tường 4 cạnh KBL4-18*350</t>
        </is>
      </c>
      <c r="J3052" s="3" t="inlineStr">
        <is>
          <t>Cái</t>
        </is>
      </c>
      <c r="K3052" s="5" t="n">
        <v>146000</v>
      </c>
      <c r="L3052" s="5" t="n">
        <v>178000</v>
      </c>
      <c r="M3052" s="6" t="n">
        <v>226000</v>
      </c>
      <c r="N3052" s="5" t="n"/>
      <c r="O3052" s="5">
        <f>IF(AND(ISNUMBER(N3052),ISNUMBER(M3052)),N3052-M3052,"")</f>
        <v/>
      </c>
      <c r="P3052" s="7">
        <f>IF(AND(ISNUMBER(N3052),ISNUMBER(M3052),M3052&gt;0),(N3052-M3052)/M3052,"")</f>
        <v/>
      </c>
      <c r="Q3052" s="3">
        <f>IF(P3052="","",IF(P3052&lt;-0.02,"🔴 Bán phá giá sàn",IF(P3052&gt;0.05,"🔵 Bán cao hơn","🟢 Đúng giá sàn TMĐT")))</f>
        <v/>
      </c>
      <c r="R3052" s="3" t="n"/>
      <c r="S3052" s="4" t="n"/>
      <c r="T3052" s="4" t="n"/>
    </row>
    <row r="3053">
      <c r="A3053" s="3" t="n">
        <v>3052</v>
      </c>
      <c r="B3053" s="3" t="inlineStr">
        <is>
          <t>DL027</t>
        </is>
      </c>
      <c r="C3053" s="4" t="inlineStr">
        <is>
          <t>ĐL Bình Định - Khoan Pin 77</t>
        </is>
      </c>
      <c r="D3053" s="3" t="inlineStr">
        <is>
          <t>GIA LAI 
(BÌNH ĐỊNH CŨ)</t>
        </is>
      </c>
      <c r="E3053" s="3" t="inlineStr">
        <is>
          <t>THÙY TRANG</t>
        </is>
      </c>
      <c r="F3053" s="3" t="inlineStr"/>
      <c r="G3053" s="4" t="inlineStr">
        <is>
          <t>SHOPEE: TIKTOK: LAZADA: WEBSITE BÁN HÀNG: YOUTUBE: https://www.youtube.com/channel/UCowiJLhwAySOYT7OCDWOOYA</t>
        </is>
      </c>
      <c r="H3053" s="3" t="inlineStr">
        <is>
          <t>KBX2-21</t>
        </is>
      </c>
      <c r="I3053" s="4" t="inlineStr">
        <is>
          <t>Mũi khoét gỗ KBX2-21</t>
        </is>
      </c>
      <c r="J3053" s="3" t="inlineStr">
        <is>
          <t>Cái</t>
        </is>
      </c>
      <c r="K3053" s="5" t="n">
        <v>68000</v>
      </c>
      <c r="L3053" s="5" t="n">
        <v>80000</v>
      </c>
      <c r="M3053" s="6" t="n">
        <v>99000</v>
      </c>
      <c r="N3053" s="5" t="n"/>
      <c r="O3053" s="5">
        <f>IF(AND(ISNUMBER(N3053),ISNUMBER(M3053)),N3053-M3053,"")</f>
        <v/>
      </c>
      <c r="P3053" s="7">
        <f>IF(AND(ISNUMBER(N3053),ISNUMBER(M3053),M3053&gt;0),(N3053-M3053)/M3053,"")</f>
        <v/>
      </c>
      <c r="Q3053" s="3">
        <f>IF(P3053="","",IF(P3053&lt;-0.02,"🔴 Bán phá giá sàn",IF(P3053&gt;0.05,"🔵 Bán cao hơn","🟢 Đúng giá sàn TMĐT")))</f>
        <v/>
      </c>
      <c r="R3053" s="3" t="n"/>
      <c r="S3053" s="4" t="n"/>
      <c r="T3053" s="4" t="n"/>
    </row>
    <row r="3054">
      <c r="A3054" s="3" t="n">
        <v>3053</v>
      </c>
      <c r="B3054" s="3" t="inlineStr">
        <is>
          <t>DL027</t>
        </is>
      </c>
      <c r="C3054" s="4" t="inlineStr">
        <is>
          <t>ĐL Bình Định - Khoan Pin 77</t>
        </is>
      </c>
      <c r="D3054" s="3" t="inlineStr">
        <is>
          <t>GIA LAI 
(BÌNH ĐỊNH CŨ)</t>
        </is>
      </c>
      <c r="E3054" s="3" t="inlineStr">
        <is>
          <t>THÙY TRANG</t>
        </is>
      </c>
      <c r="F3054" s="3" t="inlineStr"/>
      <c r="G3054" s="4" t="inlineStr">
        <is>
          <t>SHOPEE: TIKTOK: LAZADA: WEBSITE BÁN HÀNG: YOUTUBE: https://www.youtube.com/channel/UCowiJLhwAySOYT7OCDWOOYA</t>
        </is>
      </c>
      <c r="H3054" s="3" t="inlineStr">
        <is>
          <t>R3-40/25</t>
        </is>
      </c>
      <c r="I3054" s="4" t="inlineStr">
        <is>
          <t>Mũi khoét hợp kim KingBlue R3-40/25</t>
        </is>
      </c>
      <c r="J3054" s="3" t="inlineStr">
        <is>
          <t>Cái</t>
        </is>
      </c>
      <c r="K3054" s="5" t="n">
        <v>444000</v>
      </c>
      <c r="L3054" s="5" t="n">
        <v>524000</v>
      </c>
      <c r="M3054" s="6" t="n">
        <v>644000</v>
      </c>
      <c r="N3054" s="5" t="n"/>
      <c r="O3054" s="5">
        <f>IF(AND(ISNUMBER(N3054),ISNUMBER(M3054)),N3054-M3054,"")</f>
        <v/>
      </c>
      <c r="P3054" s="7">
        <f>IF(AND(ISNUMBER(N3054),ISNUMBER(M3054),M3054&gt;0),(N3054-M3054)/M3054,"")</f>
        <v/>
      </c>
      <c r="Q3054" s="3">
        <f>IF(P3054="","",IF(P3054&lt;-0.02,"🔴 Bán phá giá sàn",IF(P3054&gt;0.05,"🔵 Bán cao hơn","🟢 Đúng giá sàn TMĐT")))</f>
        <v/>
      </c>
      <c r="R3054" s="3" t="n"/>
      <c r="S3054" s="4" t="n"/>
      <c r="T3054" s="4" t="n"/>
    </row>
    <row r="3055">
      <c r="A3055" s="3" t="n">
        <v>3054</v>
      </c>
      <c r="B3055" s="3" t="inlineStr">
        <is>
          <t>DL027</t>
        </is>
      </c>
      <c r="C3055" s="4" t="inlineStr">
        <is>
          <t>ĐL Bình Định - Khoan Pin 77</t>
        </is>
      </c>
      <c r="D3055" s="3" t="inlineStr">
        <is>
          <t>GIA LAI 
(BÌNH ĐỊNH CŨ)</t>
        </is>
      </c>
      <c r="E3055" s="3" t="inlineStr">
        <is>
          <t>THÙY TRANG</t>
        </is>
      </c>
      <c r="F3055" s="3" t="inlineStr"/>
      <c r="G3055" s="4" t="inlineStr">
        <is>
          <t>SHOPEE: TIKTOK: LAZADA: WEBSITE BÁN HÀNG: YOUTUBE: https://www.youtube.com/channel/UCowiJLhwAySOYT7OCDWOOYA</t>
        </is>
      </c>
      <c r="H3055" s="3" t="inlineStr">
        <is>
          <t>R2-21mm</t>
        </is>
      </c>
      <c r="I3055" s="4" t="inlineStr">
        <is>
          <t>Mũi khoét kim loại KingBlue R2-21mm</t>
        </is>
      </c>
      <c r="J3055" s="3" t="inlineStr">
        <is>
          <t>Cái</t>
        </is>
      </c>
      <c r="K3055" s="5" t="n">
        <v>41000</v>
      </c>
      <c r="L3055" s="5" t="n">
        <v>50000</v>
      </c>
      <c r="M3055" s="6" t="n">
        <v>64000</v>
      </c>
      <c r="N3055" s="5" t="n"/>
      <c r="O3055" s="5">
        <f>IF(AND(ISNUMBER(N3055),ISNUMBER(M3055)),N3055-M3055,"")</f>
        <v/>
      </c>
      <c r="P3055" s="7">
        <f>IF(AND(ISNUMBER(N3055),ISNUMBER(M3055),M3055&gt;0),(N3055-M3055)/M3055,"")</f>
        <v/>
      </c>
      <c r="Q3055" s="3">
        <f>IF(P3055="","",IF(P3055&lt;-0.02,"🔴 Bán phá giá sàn",IF(P3055&gt;0.05,"🔵 Bán cao hơn","🟢 Đúng giá sàn TMĐT")))</f>
        <v/>
      </c>
      <c r="R3055" s="3" t="n"/>
      <c r="S3055" s="4" t="n"/>
      <c r="T3055" s="4" t="n"/>
    </row>
    <row r="3056">
      <c r="A3056" s="3" t="n">
        <v>3055</v>
      </c>
      <c r="B3056" s="3" t="inlineStr">
        <is>
          <t>DL027</t>
        </is>
      </c>
      <c r="C3056" s="4" t="inlineStr">
        <is>
          <t>ĐL Bình Định - Khoan Pin 77</t>
        </is>
      </c>
      <c r="D3056" s="3" t="inlineStr">
        <is>
          <t>GIA LAI 
(BÌNH ĐỊNH CŨ)</t>
        </is>
      </c>
      <c r="E3056" s="3" t="inlineStr">
        <is>
          <t>THÙY TRANG</t>
        </is>
      </c>
      <c r="F3056" s="3" t="inlineStr"/>
      <c r="G3056" s="4" t="inlineStr">
        <is>
          <t>SHOPEE: TIKTOK: LAZADA: WEBSITE BÁN HÀNG: YOUTUBE: https://www.youtube.com/channel/UCowiJLhwAySOYT7OCDWOOYA</t>
        </is>
      </c>
      <c r="H3056" s="3" t="inlineStr">
        <is>
          <t>KYZ50</t>
        </is>
      </c>
      <c r="I3056" s="4" t="inlineStr">
        <is>
          <t>Ổ khóa KYZ50</t>
        </is>
      </c>
      <c r="J3056" s="3" t="inlineStr">
        <is>
          <t>Cái</t>
        </is>
      </c>
      <c r="K3056" s="5" t="n">
        <v>152000</v>
      </c>
      <c r="L3056" s="5" t="n">
        <v>176000</v>
      </c>
      <c r="M3056" s="6" t="n">
        <v>213000</v>
      </c>
      <c r="N3056" s="5" t="n"/>
      <c r="O3056" s="5">
        <f>IF(AND(ISNUMBER(N3056),ISNUMBER(M3056)),N3056-M3056,"")</f>
        <v/>
      </c>
      <c r="P3056" s="7">
        <f>IF(AND(ISNUMBER(N3056),ISNUMBER(M3056),M3056&gt;0),(N3056-M3056)/M3056,"")</f>
        <v/>
      </c>
      <c r="Q3056" s="3">
        <f>IF(P3056="","",IF(P3056&lt;-0.02,"🔴 Bán phá giá sàn",IF(P3056&gt;0.05,"🔵 Bán cao hơn","🟢 Đúng giá sàn TMĐT")))</f>
        <v/>
      </c>
      <c r="R3056" s="3" t="n"/>
      <c r="S3056" s="4" t="n"/>
      <c r="T3056" s="4" t="n"/>
    </row>
    <row r="3057">
      <c r="A3057" s="3" t="n">
        <v>3056</v>
      </c>
      <c r="B3057" s="3" t="inlineStr">
        <is>
          <t>DL027</t>
        </is>
      </c>
      <c r="C3057" s="4" t="inlineStr">
        <is>
          <t>ĐL Bình Định - Khoan Pin 77</t>
        </is>
      </c>
      <c r="D3057" s="3" t="inlineStr">
        <is>
          <t>GIA LAI 
(BÌNH ĐỊNH CŨ)</t>
        </is>
      </c>
      <c r="E3057" s="3" t="inlineStr">
        <is>
          <t>THÙY TRANG</t>
        </is>
      </c>
      <c r="F3057" s="3" t="inlineStr"/>
      <c r="G3057" s="4" t="inlineStr">
        <is>
          <t>SHOPEE: TIKTOK: LAZADA: WEBSITE BÁN HÀNG: YOUTUBE: https://www.youtube.com/channel/UCowiJLhwAySOYT7OCDWOOYA</t>
        </is>
      </c>
      <c r="H3057" s="3" t="inlineStr">
        <is>
          <t>KYZ60</t>
        </is>
      </c>
      <c r="I3057" s="4" t="inlineStr">
        <is>
          <t>Ổ khóa KYZ60</t>
        </is>
      </c>
      <c r="J3057" s="3" t="inlineStr">
        <is>
          <t>Cái</t>
        </is>
      </c>
      <c r="K3057" s="5" t="n">
        <v>209000</v>
      </c>
      <c r="L3057" s="5" t="n">
        <v>243000</v>
      </c>
      <c r="M3057" s="6" t="n">
        <v>293000</v>
      </c>
      <c r="N3057" s="5" t="n"/>
      <c r="O3057" s="5">
        <f>IF(AND(ISNUMBER(N3057),ISNUMBER(M3057)),N3057-M3057,"")</f>
        <v/>
      </c>
      <c r="P3057" s="7">
        <f>IF(AND(ISNUMBER(N3057),ISNUMBER(M3057),M3057&gt;0),(N3057-M3057)/M3057,"")</f>
        <v/>
      </c>
      <c r="Q3057" s="3">
        <f>IF(P3057="","",IF(P3057&lt;-0.02,"🔴 Bán phá giá sàn",IF(P3057&gt;0.05,"🔵 Bán cao hơn","🟢 Đúng giá sàn TMĐT")))</f>
        <v/>
      </c>
      <c r="R3057" s="3" t="n"/>
      <c r="S3057" s="4" t="n"/>
      <c r="T3057" s="4" t="n"/>
    </row>
    <row r="3058">
      <c r="A3058" s="3" t="n">
        <v>3057</v>
      </c>
      <c r="B3058" s="3" t="inlineStr">
        <is>
          <t>DL027</t>
        </is>
      </c>
      <c r="C3058" s="4" t="inlineStr">
        <is>
          <t>ĐL Bình Định - Khoan Pin 77</t>
        </is>
      </c>
      <c r="D3058" s="3" t="inlineStr">
        <is>
          <t>GIA LAI 
(BÌNH ĐỊNH CŨ)</t>
        </is>
      </c>
      <c r="E3058" s="3" t="inlineStr">
        <is>
          <t>THÙY TRANG</t>
        </is>
      </c>
      <c r="F3058" s="3" t="inlineStr"/>
      <c r="G3058" s="4" t="inlineStr">
        <is>
          <t>SHOPEE: TIKTOK: LAZADA: WEBSITE BÁN HÀNG: YOUTUBE: https://www.youtube.com/channel/UCowiJLhwAySOYT7OCDWOOYA</t>
        </is>
      </c>
      <c r="H3058" s="3" t="inlineStr">
        <is>
          <t>KBA-I1500</t>
        </is>
      </c>
      <c r="I3058" s="4" t="inlineStr">
        <is>
          <t>Ống dẫn nước PVC 8m - Phụ kiện máy rửa xe KBA-I1500</t>
        </is>
      </c>
      <c r="J3058" s="3" t="inlineStr">
        <is>
          <t>Cái</t>
        </is>
      </c>
      <c r="K3058" s="5" t="n">
        <v>2050000</v>
      </c>
      <c r="L3058" s="5" t="n">
        <v>2300000</v>
      </c>
      <c r="M3058" s="6" t="n">
        <v>2670000</v>
      </c>
      <c r="N3058" s="5" t="n"/>
      <c r="O3058" s="5">
        <f>IF(AND(ISNUMBER(N3058),ISNUMBER(M3058)),N3058-M3058,"")</f>
        <v/>
      </c>
      <c r="P3058" s="7">
        <f>IF(AND(ISNUMBER(N3058),ISNUMBER(M3058),M3058&gt;0),(N3058-M3058)/M3058,"")</f>
        <v/>
      </c>
      <c r="Q3058" s="3">
        <f>IF(P3058="","",IF(P3058&lt;-0.02,"🔴 Bán phá giá sàn",IF(P3058&gt;0.05,"🔵 Bán cao hơn","🟢 Đúng giá sàn TMĐT")))</f>
        <v/>
      </c>
      <c r="R3058" s="3" t="n"/>
      <c r="S3058" s="4" t="n"/>
      <c r="T3058" s="4" t="n"/>
    </row>
    <row r="3059">
      <c r="A3059" s="3" t="n">
        <v>3058</v>
      </c>
      <c r="B3059" s="3" t="inlineStr">
        <is>
          <t>DL027</t>
        </is>
      </c>
      <c r="C3059" s="4" t="inlineStr">
        <is>
          <t>ĐL Bình Định - Khoan Pin 77</t>
        </is>
      </c>
      <c r="D3059" s="3" t="inlineStr">
        <is>
          <t>GIA LAI 
(BÌNH ĐỊNH CŨ)</t>
        </is>
      </c>
      <c r="E3059" s="3" t="inlineStr">
        <is>
          <t>THÙY TRANG</t>
        </is>
      </c>
      <c r="F3059" s="3" t="inlineStr"/>
      <c r="G3059" s="4" t="inlineStr">
        <is>
          <t>SHOPEE: TIKTOK: LAZADA: WEBSITE BÁN HÀNG: YOUTUBE: https://www.youtube.com/channel/UCowiJLhwAySOYT7OCDWOOYA</t>
        </is>
      </c>
      <c r="H3059" s="3" t="inlineStr">
        <is>
          <t>KB-HF01</t>
        </is>
      </c>
      <c r="I3059" s="4" t="inlineStr">
        <is>
          <t>Quạt cầm tay mini (màu be) KB-HF01</t>
        </is>
      </c>
      <c r="J3059" s="3" t="inlineStr">
        <is>
          <t>Cái</t>
        </is>
      </c>
      <c r="K3059" s="5" t="n">
        <v>290000</v>
      </c>
      <c r="L3059" s="5" t="n">
        <v>325000</v>
      </c>
      <c r="M3059" s="6" t="n">
        <v>377000</v>
      </c>
      <c r="N3059" s="5" t="n"/>
      <c r="O3059" s="5">
        <f>IF(AND(ISNUMBER(N3059),ISNUMBER(M3059)),N3059-M3059,"")</f>
        <v/>
      </c>
      <c r="P3059" s="7">
        <f>IF(AND(ISNUMBER(N3059),ISNUMBER(M3059),M3059&gt;0),(N3059-M3059)/M3059,"")</f>
        <v/>
      </c>
      <c r="Q3059" s="3">
        <f>IF(P3059="","",IF(P3059&lt;-0.02,"🔴 Bán phá giá sàn",IF(P3059&gt;0.05,"🔵 Bán cao hơn","🟢 Đúng giá sàn TMĐT")))</f>
        <v/>
      </c>
      <c r="R3059" s="3" t="n"/>
      <c r="S3059" s="4" t="n"/>
      <c r="T3059" s="4" t="n"/>
    </row>
    <row r="3060">
      <c r="A3060" s="3" t="n">
        <v>3059</v>
      </c>
      <c r="B3060" s="3" t="inlineStr">
        <is>
          <t>DL027</t>
        </is>
      </c>
      <c r="C3060" s="4" t="inlineStr">
        <is>
          <t>ĐL Bình Định - Khoan Pin 77</t>
        </is>
      </c>
      <c r="D3060" s="3" t="inlineStr">
        <is>
          <t>GIA LAI 
(BÌNH ĐỊNH CŨ)</t>
        </is>
      </c>
      <c r="E3060" s="3" t="inlineStr">
        <is>
          <t>THÙY TRANG</t>
        </is>
      </c>
      <c r="F3060" s="3" t="inlineStr"/>
      <c r="G3060" s="4" t="inlineStr">
        <is>
          <t>SHOPEE: TIKTOK: LAZADA: WEBSITE BÁN HÀNG: YOUTUBE: https://www.youtube.com/channel/UCowiJLhwAySOYT7OCDWOOYA</t>
        </is>
      </c>
      <c r="H3060" s="3" t="inlineStr">
        <is>
          <t>KB-HF03</t>
        </is>
      </c>
      <c r="I3060" s="4" t="inlineStr">
        <is>
          <t>Quạt cầm tay mini (màu hồng) KB-HF03</t>
        </is>
      </c>
      <c r="J3060" s="3" t="inlineStr">
        <is>
          <t>Cái</t>
        </is>
      </c>
      <c r="K3060" s="5" t="n">
        <v>290000</v>
      </c>
      <c r="L3060" s="5" t="n">
        <v>325000</v>
      </c>
      <c r="M3060" s="6" t="n">
        <v>377000</v>
      </c>
      <c r="N3060" s="5" t="n"/>
      <c r="O3060" s="5">
        <f>IF(AND(ISNUMBER(N3060),ISNUMBER(M3060)),N3060-M3060,"")</f>
        <v/>
      </c>
      <c r="P3060" s="7">
        <f>IF(AND(ISNUMBER(N3060),ISNUMBER(M3060),M3060&gt;0),(N3060-M3060)/M3060,"")</f>
        <v/>
      </c>
      <c r="Q3060" s="3">
        <f>IF(P3060="","",IF(P3060&lt;-0.02,"🔴 Bán phá giá sàn",IF(P3060&gt;0.05,"🔵 Bán cao hơn","🟢 Đúng giá sàn TMĐT")))</f>
        <v/>
      </c>
      <c r="R3060" s="3" t="n"/>
      <c r="S3060" s="4" t="n"/>
      <c r="T3060" s="4" t="n"/>
    </row>
    <row r="3061">
      <c r="A3061" s="3" t="n">
        <v>3060</v>
      </c>
      <c r="B3061" s="3" t="inlineStr">
        <is>
          <t>DL027</t>
        </is>
      </c>
      <c r="C3061" s="4" t="inlineStr">
        <is>
          <t>ĐL Bình Định - Khoan Pin 77</t>
        </is>
      </c>
      <c r="D3061" s="3" t="inlineStr">
        <is>
          <t>GIA LAI 
(BÌNH ĐỊNH CŨ)</t>
        </is>
      </c>
      <c r="E3061" s="3" t="inlineStr">
        <is>
          <t>THÙY TRANG</t>
        </is>
      </c>
      <c r="F3061" s="3" t="inlineStr"/>
      <c r="G3061" s="4" t="inlineStr">
        <is>
          <t>SHOPEE: TIKTOK: LAZADA: WEBSITE BÁN HÀNG: YOUTUBE: https://www.youtube.com/channel/UCowiJLhwAySOYT7OCDWOOYA</t>
        </is>
      </c>
      <c r="H3061" s="3" t="inlineStr">
        <is>
          <t>KB-HF02</t>
        </is>
      </c>
      <c r="I3061" s="4" t="inlineStr">
        <is>
          <t>Quạt cầm tay mini (màu xám) KB-HF02</t>
        </is>
      </c>
      <c r="J3061" s="3" t="inlineStr">
        <is>
          <t>Cái</t>
        </is>
      </c>
      <c r="K3061" s="5" t="n">
        <v>290000</v>
      </c>
      <c r="L3061" s="5" t="n">
        <v>325000</v>
      </c>
      <c r="M3061" s="6" t="n">
        <v>377000</v>
      </c>
      <c r="N3061" s="5" t="n"/>
      <c r="O3061" s="5">
        <f>IF(AND(ISNUMBER(N3061),ISNUMBER(M3061)),N3061-M3061,"")</f>
        <v/>
      </c>
      <c r="P3061" s="7">
        <f>IF(AND(ISNUMBER(N3061),ISNUMBER(M3061),M3061&gt;0),(N3061-M3061)/M3061,"")</f>
        <v/>
      </c>
      <c r="Q3061" s="3">
        <f>IF(P3061="","",IF(P3061&lt;-0.02,"🔴 Bán phá giá sàn",IF(P3061&gt;0.05,"🔵 Bán cao hơn","🟢 Đúng giá sàn TMĐT")))</f>
        <v/>
      </c>
      <c r="R3061" s="3" t="n"/>
      <c r="S3061" s="4" t="n"/>
      <c r="T3061" s="4" t="n"/>
    </row>
    <row r="3062">
      <c r="A3062" s="3" t="n">
        <v>3061</v>
      </c>
      <c r="B3062" s="3" t="inlineStr">
        <is>
          <t>DL027</t>
        </is>
      </c>
      <c r="C3062" s="4" t="inlineStr">
        <is>
          <t>ĐL Bình Định - Khoan Pin 77</t>
        </is>
      </c>
      <c r="D3062" s="3" t="inlineStr">
        <is>
          <t>GIA LAI 
(BÌNH ĐỊNH CŨ)</t>
        </is>
      </c>
      <c r="E3062" s="3" t="inlineStr">
        <is>
          <t>THÙY TRANG</t>
        </is>
      </c>
      <c r="F3062" s="3" t="inlineStr"/>
      <c r="G3062" s="4" t="inlineStr">
        <is>
          <t>SHOPEE: TIKTOK: LAZADA: WEBSITE BÁN HÀNG: YOUTUBE: https://www.youtube.com/channel/UCowiJLhwAySOYT7OCDWOOYA</t>
        </is>
      </c>
      <c r="H3062" s="3" t="inlineStr">
        <is>
          <t>KB-HS01</t>
        </is>
      </c>
      <c r="I3062" s="4" t="inlineStr">
        <is>
          <t>Quạt cầm tay mini tốc độ cao (màu be) KB-HS01</t>
        </is>
      </c>
      <c r="J3062" s="3" t="inlineStr">
        <is>
          <t>Cái</t>
        </is>
      </c>
      <c r="K3062" s="5" t="n">
        <v>190000</v>
      </c>
      <c r="L3062" s="5" t="n">
        <v>213000</v>
      </c>
      <c r="M3062" s="6" t="n">
        <v>247000</v>
      </c>
      <c r="N3062" s="5" t="n"/>
      <c r="O3062" s="5">
        <f>IF(AND(ISNUMBER(N3062),ISNUMBER(M3062)),N3062-M3062,"")</f>
        <v/>
      </c>
      <c r="P3062" s="7">
        <f>IF(AND(ISNUMBER(N3062),ISNUMBER(M3062),M3062&gt;0),(N3062-M3062)/M3062,"")</f>
        <v/>
      </c>
      <c r="Q3062" s="3">
        <f>IF(P3062="","",IF(P3062&lt;-0.02,"🔴 Bán phá giá sàn",IF(P3062&gt;0.05,"🔵 Bán cao hơn","🟢 Đúng giá sàn TMĐT")))</f>
        <v/>
      </c>
      <c r="R3062" s="3" t="n"/>
      <c r="S3062" s="4" t="n"/>
      <c r="T3062" s="4" t="n"/>
    </row>
    <row r="3063">
      <c r="A3063" s="3" t="n">
        <v>3062</v>
      </c>
      <c r="B3063" s="3" t="inlineStr">
        <is>
          <t>DL027</t>
        </is>
      </c>
      <c r="C3063" s="4" t="inlineStr">
        <is>
          <t>ĐL Bình Định - Khoan Pin 77</t>
        </is>
      </c>
      <c r="D3063" s="3" t="inlineStr">
        <is>
          <t>GIA LAI 
(BÌNH ĐỊNH CŨ)</t>
        </is>
      </c>
      <c r="E3063" s="3" t="inlineStr">
        <is>
          <t>THÙY TRANG</t>
        </is>
      </c>
      <c r="F3063" s="3" t="inlineStr"/>
      <c r="G3063" s="4" t="inlineStr">
        <is>
          <t>SHOPEE: TIKTOK: LAZADA: WEBSITE BÁN HÀNG: YOUTUBE: https://www.youtube.com/channel/UCowiJLhwAySOYT7OCDWOOYA</t>
        </is>
      </c>
      <c r="H3063" s="3" t="inlineStr">
        <is>
          <t>KB-HS02</t>
        </is>
      </c>
      <c r="I3063" s="4" t="inlineStr">
        <is>
          <t>Quạt cầm tay mini tốc độ cao (màu xám) KB-HS02</t>
        </is>
      </c>
      <c r="J3063" s="3" t="inlineStr">
        <is>
          <t>Cái</t>
        </is>
      </c>
      <c r="K3063" s="5" t="n">
        <v>190000</v>
      </c>
      <c r="L3063" s="5" t="n">
        <v>213000</v>
      </c>
      <c r="M3063" s="6" t="n">
        <v>247000</v>
      </c>
      <c r="N3063" s="5" t="n"/>
      <c r="O3063" s="5">
        <f>IF(AND(ISNUMBER(N3063),ISNUMBER(M3063)),N3063-M3063,"")</f>
        <v/>
      </c>
      <c r="P3063" s="7">
        <f>IF(AND(ISNUMBER(N3063),ISNUMBER(M3063),M3063&gt;0),(N3063-M3063)/M3063,"")</f>
        <v/>
      </c>
      <c r="Q3063" s="3">
        <f>IF(P3063="","",IF(P3063&lt;-0.02,"🔴 Bán phá giá sàn",IF(P3063&gt;0.05,"🔵 Bán cao hơn","🟢 Đúng giá sàn TMĐT")))</f>
        <v/>
      </c>
      <c r="R3063" s="3" t="n"/>
      <c r="S3063" s="4" t="n"/>
      <c r="T3063" s="4" t="n"/>
    </row>
    <row r="3064">
      <c r="A3064" s="3" t="n">
        <v>3063</v>
      </c>
      <c r="B3064" s="3" t="inlineStr">
        <is>
          <t>DL027</t>
        </is>
      </c>
      <c r="C3064" s="4" t="inlineStr">
        <is>
          <t>ĐL Bình Định - Khoan Pin 77</t>
        </is>
      </c>
      <c r="D3064" s="3" t="inlineStr">
        <is>
          <t>GIA LAI 
(BÌNH ĐỊNH CŨ)</t>
        </is>
      </c>
      <c r="E3064" s="3" t="inlineStr">
        <is>
          <t>THÙY TRANG</t>
        </is>
      </c>
      <c r="F3064" s="3" t="inlineStr"/>
      <c r="G3064" s="4" t="inlineStr">
        <is>
          <t>SHOPEE: TIKTOK: LAZADA: WEBSITE BÁN HÀNG: YOUTUBE: https://www.youtube.com/channel/UCowiJLhwAySOYT7OCDWOOYA</t>
        </is>
      </c>
      <c r="H3064" s="3" t="inlineStr">
        <is>
          <t>KB-CF01</t>
        </is>
      </c>
      <c r="I3064" s="4" t="inlineStr">
        <is>
          <t>Quạt tích điện mini KB-CF01</t>
        </is>
      </c>
      <c r="J3064" s="3" t="inlineStr">
        <is>
          <t>Cái</t>
        </is>
      </c>
      <c r="K3064" s="5" t="n">
        <v>280000</v>
      </c>
      <c r="L3064" s="5" t="n">
        <v>314000</v>
      </c>
      <c r="M3064" s="6" t="n">
        <v>364000</v>
      </c>
      <c r="N3064" s="5" t="n"/>
      <c r="O3064" s="5">
        <f>IF(AND(ISNUMBER(N3064),ISNUMBER(M3064)),N3064-M3064,"")</f>
        <v/>
      </c>
      <c r="P3064" s="7">
        <f>IF(AND(ISNUMBER(N3064),ISNUMBER(M3064),M3064&gt;0),(N3064-M3064)/M3064,"")</f>
        <v/>
      </c>
      <c r="Q3064" s="3">
        <f>IF(P3064="","",IF(P3064&lt;-0.02,"🔴 Bán phá giá sàn",IF(P3064&gt;0.05,"🔵 Bán cao hơn","🟢 Đúng giá sàn TMĐT")))</f>
        <v/>
      </c>
      <c r="R3064" s="3" t="n"/>
      <c r="S3064" s="4" t="n"/>
      <c r="T3064" s="4" t="n"/>
    </row>
    <row r="3065">
      <c r="A3065" s="3" t="n">
        <v>3064</v>
      </c>
      <c r="B3065" s="3" t="inlineStr">
        <is>
          <t>DL027</t>
        </is>
      </c>
      <c r="C3065" s="4" t="inlineStr">
        <is>
          <t>ĐL Bình Định - Khoan Pin 77</t>
        </is>
      </c>
      <c r="D3065" s="3" t="inlineStr">
        <is>
          <t>GIA LAI 
(BÌNH ĐỊNH CŨ)</t>
        </is>
      </c>
      <c r="E3065" s="3" t="inlineStr">
        <is>
          <t>THÙY TRANG</t>
        </is>
      </c>
      <c r="F3065" s="3" t="inlineStr"/>
      <c r="G3065" s="4" t="inlineStr">
        <is>
          <t>SHOPEE: TIKTOK: LAZADA: WEBSITE BÁN HÀNG: YOUTUBE: https://www.youtube.com/channel/UCowiJLhwAySOYT7OCDWOOYA</t>
        </is>
      </c>
      <c r="H3065" s="3" t="inlineStr">
        <is>
          <t>B2A16</t>
        </is>
      </c>
      <c r="I3065" s="4" t="inlineStr">
        <is>
          <t>Sạc pin B2A16</t>
        </is>
      </c>
      <c r="J3065" s="3" t="inlineStr">
        <is>
          <t>Cái</t>
        </is>
      </c>
      <c r="K3065" s="5" t="n">
        <v>220000</v>
      </c>
      <c r="L3065" s="5" t="n">
        <v>246000</v>
      </c>
      <c r="M3065" s="6" t="n">
        <v>286000</v>
      </c>
      <c r="N3065" s="5" t="n"/>
      <c r="O3065" s="5">
        <f>IF(AND(ISNUMBER(N3065),ISNUMBER(M3065)),N3065-M3065,"")</f>
        <v/>
      </c>
      <c r="P3065" s="7">
        <f>IF(AND(ISNUMBER(N3065),ISNUMBER(M3065),M3065&gt;0),(N3065-M3065)/M3065,"")</f>
        <v/>
      </c>
      <c r="Q3065" s="3">
        <f>IF(P3065="","",IF(P3065&lt;-0.02,"🔴 Bán phá giá sàn",IF(P3065&gt;0.05,"🔵 Bán cao hơn","🟢 Đúng giá sàn TMĐT")))</f>
        <v/>
      </c>
      <c r="R3065" s="3" t="n"/>
      <c r="S3065" s="4" t="n"/>
      <c r="T3065" s="4" t="n"/>
    </row>
    <row r="3066">
      <c r="A3066" s="3" t="n">
        <v>3065</v>
      </c>
      <c r="B3066" s="3" t="inlineStr">
        <is>
          <t>DL027</t>
        </is>
      </c>
      <c r="C3066" s="4" t="inlineStr">
        <is>
          <t>ĐL Bình Định - Khoan Pin 77</t>
        </is>
      </c>
      <c r="D3066" s="3" t="inlineStr">
        <is>
          <t>GIA LAI 
(BÌNH ĐỊNH CŨ)</t>
        </is>
      </c>
      <c r="E3066" s="3" t="inlineStr">
        <is>
          <t>THÙY TRANG</t>
        </is>
      </c>
      <c r="F3066" s="3" t="inlineStr"/>
      <c r="G3066" s="4" t="inlineStr">
        <is>
          <t>SHOPEE: TIKTOK: LAZADA: WEBSITE BÁN HÀNG: YOUTUBE: https://www.youtube.com/channel/UCowiJLhwAySOYT7OCDWOOYA</t>
        </is>
      </c>
      <c r="H3066" s="3" t="inlineStr">
        <is>
          <t>B2A20</t>
        </is>
      </c>
      <c r="I3066" s="4" t="inlineStr">
        <is>
          <t>Sạc pin B2A20</t>
        </is>
      </c>
      <c r="J3066" s="3" t="inlineStr">
        <is>
          <t>Cái</t>
        </is>
      </c>
      <c r="K3066" s="5" t="n">
        <v>270000</v>
      </c>
      <c r="L3066" s="5" t="n">
        <v>302000</v>
      </c>
      <c r="M3066" s="6" t="n">
        <v>351000</v>
      </c>
      <c r="N3066" s="5" t="n"/>
      <c r="O3066" s="5">
        <f>IF(AND(ISNUMBER(N3066),ISNUMBER(M3066)),N3066-M3066,"")</f>
        <v/>
      </c>
      <c r="P3066" s="7">
        <f>IF(AND(ISNUMBER(N3066),ISNUMBER(M3066),M3066&gt;0),(N3066-M3066)/M3066,"")</f>
        <v/>
      </c>
      <c r="Q3066" s="3">
        <f>IF(P3066="","",IF(P3066&lt;-0.02,"🔴 Bán phá giá sàn",IF(P3066&gt;0.05,"🔵 Bán cao hơn","🟢 Đúng giá sàn TMĐT")))</f>
        <v/>
      </c>
      <c r="R3066" s="3" t="n"/>
      <c r="S3066" s="4" t="n"/>
      <c r="T3066" s="4" t="n"/>
    </row>
    <row r="3067">
      <c r="A3067" s="3" t="n">
        <v>3066</v>
      </c>
      <c r="B3067" s="3" t="inlineStr">
        <is>
          <t>DL027</t>
        </is>
      </c>
      <c r="C3067" s="4" t="inlineStr">
        <is>
          <t>ĐL Bình Định - Khoan Pin 77</t>
        </is>
      </c>
      <c r="D3067" s="3" t="inlineStr">
        <is>
          <t>GIA LAI 
(BÌNH ĐỊNH CŨ)</t>
        </is>
      </c>
      <c r="E3067" s="3" t="inlineStr">
        <is>
          <t>THÙY TRANG</t>
        </is>
      </c>
      <c r="F3067" s="3" t="inlineStr"/>
      <c r="G3067" s="4" t="inlineStr">
        <is>
          <t>SHOPEE: TIKTOK: LAZADA: WEBSITE BÁN HÀNG: YOUTUBE: https://www.youtube.com/channel/UCowiJLhwAySOYT7OCDWOOYA</t>
        </is>
      </c>
      <c r="H3067" s="3" t="inlineStr">
        <is>
          <t>ST08x42V</t>
        </is>
      </c>
      <c r="I3067" s="4" t="inlineStr">
        <is>
          <t>Siết tôn King Blue ST08x42V</t>
        </is>
      </c>
      <c r="J3067" s="3" t="inlineStr">
        <is>
          <t>Vỉ</t>
        </is>
      </c>
      <c r="K3067" s="5" t="n">
        <v>22000</v>
      </c>
      <c r="L3067" s="5" t="n">
        <v>28000</v>
      </c>
      <c r="M3067" s="6" t="n">
        <v>36000</v>
      </c>
      <c r="N3067" s="5" t="n"/>
      <c r="O3067" s="5">
        <f>IF(AND(ISNUMBER(N3067),ISNUMBER(M3067)),N3067-M3067,"")</f>
        <v/>
      </c>
      <c r="P3067" s="7">
        <f>IF(AND(ISNUMBER(N3067),ISNUMBER(M3067),M3067&gt;0),(N3067-M3067)/M3067,"")</f>
        <v/>
      </c>
      <c r="Q3067" s="3">
        <f>IF(P3067="","",IF(P3067&lt;-0.02,"🔴 Bán phá giá sàn",IF(P3067&gt;0.05,"🔵 Bán cao hơn","🟢 Đúng giá sàn TMĐT")))</f>
        <v/>
      </c>
      <c r="R3067" s="3" t="n"/>
      <c r="S3067" s="4" t="n"/>
      <c r="T3067" s="4" t="n"/>
    </row>
    <row r="3068">
      <c r="A3068" s="3" t="n">
        <v>3067</v>
      </c>
      <c r="B3068" s="3" t="inlineStr">
        <is>
          <t>DL027</t>
        </is>
      </c>
      <c r="C3068" s="4" t="inlineStr">
        <is>
          <t>ĐL Bình Định - Khoan Pin 77</t>
        </is>
      </c>
      <c r="D3068" s="3" t="inlineStr">
        <is>
          <t>GIA LAI 
(BÌNH ĐỊNH CŨ)</t>
        </is>
      </c>
      <c r="E3068" s="3" t="inlineStr">
        <is>
          <t>THÙY TRANG</t>
        </is>
      </c>
      <c r="F3068" s="3" t="inlineStr"/>
      <c r="G3068" s="4" t="inlineStr">
        <is>
          <t>SHOPEE: TIKTOK: LAZADA: WEBSITE BÁN HÀNG: YOUTUBE: https://www.youtube.com/channel/UCowiJLhwAySOYT7OCDWOOYA</t>
        </is>
      </c>
      <c r="H3068" s="3" t="inlineStr">
        <is>
          <t>ST08x65G</t>
        </is>
      </c>
      <c r="I3068" s="4" t="inlineStr">
        <is>
          <t>Siết tôn KingBlue ST08x65G</t>
        </is>
      </c>
      <c r="J3068" s="3" t="inlineStr">
        <is>
          <t>Cái</t>
        </is>
      </c>
      <c r="K3068" s="5" t="n">
        <v>8500</v>
      </c>
      <c r="L3068" s="5" t="n">
        <v>11000</v>
      </c>
      <c r="M3068" s="6" t="n">
        <v>14000</v>
      </c>
      <c r="N3068" s="5" t="n"/>
      <c r="O3068" s="5">
        <f>IF(AND(ISNUMBER(N3068),ISNUMBER(M3068)),N3068-M3068,"")</f>
        <v/>
      </c>
      <c r="P3068" s="7">
        <f>IF(AND(ISNUMBER(N3068),ISNUMBER(M3068),M3068&gt;0),(N3068-M3068)/M3068,"")</f>
        <v/>
      </c>
      <c r="Q3068" s="3">
        <f>IF(P3068="","",IF(P3068&lt;-0.02,"🔴 Bán phá giá sàn",IF(P3068&gt;0.05,"🔵 Bán cao hơn","🟢 Đúng giá sàn TMĐT")))</f>
        <v/>
      </c>
      <c r="R3068" s="3" t="n"/>
      <c r="S3068" s="4" t="n"/>
      <c r="T3068" s="4" t="n"/>
    </row>
    <row r="3069">
      <c r="A3069" s="3" t="n">
        <v>3068</v>
      </c>
      <c r="B3069" s="3" t="inlineStr">
        <is>
          <t>DL027</t>
        </is>
      </c>
      <c r="C3069" s="4" t="inlineStr">
        <is>
          <t>ĐL Bình Định - Khoan Pin 77</t>
        </is>
      </c>
      <c r="D3069" s="3" t="inlineStr">
        <is>
          <t>GIA LAI 
(BÌNH ĐỊNH CŨ)</t>
        </is>
      </c>
      <c r="E3069" s="3" t="inlineStr">
        <is>
          <t>THÙY TRANG</t>
        </is>
      </c>
      <c r="F3069" s="3" t="inlineStr"/>
      <c r="G3069" s="4" t="inlineStr">
        <is>
          <t>SHOPEE: TIKTOK: LAZADA: WEBSITE BÁN HÀNG: YOUTUBE: https://www.youtube.com/channel/UCowiJLhwAySOYT7OCDWOOYA</t>
        </is>
      </c>
      <c r="H3069" s="3" t="inlineStr">
        <is>
          <t>ST10x65G</t>
        </is>
      </c>
      <c r="I3069" s="4" t="inlineStr">
        <is>
          <t>Siết tôn KingBlue ST10x65G</t>
        </is>
      </c>
      <c r="J3069" s="3" t="inlineStr">
        <is>
          <t>Cái</t>
        </is>
      </c>
      <c r="K3069" s="5" t="n">
        <v>9000</v>
      </c>
      <c r="L3069" s="5" t="n">
        <v>11000</v>
      </c>
      <c r="M3069" s="6" t="n">
        <v>15000</v>
      </c>
      <c r="N3069" s="5" t="n"/>
      <c r="O3069" s="5">
        <f>IF(AND(ISNUMBER(N3069),ISNUMBER(M3069)),N3069-M3069,"")</f>
        <v/>
      </c>
      <c r="P3069" s="7">
        <f>IF(AND(ISNUMBER(N3069),ISNUMBER(M3069),M3069&gt;0),(N3069-M3069)/M3069,"")</f>
        <v/>
      </c>
      <c r="Q3069" s="3">
        <f>IF(P3069="","",IF(P3069&lt;-0.02,"🔴 Bán phá giá sàn",IF(P3069&gt;0.05,"🔵 Bán cao hơn","🟢 Đúng giá sàn TMĐT")))</f>
        <v/>
      </c>
      <c r="R3069" s="3" t="n"/>
      <c r="S3069" s="4" t="n"/>
      <c r="T3069" s="4" t="n"/>
    </row>
    <row r="3070">
      <c r="A3070" s="3" t="n">
        <v>3069</v>
      </c>
      <c r="B3070" s="3" t="inlineStr">
        <is>
          <t>DL027</t>
        </is>
      </c>
      <c r="C3070" s="4" t="inlineStr">
        <is>
          <t>ĐL Bình Định - Khoan Pin 77</t>
        </is>
      </c>
      <c r="D3070" s="3" t="inlineStr">
        <is>
          <t>GIA LAI 
(BÌNH ĐỊNH CŨ)</t>
        </is>
      </c>
      <c r="E3070" s="3" t="inlineStr">
        <is>
          <t>THÙY TRANG</t>
        </is>
      </c>
      <c r="F3070" s="3" t="inlineStr"/>
      <c r="G3070" s="4" t="inlineStr">
        <is>
          <t>SHOPEE: TIKTOK: LAZADA: WEBSITE BÁN HÀNG: YOUTUBE: https://www.youtube.com/channel/UCowiJLhwAySOYT7OCDWOOYA</t>
        </is>
      </c>
      <c r="H3070" s="3" t="inlineStr">
        <is>
          <t>ST12x65G</t>
        </is>
      </c>
      <c r="I3070" s="4" t="inlineStr">
        <is>
          <t>Siết tôn KingBlue ST12x65G</t>
        </is>
      </c>
      <c r="J3070" s="3" t="inlineStr">
        <is>
          <t>Cái</t>
        </is>
      </c>
      <c r="K3070" s="5" t="n">
        <v>11000</v>
      </c>
      <c r="L3070" s="5" t="n">
        <v>14000</v>
      </c>
      <c r="M3070" s="6" t="n">
        <v>18000</v>
      </c>
      <c r="N3070" s="5" t="n"/>
      <c r="O3070" s="5">
        <f>IF(AND(ISNUMBER(N3070),ISNUMBER(M3070)),N3070-M3070,"")</f>
        <v/>
      </c>
      <c r="P3070" s="7">
        <f>IF(AND(ISNUMBER(N3070),ISNUMBER(M3070),M3070&gt;0),(N3070-M3070)/M3070,"")</f>
        <v/>
      </c>
      <c r="Q3070" s="3">
        <f>IF(P3070="","",IF(P3070&lt;-0.02,"🔴 Bán phá giá sàn",IF(P3070&gt;0.05,"🔵 Bán cao hơn","🟢 Đúng giá sàn TMĐT")))</f>
        <v/>
      </c>
      <c r="R3070" s="3" t="n"/>
      <c r="S3070" s="4" t="n"/>
      <c r="T3070" s="4" t="n"/>
    </row>
    <row r="3071">
      <c r="A3071" s="3" t="n">
        <v>3070</v>
      </c>
      <c r="B3071" s="3" t="inlineStr">
        <is>
          <t>DL027</t>
        </is>
      </c>
      <c r="C3071" s="4" t="inlineStr">
        <is>
          <t>ĐL Bình Định - Khoan Pin 77</t>
        </is>
      </c>
      <c r="D3071" s="3" t="inlineStr">
        <is>
          <t>GIA LAI 
(BÌNH ĐỊNH CŨ)</t>
        </is>
      </c>
      <c r="E3071" s="3" t="inlineStr">
        <is>
          <t>THÙY TRANG</t>
        </is>
      </c>
      <c r="F3071" s="3" t="inlineStr"/>
      <c r="G3071" s="4" t="inlineStr">
        <is>
          <t>SHOPEE: TIKTOK: LAZADA: WEBSITE BÁN HÀNG: YOUTUBE: https://www.youtube.com/channel/UCowiJLhwAySOYT7OCDWOOYA</t>
        </is>
      </c>
      <c r="H3071" s="3" t="inlineStr">
        <is>
          <t>ST13x65G</t>
        </is>
      </c>
      <c r="I3071" s="4" t="inlineStr">
        <is>
          <t>Siết tôn KingBlue ST13x65G</t>
        </is>
      </c>
      <c r="J3071" s="3" t="inlineStr">
        <is>
          <t>Cái</t>
        </is>
      </c>
      <c r="K3071" s="5" t="n">
        <v>13500</v>
      </c>
      <c r="L3071" s="5" t="n">
        <v>17000</v>
      </c>
      <c r="M3071" s="6" t="n">
        <v>22000</v>
      </c>
      <c r="N3071" s="5" t="n"/>
      <c r="O3071" s="5">
        <f>IF(AND(ISNUMBER(N3071),ISNUMBER(M3071)),N3071-M3071,"")</f>
        <v/>
      </c>
      <c r="P3071" s="7">
        <f>IF(AND(ISNUMBER(N3071),ISNUMBER(M3071),M3071&gt;0),(N3071-M3071)/M3071,"")</f>
        <v/>
      </c>
      <c r="Q3071" s="3">
        <f>IF(P3071="","",IF(P3071&lt;-0.02,"🔴 Bán phá giá sàn",IF(P3071&gt;0.05,"🔵 Bán cao hơn","🟢 Đúng giá sàn TMĐT")))</f>
        <v/>
      </c>
      <c r="R3071" s="3" t="n"/>
      <c r="S3071" s="4" t="n"/>
      <c r="T3071" s="4" t="n"/>
    </row>
    <row r="3072">
      <c r="A3072" s="3" t="n">
        <v>3071</v>
      </c>
      <c r="B3072" s="3" t="inlineStr">
        <is>
          <t>DL027</t>
        </is>
      </c>
      <c r="C3072" s="4" t="inlineStr">
        <is>
          <t>ĐL Bình Định - Khoan Pin 77</t>
        </is>
      </c>
      <c r="D3072" s="3" t="inlineStr">
        <is>
          <t>GIA LAI 
(BÌNH ĐỊNH CŨ)</t>
        </is>
      </c>
      <c r="E3072" s="3" t="inlineStr">
        <is>
          <t>THÙY TRANG</t>
        </is>
      </c>
      <c r="F3072" s="3" t="inlineStr"/>
      <c r="G3072" s="4" t="inlineStr">
        <is>
          <t>SHOPEE: TIKTOK: LAZADA: WEBSITE BÁN HÀNG: YOUTUBE: https://www.youtube.com/channel/UCowiJLhwAySOYT7OCDWOOYA</t>
        </is>
      </c>
      <c r="H3072" s="3" t="inlineStr">
        <is>
          <t>ST14x65G</t>
        </is>
      </c>
      <c r="I3072" s="4" t="inlineStr">
        <is>
          <t>Siết tôn KingBlue ST14x65G</t>
        </is>
      </c>
      <c r="J3072" s="3" t="inlineStr">
        <is>
          <t>Cái</t>
        </is>
      </c>
      <c r="K3072" s="5" t="n">
        <v>13500</v>
      </c>
      <c r="L3072" s="5" t="n">
        <v>17000</v>
      </c>
      <c r="M3072" s="6" t="n">
        <v>22000</v>
      </c>
      <c r="N3072" s="5" t="n"/>
      <c r="O3072" s="5">
        <f>IF(AND(ISNUMBER(N3072),ISNUMBER(M3072)),N3072-M3072,"")</f>
        <v/>
      </c>
      <c r="P3072" s="7">
        <f>IF(AND(ISNUMBER(N3072),ISNUMBER(M3072),M3072&gt;0),(N3072-M3072)/M3072,"")</f>
        <v/>
      </c>
      <c r="Q3072" s="3">
        <f>IF(P3072="","",IF(P3072&lt;-0.02,"🔴 Bán phá giá sàn",IF(P3072&gt;0.05,"🔵 Bán cao hơn","🟢 Đúng giá sàn TMĐT")))</f>
        <v/>
      </c>
      <c r="R3072" s="3" t="n"/>
      <c r="S3072" s="4" t="n"/>
      <c r="T3072" s="4" t="n"/>
    </row>
    <row r="3073">
      <c r="A3073" s="3" t="n">
        <v>3072</v>
      </c>
      <c r="B3073" s="3" t="inlineStr">
        <is>
          <t>DL027</t>
        </is>
      </c>
      <c r="C3073" s="4" t="inlineStr">
        <is>
          <t>ĐL Bình Định - Khoan Pin 77</t>
        </is>
      </c>
      <c r="D3073" s="3" t="inlineStr">
        <is>
          <t>GIA LAI 
(BÌNH ĐỊNH CŨ)</t>
        </is>
      </c>
      <c r="E3073" s="3" t="inlineStr">
        <is>
          <t>THÙY TRANG</t>
        </is>
      </c>
      <c r="F3073" s="3" t="inlineStr"/>
      <c r="G3073" s="4" t="inlineStr">
        <is>
          <t>SHOPEE: TIKTOK: LAZADA: WEBSITE BÁN HÀNG: YOUTUBE: https://www.youtube.com/channel/UCowiJLhwAySOYT7OCDWOOYA</t>
        </is>
      </c>
      <c r="H3073" s="3" t="inlineStr">
        <is>
          <t>ST17x65G</t>
        </is>
      </c>
      <c r="I3073" s="4" t="inlineStr">
        <is>
          <t>Siết tôn KingBlue ST17x65G</t>
        </is>
      </c>
      <c r="J3073" s="3" t="inlineStr">
        <is>
          <t>Cái</t>
        </is>
      </c>
      <c r="K3073" s="5" t="n">
        <v>21500</v>
      </c>
      <c r="L3073" s="5" t="n">
        <v>27000</v>
      </c>
      <c r="M3073" s="6" t="n">
        <v>36000</v>
      </c>
      <c r="N3073" s="5" t="n"/>
      <c r="O3073" s="5">
        <f>IF(AND(ISNUMBER(N3073),ISNUMBER(M3073)),N3073-M3073,"")</f>
        <v/>
      </c>
      <c r="P3073" s="7">
        <f>IF(AND(ISNUMBER(N3073),ISNUMBER(M3073),M3073&gt;0),(N3073-M3073)/M3073,"")</f>
        <v/>
      </c>
      <c r="Q3073" s="3">
        <f>IF(P3073="","",IF(P3073&lt;-0.02,"🔴 Bán phá giá sàn",IF(P3073&gt;0.05,"🔵 Bán cao hơn","🟢 Đúng giá sàn TMĐT")))</f>
        <v/>
      </c>
      <c r="R3073" s="3" t="n"/>
      <c r="S3073" s="4" t="n"/>
      <c r="T3073" s="4" t="n"/>
    </row>
    <row r="3074">
      <c r="A3074" s="3" t="n">
        <v>3073</v>
      </c>
      <c r="B3074" s="3" t="inlineStr">
        <is>
          <t>DL027</t>
        </is>
      </c>
      <c r="C3074" s="4" t="inlineStr">
        <is>
          <t>ĐL Bình Định - Khoan Pin 77</t>
        </is>
      </c>
      <c r="D3074" s="3" t="inlineStr">
        <is>
          <t>GIA LAI 
(BÌNH ĐỊNH CŨ)</t>
        </is>
      </c>
      <c r="E3074" s="3" t="inlineStr">
        <is>
          <t>THÙY TRANG</t>
        </is>
      </c>
      <c r="F3074" s="3" t="inlineStr"/>
      <c r="G3074" s="4" t="inlineStr">
        <is>
          <t>SHOPEE: TIKTOK: LAZADA: WEBSITE BÁN HÀNG: YOUTUBE: https://www.youtube.com/channel/UCowiJLhwAySOYT7OCDWOOYA</t>
        </is>
      </c>
      <c r="H3074" s="3" t="inlineStr">
        <is>
          <t>KFF-73</t>
        </is>
      </c>
      <c r="I3074" s="4" t="inlineStr">
        <is>
          <t>Súng bắn đinh bê tông KFF-73</t>
        </is>
      </c>
      <c r="J3074" s="3" t="inlineStr">
        <is>
          <t>Cái</t>
        </is>
      </c>
      <c r="K3074" s="5" t="n">
        <v>660000</v>
      </c>
      <c r="L3074" s="5" t="n">
        <v>739000</v>
      </c>
      <c r="M3074" s="6" t="n">
        <v>858000</v>
      </c>
      <c r="N3074" s="5" t="n"/>
      <c r="O3074" s="5">
        <f>IF(AND(ISNUMBER(N3074),ISNUMBER(M3074)),N3074-M3074,"")</f>
        <v/>
      </c>
      <c r="P3074" s="7">
        <f>IF(AND(ISNUMBER(N3074),ISNUMBER(M3074),M3074&gt;0),(N3074-M3074)/M3074,"")</f>
        <v/>
      </c>
      <c r="Q3074" s="3">
        <f>IF(P3074="","",IF(P3074&lt;-0.02,"🔴 Bán phá giá sàn",IF(P3074&gt;0.05,"🔵 Bán cao hơn","🟢 Đúng giá sàn TMĐT")))</f>
        <v/>
      </c>
      <c r="R3074" s="3" t="n"/>
      <c r="S3074" s="4" t="n"/>
      <c r="T3074" s="4" t="n"/>
    </row>
    <row r="3075">
      <c r="A3075" s="3" t="n">
        <v>3074</v>
      </c>
      <c r="B3075" s="3" t="inlineStr">
        <is>
          <t>DL027</t>
        </is>
      </c>
      <c r="C3075" s="4" t="inlineStr">
        <is>
          <t>ĐL Bình Định - Khoan Pin 77</t>
        </is>
      </c>
      <c r="D3075" s="3" t="inlineStr">
        <is>
          <t>GIA LAI 
(BÌNH ĐỊNH CŨ)</t>
        </is>
      </c>
      <c r="E3075" s="3" t="inlineStr">
        <is>
          <t>THÙY TRANG</t>
        </is>
      </c>
      <c r="F3075" s="3" t="inlineStr"/>
      <c r="G3075" s="4" t="inlineStr">
        <is>
          <t>SHOPEE: TIKTOK: LAZADA: WEBSITE BÁN HÀNG: YOUTUBE: https://www.youtube.com/channel/UCowiJLhwAySOYT7OCDWOOYA</t>
        </is>
      </c>
      <c r="H3075" s="3" t="inlineStr">
        <is>
          <t>KBO-FG30</t>
        </is>
      </c>
      <c r="I3075" s="4" t="inlineStr">
        <is>
          <t>Súng bắn đinh hơi KBO-FG30</t>
        </is>
      </c>
      <c r="J3075" s="3" t="inlineStr">
        <is>
          <t>Cái</t>
        </is>
      </c>
      <c r="K3075" s="5" t="n">
        <v>426000</v>
      </c>
      <c r="L3075" s="5" t="n">
        <v>494000</v>
      </c>
      <c r="M3075" s="6" t="n">
        <v>596000</v>
      </c>
      <c r="N3075" s="5" t="n"/>
      <c r="O3075" s="5">
        <f>IF(AND(ISNUMBER(N3075),ISNUMBER(M3075)),N3075-M3075,"")</f>
        <v/>
      </c>
      <c r="P3075" s="7">
        <f>IF(AND(ISNUMBER(N3075),ISNUMBER(M3075),M3075&gt;0),(N3075-M3075)/M3075,"")</f>
        <v/>
      </c>
      <c r="Q3075" s="3">
        <f>IF(P3075="","",IF(P3075&lt;-0.02,"🔴 Bán phá giá sàn",IF(P3075&gt;0.05,"🔵 Bán cao hơn","🟢 Đúng giá sàn TMĐT")))</f>
        <v/>
      </c>
      <c r="R3075" s="3" t="n"/>
      <c r="S3075" s="4" t="n"/>
      <c r="T3075" s="4" t="n"/>
    </row>
    <row r="3076">
      <c r="A3076" s="3" t="n">
        <v>3075</v>
      </c>
      <c r="B3076" s="3" t="inlineStr">
        <is>
          <t>DL027</t>
        </is>
      </c>
      <c r="C3076" s="4" t="inlineStr">
        <is>
          <t>ĐL Bình Định - Khoan Pin 77</t>
        </is>
      </c>
      <c r="D3076" s="3" t="inlineStr">
        <is>
          <t>GIA LAI 
(BÌNH ĐỊNH CŨ)</t>
        </is>
      </c>
      <c r="E3076" s="3" t="inlineStr">
        <is>
          <t>THÙY TRANG</t>
        </is>
      </c>
      <c r="F3076" s="3" t="inlineStr"/>
      <c r="G3076" s="4" t="inlineStr">
        <is>
          <t>SHOPEE: TIKTOK: LAZADA: WEBSITE BÁN HÀNG: YOUTUBE: https://www.youtube.com/channel/UCowiJLhwAySOYT7OCDWOOYA</t>
        </is>
      </c>
      <c r="H3076" s="3" t="inlineStr">
        <is>
          <t>KF-103</t>
        </is>
      </c>
      <c r="I3076" s="4" t="inlineStr">
        <is>
          <t>Súng bắn ghim KF-103</t>
        </is>
      </c>
      <c r="J3076" s="3" t="inlineStr">
        <is>
          <t>Cái</t>
        </is>
      </c>
      <c r="K3076" s="5" t="n">
        <v>143000</v>
      </c>
      <c r="L3076" s="5" t="n">
        <v>169000</v>
      </c>
      <c r="M3076" s="6" t="n">
        <v>207000</v>
      </c>
      <c r="N3076" s="5" t="n"/>
      <c r="O3076" s="5">
        <f>IF(AND(ISNUMBER(N3076),ISNUMBER(M3076)),N3076-M3076,"")</f>
        <v/>
      </c>
      <c r="P3076" s="7">
        <f>IF(AND(ISNUMBER(N3076),ISNUMBER(M3076),M3076&gt;0),(N3076-M3076)/M3076,"")</f>
        <v/>
      </c>
      <c r="Q3076" s="3">
        <f>IF(P3076="","",IF(P3076&lt;-0.02,"🔴 Bán phá giá sàn",IF(P3076&gt;0.05,"🔵 Bán cao hơn","🟢 Đúng giá sàn TMĐT")))</f>
        <v/>
      </c>
      <c r="R3076" s="3" t="n"/>
      <c r="S3076" s="4" t="n"/>
      <c r="T3076" s="4" t="n"/>
    </row>
    <row r="3077">
      <c r="A3077" s="3" t="n">
        <v>3076</v>
      </c>
      <c r="B3077" s="3" t="inlineStr">
        <is>
          <t>DL027</t>
        </is>
      </c>
      <c r="C3077" s="4" t="inlineStr">
        <is>
          <t>ĐL Bình Định - Khoan Pin 77</t>
        </is>
      </c>
      <c r="D3077" s="3" t="inlineStr">
        <is>
          <t>GIA LAI 
(BÌNH ĐỊNH CŨ)</t>
        </is>
      </c>
      <c r="E3077" s="3" t="inlineStr">
        <is>
          <t>THÙY TRANG</t>
        </is>
      </c>
      <c r="F3077" s="3" t="inlineStr"/>
      <c r="G3077" s="4" t="inlineStr">
        <is>
          <t>SHOPEE: TIKTOK: LAZADA: WEBSITE BÁN HÀNG: YOUTUBE: https://www.youtube.com/channel/UCowiJLhwAySOYT7OCDWOOYA</t>
        </is>
      </c>
      <c r="H3077" s="3" t="inlineStr">
        <is>
          <t>KF-301</t>
        </is>
      </c>
      <c r="I3077" s="4" t="inlineStr">
        <is>
          <t>Súng bắn ghim KF-301</t>
        </is>
      </c>
      <c r="J3077" s="3" t="inlineStr">
        <is>
          <t>Cái</t>
        </is>
      </c>
      <c r="K3077" s="5" t="n">
        <v>242000</v>
      </c>
      <c r="L3077" s="5" t="n">
        <v>286000</v>
      </c>
      <c r="M3077" s="6" t="n">
        <v>351000</v>
      </c>
      <c r="N3077" s="5" t="n"/>
      <c r="O3077" s="5">
        <f>IF(AND(ISNUMBER(N3077),ISNUMBER(M3077)),N3077-M3077,"")</f>
        <v/>
      </c>
      <c r="P3077" s="7">
        <f>IF(AND(ISNUMBER(N3077),ISNUMBER(M3077),M3077&gt;0),(N3077-M3077)/M3077,"")</f>
        <v/>
      </c>
      <c r="Q3077" s="3">
        <f>IF(P3077="","",IF(P3077&lt;-0.02,"🔴 Bán phá giá sàn",IF(P3077&gt;0.05,"🔵 Bán cao hơn","🟢 Đúng giá sàn TMĐT")))</f>
        <v/>
      </c>
      <c r="R3077" s="3" t="n"/>
      <c r="S3077" s="4" t="n"/>
      <c r="T3077" s="4" t="n"/>
    </row>
    <row r="3078">
      <c r="A3078" s="3" t="n">
        <v>3077</v>
      </c>
      <c r="B3078" s="3" t="inlineStr">
        <is>
          <t>DL027</t>
        </is>
      </c>
      <c r="C3078" s="4" t="inlineStr">
        <is>
          <t>ĐL Bình Định - Khoan Pin 77</t>
        </is>
      </c>
      <c r="D3078" s="3" t="inlineStr">
        <is>
          <t>GIA LAI 
(BÌNH ĐỊNH CŨ)</t>
        </is>
      </c>
      <c r="E3078" s="3" t="inlineStr">
        <is>
          <t>THÙY TRANG</t>
        </is>
      </c>
      <c r="F3078" s="3" t="inlineStr"/>
      <c r="G3078" s="4" t="inlineStr">
        <is>
          <t>SHOPEE: TIKTOK: LAZADA: WEBSITE BÁN HÀNG: YOUTUBE: https://www.youtube.com/channel/UCowiJLhwAySOYT7OCDWOOYA</t>
        </is>
      </c>
      <c r="H3078" s="3" t="inlineStr">
        <is>
          <t>KBO-W71</t>
        </is>
      </c>
      <c r="I3078" s="4" t="inlineStr">
        <is>
          <t>Súng phun sơn KBO-W71</t>
        </is>
      </c>
      <c r="J3078" s="3" t="inlineStr">
        <is>
          <t>Cái</t>
        </is>
      </c>
      <c r="K3078" s="5" t="n">
        <v>317000</v>
      </c>
      <c r="L3078" s="5" t="n">
        <v>374000</v>
      </c>
      <c r="M3078" s="6" t="n">
        <v>460000</v>
      </c>
      <c r="N3078" s="5" t="n"/>
      <c r="O3078" s="5">
        <f>IF(AND(ISNUMBER(N3078),ISNUMBER(M3078)),N3078-M3078,"")</f>
        <v/>
      </c>
      <c r="P3078" s="7">
        <f>IF(AND(ISNUMBER(N3078),ISNUMBER(M3078),M3078&gt;0),(N3078-M3078)/M3078,"")</f>
        <v/>
      </c>
      <c r="Q3078" s="3">
        <f>IF(P3078="","",IF(P3078&lt;-0.02,"🔴 Bán phá giá sàn",IF(P3078&gt;0.05,"🔵 Bán cao hơn","🟢 Đúng giá sàn TMĐT")))</f>
        <v/>
      </c>
      <c r="R3078" s="3" t="n"/>
      <c r="S3078" s="4" t="n"/>
      <c r="T3078" s="4" t="n"/>
    </row>
    <row r="3079">
      <c r="A3079" s="3" t="n">
        <v>3078</v>
      </c>
      <c r="B3079" s="3" t="inlineStr">
        <is>
          <t>DL027</t>
        </is>
      </c>
      <c r="C3079" s="4" t="inlineStr">
        <is>
          <t>ĐL Bình Định - Khoan Pin 77</t>
        </is>
      </c>
      <c r="D3079" s="3" t="inlineStr">
        <is>
          <t>GIA LAI 
(BÌNH ĐỊNH CŨ)</t>
        </is>
      </c>
      <c r="E3079" s="3" t="inlineStr">
        <is>
          <t>THÙY TRANG</t>
        </is>
      </c>
      <c r="F3079" s="3" t="inlineStr"/>
      <c r="G3079" s="4" t="inlineStr">
        <is>
          <t>SHOPEE: TIKTOK: LAZADA: WEBSITE BÁN HÀNG: YOUTUBE: https://www.youtube.com/channel/UCowiJLhwAySOYT7OCDWOOYA</t>
        </is>
      </c>
      <c r="H3079" s="3" t="inlineStr">
        <is>
          <t>KT-08</t>
        </is>
      </c>
      <c r="I3079" s="4" t="inlineStr">
        <is>
          <t>Tay vặn tuýp chữ T KT-08</t>
        </is>
      </c>
      <c r="J3079" s="3" t="inlineStr">
        <is>
          <t>Cái</t>
        </is>
      </c>
      <c r="K3079" s="5" t="n">
        <v>42000</v>
      </c>
      <c r="L3079" s="5" t="n">
        <v>50000</v>
      </c>
      <c r="M3079" s="6" t="n">
        <v>61000</v>
      </c>
      <c r="N3079" s="5" t="n"/>
      <c r="O3079" s="5">
        <f>IF(AND(ISNUMBER(N3079),ISNUMBER(M3079)),N3079-M3079,"")</f>
        <v/>
      </c>
      <c r="P3079" s="7">
        <f>IF(AND(ISNUMBER(N3079),ISNUMBER(M3079),M3079&gt;0),(N3079-M3079)/M3079,"")</f>
        <v/>
      </c>
      <c r="Q3079" s="3">
        <f>IF(P3079="","",IF(P3079&lt;-0.02,"🔴 Bán phá giá sàn",IF(P3079&gt;0.05,"🔵 Bán cao hơn","🟢 Đúng giá sàn TMĐT")))</f>
        <v/>
      </c>
      <c r="R3079" s="3" t="n"/>
      <c r="S3079" s="4" t="n"/>
      <c r="T3079" s="4" t="n"/>
    </row>
    <row r="3080">
      <c r="A3080" s="3" t="n">
        <v>3079</v>
      </c>
      <c r="B3080" s="3" t="inlineStr">
        <is>
          <t>DL027</t>
        </is>
      </c>
      <c r="C3080" s="4" t="inlineStr">
        <is>
          <t>ĐL Bình Định - Khoan Pin 77</t>
        </is>
      </c>
      <c r="D3080" s="3" t="inlineStr">
        <is>
          <t>GIA LAI 
(BÌNH ĐỊNH CŨ)</t>
        </is>
      </c>
      <c r="E3080" s="3" t="inlineStr">
        <is>
          <t>THÙY TRANG</t>
        </is>
      </c>
      <c r="F3080" s="3" t="inlineStr"/>
      <c r="G3080" s="4" t="inlineStr">
        <is>
          <t>SHOPEE: TIKTOK: LAZADA: WEBSITE BÁN HÀNG: YOUTUBE: https://www.youtube.com/channel/UCowiJLhwAySOYT7OCDWOOYA</t>
        </is>
      </c>
      <c r="H3080" s="3" t="inlineStr">
        <is>
          <t>KT-10</t>
        </is>
      </c>
      <c r="I3080" s="4" t="inlineStr">
        <is>
          <t>Tay vặn tuýp chữ T KT-10</t>
        </is>
      </c>
      <c r="J3080" s="3" t="inlineStr">
        <is>
          <t>Cái</t>
        </is>
      </c>
      <c r="K3080" s="5" t="n">
        <v>42000</v>
      </c>
      <c r="L3080" s="5" t="n">
        <v>50000</v>
      </c>
      <c r="M3080" s="6" t="n">
        <v>61000</v>
      </c>
      <c r="N3080" s="5" t="n"/>
      <c r="O3080" s="5">
        <f>IF(AND(ISNUMBER(N3080),ISNUMBER(M3080)),N3080-M3080,"")</f>
        <v/>
      </c>
      <c r="P3080" s="7">
        <f>IF(AND(ISNUMBER(N3080),ISNUMBER(M3080),M3080&gt;0),(N3080-M3080)/M3080,"")</f>
        <v/>
      </c>
      <c r="Q3080" s="3">
        <f>IF(P3080="","",IF(P3080&lt;-0.02,"🔴 Bán phá giá sàn",IF(P3080&gt;0.05,"🔵 Bán cao hơn","🟢 Đúng giá sàn TMĐT")))</f>
        <v/>
      </c>
      <c r="R3080" s="3" t="n"/>
      <c r="S3080" s="4" t="n"/>
      <c r="T3080" s="4" t="n"/>
    </row>
    <row r="3081">
      <c r="A3081" s="3" t="n">
        <v>3080</v>
      </c>
      <c r="B3081" s="3" t="inlineStr">
        <is>
          <t>DL027</t>
        </is>
      </c>
      <c r="C3081" s="4" t="inlineStr">
        <is>
          <t>ĐL Bình Định - Khoan Pin 77</t>
        </is>
      </c>
      <c r="D3081" s="3" t="inlineStr">
        <is>
          <t>GIA LAI 
(BÌNH ĐỊNH CŨ)</t>
        </is>
      </c>
      <c r="E3081" s="3" t="inlineStr">
        <is>
          <t>THÙY TRANG</t>
        </is>
      </c>
      <c r="F3081" s="3" t="inlineStr"/>
      <c r="G3081" s="4" t="inlineStr">
        <is>
          <t>SHOPEE: TIKTOK: LAZADA: WEBSITE BÁN HÀNG: YOUTUBE: https://www.youtube.com/channel/UCowiJLhwAySOYT7OCDWOOYA</t>
        </is>
      </c>
      <c r="H3081" s="3" t="inlineStr">
        <is>
          <t>KT-12</t>
        </is>
      </c>
      <c r="I3081" s="4" t="inlineStr">
        <is>
          <t>Tay vặn tuýp chữ T KT-12</t>
        </is>
      </c>
      <c r="J3081" s="3" t="inlineStr">
        <is>
          <t>Cái</t>
        </is>
      </c>
      <c r="K3081" s="5" t="n">
        <v>43000</v>
      </c>
      <c r="L3081" s="5" t="n">
        <v>51000</v>
      </c>
      <c r="M3081" s="6" t="n">
        <v>62000</v>
      </c>
      <c r="N3081" s="5" t="n"/>
      <c r="O3081" s="5">
        <f>IF(AND(ISNUMBER(N3081),ISNUMBER(M3081)),N3081-M3081,"")</f>
        <v/>
      </c>
      <c r="P3081" s="7">
        <f>IF(AND(ISNUMBER(N3081),ISNUMBER(M3081),M3081&gt;0),(N3081-M3081)/M3081,"")</f>
        <v/>
      </c>
      <c r="Q3081" s="3">
        <f>IF(P3081="","",IF(P3081&lt;-0.02,"🔴 Bán phá giá sàn",IF(P3081&gt;0.05,"🔵 Bán cao hơn","🟢 Đúng giá sàn TMĐT")))</f>
        <v/>
      </c>
      <c r="R3081" s="3" t="n"/>
      <c r="S3081" s="4" t="n"/>
      <c r="T3081" s="4" t="n"/>
    </row>
    <row r="3082">
      <c r="A3082" s="3" t="n">
        <v>3081</v>
      </c>
      <c r="B3082" s="3" t="inlineStr">
        <is>
          <t>DL027</t>
        </is>
      </c>
      <c r="C3082" s="4" t="inlineStr">
        <is>
          <t>ĐL Bình Định - Khoan Pin 77</t>
        </is>
      </c>
      <c r="D3082" s="3" t="inlineStr">
        <is>
          <t>GIA LAI 
(BÌNH ĐỊNH CŨ)</t>
        </is>
      </c>
      <c r="E3082" s="3" t="inlineStr">
        <is>
          <t>THÙY TRANG</t>
        </is>
      </c>
      <c r="F3082" s="3" t="inlineStr"/>
      <c r="G3082" s="4" t="inlineStr">
        <is>
          <t>SHOPEE: TIKTOK: LAZADA: WEBSITE BÁN HÀNG: YOUTUBE: https://www.youtube.com/channel/UCowiJLhwAySOYT7OCDWOOYA</t>
        </is>
      </c>
      <c r="H3082" s="3" t="inlineStr">
        <is>
          <t>KHD4212</t>
        </is>
      </c>
      <c r="I3082" s="4" t="inlineStr">
        <is>
          <t>Thùng đựng đồ nghề kèm phụ kiện KHD4212 NEW</t>
        </is>
      </c>
      <c r="J3082" s="3" t="inlineStr">
        <is>
          <t>Cái</t>
        </is>
      </c>
      <c r="K3082" s="5" t="n">
        <v>1996</v>
      </c>
      <c r="L3082" s="5" t="n">
        <v>539000</v>
      </c>
      <c r="M3082" s="6" t="n">
        <v>615000</v>
      </c>
      <c r="N3082" s="5" t="n"/>
      <c r="O3082" s="5">
        <f>IF(AND(ISNUMBER(N3082),ISNUMBER(M3082)),N3082-M3082,"")</f>
        <v/>
      </c>
      <c r="P3082" s="7">
        <f>IF(AND(ISNUMBER(N3082),ISNUMBER(M3082),M3082&gt;0),(N3082-M3082)/M3082,"")</f>
        <v/>
      </c>
      <c r="Q3082" s="3">
        <f>IF(P3082="","",IF(P3082&lt;-0.02,"🔴 Bán phá giá sàn",IF(P3082&gt;0.05,"🔵 Bán cao hơn","🟢 Đúng giá sàn TMĐT")))</f>
        <v/>
      </c>
      <c r="R3082" s="3" t="n"/>
      <c r="S3082" s="4" t="n"/>
      <c r="T3082" s="4" t="n"/>
    </row>
    <row r="3083">
      <c r="A3083" s="3" t="n">
        <v>3082</v>
      </c>
      <c r="B3083" s="3" t="inlineStr">
        <is>
          <t>DL027</t>
        </is>
      </c>
      <c r="C3083" s="4" t="inlineStr">
        <is>
          <t>ĐL Bình Định - Khoan Pin 77</t>
        </is>
      </c>
      <c r="D3083" s="3" t="inlineStr">
        <is>
          <t>GIA LAI 
(BÌNH ĐỊNH CŨ)</t>
        </is>
      </c>
      <c r="E3083" s="3" t="inlineStr">
        <is>
          <t>THÙY TRANG</t>
        </is>
      </c>
      <c r="F3083" s="3" t="inlineStr"/>
      <c r="G3083" s="4" t="inlineStr">
        <is>
          <t>SHOPEE: TIKTOK: LAZADA: WEBSITE BÁN HÀNG: YOUTUBE: https://www.youtube.com/channel/UCowiJLhwAySOYT7OCDWOOYA</t>
        </is>
      </c>
      <c r="H3083" s="3" t="inlineStr">
        <is>
          <t>KHD20</t>
        </is>
      </c>
      <c r="I3083" s="4" t="inlineStr">
        <is>
          <t>Thùng đựng đồ nghề KHD20</t>
        </is>
      </c>
      <c r="J3083" s="3" t="inlineStr">
        <is>
          <t>Cái</t>
        </is>
      </c>
      <c r="K3083" s="5" t="n">
        <v>396000</v>
      </c>
      <c r="L3083" s="5" t="n">
        <v>452000</v>
      </c>
      <c r="M3083" s="6" t="n">
        <v>535000</v>
      </c>
      <c r="N3083" s="5" t="n"/>
      <c r="O3083" s="5">
        <f>IF(AND(ISNUMBER(N3083),ISNUMBER(M3083)),N3083-M3083,"")</f>
        <v/>
      </c>
      <c r="P3083" s="7">
        <f>IF(AND(ISNUMBER(N3083),ISNUMBER(M3083),M3083&gt;0),(N3083-M3083)/M3083,"")</f>
        <v/>
      </c>
      <c r="Q3083" s="3">
        <f>IF(P3083="","",IF(P3083&lt;-0.02,"🔴 Bán phá giá sàn",IF(P3083&gt;0.05,"🔵 Bán cao hơn","🟢 Đúng giá sàn TMĐT")))</f>
        <v/>
      </c>
      <c r="R3083" s="3" t="n"/>
      <c r="S3083" s="4" t="n"/>
      <c r="T3083" s="4" t="n"/>
    </row>
    <row r="3084">
      <c r="A3084" s="3" t="n">
        <v>3083</v>
      </c>
      <c r="B3084" s="3" t="inlineStr">
        <is>
          <t>DL027</t>
        </is>
      </c>
      <c r="C3084" s="4" t="inlineStr">
        <is>
          <t>ĐL Bình Định - Khoan Pin 77</t>
        </is>
      </c>
      <c r="D3084" s="3" t="inlineStr">
        <is>
          <t>GIA LAI 
(BÌNH ĐỊNH CŨ)</t>
        </is>
      </c>
      <c r="E3084" s="3" t="inlineStr">
        <is>
          <t>THÙY TRANG</t>
        </is>
      </c>
      <c r="F3084" s="3" t="inlineStr"/>
      <c r="G3084" s="4" t="inlineStr">
        <is>
          <t>SHOPEE: TIKTOK: LAZADA: WEBSITE BÁN HÀNG: YOUTUBE: https://www.youtube.com/channel/UCowiJLhwAySOYT7OCDWOOYA</t>
        </is>
      </c>
      <c r="H3084" s="3" t="inlineStr">
        <is>
          <t>KHD4216</t>
        </is>
      </c>
      <c r="I3084" s="4" t="inlineStr">
        <is>
          <t>Thùng đựng đồ nghề KHD4216</t>
        </is>
      </c>
      <c r="J3084" s="3" t="inlineStr">
        <is>
          <t>Cái</t>
        </is>
      </c>
      <c r="K3084" s="5" t="n">
        <v>2065</v>
      </c>
      <c r="L3084" s="5" t="n">
        <v>484000</v>
      </c>
      <c r="M3084" s="6" t="n">
        <v>552000</v>
      </c>
      <c r="N3084" s="5" t="n"/>
      <c r="O3084" s="5">
        <f>IF(AND(ISNUMBER(N3084),ISNUMBER(M3084)),N3084-M3084,"")</f>
        <v/>
      </c>
      <c r="P3084" s="7">
        <f>IF(AND(ISNUMBER(N3084),ISNUMBER(M3084),M3084&gt;0),(N3084-M3084)/M3084,"")</f>
        <v/>
      </c>
      <c r="Q3084" s="3">
        <f>IF(P3084="","",IF(P3084&lt;-0.02,"🔴 Bán phá giá sàn",IF(P3084&gt;0.05,"🔵 Bán cao hơn","🟢 Đúng giá sàn TMĐT")))</f>
        <v/>
      </c>
      <c r="R3084" s="3" t="n"/>
      <c r="S3084" s="4" t="n"/>
      <c r="T3084" s="4" t="n"/>
    </row>
    <row r="3085">
      <c r="A3085" s="3" t="n">
        <v>3084</v>
      </c>
      <c r="B3085" s="3" t="inlineStr">
        <is>
          <t>DL027</t>
        </is>
      </c>
      <c r="C3085" s="4" t="inlineStr">
        <is>
          <t>ĐL Bình Định - Khoan Pin 77</t>
        </is>
      </c>
      <c r="D3085" s="3" t="inlineStr">
        <is>
          <t>GIA LAI 
(BÌNH ĐỊNH CŨ)</t>
        </is>
      </c>
      <c r="E3085" s="3" t="inlineStr">
        <is>
          <t>THÙY TRANG</t>
        </is>
      </c>
      <c r="F3085" s="3" t="inlineStr"/>
      <c r="G3085" s="4" t="inlineStr">
        <is>
          <t>SHOPEE: TIKTOK: LAZADA: WEBSITE BÁN HÀNG: YOUTUBE: https://www.youtube.com/channel/UCowiJLhwAySOYT7OCDWOOYA</t>
        </is>
      </c>
      <c r="H3085" s="3" t="inlineStr">
        <is>
          <t>KHD4233</t>
        </is>
      </c>
      <c r="I3085" s="4" t="inlineStr">
        <is>
          <t>Thùng đựng đồ nghề KHD4233</t>
        </is>
      </c>
      <c r="J3085" s="3" t="inlineStr">
        <is>
          <t>Cái</t>
        </is>
      </c>
      <c r="K3085" s="5" t="n">
        <v>269000</v>
      </c>
      <c r="L3085" s="5" t="n">
        <v>317000</v>
      </c>
      <c r="M3085" s="6" t="n">
        <v>390000</v>
      </c>
      <c r="N3085" s="5" t="n"/>
      <c r="O3085" s="5">
        <f>IF(AND(ISNUMBER(N3085),ISNUMBER(M3085)),N3085-M3085,"")</f>
        <v/>
      </c>
      <c r="P3085" s="7">
        <f>IF(AND(ISNUMBER(N3085),ISNUMBER(M3085),M3085&gt;0),(N3085-M3085)/M3085,"")</f>
        <v/>
      </c>
      <c r="Q3085" s="3">
        <f>IF(P3085="","",IF(P3085&lt;-0.02,"🔴 Bán phá giá sàn",IF(P3085&gt;0.05,"🔵 Bán cao hơn","🟢 Đúng giá sàn TMĐT")))</f>
        <v/>
      </c>
      <c r="R3085" s="3" t="n"/>
      <c r="S3085" s="4" t="n"/>
      <c r="T3085" s="4" t="n"/>
    </row>
    <row r="3086">
      <c r="A3086" s="3" t="n">
        <v>3085</v>
      </c>
      <c r="B3086" s="3" t="inlineStr">
        <is>
          <t>DL027</t>
        </is>
      </c>
      <c r="C3086" s="4" t="inlineStr">
        <is>
          <t>ĐL Bình Định - Khoan Pin 77</t>
        </is>
      </c>
      <c r="D3086" s="3" t="inlineStr">
        <is>
          <t>GIA LAI 
(BÌNH ĐỊNH CŨ)</t>
        </is>
      </c>
      <c r="E3086" s="3" t="inlineStr">
        <is>
          <t>THÙY TRANG</t>
        </is>
      </c>
      <c r="F3086" s="3" t="inlineStr"/>
      <c r="G3086" s="4" t="inlineStr">
        <is>
          <t>SHOPEE: TIKTOK: LAZADA: WEBSITE BÁN HÀNG: YOUTUBE: https://www.youtube.com/channel/UCowiJLhwAySOYT7OCDWOOYA</t>
        </is>
      </c>
      <c r="H3086" s="3" t="inlineStr">
        <is>
          <t>MD-50.25</t>
        </is>
      </c>
      <c r="I3086" s="4" t="inlineStr">
        <is>
          <t>Thước Cuộn tự hãm MD-50.25</t>
        </is>
      </c>
      <c r="J3086" s="3" t="inlineStr">
        <is>
          <t>Cái</t>
        </is>
      </c>
      <c r="K3086" s="5" t="n">
        <v>64000</v>
      </c>
      <c r="L3086" s="5" t="n">
        <v>76000</v>
      </c>
      <c r="M3086" s="6" t="n">
        <v>93000</v>
      </c>
      <c r="N3086" s="5" t="n"/>
      <c r="O3086" s="5">
        <f>IF(AND(ISNUMBER(N3086),ISNUMBER(M3086)),N3086-M3086,"")</f>
        <v/>
      </c>
      <c r="P3086" s="7">
        <f>IF(AND(ISNUMBER(N3086),ISNUMBER(M3086),M3086&gt;0),(N3086-M3086)/M3086,"")</f>
        <v/>
      </c>
      <c r="Q3086" s="3">
        <f>IF(P3086="","",IF(P3086&lt;-0.02,"🔴 Bán phá giá sàn",IF(P3086&gt;0.05,"🔵 Bán cao hơn","🟢 Đúng giá sàn TMĐT")))</f>
        <v/>
      </c>
      <c r="R3086" s="3" t="n"/>
      <c r="S3086" s="4" t="n"/>
      <c r="T3086" s="4" t="n"/>
    </row>
    <row r="3087">
      <c r="A3087" s="3" t="n">
        <v>3086</v>
      </c>
      <c r="B3087" s="3" t="inlineStr">
        <is>
          <t>DL027</t>
        </is>
      </c>
      <c r="C3087" s="4" t="inlineStr">
        <is>
          <t>ĐL Bình Định - Khoan Pin 77</t>
        </is>
      </c>
      <c r="D3087" s="3" t="inlineStr">
        <is>
          <t>GIA LAI 
(BÌNH ĐỊNH CŨ)</t>
        </is>
      </c>
      <c r="E3087" s="3" t="inlineStr">
        <is>
          <t>THÙY TRANG</t>
        </is>
      </c>
      <c r="F3087" s="3" t="inlineStr"/>
      <c r="G3087" s="4" t="inlineStr">
        <is>
          <t>SHOPEE: TIKTOK: LAZADA: WEBSITE BÁN HÀNG: YOUTUBE: https://www.youtube.com/channel/UCowiJLhwAySOYT7OCDWOOYA</t>
        </is>
      </c>
      <c r="H3087" s="3" t="inlineStr">
        <is>
          <t>MD-80.25</t>
        </is>
      </c>
      <c r="I3087" s="4" t="inlineStr">
        <is>
          <t>Thước Cuộn tự hãm MD-80.25</t>
        </is>
      </c>
      <c r="J3087" s="3" t="inlineStr">
        <is>
          <t>Cái</t>
        </is>
      </c>
      <c r="K3087" s="5" t="n">
        <v>81000</v>
      </c>
      <c r="L3087" s="5" t="n">
        <v>96000</v>
      </c>
      <c r="M3087" s="6" t="n">
        <v>118000</v>
      </c>
      <c r="N3087" s="5" t="n"/>
      <c r="O3087" s="5">
        <f>IF(AND(ISNUMBER(N3087),ISNUMBER(M3087)),N3087-M3087,"")</f>
        <v/>
      </c>
      <c r="P3087" s="7">
        <f>IF(AND(ISNUMBER(N3087),ISNUMBER(M3087),M3087&gt;0),(N3087-M3087)/M3087,"")</f>
        <v/>
      </c>
      <c r="Q3087" s="3">
        <f>IF(P3087="","",IF(P3087&lt;-0.02,"🔴 Bán phá giá sàn",IF(P3087&gt;0.05,"🔵 Bán cao hơn","🟢 Đúng giá sàn TMĐT")))</f>
        <v/>
      </c>
      <c r="R3087" s="3" t="n"/>
      <c r="S3087" s="4" t="n"/>
      <c r="T3087" s="4" t="n"/>
    </row>
    <row r="3088">
      <c r="A3088" s="3" t="n">
        <v>3087</v>
      </c>
      <c r="B3088" s="3" t="inlineStr">
        <is>
          <t>DL027</t>
        </is>
      </c>
      <c r="C3088" s="4" t="inlineStr">
        <is>
          <t>ĐL Bình Định - Khoan Pin 77</t>
        </is>
      </c>
      <c r="D3088" s="3" t="inlineStr">
        <is>
          <t>GIA LAI 
(BÌNH ĐỊNH CŨ)</t>
        </is>
      </c>
      <c r="E3088" s="3" t="inlineStr">
        <is>
          <t>THÙY TRANG</t>
        </is>
      </c>
      <c r="F3088" s="3" t="inlineStr"/>
      <c r="G3088" s="4" t="inlineStr">
        <is>
          <t>SHOPEE: TIKTOK: LAZADA: WEBSITE BÁN HÀNG: YOUTUBE: https://www.youtube.com/channel/UCowiJLhwAySOYT7OCDWOOYA</t>
        </is>
      </c>
      <c r="H3088" s="3" t="inlineStr">
        <is>
          <t>LC-20.13</t>
        </is>
      </c>
      <c r="I3088" s="4" t="inlineStr">
        <is>
          <t>Thước kéo LC-20.13</t>
        </is>
      </c>
      <c r="J3088" s="3" t="inlineStr">
        <is>
          <t>Cái</t>
        </is>
      </c>
      <c r="K3088" s="5" t="n">
        <v>25000</v>
      </c>
      <c r="L3088" s="5" t="n">
        <v>29000</v>
      </c>
      <c r="M3088" s="6" t="n">
        <v>36000</v>
      </c>
      <c r="N3088" s="5" t="n"/>
      <c r="O3088" s="5">
        <f>IF(AND(ISNUMBER(N3088),ISNUMBER(M3088)),N3088-M3088,"")</f>
        <v/>
      </c>
      <c r="P3088" s="7">
        <f>IF(AND(ISNUMBER(N3088),ISNUMBER(M3088),M3088&gt;0),(N3088-M3088)/M3088,"")</f>
        <v/>
      </c>
      <c r="Q3088" s="3">
        <f>IF(P3088="","",IF(P3088&lt;-0.02,"🔴 Bán phá giá sàn",IF(P3088&gt;0.05,"🔵 Bán cao hơn","🟢 Đúng giá sàn TMĐT")))</f>
        <v/>
      </c>
      <c r="R3088" s="3" t="n"/>
      <c r="S3088" s="4" t="n"/>
      <c r="T3088" s="4" t="n"/>
    </row>
    <row r="3089">
      <c r="A3089" s="3" t="n">
        <v>3088</v>
      </c>
      <c r="B3089" s="3" t="inlineStr">
        <is>
          <t>DL027</t>
        </is>
      </c>
      <c r="C3089" s="4" t="inlineStr">
        <is>
          <t>ĐL Bình Định - Khoan Pin 77</t>
        </is>
      </c>
      <c r="D3089" s="3" t="inlineStr">
        <is>
          <t>GIA LAI 
(BÌNH ĐỊNH CŨ)</t>
        </is>
      </c>
      <c r="E3089" s="3" t="inlineStr">
        <is>
          <t>THÙY TRANG</t>
        </is>
      </c>
      <c r="F3089" s="3" t="inlineStr"/>
      <c r="G3089" s="4" t="inlineStr">
        <is>
          <t>SHOPEE: TIKTOK: LAZADA: WEBSITE BÁN HÀNG: YOUTUBE: https://www.youtube.com/channel/UCowiJLhwAySOYT7OCDWOOYA</t>
        </is>
      </c>
      <c r="H3089" s="3" t="inlineStr">
        <is>
          <t>TK-150</t>
        </is>
      </c>
      <c r="I3089" s="4" t="inlineStr">
        <is>
          <t>Thước kẹp cơ TK-150</t>
        </is>
      </c>
      <c r="J3089" s="3" t="inlineStr">
        <is>
          <t>Cái</t>
        </is>
      </c>
      <c r="K3089" s="5" t="n">
        <v>182000</v>
      </c>
      <c r="L3089" s="5" t="n">
        <v>215000</v>
      </c>
      <c r="M3089" s="6" t="n">
        <v>264000</v>
      </c>
      <c r="N3089" s="5" t="n"/>
      <c r="O3089" s="5">
        <f>IF(AND(ISNUMBER(N3089),ISNUMBER(M3089)),N3089-M3089,"")</f>
        <v/>
      </c>
      <c r="P3089" s="7">
        <f>IF(AND(ISNUMBER(N3089),ISNUMBER(M3089),M3089&gt;0),(N3089-M3089)/M3089,"")</f>
        <v/>
      </c>
      <c r="Q3089" s="3">
        <f>IF(P3089="","",IF(P3089&lt;-0.02,"🔴 Bán phá giá sàn",IF(P3089&gt;0.05,"🔵 Bán cao hơn","🟢 Đúng giá sàn TMĐT")))</f>
        <v/>
      </c>
      <c r="R3089" s="3" t="n"/>
      <c r="S3089" s="4" t="n"/>
      <c r="T3089" s="4" t="n"/>
    </row>
    <row r="3090">
      <c r="A3090" s="3" t="n">
        <v>3089</v>
      </c>
      <c r="B3090" s="3" t="inlineStr">
        <is>
          <t>DL027</t>
        </is>
      </c>
      <c r="C3090" s="4" t="inlineStr">
        <is>
          <t>ĐL Bình Định - Khoan Pin 77</t>
        </is>
      </c>
      <c r="D3090" s="3" t="inlineStr">
        <is>
          <t>GIA LAI 
(BÌNH ĐỊNH CŨ)</t>
        </is>
      </c>
      <c r="E3090" s="3" t="inlineStr">
        <is>
          <t>THÙY TRANG</t>
        </is>
      </c>
      <c r="F3090" s="3" t="inlineStr"/>
      <c r="G3090" s="4" t="inlineStr">
        <is>
          <t>SHOPEE: TIKTOK: LAZADA: WEBSITE BÁN HÀNG: YOUTUBE: https://www.youtube.com/channel/UCowiJLhwAySOYT7OCDWOOYA</t>
        </is>
      </c>
      <c r="H3090" s="3" t="inlineStr">
        <is>
          <t>KTT-40B</t>
        </is>
      </c>
      <c r="I3090" s="4" t="inlineStr">
        <is>
          <t>Thước thủy công nghiệp KTT-40B</t>
        </is>
      </c>
      <c r="J3090" s="3" t="inlineStr">
        <is>
          <t>Cái</t>
        </is>
      </c>
      <c r="K3090" s="5" t="n">
        <v>132000</v>
      </c>
      <c r="L3090" s="5" t="n">
        <v>156000</v>
      </c>
      <c r="M3090" s="6" t="n">
        <v>191000</v>
      </c>
      <c r="N3090" s="5" t="n"/>
      <c r="O3090" s="5">
        <f>IF(AND(ISNUMBER(N3090),ISNUMBER(M3090)),N3090-M3090,"")</f>
        <v/>
      </c>
      <c r="P3090" s="7">
        <f>IF(AND(ISNUMBER(N3090),ISNUMBER(M3090),M3090&gt;0),(N3090-M3090)/M3090,"")</f>
        <v/>
      </c>
      <c r="Q3090" s="3">
        <f>IF(P3090="","",IF(P3090&lt;-0.02,"🔴 Bán phá giá sàn",IF(P3090&gt;0.05,"🔵 Bán cao hơn","🟢 Đúng giá sàn TMĐT")))</f>
        <v/>
      </c>
      <c r="R3090" s="3" t="n"/>
      <c r="S3090" s="4" t="n"/>
      <c r="T3090" s="4" t="n"/>
    </row>
    <row r="3091">
      <c r="A3091" s="3" t="n">
        <v>3090</v>
      </c>
      <c r="B3091" s="3" t="inlineStr">
        <is>
          <t>DL027</t>
        </is>
      </c>
      <c r="C3091" s="4" t="inlineStr">
        <is>
          <t>ĐL Bình Định - Khoan Pin 77</t>
        </is>
      </c>
      <c r="D3091" s="3" t="inlineStr">
        <is>
          <t>GIA LAI 
(BÌNH ĐỊNH CŨ)</t>
        </is>
      </c>
      <c r="E3091" s="3" t="inlineStr">
        <is>
          <t>THÙY TRANG</t>
        </is>
      </c>
      <c r="F3091" s="3" t="inlineStr"/>
      <c r="G3091" s="4" t="inlineStr">
        <is>
          <t>SHOPEE: TIKTOK: LAZADA: WEBSITE BÁN HÀNG: YOUTUBE: https://www.youtube.com/channel/UCowiJLhwAySOYT7OCDWOOYA</t>
        </is>
      </c>
      <c r="H3091" s="3" t="inlineStr">
        <is>
          <t>KTT-60B</t>
        </is>
      </c>
      <c r="I3091" s="4" t="inlineStr">
        <is>
          <t>Thước thủy công nghiệp KTT-60B</t>
        </is>
      </c>
      <c r="J3091" s="3" t="inlineStr">
        <is>
          <t>Cái</t>
        </is>
      </c>
      <c r="K3091" s="5" t="n">
        <v>182000</v>
      </c>
      <c r="L3091" s="5" t="n">
        <v>215000</v>
      </c>
      <c r="M3091" s="6" t="n">
        <v>264000</v>
      </c>
      <c r="N3091" s="5" t="n"/>
      <c r="O3091" s="5">
        <f>IF(AND(ISNUMBER(N3091),ISNUMBER(M3091)),N3091-M3091,"")</f>
        <v/>
      </c>
      <c r="P3091" s="7">
        <f>IF(AND(ISNUMBER(N3091),ISNUMBER(M3091),M3091&gt;0),(N3091-M3091)/M3091,"")</f>
        <v/>
      </c>
      <c r="Q3091" s="3">
        <f>IF(P3091="","",IF(P3091&lt;-0.02,"🔴 Bán phá giá sàn",IF(P3091&gt;0.05,"🔵 Bán cao hơn","🟢 Đúng giá sàn TMĐT")))</f>
        <v/>
      </c>
      <c r="R3091" s="3" t="n"/>
      <c r="S3091" s="4" t="n"/>
      <c r="T3091" s="4" t="n"/>
    </row>
    <row r="3092">
      <c r="A3092" s="3" t="n">
        <v>3091</v>
      </c>
      <c r="B3092" s="3" t="inlineStr">
        <is>
          <t>DL027</t>
        </is>
      </c>
      <c r="C3092" s="4" t="inlineStr">
        <is>
          <t>ĐL Bình Định - Khoan Pin 77</t>
        </is>
      </c>
      <c r="D3092" s="3" t="inlineStr">
        <is>
          <t>GIA LAI 
(BÌNH ĐỊNH CŨ)</t>
        </is>
      </c>
      <c r="E3092" s="3" t="inlineStr">
        <is>
          <t>THÙY TRANG</t>
        </is>
      </c>
      <c r="F3092" s="3" t="inlineStr"/>
      <c r="G3092" s="4" t="inlineStr">
        <is>
          <t>SHOPEE: TIKTOK: LAZADA: WEBSITE BÁN HÀNG: YOUTUBE: https://www.youtube.com/channel/UCowiJLhwAySOYT7OCDWOOYA</t>
        </is>
      </c>
      <c r="H3092" s="3" t="inlineStr"/>
      <c r="I3092" s="4" t="inlineStr">
        <is>
          <t>Túi đựng máy khoan</t>
        </is>
      </c>
      <c r="J3092" s="3" t="inlineStr">
        <is>
          <t>Cái</t>
        </is>
      </c>
      <c r="K3092" s="5" t="n">
        <v>269000</v>
      </c>
      <c r="L3092" s="5" t="n">
        <v>317000</v>
      </c>
      <c r="M3092" s="6" t="n">
        <v>390000</v>
      </c>
      <c r="N3092" s="5" t="n"/>
      <c r="O3092" s="5">
        <f>IF(AND(ISNUMBER(N3092),ISNUMBER(M3092)),N3092-M3092,"")</f>
        <v/>
      </c>
      <c r="P3092" s="7">
        <f>IF(AND(ISNUMBER(N3092),ISNUMBER(M3092),M3092&gt;0),(N3092-M3092)/M3092,"")</f>
        <v/>
      </c>
      <c r="Q3092" s="3">
        <f>IF(P3092="","",IF(P3092&lt;-0.02,"🔴 Bán phá giá sàn",IF(P3092&gt;0.05,"🔵 Bán cao hơn","🟢 Đúng giá sàn TMĐT")))</f>
        <v/>
      </c>
      <c r="R3092" s="3" t="n"/>
      <c r="S3092" s="4" t="n"/>
      <c r="T3092" s="4" t="n"/>
    </row>
    <row r="3093">
      <c r="A3093" s="3" t="n">
        <v>3092</v>
      </c>
      <c r="B3093" s="3" t="inlineStr">
        <is>
          <t>DL027</t>
        </is>
      </c>
      <c r="C3093" s="4" t="inlineStr">
        <is>
          <t>ĐL Bình Định - Khoan Pin 77</t>
        </is>
      </c>
      <c r="D3093" s="3" t="inlineStr">
        <is>
          <t>GIA LAI 
(BÌNH ĐỊNH CŨ)</t>
        </is>
      </c>
      <c r="E3093" s="3" t="inlineStr">
        <is>
          <t>THÙY TRANG</t>
        </is>
      </c>
      <c r="F3093" s="3" t="inlineStr"/>
      <c r="G3093" s="4" t="inlineStr">
        <is>
          <t>SHOPEE: TIKTOK: LAZADA: WEBSITE BÁN HÀNG: YOUTUBE: https://www.youtube.com/channel/UCowiJLhwAySOYT7OCDWOOYA</t>
        </is>
      </c>
      <c r="H3093" s="3" t="inlineStr">
        <is>
          <t>KV2-6100</t>
        </is>
      </c>
      <c r="I3093" s="4" t="inlineStr">
        <is>
          <t>Tuốc nơ vít đa năng S2 KV2-6*100</t>
        </is>
      </c>
      <c r="J3093" s="3" t="inlineStr">
        <is>
          <t>Cái</t>
        </is>
      </c>
      <c r="K3093" s="5" t="n">
        <v>44000</v>
      </c>
      <c r="L3093" s="5" t="n">
        <v>52000</v>
      </c>
      <c r="M3093" s="6" t="n">
        <v>64000</v>
      </c>
      <c r="N3093" s="5" t="n"/>
      <c r="O3093" s="5">
        <f>IF(AND(ISNUMBER(N3093),ISNUMBER(M3093)),N3093-M3093,"")</f>
        <v/>
      </c>
      <c r="P3093" s="7">
        <f>IF(AND(ISNUMBER(N3093),ISNUMBER(M3093),M3093&gt;0),(N3093-M3093)/M3093,"")</f>
        <v/>
      </c>
      <c r="Q3093" s="3">
        <f>IF(P3093="","",IF(P3093&lt;-0.02,"🔴 Bán phá giá sàn",IF(P3093&gt;0.05,"🔵 Bán cao hơn","🟢 Đúng giá sàn TMĐT")))</f>
        <v/>
      </c>
      <c r="R3093" s="3" t="n"/>
      <c r="S3093" s="4" t="n"/>
      <c r="T3093" s="4" t="n"/>
    </row>
    <row r="3094">
      <c r="A3094" s="3" t="n">
        <v>3093</v>
      </c>
      <c r="B3094" s="3" t="inlineStr">
        <is>
          <t>DL027</t>
        </is>
      </c>
      <c r="C3094" s="4" t="inlineStr">
        <is>
          <t>ĐL Bình Định - Khoan Pin 77</t>
        </is>
      </c>
      <c r="D3094" s="3" t="inlineStr">
        <is>
          <t>GIA LAI 
(BÌNH ĐỊNH CŨ)</t>
        </is>
      </c>
      <c r="E3094" s="3" t="inlineStr">
        <is>
          <t>THÙY TRANG</t>
        </is>
      </c>
      <c r="F3094" s="3" t="inlineStr"/>
      <c r="G3094" s="4" t="inlineStr">
        <is>
          <t>SHOPEE: TIKTOK: LAZADA: WEBSITE BÁN HÀNG: YOUTUBE: https://www.youtube.com/channel/UCowiJLhwAySOYT7OCDWOOYA</t>
        </is>
      </c>
      <c r="H3094" s="3" t="inlineStr">
        <is>
          <t>KV2-6200</t>
        </is>
      </c>
      <c r="I3094" s="4" t="inlineStr">
        <is>
          <t>Tuốc nơ vít đa năng S2 KV2-6*200</t>
        </is>
      </c>
      <c r="J3094" s="3" t="inlineStr">
        <is>
          <t>Cái</t>
        </is>
      </c>
      <c r="K3094" s="5" t="n">
        <v>48000</v>
      </c>
      <c r="L3094" s="5" t="n">
        <v>57000</v>
      </c>
      <c r="M3094" s="6" t="n">
        <v>70000</v>
      </c>
      <c r="N3094" s="5" t="n"/>
      <c r="O3094" s="5">
        <f>IF(AND(ISNUMBER(N3094),ISNUMBER(M3094)),N3094-M3094,"")</f>
        <v/>
      </c>
      <c r="P3094" s="7">
        <f>IF(AND(ISNUMBER(N3094),ISNUMBER(M3094),M3094&gt;0),(N3094-M3094)/M3094,"")</f>
        <v/>
      </c>
      <c r="Q3094" s="3">
        <f>IF(P3094="","",IF(P3094&lt;-0.02,"🔴 Bán phá giá sàn",IF(P3094&gt;0.05,"🔵 Bán cao hơn","🟢 Đúng giá sàn TMĐT")))</f>
        <v/>
      </c>
      <c r="R3094" s="3" t="n"/>
      <c r="S3094" s="4" t="n"/>
      <c r="T3094" s="4" t="n"/>
    </row>
    <row r="3095">
      <c r="A3095" s="3" t="n">
        <v>3094</v>
      </c>
      <c r="B3095" s="3" t="inlineStr">
        <is>
          <t>DL027</t>
        </is>
      </c>
      <c r="C3095" s="4" t="inlineStr">
        <is>
          <t>ĐL Bình Định - Khoan Pin 77</t>
        </is>
      </c>
      <c r="D3095" s="3" t="inlineStr">
        <is>
          <t>GIA LAI 
(BÌNH ĐỊNH CŨ)</t>
        </is>
      </c>
      <c r="E3095" s="3" t="inlineStr">
        <is>
          <t>THÙY TRANG</t>
        </is>
      </c>
      <c r="F3095" s="3" t="inlineStr"/>
      <c r="G3095" s="4" t="inlineStr">
        <is>
          <t>SHOPEE: TIKTOK: LAZADA: WEBSITE BÁN HÀNG: YOUTUBE: https://www.youtube.com/channel/UCowiJLhwAySOYT7OCDWOOYA</t>
        </is>
      </c>
      <c r="H3095" s="3" t="inlineStr">
        <is>
          <t>KV6+6150</t>
        </is>
      </c>
      <c r="I3095" s="4" t="inlineStr">
        <is>
          <t>Tuốc nơ vít KV6+6*150</t>
        </is>
      </c>
      <c r="J3095" s="3" t="inlineStr">
        <is>
          <t>Cái</t>
        </is>
      </c>
      <c r="K3095" s="5" t="n">
        <v>29000</v>
      </c>
      <c r="L3095" s="5" t="n">
        <v>34000</v>
      </c>
      <c r="M3095" s="6" t="n">
        <v>42000</v>
      </c>
      <c r="N3095" s="5" t="n"/>
      <c r="O3095" s="5">
        <f>IF(AND(ISNUMBER(N3095),ISNUMBER(M3095)),N3095-M3095,"")</f>
        <v/>
      </c>
      <c r="P3095" s="7">
        <f>IF(AND(ISNUMBER(N3095),ISNUMBER(M3095),M3095&gt;0),(N3095-M3095)/M3095,"")</f>
        <v/>
      </c>
      <c r="Q3095" s="3">
        <f>IF(P3095="","",IF(P3095&lt;-0.02,"🔴 Bán phá giá sàn",IF(P3095&gt;0.05,"🔵 Bán cao hơn","🟢 Đúng giá sàn TMĐT")))</f>
        <v/>
      </c>
      <c r="R3095" s="3" t="n"/>
      <c r="S3095" s="4" t="n"/>
      <c r="T3095" s="4" t="n"/>
    </row>
    <row r="3096">
      <c r="A3096" s="3" t="n">
        <v>3095</v>
      </c>
      <c r="B3096" s="3" t="inlineStr">
        <is>
          <t>DL027</t>
        </is>
      </c>
      <c r="C3096" s="4" t="inlineStr">
        <is>
          <t>ĐL Bình Định - Khoan Pin 77</t>
        </is>
      </c>
      <c r="D3096" s="3" t="inlineStr">
        <is>
          <t>GIA LAI 
(BÌNH ĐỊNH CŨ)</t>
        </is>
      </c>
      <c r="E3096" s="3" t="inlineStr">
        <is>
          <t>THÙY TRANG</t>
        </is>
      </c>
      <c r="F3096" s="3" t="inlineStr"/>
      <c r="G3096" s="4" t="inlineStr">
        <is>
          <t>SHOPEE: TIKTOK: LAZADA: WEBSITE BÁN HÀNG: YOUTUBE: https://www.youtube.com/channel/UCowiJLhwAySOYT7OCDWOOYA</t>
        </is>
      </c>
      <c r="H3096" s="3" t="inlineStr">
        <is>
          <t>KV6-6150</t>
        </is>
      </c>
      <c r="I3096" s="4" t="inlineStr">
        <is>
          <t>Tuốc nơ vít KV6-6*150</t>
        </is>
      </c>
      <c r="J3096" s="3" t="inlineStr">
        <is>
          <t>Cái</t>
        </is>
      </c>
      <c r="K3096" s="5" t="n">
        <v>29000</v>
      </c>
      <c r="L3096" s="5" t="n">
        <v>34000</v>
      </c>
      <c r="M3096" s="6" t="n">
        <v>42000</v>
      </c>
      <c r="N3096" s="5" t="n"/>
      <c r="O3096" s="5">
        <f>IF(AND(ISNUMBER(N3096),ISNUMBER(M3096)),N3096-M3096,"")</f>
        <v/>
      </c>
      <c r="P3096" s="7">
        <f>IF(AND(ISNUMBER(N3096),ISNUMBER(M3096),M3096&gt;0),(N3096-M3096)/M3096,"")</f>
        <v/>
      </c>
      <c r="Q3096" s="3">
        <f>IF(P3096="","",IF(P3096&lt;-0.02,"🔴 Bán phá giá sàn",IF(P3096&gt;0.05,"🔵 Bán cao hơn","🟢 Đúng giá sàn TMĐT")))</f>
        <v/>
      </c>
      <c r="R3096" s="3" t="n"/>
      <c r="S3096" s="4" t="n"/>
      <c r="T3096" s="4" t="n"/>
    </row>
    <row r="3097">
      <c r="A3097" s="3" t="n">
        <v>3096</v>
      </c>
      <c r="B3097" s="3" t="inlineStr">
        <is>
          <t>DL027</t>
        </is>
      </c>
      <c r="C3097" s="4" t="inlineStr">
        <is>
          <t>ĐL Bình Định - Khoan Pin 77</t>
        </is>
      </c>
      <c r="D3097" s="3" t="inlineStr">
        <is>
          <t>GIA LAI 
(BÌNH ĐỊNH CŨ)</t>
        </is>
      </c>
      <c r="E3097" s="3" t="inlineStr">
        <is>
          <t>THÙY TRANG</t>
        </is>
      </c>
      <c r="F3097" s="3" t="inlineStr"/>
      <c r="G3097" s="4" t="inlineStr">
        <is>
          <t>SHOPEE: TIKTOK: LAZADA: WEBSITE BÁN HÀNG: YOUTUBE: https://www.youtube.com/channel/UCowiJLhwAySOYT7OCDWOOYA</t>
        </is>
      </c>
      <c r="H3097" s="3" t="inlineStr">
        <is>
          <t>KV6+6200</t>
        </is>
      </c>
      <c r="I3097" s="4" t="inlineStr">
        <is>
          <t>Tuốc nơ vít KV6+6*200</t>
        </is>
      </c>
      <c r="J3097" s="3" t="inlineStr">
        <is>
          <t>Cái</t>
        </is>
      </c>
      <c r="K3097" s="5" t="n">
        <v>40000</v>
      </c>
      <c r="L3097" s="5" t="n">
        <v>47000</v>
      </c>
      <c r="M3097" s="6" t="n">
        <v>58000</v>
      </c>
      <c r="N3097" s="5" t="n"/>
      <c r="O3097" s="5">
        <f>IF(AND(ISNUMBER(N3097),ISNUMBER(M3097)),N3097-M3097,"")</f>
        <v/>
      </c>
      <c r="P3097" s="7">
        <f>IF(AND(ISNUMBER(N3097),ISNUMBER(M3097),M3097&gt;0),(N3097-M3097)/M3097,"")</f>
        <v/>
      </c>
      <c r="Q3097" s="3">
        <f>IF(P3097="","",IF(P3097&lt;-0.02,"🔴 Bán phá giá sàn",IF(P3097&gt;0.05,"🔵 Bán cao hơn","🟢 Đúng giá sàn TMĐT")))</f>
        <v/>
      </c>
      <c r="R3097" s="3" t="n"/>
      <c r="S3097" s="4" t="n"/>
      <c r="T3097" s="4" t="n"/>
    </row>
    <row r="3098">
      <c r="A3098" s="3" t="n">
        <v>3097</v>
      </c>
      <c r="B3098" s="3" t="inlineStr">
        <is>
          <t>DL027</t>
        </is>
      </c>
      <c r="C3098" s="4" t="inlineStr">
        <is>
          <t>ĐL Bình Định - Khoan Pin 77</t>
        </is>
      </c>
      <c r="D3098" s="3" t="inlineStr">
        <is>
          <t>GIA LAI 
(BÌNH ĐỊNH CŨ)</t>
        </is>
      </c>
      <c r="E3098" s="3" t="inlineStr">
        <is>
          <t>THÙY TRANG</t>
        </is>
      </c>
      <c r="F3098" s="3" t="inlineStr"/>
      <c r="G3098" s="4" t="inlineStr">
        <is>
          <t>SHOPEE: TIKTOK: LAZADA: WEBSITE BÁN HÀNG: YOUTUBE: https://www.youtube.com/channel/UCowiJLhwAySOYT7OCDWOOYA</t>
        </is>
      </c>
      <c r="H3098" s="3" t="inlineStr">
        <is>
          <t>KV6-6200</t>
        </is>
      </c>
      <c r="I3098" s="4" t="inlineStr">
        <is>
          <t>Tuốc nơ vít KV6-6*200</t>
        </is>
      </c>
      <c r="J3098" s="3" t="inlineStr">
        <is>
          <t>Cái</t>
        </is>
      </c>
      <c r="K3098" s="5" t="n">
        <v>40000</v>
      </c>
      <c r="L3098" s="5" t="n">
        <v>47000</v>
      </c>
      <c r="M3098" s="6" t="n">
        <v>58000</v>
      </c>
      <c r="N3098" s="5" t="n"/>
      <c r="O3098" s="5">
        <f>IF(AND(ISNUMBER(N3098),ISNUMBER(M3098)),N3098-M3098,"")</f>
        <v/>
      </c>
      <c r="P3098" s="7">
        <f>IF(AND(ISNUMBER(N3098),ISNUMBER(M3098),M3098&gt;0),(N3098-M3098)/M3098,"")</f>
        <v/>
      </c>
      <c r="Q3098" s="3">
        <f>IF(P3098="","",IF(P3098&lt;-0.02,"🔴 Bán phá giá sàn",IF(P3098&gt;0.05,"🔵 Bán cao hơn","🟢 Đúng giá sàn TMĐT")))</f>
        <v/>
      </c>
      <c r="R3098" s="3" t="n"/>
      <c r="S3098" s="4" t="n"/>
      <c r="T3098" s="4" t="n"/>
    </row>
    <row r="3099">
      <c r="A3099" s="3" t="n">
        <v>3098</v>
      </c>
      <c r="B3099" s="3" t="inlineStr">
        <is>
          <t>DL027</t>
        </is>
      </c>
      <c r="C3099" s="4" t="inlineStr">
        <is>
          <t>ĐL Bình Định - Khoan Pin 77</t>
        </is>
      </c>
      <c r="D3099" s="3" t="inlineStr">
        <is>
          <t>GIA LAI 
(BÌNH ĐỊNH CŨ)</t>
        </is>
      </c>
      <c r="E3099" s="3" t="inlineStr">
        <is>
          <t>THÙY TRANG</t>
        </is>
      </c>
      <c r="F3099" s="3" t="inlineStr"/>
      <c r="G3099" s="4" t="inlineStr">
        <is>
          <t>SHOPEE: TIKTOK: LAZADA: WEBSITE BÁN HÀNG: YOUTUBE: https://www.youtube.com/channel/UCowiJLhwAySOYT7OCDWOOYA</t>
        </is>
      </c>
      <c r="H3099" s="3" t="inlineStr">
        <is>
          <t>KV6+8200</t>
        </is>
      </c>
      <c r="I3099" s="4" t="inlineStr">
        <is>
          <t>Tuốc nơ vít KV6+8*200</t>
        </is>
      </c>
      <c r="J3099" s="3" t="inlineStr">
        <is>
          <t>Cái</t>
        </is>
      </c>
      <c r="K3099" s="5" t="n">
        <v>46000</v>
      </c>
      <c r="L3099" s="5" t="n">
        <v>54000</v>
      </c>
      <c r="M3099" s="6" t="n">
        <v>67000</v>
      </c>
      <c r="N3099" s="5" t="n"/>
      <c r="O3099" s="5">
        <f>IF(AND(ISNUMBER(N3099),ISNUMBER(M3099)),N3099-M3099,"")</f>
        <v/>
      </c>
      <c r="P3099" s="7">
        <f>IF(AND(ISNUMBER(N3099),ISNUMBER(M3099),M3099&gt;0),(N3099-M3099)/M3099,"")</f>
        <v/>
      </c>
      <c r="Q3099" s="3">
        <f>IF(P3099="","",IF(P3099&lt;-0.02,"🔴 Bán phá giá sàn",IF(P3099&gt;0.05,"🔵 Bán cao hơn","🟢 Đúng giá sàn TMĐT")))</f>
        <v/>
      </c>
      <c r="R3099" s="3" t="n"/>
      <c r="S3099" s="4" t="n"/>
      <c r="T3099" s="4" t="n"/>
    </row>
    <row r="3100">
      <c r="A3100" s="3" t="n">
        <v>3099</v>
      </c>
      <c r="B3100" s="3" t="inlineStr">
        <is>
          <t>DL027</t>
        </is>
      </c>
      <c r="C3100" s="4" t="inlineStr">
        <is>
          <t>ĐL Bình Định - Khoan Pin 77</t>
        </is>
      </c>
      <c r="D3100" s="3" t="inlineStr">
        <is>
          <t>GIA LAI 
(BÌNH ĐỊNH CŨ)</t>
        </is>
      </c>
      <c r="E3100" s="3" t="inlineStr">
        <is>
          <t>THÙY TRANG</t>
        </is>
      </c>
      <c r="F3100" s="3" t="inlineStr"/>
      <c r="G3100" s="4" t="inlineStr">
        <is>
          <t>SHOPEE: TIKTOK: LAZADA: WEBSITE BÁN HÀNG: YOUTUBE: https://www.youtube.com/channel/UCowiJLhwAySOYT7OCDWOOYA</t>
        </is>
      </c>
      <c r="H3100" s="3" t="inlineStr">
        <is>
          <t>KV6-8200</t>
        </is>
      </c>
      <c r="I3100" s="4" t="inlineStr">
        <is>
          <t>Tuốc nơ vít KV6-8*200</t>
        </is>
      </c>
      <c r="J3100" s="3" t="inlineStr">
        <is>
          <t>Cái</t>
        </is>
      </c>
      <c r="K3100" s="5" t="n">
        <v>46000</v>
      </c>
      <c r="L3100" s="5" t="n">
        <v>54000</v>
      </c>
      <c r="M3100" s="6" t="n">
        <v>67000</v>
      </c>
      <c r="N3100" s="5" t="n"/>
      <c r="O3100" s="5">
        <f>IF(AND(ISNUMBER(N3100),ISNUMBER(M3100)),N3100-M3100,"")</f>
        <v/>
      </c>
      <c r="P3100" s="7">
        <f>IF(AND(ISNUMBER(N3100),ISNUMBER(M3100),M3100&gt;0),(N3100-M3100)/M3100,"")</f>
        <v/>
      </c>
      <c r="Q3100" s="3">
        <f>IF(P3100="","",IF(P3100&lt;-0.02,"🔴 Bán phá giá sàn",IF(P3100&gt;0.05,"🔵 Bán cao hơn","🟢 Đúng giá sàn TMĐT")))</f>
        <v/>
      </c>
      <c r="R3100" s="3" t="n"/>
      <c r="S3100" s="4" t="n"/>
      <c r="T3100" s="4" t="n"/>
    </row>
    <row r="3101">
      <c r="A3101" s="3" t="n">
        <v>3100</v>
      </c>
      <c r="B3101" s="3" t="inlineStr">
        <is>
          <t>DL027</t>
        </is>
      </c>
      <c r="C3101" s="4" t="inlineStr">
        <is>
          <t>ĐL Bình Định - Khoan Pin 77</t>
        </is>
      </c>
      <c r="D3101" s="3" t="inlineStr">
        <is>
          <t>GIA LAI 
(BÌNH ĐỊNH CŨ)</t>
        </is>
      </c>
      <c r="E3101" s="3" t="inlineStr">
        <is>
          <t>THÙY TRANG</t>
        </is>
      </c>
      <c r="F3101" s="3" t="inlineStr"/>
      <c r="G3101" s="4" t="inlineStr">
        <is>
          <t>SHOPEE: TIKTOK: LAZADA: WEBSITE BÁN HÀNG: YOUTUBE: https://www.youtube.com/channel/UCowiJLhwAySOYT7OCDWOOYA</t>
        </is>
      </c>
      <c r="H3101" s="3" t="inlineStr">
        <is>
          <t>KFJ-432</t>
        </is>
      </c>
      <c r="I3101" s="4" t="inlineStr">
        <is>
          <t>Vít bê tông không dùng tắc kê KFJ-432</t>
        </is>
      </c>
      <c r="J3101" s="3" t="inlineStr">
        <is>
          <t>Hộp</t>
        </is>
      </c>
      <c r="K3101" s="5" t="n">
        <v>81000</v>
      </c>
      <c r="L3101" s="5" t="n">
        <v>101000</v>
      </c>
      <c r="M3101" s="6" t="n">
        <v>130000</v>
      </c>
      <c r="N3101" s="5" t="n"/>
      <c r="O3101" s="5">
        <f>IF(AND(ISNUMBER(N3101),ISNUMBER(M3101)),N3101-M3101,"")</f>
        <v/>
      </c>
      <c r="P3101" s="7">
        <f>IF(AND(ISNUMBER(N3101),ISNUMBER(M3101),M3101&gt;0),(N3101-M3101)/M3101,"")</f>
        <v/>
      </c>
      <c r="Q3101" s="3">
        <f>IF(P3101="","",IF(P3101&lt;-0.02,"🔴 Bán phá giá sàn",IF(P3101&gt;0.05,"🔵 Bán cao hơn","🟢 Đúng giá sàn TMĐT")))</f>
        <v/>
      </c>
      <c r="R3101" s="3" t="n"/>
      <c r="S3101" s="4" t="n"/>
      <c r="T3101" s="4" t="n"/>
    </row>
    <row r="3102">
      <c r="A3102" s="3" t="n">
        <v>3101</v>
      </c>
      <c r="B3102" s="3" t="inlineStr">
        <is>
          <t>DL027</t>
        </is>
      </c>
      <c r="C3102" s="4" t="inlineStr">
        <is>
          <t>ĐL Bình Định - Khoan Pin 77</t>
        </is>
      </c>
      <c r="D3102" s="3" t="inlineStr">
        <is>
          <t>GIA LAI 
(BÌNH ĐỊNH CŨ)</t>
        </is>
      </c>
      <c r="E3102" s="3" t="inlineStr">
        <is>
          <t>THÙY TRANG</t>
        </is>
      </c>
      <c r="F3102" s="3" t="inlineStr"/>
      <c r="G3102" s="4" t="inlineStr">
        <is>
          <t>SHOPEE: TIKTOK: LAZADA: WEBSITE BÁN HÀNG: YOUTUBE: https://www.youtube.com/channel/UCowiJLhwAySOYT7OCDWOOYA</t>
        </is>
      </c>
      <c r="H3102" s="3" t="inlineStr">
        <is>
          <t>KFJ-438</t>
        </is>
      </c>
      <c r="I3102" s="4" t="inlineStr">
        <is>
          <t>Vít bê tông không dùng tắc kê KFJ-438</t>
        </is>
      </c>
      <c r="J3102" s="3" t="inlineStr">
        <is>
          <t>Hộp</t>
        </is>
      </c>
      <c r="K3102" s="5" t="n">
        <v>81000</v>
      </c>
      <c r="L3102" s="5" t="n">
        <v>101000</v>
      </c>
      <c r="M3102" s="6" t="n">
        <v>130000</v>
      </c>
      <c r="N3102" s="5" t="n"/>
      <c r="O3102" s="5">
        <f>IF(AND(ISNUMBER(N3102),ISNUMBER(M3102)),N3102-M3102,"")</f>
        <v/>
      </c>
      <c r="P3102" s="7">
        <f>IF(AND(ISNUMBER(N3102),ISNUMBER(M3102),M3102&gt;0),(N3102-M3102)/M3102,"")</f>
        <v/>
      </c>
      <c r="Q3102" s="3">
        <f>IF(P3102="","",IF(P3102&lt;-0.02,"🔴 Bán phá giá sàn",IF(P3102&gt;0.05,"🔵 Bán cao hơn","🟢 Đúng giá sàn TMĐT")))</f>
        <v/>
      </c>
      <c r="R3102" s="3" t="n"/>
      <c r="S3102" s="4" t="n"/>
      <c r="T3102" s="4" t="n"/>
    </row>
    <row r="3103">
      <c r="A3103" s="3" t="n">
        <v>3102</v>
      </c>
      <c r="B3103" s="3" t="inlineStr">
        <is>
          <t>DL027</t>
        </is>
      </c>
      <c r="C3103" s="4" t="inlineStr">
        <is>
          <t>ĐL Bình Định - Khoan Pin 77</t>
        </is>
      </c>
      <c r="D3103" s="3" t="inlineStr">
        <is>
          <t>GIA LAI 
(BÌNH ĐỊNH CŨ)</t>
        </is>
      </c>
      <c r="E3103" s="3" t="inlineStr">
        <is>
          <t>THÙY TRANG</t>
        </is>
      </c>
      <c r="F3103" s="3" t="inlineStr"/>
      <c r="G3103" s="4" t="inlineStr">
        <is>
          <t>SHOPEE: TIKTOK: LAZADA: WEBSITE BÁN HÀNG: YOUTUBE: https://www.youtube.com/channel/UCowiJLhwAySOYT7OCDWOOYA</t>
        </is>
      </c>
      <c r="H3103" s="3" t="inlineStr">
        <is>
          <t>KFJ-445</t>
        </is>
      </c>
      <c r="I3103" s="4" t="inlineStr">
        <is>
          <t>Vít bê tông không dùng tắc kê KFJ-445</t>
        </is>
      </c>
      <c r="J3103" s="3" t="inlineStr">
        <is>
          <t>Hộp</t>
        </is>
      </c>
      <c r="K3103" s="5" t="n">
        <v>81000</v>
      </c>
      <c r="L3103" s="5" t="n">
        <v>101000</v>
      </c>
      <c r="M3103" s="6" t="n">
        <v>130000</v>
      </c>
      <c r="N3103" s="5" t="n"/>
      <c r="O3103" s="5">
        <f>IF(AND(ISNUMBER(N3103),ISNUMBER(M3103)),N3103-M3103,"")</f>
        <v/>
      </c>
      <c r="P3103" s="7">
        <f>IF(AND(ISNUMBER(N3103),ISNUMBER(M3103),M3103&gt;0),(N3103-M3103)/M3103,"")</f>
        <v/>
      </c>
      <c r="Q3103" s="3">
        <f>IF(P3103="","",IF(P3103&lt;-0.02,"🔴 Bán phá giá sàn",IF(P3103&gt;0.05,"🔵 Bán cao hơn","🟢 Đúng giá sàn TMĐT")))</f>
        <v/>
      </c>
      <c r="R3103" s="3" t="n"/>
      <c r="S3103" s="4" t="n"/>
      <c r="T3103" s="4" t="n"/>
    </row>
    <row r="3104">
      <c r="A3104" s="3" t="n">
        <v>3103</v>
      </c>
      <c r="B3104" s="3" t="inlineStr">
        <is>
          <t>DL027</t>
        </is>
      </c>
      <c r="C3104" s="4" t="inlineStr">
        <is>
          <t>ĐL Bình Định - Khoan Pin 77</t>
        </is>
      </c>
      <c r="D3104" s="3" t="inlineStr">
        <is>
          <t>GIA LAI 
(BÌNH ĐỊNH CŨ)</t>
        </is>
      </c>
      <c r="E3104" s="3" t="inlineStr">
        <is>
          <t>THÙY TRANG</t>
        </is>
      </c>
      <c r="F3104" s="3" t="inlineStr"/>
      <c r="G3104" s="4" t="inlineStr">
        <is>
          <t>SHOPEE: TIKTOK: LAZADA: WEBSITE BÁN HÀNG: YOUTUBE: https://www.youtube.com/channel/UCowiJLhwAySOYT7OCDWOOYA</t>
        </is>
      </c>
      <c r="H3104" s="3" t="inlineStr">
        <is>
          <t>KFJ-535</t>
        </is>
      </c>
      <c r="I3104" s="4" t="inlineStr">
        <is>
          <t>Vít bê tông không dùng tắc kê KFJ-535</t>
        </is>
      </c>
      <c r="J3104" s="3" t="inlineStr">
        <is>
          <t>Hộp</t>
        </is>
      </c>
      <c r="K3104" s="5" t="n">
        <v>81000</v>
      </c>
      <c r="L3104" s="5" t="n">
        <v>101000</v>
      </c>
      <c r="M3104" s="6" t="n">
        <v>130000</v>
      </c>
      <c r="N3104" s="5" t="n"/>
      <c r="O3104" s="5">
        <f>IF(AND(ISNUMBER(N3104),ISNUMBER(M3104)),N3104-M3104,"")</f>
        <v/>
      </c>
      <c r="P3104" s="7">
        <f>IF(AND(ISNUMBER(N3104),ISNUMBER(M3104),M3104&gt;0),(N3104-M3104)/M3104,"")</f>
        <v/>
      </c>
      <c r="Q3104" s="3">
        <f>IF(P3104="","",IF(P3104&lt;-0.02,"🔴 Bán phá giá sàn",IF(P3104&gt;0.05,"🔵 Bán cao hơn","🟢 Đúng giá sàn TMĐT")))</f>
        <v/>
      </c>
      <c r="R3104" s="3" t="n"/>
      <c r="S3104" s="4" t="n"/>
      <c r="T3104" s="4" t="n"/>
    </row>
    <row r="3105">
      <c r="A3105" s="3" t="n">
        <v>3104</v>
      </c>
      <c r="B3105" s="3" t="inlineStr">
        <is>
          <t>DL027</t>
        </is>
      </c>
      <c r="C3105" s="4" t="inlineStr">
        <is>
          <t>ĐL Bình Định - Khoan Pin 77</t>
        </is>
      </c>
      <c r="D3105" s="3" t="inlineStr">
        <is>
          <t>GIA LAI 
(BÌNH ĐỊNH CŨ)</t>
        </is>
      </c>
      <c r="E3105" s="3" t="inlineStr">
        <is>
          <t>THÙY TRANG</t>
        </is>
      </c>
      <c r="F3105" s="3" t="inlineStr"/>
      <c r="G3105" s="4" t="inlineStr">
        <is>
          <t>SHOPEE: TIKTOK: LAZADA: WEBSITE BÁN HÀNG: YOUTUBE: https://www.youtube.com/channel/UCowiJLhwAySOYT7OCDWOOYA</t>
        </is>
      </c>
      <c r="H3105" s="3" t="inlineStr">
        <is>
          <t>KFJ-545</t>
        </is>
      </c>
      <c r="I3105" s="4" t="inlineStr">
        <is>
          <t>Vít bê tông không dùng tắc kê KFJ-545</t>
        </is>
      </c>
      <c r="J3105" s="3" t="inlineStr">
        <is>
          <t>Hộp</t>
        </is>
      </c>
      <c r="K3105" s="5" t="n">
        <v>81000</v>
      </c>
      <c r="L3105" s="5" t="n">
        <v>101000</v>
      </c>
      <c r="M3105" s="6" t="n">
        <v>130000</v>
      </c>
      <c r="N3105" s="5" t="n"/>
      <c r="O3105" s="5">
        <f>IF(AND(ISNUMBER(N3105),ISNUMBER(M3105)),N3105-M3105,"")</f>
        <v/>
      </c>
      <c r="P3105" s="7">
        <f>IF(AND(ISNUMBER(N3105),ISNUMBER(M3105),M3105&gt;0),(N3105-M3105)/M3105,"")</f>
        <v/>
      </c>
      <c r="Q3105" s="3">
        <f>IF(P3105="","",IF(P3105&lt;-0.02,"🔴 Bán phá giá sàn",IF(P3105&gt;0.05,"🔵 Bán cao hơn","🟢 Đúng giá sàn TMĐT")))</f>
        <v/>
      </c>
      <c r="R3105" s="3" t="n"/>
      <c r="S3105" s="4" t="n"/>
      <c r="T3105" s="4" t="n"/>
    </row>
    <row r="3106">
      <c r="A3106" s="3" t="n">
        <v>3105</v>
      </c>
      <c r="B3106" s="3" t="inlineStr">
        <is>
          <t>DL028</t>
        </is>
      </c>
      <c r="C3106" s="4" t="inlineStr">
        <is>
          <t>ĐL Bình Thuận - Cửa hàng Đạo Vương</t>
        </is>
      </c>
      <c r="D3106" s="3" t="inlineStr">
        <is>
          <t>LÂM ĐỒNG 
(BÌNH THUẬN CŨ)</t>
        </is>
      </c>
      <c r="E3106" s="3" t="inlineStr">
        <is>
          <t>THÙY TRANG</t>
        </is>
      </c>
      <c r="F3106" s="3" t="inlineStr"/>
      <c r="G3106" s="4" t="inlineStr">
        <is>
          <t>SHOPEE: https://shopee.vn/search?keyword=store%20d%E1%BB%A5ng%20c%E1%BB%A5%20tpTIKTOK: LAZADA: WEBSITE BÁN HÀNG:</t>
        </is>
      </c>
      <c r="H3106" s="3" t="inlineStr">
        <is>
          <t>KLJ015</t>
        </is>
      </c>
      <c r="I3106" s="4" t="inlineStr">
        <is>
          <t>Bộ mũi khoan King Blue KLJ015</t>
        </is>
      </c>
      <c r="J3106" s="3" t="inlineStr">
        <is>
          <t>Cái</t>
        </is>
      </c>
      <c r="K3106" s="5" t="n">
        <v>269000</v>
      </c>
      <c r="L3106" s="5" t="n">
        <v>317000</v>
      </c>
      <c r="M3106" s="6" t="n">
        <v>390000</v>
      </c>
      <c r="N3106" s="5" t="n"/>
      <c r="O3106" s="5">
        <f>IF(AND(ISNUMBER(N3106),ISNUMBER(M3106)),N3106-M3106,"")</f>
        <v/>
      </c>
      <c r="P3106" s="7">
        <f>IF(AND(ISNUMBER(N3106),ISNUMBER(M3106),M3106&gt;0),(N3106-M3106)/M3106,"")</f>
        <v/>
      </c>
      <c r="Q3106" s="3">
        <f>IF(P3106="","",IF(P3106&lt;-0.02,"🔴 Bán phá giá sàn",IF(P3106&gt;0.05,"🔵 Bán cao hơn","🟢 Đúng giá sàn TMĐT")))</f>
        <v/>
      </c>
      <c r="R3106" s="3" t="n"/>
      <c r="S3106" s="4" t="n"/>
      <c r="T3106" s="4" t="n"/>
    </row>
    <row r="3107">
      <c r="A3107" s="3" t="n">
        <v>3106</v>
      </c>
      <c r="B3107" s="3" t="inlineStr">
        <is>
          <t>DL028</t>
        </is>
      </c>
      <c r="C3107" s="4" t="inlineStr">
        <is>
          <t>ĐL Bình Thuận - Cửa hàng Đạo Vương</t>
        </is>
      </c>
      <c r="D3107" s="3" t="inlineStr">
        <is>
          <t>LÂM ĐỒNG 
(BÌNH THUẬN CŨ)</t>
        </is>
      </c>
      <c r="E3107" s="3" t="inlineStr">
        <is>
          <t>THÙY TRANG</t>
        </is>
      </c>
      <c r="F3107" s="3" t="inlineStr"/>
      <c r="G3107" s="4" t="inlineStr">
        <is>
          <t>SHOPEE: https://shopee.vn/search?keyword=store%20d%E1%BB%A5ng%20c%E1%BB%A5%20tpTIKTOK: LAZADA: WEBSITE BÁN HÀNG:</t>
        </is>
      </c>
      <c r="H3107" s="3" t="inlineStr">
        <is>
          <t>KV10-13</t>
        </is>
      </c>
      <c r="I3107" s="4" t="inlineStr">
        <is>
          <t>Bộ tuvit đóng KV10-13</t>
        </is>
      </c>
      <c r="J3107" s="3" t="inlineStr">
        <is>
          <t>Cái</t>
        </is>
      </c>
      <c r="K3107" s="5" t="n">
        <v>269000</v>
      </c>
      <c r="L3107" s="5" t="n">
        <v>317000</v>
      </c>
      <c r="M3107" s="6" t="n">
        <v>390000</v>
      </c>
      <c r="N3107" s="5" t="n"/>
      <c r="O3107" s="5">
        <f>IF(AND(ISNUMBER(N3107),ISNUMBER(M3107)),N3107-M3107,"")</f>
        <v/>
      </c>
      <c r="P3107" s="7">
        <f>IF(AND(ISNUMBER(N3107),ISNUMBER(M3107),M3107&gt;0),(N3107-M3107)/M3107,"")</f>
        <v/>
      </c>
      <c r="Q3107" s="3">
        <f>IF(P3107="","",IF(P3107&lt;-0.02,"🔴 Bán phá giá sàn",IF(P3107&gt;0.05,"🔵 Bán cao hơn","🟢 Đúng giá sàn TMĐT")))</f>
        <v/>
      </c>
      <c r="R3107" s="3" t="n"/>
      <c r="S3107" s="4" t="n"/>
      <c r="T3107" s="4" t="n"/>
    </row>
    <row r="3108">
      <c r="A3108" s="3" t="n">
        <v>3107</v>
      </c>
      <c r="B3108" s="3" t="inlineStr">
        <is>
          <t>DL028</t>
        </is>
      </c>
      <c r="C3108" s="4" t="inlineStr">
        <is>
          <t>ĐL Bình Thuận - Cửa hàng Đạo Vương</t>
        </is>
      </c>
      <c r="D3108" s="3" t="inlineStr">
        <is>
          <t>LÂM ĐỒNG 
(BÌNH THUẬN CŨ)</t>
        </is>
      </c>
      <c r="E3108" s="3" t="inlineStr">
        <is>
          <t>THÙY TRANG</t>
        </is>
      </c>
      <c r="F3108" s="3" t="inlineStr"/>
      <c r="G3108" s="4" t="inlineStr">
        <is>
          <t>SHOPEE: https://shopee.vn/search?keyword=store%20d%E1%BB%A5ng%20c%E1%BB%A5%20tpTIKTOK: LAZADA: WEBSITE BÁN HÀNG:</t>
        </is>
      </c>
      <c r="H3108" s="3" t="inlineStr">
        <is>
          <t>KB-ST18</t>
        </is>
      </c>
      <c r="I3108" s="4" t="inlineStr">
        <is>
          <t>Công cụ đóng đinh bán tự động KB-ST18</t>
        </is>
      </c>
      <c r="J3108" s="3" t="inlineStr">
        <is>
          <t>Cái</t>
        </is>
      </c>
      <c r="K3108" s="5" t="n">
        <v>242000</v>
      </c>
      <c r="L3108" s="5" t="n">
        <v>286000</v>
      </c>
      <c r="M3108" s="6" t="n">
        <v>351000</v>
      </c>
      <c r="N3108" s="5" t="n"/>
      <c r="O3108" s="5">
        <f>IF(AND(ISNUMBER(N3108),ISNUMBER(M3108)),N3108-M3108,"")</f>
        <v/>
      </c>
      <c r="P3108" s="7">
        <f>IF(AND(ISNUMBER(N3108),ISNUMBER(M3108),M3108&gt;0),(N3108-M3108)/M3108,"")</f>
        <v/>
      </c>
      <c r="Q3108" s="3">
        <f>IF(P3108="","",IF(P3108&lt;-0.02,"🔴 Bán phá giá sàn",IF(P3108&gt;0.05,"🔵 Bán cao hơn","🟢 Đúng giá sàn TMĐT")))</f>
        <v/>
      </c>
      <c r="R3108" s="3" t="n"/>
      <c r="S3108" s="4" t="n"/>
      <c r="T3108" s="4" t="n"/>
    </row>
    <row r="3109">
      <c r="A3109" s="3" t="n">
        <v>3108</v>
      </c>
      <c r="B3109" s="3" t="inlineStr">
        <is>
          <t>DL028</t>
        </is>
      </c>
      <c r="C3109" s="4" t="inlineStr">
        <is>
          <t>ĐL Bình Thuận - Cửa hàng Đạo Vương</t>
        </is>
      </c>
      <c r="D3109" s="3" t="inlineStr">
        <is>
          <t>LÂM ĐỒNG 
(BÌNH THUẬN CŨ)</t>
        </is>
      </c>
      <c r="E3109" s="3" t="inlineStr">
        <is>
          <t>THÙY TRANG</t>
        </is>
      </c>
      <c r="F3109" s="3" t="inlineStr"/>
      <c r="G3109" s="4" t="inlineStr">
        <is>
          <t>SHOPEE: https://shopee.vn/search?keyword=store%20d%E1%BB%A5ng%20c%E1%BB%A5%20tpTIKTOK: LAZADA: WEBSITE BÁN HÀNG:</t>
        </is>
      </c>
      <c r="H3109" s="3" t="inlineStr">
        <is>
          <t>CM08</t>
        </is>
      </c>
      <c r="I3109" s="4" t="inlineStr">
        <is>
          <t>Đầu chụp bulon KingBlue CM08</t>
        </is>
      </c>
      <c r="J3109" s="3" t="inlineStr">
        <is>
          <t>Hộp</t>
        </is>
      </c>
      <c r="K3109" s="5" t="n">
        <v>154000</v>
      </c>
      <c r="L3109" s="5" t="n">
        <v>194000</v>
      </c>
      <c r="M3109" s="6" t="n">
        <v>254000</v>
      </c>
      <c r="N3109" s="5" t="n"/>
      <c r="O3109" s="5">
        <f>IF(AND(ISNUMBER(N3109),ISNUMBER(M3109)),N3109-M3109,"")</f>
        <v/>
      </c>
      <c r="P3109" s="7">
        <f>IF(AND(ISNUMBER(N3109),ISNUMBER(M3109),M3109&gt;0),(N3109-M3109)/M3109,"")</f>
        <v/>
      </c>
      <c r="Q3109" s="3">
        <f>IF(P3109="","",IF(P3109&lt;-0.02,"🔴 Bán phá giá sàn",IF(P3109&gt;0.05,"🔵 Bán cao hơn","🟢 Đúng giá sàn TMĐT")))</f>
        <v/>
      </c>
      <c r="R3109" s="3" t="n"/>
      <c r="S3109" s="4" t="n"/>
      <c r="T3109" s="4" t="n"/>
    </row>
    <row r="3110">
      <c r="A3110" s="3" t="n">
        <v>3109</v>
      </c>
      <c r="B3110" s="3" t="inlineStr">
        <is>
          <t>DL028</t>
        </is>
      </c>
      <c r="C3110" s="4" t="inlineStr">
        <is>
          <t>ĐL Bình Thuận - Cửa hàng Đạo Vương</t>
        </is>
      </c>
      <c r="D3110" s="3" t="inlineStr">
        <is>
          <t>LÂM ĐỒNG 
(BÌNH THUẬN CŨ)</t>
        </is>
      </c>
      <c r="E3110" s="3" t="inlineStr">
        <is>
          <t>THÙY TRANG</t>
        </is>
      </c>
      <c r="F3110" s="3" t="inlineStr"/>
      <c r="G3110" s="4" t="inlineStr">
        <is>
          <t>SHOPEE: https://shopee.vn/search?keyword=store%20d%E1%BB%A5ng%20c%E1%BB%A5%20tpTIKTOK: LAZADA: WEBSITE BÁN HÀNG:</t>
        </is>
      </c>
      <c r="H3110" s="3" t="inlineStr">
        <is>
          <t>CM13</t>
        </is>
      </c>
      <c r="I3110" s="4" t="inlineStr">
        <is>
          <t>Đầu chụp bulon KingBlue CM13</t>
        </is>
      </c>
      <c r="J3110" s="3" t="inlineStr">
        <is>
          <t>Hộp</t>
        </is>
      </c>
      <c r="K3110" s="5" t="n">
        <v>105000</v>
      </c>
      <c r="L3110" s="5" t="n">
        <v>132000</v>
      </c>
      <c r="M3110" s="6" t="n">
        <v>173000</v>
      </c>
      <c r="N3110" s="5" t="n"/>
      <c r="O3110" s="5">
        <f>IF(AND(ISNUMBER(N3110),ISNUMBER(M3110)),N3110-M3110,"")</f>
        <v/>
      </c>
      <c r="P3110" s="7">
        <f>IF(AND(ISNUMBER(N3110),ISNUMBER(M3110),M3110&gt;0),(N3110-M3110)/M3110,"")</f>
        <v/>
      </c>
      <c r="Q3110" s="3">
        <f>IF(P3110="","",IF(P3110&lt;-0.02,"🔴 Bán phá giá sàn",IF(P3110&gt;0.05,"🔵 Bán cao hơn","🟢 Đúng giá sàn TMĐT")))</f>
        <v/>
      </c>
      <c r="R3110" s="3" t="n"/>
      <c r="S3110" s="4" t="n"/>
      <c r="T3110" s="4" t="n"/>
    </row>
    <row r="3111">
      <c r="A3111" s="3" t="n">
        <v>3110</v>
      </c>
      <c r="B3111" s="3" t="inlineStr">
        <is>
          <t>DL028</t>
        </is>
      </c>
      <c r="C3111" s="4" t="inlineStr">
        <is>
          <t>ĐL Bình Thuận - Cửa hàng Đạo Vương</t>
        </is>
      </c>
      <c r="D3111" s="3" t="inlineStr">
        <is>
          <t>LÂM ĐỒNG 
(BÌNH THUẬN CŨ)</t>
        </is>
      </c>
      <c r="E3111" s="3" t="inlineStr">
        <is>
          <t>THÙY TRANG</t>
        </is>
      </c>
      <c r="F3111" s="3" t="inlineStr"/>
      <c r="G3111" s="4" t="inlineStr">
        <is>
          <t>SHOPEE: https://shopee.vn/search?keyword=store%20d%E1%BB%A5ng%20c%E1%BB%A5%20tpTIKTOK: LAZADA: WEBSITE BÁN HÀNG:</t>
        </is>
      </c>
      <c r="H3111" s="3" t="inlineStr">
        <is>
          <t>CM17</t>
        </is>
      </c>
      <c r="I3111" s="4" t="inlineStr">
        <is>
          <t>Đầu chụp bulon KingBlue CM17</t>
        </is>
      </c>
      <c r="J3111" s="3" t="inlineStr">
        <is>
          <t>Hộp</t>
        </is>
      </c>
      <c r="K3111" s="5" t="n">
        <v>110000</v>
      </c>
      <c r="L3111" s="5" t="n">
        <v>139000</v>
      </c>
      <c r="M3111" s="6" t="n">
        <v>182000</v>
      </c>
      <c r="N3111" s="5" t="n"/>
      <c r="O3111" s="5">
        <f>IF(AND(ISNUMBER(N3111),ISNUMBER(M3111)),N3111-M3111,"")</f>
        <v/>
      </c>
      <c r="P3111" s="7">
        <f>IF(AND(ISNUMBER(N3111),ISNUMBER(M3111),M3111&gt;0),(N3111-M3111)/M3111,"")</f>
        <v/>
      </c>
      <c r="Q3111" s="3">
        <f>IF(P3111="","",IF(P3111&lt;-0.02,"🔴 Bán phá giá sàn",IF(P3111&gt;0.05,"🔵 Bán cao hơn","🟢 Đúng giá sàn TMĐT")))</f>
        <v/>
      </c>
      <c r="R3111" s="3" t="n"/>
      <c r="S3111" s="4" t="n"/>
      <c r="T3111" s="4" t="n"/>
    </row>
    <row r="3112">
      <c r="A3112" s="3" t="n">
        <v>3111</v>
      </c>
      <c r="B3112" s="3" t="inlineStr">
        <is>
          <t>DL028</t>
        </is>
      </c>
      <c r="C3112" s="4" t="inlineStr">
        <is>
          <t>ĐL Bình Thuận - Cửa hàng Đạo Vương</t>
        </is>
      </c>
      <c r="D3112" s="3" t="inlineStr">
        <is>
          <t>LÂM ĐỒNG 
(BÌNH THUẬN CŨ)</t>
        </is>
      </c>
      <c r="E3112" s="3" t="inlineStr">
        <is>
          <t>THÙY TRANG</t>
        </is>
      </c>
      <c r="F3112" s="3" t="inlineStr"/>
      <c r="G3112" s="4" t="inlineStr">
        <is>
          <t>SHOPEE: https://shopee.vn/search?keyword=store%20d%E1%BB%A5ng%20c%E1%BB%A5%20tpTIKTOK: LAZADA: WEBSITE BÁN HÀNG:</t>
        </is>
      </c>
      <c r="H3112" s="3" t="inlineStr">
        <is>
          <t>K45M</t>
        </is>
      </c>
      <c r="I3112" s="4" t="inlineStr">
        <is>
          <t>Đầu khò gas K45M</t>
        </is>
      </c>
      <c r="J3112" s="3" t="inlineStr">
        <is>
          <t>Cái</t>
        </is>
      </c>
      <c r="K3112" s="5" t="n">
        <v>269000</v>
      </c>
      <c r="L3112" s="5" t="n">
        <v>317000</v>
      </c>
      <c r="M3112" s="6" t="n">
        <v>390000</v>
      </c>
      <c r="N3112" s="5" t="n"/>
      <c r="O3112" s="5">
        <f>IF(AND(ISNUMBER(N3112),ISNUMBER(M3112)),N3112-M3112,"")</f>
        <v/>
      </c>
      <c r="P3112" s="7">
        <f>IF(AND(ISNUMBER(N3112),ISNUMBER(M3112),M3112&gt;0),(N3112-M3112)/M3112,"")</f>
        <v/>
      </c>
      <c r="Q3112" s="3">
        <f>IF(P3112="","",IF(P3112&lt;-0.02,"🔴 Bán phá giá sàn",IF(P3112&gt;0.05,"🔵 Bán cao hơn","🟢 Đúng giá sàn TMĐT")))</f>
        <v/>
      </c>
      <c r="R3112" s="3" t="n"/>
      <c r="S3112" s="4" t="n"/>
      <c r="T3112" s="4" t="n"/>
    </row>
    <row r="3113">
      <c r="A3113" s="3" t="n">
        <v>3112</v>
      </c>
      <c r="B3113" s="3" t="inlineStr">
        <is>
          <t>DL028</t>
        </is>
      </c>
      <c r="C3113" s="4" t="inlineStr">
        <is>
          <t>ĐL Bình Thuận - Cửa hàng Đạo Vương</t>
        </is>
      </c>
      <c r="D3113" s="3" t="inlineStr">
        <is>
          <t>LÂM ĐỒNG 
(BÌNH THUẬN CŨ)</t>
        </is>
      </c>
      <c r="E3113" s="3" t="inlineStr">
        <is>
          <t>THÙY TRANG</t>
        </is>
      </c>
      <c r="F3113" s="3" t="inlineStr"/>
      <c r="G3113" s="4" t="inlineStr">
        <is>
          <t>SHOPEE: https://shopee.vn/search?keyword=store%20d%E1%BB%A5ng%20c%E1%BB%A5%20tpTIKTOK: LAZADA: WEBSITE BÁN HÀNG:</t>
        </is>
      </c>
      <c r="H3113" s="3" t="inlineStr">
        <is>
          <t>K49M</t>
        </is>
      </c>
      <c r="I3113" s="4" t="inlineStr">
        <is>
          <t>Đầu khò gas K49M</t>
        </is>
      </c>
      <c r="J3113" s="3" t="inlineStr">
        <is>
          <t>Cái</t>
        </is>
      </c>
      <c r="K3113" s="5" t="n">
        <v>269000</v>
      </c>
      <c r="L3113" s="5" t="n">
        <v>317000</v>
      </c>
      <c r="M3113" s="6" t="n">
        <v>390000</v>
      </c>
      <c r="N3113" s="5" t="n"/>
      <c r="O3113" s="5">
        <f>IF(AND(ISNUMBER(N3113),ISNUMBER(M3113)),N3113-M3113,"")</f>
        <v/>
      </c>
      <c r="P3113" s="7">
        <f>IF(AND(ISNUMBER(N3113),ISNUMBER(M3113),M3113&gt;0),(N3113-M3113)/M3113,"")</f>
        <v/>
      </c>
      <c r="Q3113" s="3">
        <f>IF(P3113="","",IF(P3113&lt;-0.02,"🔴 Bán phá giá sàn",IF(P3113&gt;0.05,"🔵 Bán cao hơn","🟢 Đúng giá sàn TMĐT")))</f>
        <v/>
      </c>
      <c r="R3113" s="3" t="n"/>
      <c r="S3113" s="4" t="n"/>
      <c r="T3113" s="4" t="n"/>
    </row>
    <row r="3114">
      <c r="A3114" s="3" t="n">
        <v>3113</v>
      </c>
      <c r="B3114" s="3" t="inlineStr">
        <is>
          <t>DL028</t>
        </is>
      </c>
      <c r="C3114" s="4" t="inlineStr">
        <is>
          <t>ĐL Bình Thuận - Cửa hàng Đạo Vương</t>
        </is>
      </c>
      <c r="D3114" s="3" t="inlineStr">
        <is>
          <t>LÂM ĐỒNG 
(BÌNH THUẬN CŨ)</t>
        </is>
      </c>
      <c r="E3114" s="3" t="inlineStr">
        <is>
          <t>THÙY TRANG</t>
        </is>
      </c>
      <c r="F3114" s="3" t="inlineStr"/>
      <c r="G3114" s="4" t="inlineStr">
        <is>
          <t>SHOPEE: https://shopee.vn/search?keyword=store%20d%E1%BB%A5ng%20c%E1%BB%A5%20tpTIKTOK: LAZADA: WEBSITE BÁN HÀNG:</t>
        </is>
      </c>
      <c r="H3114" s="3" t="inlineStr"/>
      <c r="I3114" s="4" t="inlineStr">
        <is>
          <t>Đầu nạp gas</t>
        </is>
      </c>
      <c r="J3114" s="3" t="inlineStr">
        <is>
          <t>Cái</t>
        </is>
      </c>
      <c r="K3114" s="5" t="n">
        <v>269000</v>
      </c>
      <c r="L3114" s="5" t="n">
        <v>317000</v>
      </c>
      <c r="M3114" s="6" t="n">
        <v>390000</v>
      </c>
      <c r="N3114" s="5" t="n"/>
      <c r="O3114" s="5">
        <f>IF(AND(ISNUMBER(N3114),ISNUMBER(M3114)),N3114-M3114,"")</f>
        <v/>
      </c>
      <c r="P3114" s="7">
        <f>IF(AND(ISNUMBER(N3114),ISNUMBER(M3114),M3114&gt;0),(N3114-M3114)/M3114,"")</f>
        <v/>
      </c>
      <c r="Q3114" s="3">
        <f>IF(P3114="","",IF(P3114&lt;-0.02,"🔴 Bán phá giá sàn",IF(P3114&gt;0.05,"🔵 Bán cao hơn","🟢 Đúng giá sàn TMĐT")))</f>
        <v/>
      </c>
      <c r="R3114" s="3" t="n"/>
      <c r="S3114" s="4" t="n"/>
      <c r="T3114" s="4" t="n"/>
    </row>
    <row r="3115">
      <c r="A3115" s="3" t="n">
        <v>3114</v>
      </c>
      <c r="B3115" s="3" t="inlineStr">
        <is>
          <t>DL028</t>
        </is>
      </c>
      <c r="C3115" s="4" t="inlineStr">
        <is>
          <t>ĐL Bình Thuận - Cửa hàng Đạo Vương</t>
        </is>
      </c>
      <c r="D3115" s="3" t="inlineStr">
        <is>
          <t>LÂM ĐỒNG 
(BÌNH THUẬN CŨ)</t>
        </is>
      </c>
      <c r="E3115" s="3" t="inlineStr">
        <is>
          <t>THÙY TRANG</t>
        </is>
      </c>
      <c r="F3115" s="3" t="inlineStr"/>
      <c r="G3115" s="4" t="inlineStr">
        <is>
          <t>SHOPEE: https://shopee.vn/search?keyword=store%20d%E1%BB%A5ng%20c%E1%BB%A5%20tpTIKTOK: LAZADA: WEBSITE BÁN HÀNG:</t>
        </is>
      </c>
      <c r="H3115" s="3" t="inlineStr">
        <is>
          <t>V100E</t>
        </is>
      </c>
      <c r="I3115" s="4" t="inlineStr">
        <is>
          <t>Đầu vít lục giác  KingBlue V100E</t>
        </is>
      </c>
      <c r="J3115" s="3" t="inlineStr">
        <is>
          <t>Cái</t>
        </is>
      </c>
      <c r="K3115" s="5" t="n">
        <v>11000</v>
      </c>
      <c r="L3115" s="5" t="n">
        <v>14000</v>
      </c>
      <c r="M3115" s="6" t="n">
        <v>18000</v>
      </c>
      <c r="N3115" s="5" t="n"/>
      <c r="O3115" s="5">
        <f>IF(AND(ISNUMBER(N3115),ISNUMBER(M3115)),N3115-M3115,"")</f>
        <v/>
      </c>
      <c r="P3115" s="7">
        <f>IF(AND(ISNUMBER(N3115),ISNUMBER(M3115),M3115&gt;0),(N3115-M3115)/M3115,"")</f>
        <v/>
      </c>
      <c r="Q3115" s="3">
        <f>IF(P3115="","",IF(P3115&lt;-0.02,"🔴 Bán phá giá sàn",IF(P3115&gt;0.05,"🔵 Bán cao hơn","🟢 Đúng giá sàn TMĐT")))</f>
        <v/>
      </c>
      <c r="R3115" s="3" t="n"/>
      <c r="S3115" s="4" t="n"/>
      <c r="T3115" s="4" t="n"/>
    </row>
    <row r="3116">
      <c r="A3116" s="3" t="n">
        <v>3115</v>
      </c>
      <c r="B3116" s="3" t="inlineStr">
        <is>
          <t>DL028</t>
        </is>
      </c>
      <c r="C3116" s="4" t="inlineStr">
        <is>
          <t>ĐL Bình Thuận - Cửa hàng Đạo Vương</t>
        </is>
      </c>
      <c r="D3116" s="3" t="inlineStr">
        <is>
          <t>LÂM ĐỒNG 
(BÌNH THUẬN CŨ)</t>
        </is>
      </c>
      <c r="E3116" s="3" t="inlineStr">
        <is>
          <t>THÙY TRANG</t>
        </is>
      </c>
      <c r="F3116" s="3" t="inlineStr"/>
      <c r="G3116" s="4" t="inlineStr">
        <is>
          <t>SHOPEE: https://shopee.vn/search?keyword=store%20d%E1%BB%A5ng%20c%E1%BB%A5%20tpTIKTOK: LAZADA: WEBSITE BÁN HÀNG:</t>
        </is>
      </c>
      <c r="H3116" s="3" t="inlineStr">
        <is>
          <t>V65E</t>
        </is>
      </c>
      <c r="I3116" s="4" t="inlineStr">
        <is>
          <t>Đầu vít lục giác KingBlue V65E</t>
        </is>
      </c>
      <c r="J3116" s="3" t="inlineStr">
        <is>
          <t>Cái</t>
        </is>
      </c>
      <c r="K3116" s="5" t="n">
        <v>8000</v>
      </c>
      <c r="L3116" s="5" t="n">
        <v>10000</v>
      </c>
      <c r="M3116" s="6" t="n">
        <v>14000</v>
      </c>
      <c r="N3116" s="5" t="n"/>
      <c r="O3116" s="5">
        <f>IF(AND(ISNUMBER(N3116),ISNUMBER(M3116)),N3116-M3116,"")</f>
        <v/>
      </c>
      <c r="P3116" s="7">
        <f>IF(AND(ISNUMBER(N3116),ISNUMBER(M3116),M3116&gt;0),(N3116-M3116)/M3116,"")</f>
        <v/>
      </c>
      <c r="Q3116" s="3">
        <f>IF(P3116="","",IF(P3116&lt;-0.02,"🔴 Bán phá giá sàn",IF(P3116&gt;0.05,"🔵 Bán cao hơn","🟢 Đúng giá sàn TMĐT")))</f>
        <v/>
      </c>
      <c r="R3116" s="3" t="n"/>
      <c r="S3116" s="4" t="n"/>
      <c r="T3116" s="4" t="n"/>
    </row>
    <row r="3117">
      <c r="A3117" s="3" t="n">
        <v>3116</v>
      </c>
      <c r="B3117" s="3" t="inlineStr">
        <is>
          <t>DL028</t>
        </is>
      </c>
      <c r="C3117" s="4" t="inlineStr">
        <is>
          <t>ĐL Bình Thuận - Cửa hàng Đạo Vương</t>
        </is>
      </c>
      <c r="D3117" s="3" t="inlineStr">
        <is>
          <t>LÂM ĐỒNG 
(BÌNH THUẬN CŨ)</t>
        </is>
      </c>
      <c r="E3117" s="3" t="inlineStr">
        <is>
          <t>THÙY TRANG</t>
        </is>
      </c>
      <c r="F3117" s="3" t="inlineStr"/>
      <c r="G3117" s="4" t="inlineStr">
        <is>
          <t>SHOPEE: https://shopee.vn/search?keyword=store%20d%E1%BB%A5ng%20c%E1%BB%A5%20tpTIKTOK: LAZADA: WEBSITE BÁN HÀNG:</t>
        </is>
      </c>
      <c r="H3117" s="3" t="inlineStr">
        <is>
          <t>K54M</t>
        </is>
      </c>
      <c r="I3117" s="4" t="inlineStr">
        <is>
          <t>Dụng cụ khò gas mini K54M</t>
        </is>
      </c>
      <c r="J3117" s="3" t="inlineStr">
        <is>
          <t>Cái</t>
        </is>
      </c>
      <c r="K3117" s="5" t="n">
        <v>209000</v>
      </c>
      <c r="L3117" s="5" t="n">
        <v>247000</v>
      </c>
      <c r="M3117" s="6" t="n">
        <v>303000</v>
      </c>
      <c r="N3117" s="5" t="n"/>
      <c r="O3117" s="5">
        <f>IF(AND(ISNUMBER(N3117),ISNUMBER(M3117)),N3117-M3117,"")</f>
        <v/>
      </c>
      <c r="P3117" s="7">
        <f>IF(AND(ISNUMBER(N3117),ISNUMBER(M3117),M3117&gt;0),(N3117-M3117)/M3117,"")</f>
        <v/>
      </c>
      <c r="Q3117" s="3">
        <f>IF(P3117="","",IF(P3117&lt;-0.02,"🔴 Bán phá giá sàn",IF(P3117&gt;0.05,"🔵 Bán cao hơn","🟢 Đúng giá sàn TMĐT")))</f>
        <v/>
      </c>
      <c r="R3117" s="3" t="n"/>
      <c r="S3117" s="4" t="n"/>
      <c r="T3117" s="4" t="n"/>
    </row>
    <row r="3118">
      <c r="A3118" s="3" t="n">
        <v>3117</v>
      </c>
      <c r="B3118" s="3" t="inlineStr">
        <is>
          <t>DL028</t>
        </is>
      </c>
      <c r="C3118" s="4" t="inlineStr">
        <is>
          <t>ĐL Bình Thuận - Cửa hàng Đạo Vương</t>
        </is>
      </c>
      <c r="D3118" s="3" t="inlineStr">
        <is>
          <t>LÂM ĐỒNG 
(BÌNH THUẬN CŨ)</t>
        </is>
      </c>
      <c r="E3118" s="3" t="inlineStr">
        <is>
          <t>THÙY TRANG</t>
        </is>
      </c>
      <c r="F3118" s="3" t="inlineStr"/>
      <c r="G3118" s="4" t="inlineStr">
        <is>
          <t>SHOPEE: https://shopee.vn/search?keyword=store%20d%E1%BB%A5ng%20c%E1%BB%A5%20tpTIKTOK: LAZADA: WEBSITE BÁN HÀNG:</t>
        </is>
      </c>
      <c r="H3118" s="3" t="inlineStr">
        <is>
          <t>KBY3-020CO</t>
        </is>
      </c>
      <c r="I3118" s="4" t="inlineStr">
        <is>
          <t>Khoan inox chuôi lục KBY3-020CO</t>
        </is>
      </c>
      <c r="J3118" s="3" t="inlineStr">
        <is>
          <t>Vỉ</t>
        </is>
      </c>
      <c r="K3118" s="5" t="n">
        <v>28000</v>
      </c>
      <c r="L3118" s="5" t="n">
        <v>35000</v>
      </c>
      <c r="M3118" s="6" t="n">
        <v>45000</v>
      </c>
      <c r="N3118" s="5" t="n"/>
      <c r="O3118" s="5">
        <f>IF(AND(ISNUMBER(N3118),ISNUMBER(M3118)),N3118-M3118,"")</f>
        <v/>
      </c>
      <c r="P3118" s="7">
        <f>IF(AND(ISNUMBER(N3118),ISNUMBER(M3118),M3118&gt;0),(N3118-M3118)/M3118,"")</f>
        <v/>
      </c>
      <c r="Q3118" s="3">
        <f>IF(P3118="","",IF(P3118&lt;-0.02,"🔴 Bán phá giá sàn",IF(P3118&gt;0.05,"🔵 Bán cao hơn","🟢 Đúng giá sàn TMĐT")))</f>
        <v/>
      </c>
      <c r="R3118" s="3" t="n"/>
      <c r="S3118" s="4" t="n"/>
      <c r="T3118" s="4" t="n"/>
    </row>
    <row r="3119">
      <c r="A3119" s="3" t="n">
        <v>3118</v>
      </c>
      <c r="B3119" s="3" t="inlineStr">
        <is>
          <t>DL028</t>
        </is>
      </c>
      <c r="C3119" s="4" t="inlineStr">
        <is>
          <t>ĐL Bình Thuận - Cửa hàng Đạo Vương</t>
        </is>
      </c>
      <c r="D3119" s="3" t="inlineStr">
        <is>
          <t>LÂM ĐỒNG 
(BÌNH THUẬN CŨ)</t>
        </is>
      </c>
      <c r="E3119" s="3" t="inlineStr">
        <is>
          <t>THÙY TRANG</t>
        </is>
      </c>
      <c r="F3119" s="3" t="inlineStr"/>
      <c r="G3119" s="4" t="inlineStr">
        <is>
          <t>SHOPEE: https://shopee.vn/search?keyword=store%20d%E1%BB%A5ng%20c%E1%BB%A5%20tpTIKTOK: LAZADA: WEBSITE BÁN HÀNG:</t>
        </is>
      </c>
      <c r="H3119" s="3" t="inlineStr">
        <is>
          <t>KS1-250</t>
        </is>
      </c>
      <c r="I3119" s="4" t="inlineStr">
        <is>
          <t>Kìm chết KS1-250</t>
        </is>
      </c>
      <c r="J3119" s="3" t="inlineStr">
        <is>
          <t>Cái</t>
        </is>
      </c>
      <c r="K3119" s="5" t="n">
        <v>132000</v>
      </c>
      <c r="L3119" s="5" t="n">
        <v>156000</v>
      </c>
      <c r="M3119" s="6" t="n">
        <v>191000</v>
      </c>
      <c r="N3119" s="5" t="n"/>
      <c r="O3119" s="5">
        <f>IF(AND(ISNUMBER(N3119),ISNUMBER(M3119)),N3119-M3119,"")</f>
        <v/>
      </c>
      <c r="P3119" s="7">
        <f>IF(AND(ISNUMBER(N3119),ISNUMBER(M3119),M3119&gt;0),(N3119-M3119)/M3119,"")</f>
        <v/>
      </c>
      <c r="Q3119" s="3">
        <f>IF(P3119="","",IF(P3119&lt;-0.02,"🔴 Bán phá giá sàn",IF(P3119&gt;0.05,"🔵 Bán cao hơn","🟢 Đúng giá sàn TMĐT")))</f>
        <v/>
      </c>
      <c r="R3119" s="3" t="n"/>
      <c r="S3119" s="4" t="n"/>
      <c r="T3119" s="4" t="n"/>
    </row>
    <row r="3120">
      <c r="A3120" s="3" t="n">
        <v>3119</v>
      </c>
      <c r="B3120" s="3" t="inlineStr">
        <is>
          <t>DL028</t>
        </is>
      </c>
      <c r="C3120" s="4" t="inlineStr">
        <is>
          <t>ĐL Bình Thuận - Cửa hàng Đạo Vương</t>
        </is>
      </c>
      <c r="D3120" s="3" t="inlineStr">
        <is>
          <t>LÂM ĐỒNG 
(BÌNH THUẬN CŨ)</t>
        </is>
      </c>
      <c r="E3120" s="3" t="inlineStr">
        <is>
          <t>THÙY TRANG</t>
        </is>
      </c>
      <c r="F3120" s="3" t="inlineStr"/>
      <c r="G3120" s="4" t="inlineStr">
        <is>
          <t>SHOPEE: https://shopee.vn/search?keyword=store%20d%E1%BB%A5ng%20c%E1%BB%A5%20tpTIKTOK: LAZADA: WEBSITE BÁN HÀNG:</t>
        </is>
      </c>
      <c r="H3120" s="3" t="inlineStr">
        <is>
          <t>KS2-250</t>
        </is>
      </c>
      <c r="I3120" s="4" t="inlineStr">
        <is>
          <t>Kìm chết KS2-250</t>
        </is>
      </c>
      <c r="J3120" s="3" t="inlineStr">
        <is>
          <t>Cái</t>
        </is>
      </c>
      <c r="K3120" s="5" t="n">
        <v>149000</v>
      </c>
      <c r="L3120" s="5" t="n">
        <v>176000</v>
      </c>
      <c r="M3120" s="6" t="n">
        <v>216000</v>
      </c>
      <c r="N3120" s="5" t="n"/>
      <c r="O3120" s="5">
        <f>IF(AND(ISNUMBER(N3120),ISNUMBER(M3120)),N3120-M3120,"")</f>
        <v/>
      </c>
      <c r="P3120" s="7">
        <f>IF(AND(ISNUMBER(N3120),ISNUMBER(M3120),M3120&gt;0),(N3120-M3120)/M3120,"")</f>
        <v/>
      </c>
      <c r="Q3120" s="3">
        <f>IF(P3120="","",IF(P3120&lt;-0.02,"🔴 Bán phá giá sàn",IF(P3120&gt;0.05,"🔵 Bán cao hơn","🟢 Đúng giá sàn TMĐT")))</f>
        <v/>
      </c>
      <c r="R3120" s="3" t="n"/>
      <c r="S3120" s="4" t="n"/>
      <c r="T3120" s="4" t="n"/>
    </row>
    <row r="3121">
      <c r="A3121" s="3" t="n">
        <v>3120</v>
      </c>
      <c r="B3121" s="3" t="inlineStr">
        <is>
          <t>DL028</t>
        </is>
      </c>
      <c r="C3121" s="4" t="inlineStr">
        <is>
          <t>ĐL Bình Thuận - Cửa hàng Đạo Vương</t>
        </is>
      </c>
      <c r="D3121" s="3" t="inlineStr">
        <is>
          <t>LÂM ĐỒNG 
(BÌNH THUẬN CŨ)</t>
        </is>
      </c>
      <c r="E3121" s="3" t="inlineStr">
        <is>
          <t>THÙY TRANG</t>
        </is>
      </c>
      <c r="F3121" s="3" t="inlineStr"/>
      <c r="G3121" s="4" t="inlineStr">
        <is>
          <t>SHOPEE: https://shopee.vn/search?keyword=store%20d%E1%BB%A5ng%20c%E1%BB%A5%20tpTIKTOK: LAZADA: WEBSITE BÁN HÀNG:</t>
        </is>
      </c>
      <c r="H3121" s="3" t="inlineStr">
        <is>
          <t>KM18SM</t>
        </is>
      </c>
      <c r="I3121" s="4" t="inlineStr">
        <is>
          <t>Máy Siết Bulon 18V KM18SM</t>
        </is>
      </c>
      <c r="J3121" s="3" t="inlineStr">
        <is>
          <t>Cái</t>
        </is>
      </c>
      <c r="K3121" s="5" t="n">
        <v>1720000</v>
      </c>
      <c r="L3121" s="5" t="n">
        <v>1890000</v>
      </c>
      <c r="M3121" s="6" t="n">
        <v>2150000</v>
      </c>
      <c r="N3121" s="5" t="n"/>
      <c r="O3121" s="5">
        <f>IF(AND(ISNUMBER(N3121),ISNUMBER(M3121)),N3121-M3121,"")</f>
        <v/>
      </c>
      <c r="P3121" s="7">
        <f>IF(AND(ISNUMBER(N3121),ISNUMBER(M3121),M3121&gt;0),(N3121-M3121)/M3121,"")</f>
        <v/>
      </c>
      <c r="Q3121" s="3">
        <f>IF(P3121="","",IF(P3121&lt;-0.02,"🔴 Bán phá giá sàn",IF(P3121&gt;0.05,"🔵 Bán cao hơn","🟢 Đúng giá sàn TMĐT")))</f>
        <v/>
      </c>
      <c r="R3121" s="3" t="n"/>
      <c r="S3121" s="4" t="n"/>
      <c r="T3121" s="4" t="n"/>
    </row>
    <row r="3122">
      <c r="A3122" s="3" t="n">
        <v>3121</v>
      </c>
      <c r="B3122" s="3" t="inlineStr">
        <is>
          <t>DL028</t>
        </is>
      </c>
      <c r="C3122" s="4" t="inlineStr">
        <is>
          <t>ĐL Bình Thuận - Cửa hàng Đạo Vương</t>
        </is>
      </c>
      <c r="D3122" s="3" t="inlineStr">
        <is>
          <t>LÂM ĐỒNG 
(BÌNH THUẬN CŨ)</t>
        </is>
      </c>
      <c r="E3122" s="3" t="inlineStr">
        <is>
          <t>THÙY TRANG</t>
        </is>
      </c>
      <c r="F3122" s="3" t="inlineStr"/>
      <c r="G3122" s="4" t="inlineStr">
        <is>
          <t>SHOPEE: https://shopee.vn/search?keyword=store%20d%E1%BB%A5ng%20c%E1%BB%A5%20tpTIKTOK: LAZADA: WEBSITE BÁN HÀNG:</t>
        </is>
      </c>
      <c r="H3122" s="3" t="inlineStr">
        <is>
          <t>KD1-200</t>
        </is>
      </c>
      <c r="I3122" s="4" t="inlineStr">
        <is>
          <t>Mỏ lết KD1-200</t>
        </is>
      </c>
      <c r="J3122" s="3" t="inlineStr">
        <is>
          <t>Cái</t>
        </is>
      </c>
      <c r="K3122" s="5" t="n">
        <v>86000</v>
      </c>
      <c r="L3122" s="5" t="n">
        <v>102000</v>
      </c>
      <c r="M3122" s="6" t="n">
        <v>125000</v>
      </c>
      <c r="N3122" s="5" t="n"/>
      <c r="O3122" s="5">
        <f>IF(AND(ISNUMBER(N3122),ISNUMBER(M3122)),N3122-M3122,"")</f>
        <v/>
      </c>
      <c r="P3122" s="7">
        <f>IF(AND(ISNUMBER(N3122),ISNUMBER(M3122),M3122&gt;0),(N3122-M3122)/M3122,"")</f>
        <v/>
      </c>
      <c r="Q3122" s="3">
        <f>IF(P3122="","",IF(P3122&lt;-0.02,"🔴 Bán phá giá sàn",IF(P3122&gt;0.05,"🔵 Bán cao hơn","🟢 Đúng giá sàn TMĐT")))</f>
        <v/>
      </c>
      <c r="R3122" s="3" t="n"/>
      <c r="S3122" s="4" t="n"/>
      <c r="T3122" s="4" t="n"/>
    </row>
    <row r="3123">
      <c r="A3123" s="3" t="n">
        <v>3122</v>
      </c>
      <c r="B3123" s="3" t="inlineStr">
        <is>
          <t>DL028</t>
        </is>
      </c>
      <c r="C3123" s="4" t="inlineStr">
        <is>
          <t>ĐL Bình Thuận - Cửa hàng Đạo Vương</t>
        </is>
      </c>
      <c r="D3123" s="3" t="inlineStr">
        <is>
          <t>LÂM ĐỒNG 
(BÌNH THUẬN CŨ)</t>
        </is>
      </c>
      <c r="E3123" s="3" t="inlineStr">
        <is>
          <t>THÙY TRANG</t>
        </is>
      </c>
      <c r="F3123" s="3" t="inlineStr"/>
      <c r="G3123" s="4" t="inlineStr">
        <is>
          <t>SHOPEE: https://shopee.vn/search?keyword=store%20d%E1%BB%A5ng%20c%E1%BB%A5%20tpTIKTOK: LAZADA: WEBSITE BÁN HÀNG:</t>
        </is>
      </c>
      <c r="H3123" s="3" t="inlineStr">
        <is>
          <t>KD1-250</t>
        </is>
      </c>
      <c r="I3123" s="4" t="inlineStr">
        <is>
          <t>Mỏ lết KD1-250</t>
        </is>
      </c>
      <c r="J3123" s="3" t="inlineStr">
        <is>
          <t>Cái</t>
        </is>
      </c>
      <c r="K3123" s="5" t="n">
        <v>121000</v>
      </c>
      <c r="L3123" s="5" t="n">
        <v>143000</v>
      </c>
      <c r="M3123" s="6" t="n">
        <v>176000</v>
      </c>
      <c r="N3123" s="5" t="n"/>
      <c r="O3123" s="5">
        <f>IF(AND(ISNUMBER(N3123),ISNUMBER(M3123)),N3123-M3123,"")</f>
        <v/>
      </c>
      <c r="P3123" s="7">
        <f>IF(AND(ISNUMBER(N3123),ISNUMBER(M3123),M3123&gt;0),(N3123-M3123)/M3123,"")</f>
        <v/>
      </c>
      <c r="Q3123" s="3">
        <f>IF(P3123="","",IF(P3123&lt;-0.02,"🔴 Bán phá giá sàn",IF(P3123&gt;0.05,"🔵 Bán cao hơn","🟢 Đúng giá sàn TMĐT")))</f>
        <v/>
      </c>
      <c r="R3123" s="3" t="n"/>
      <c r="S3123" s="4" t="n"/>
      <c r="T3123" s="4" t="n"/>
    </row>
    <row r="3124">
      <c r="A3124" s="3" t="n">
        <v>3123</v>
      </c>
      <c r="B3124" s="3" t="inlineStr">
        <is>
          <t>DL028</t>
        </is>
      </c>
      <c r="C3124" s="4" t="inlineStr">
        <is>
          <t>ĐL Bình Thuận - Cửa hàng Đạo Vương</t>
        </is>
      </c>
      <c r="D3124" s="3" t="inlineStr">
        <is>
          <t>LÂM ĐỒNG 
(BÌNH THUẬN CŨ)</t>
        </is>
      </c>
      <c r="E3124" s="3" t="inlineStr">
        <is>
          <t>THÙY TRANG</t>
        </is>
      </c>
      <c r="F3124" s="3" t="inlineStr"/>
      <c r="G3124" s="4" t="inlineStr">
        <is>
          <t>SHOPEE: https://shopee.vn/search?keyword=store%20d%E1%BB%A5ng%20c%E1%BB%A5%20tpTIKTOK: LAZADA: WEBSITE BÁN HÀNG:</t>
        </is>
      </c>
      <c r="H3124" s="3" t="inlineStr">
        <is>
          <t>KD1-300</t>
        </is>
      </c>
      <c r="I3124" s="4" t="inlineStr">
        <is>
          <t>Mỏ lết KD1-300</t>
        </is>
      </c>
      <c r="J3124" s="3" t="inlineStr">
        <is>
          <t>Cái</t>
        </is>
      </c>
      <c r="K3124" s="5" t="n">
        <v>165000</v>
      </c>
      <c r="L3124" s="5" t="n">
        <v>195000</v>
      </c>
      <c r="M3124" s="6" t="n">
        <v>239000</v>
      </c>
      <c r="N3124" s="5" t="n"/>
      <c r="O3124" s="5">
        <f>IF(AND(ISNUMBER(N3124),ISNUMBER(M3124)),N3124-M3124,"")</f>
        <v/>
      </c>
      <c r="P3124" s="7">
        <f>IF(AND(ISNUMBER(N3124),ISNUMBER(M3124),M3124&gt;0),(N3124-M3124)/M3124,"")</f>
        <v/>
      </c>
      <c r="Q3124" s="3">
        <f>IF(P3124="","",IF(P3124&lt;-0.02,"🔴 Bán phá giá sàn",IF(P3124&gt;0.05,"🔵 Bán cao hơn","🟢 Đúng giá sàn TMĐT")))</f>
        <v/>
      </c>
      <c r="R3124" s="3" t="n"/>
      <c r="S3124" s="4" t="n"/>
      <c r="T3124" s="4" t="n"/>
    </row>
    <row r="3125">
      <c r="A3125" s="3" t="n">
        <v>3124</v>
      </c>
      <c r="B3125" s="3" t="inlineStr">
        <is>
          <t>DL028</t>
        </is>
      </c>
      <c r="C3125" s="4" t="inlineStr">
        <is>
          <t>ĐL Bình Thuận - Cửa hàng Đạo Vương</t>
        </is>
      </c>
      <c r="D3125" s="3" t="inlineStr">
        <is>
          <t>LÂM ĐỒNG 
(BÌNH THUẬN CŨ)</t>
        </is>
      </c>
      <c r="E3125" s="3" t="inlineStr">
        <is>
          <t>THÙY TRANG</t>
        </is>
      </c>
      <c r="F3125" s="3" t="inlineStr"/>
      <c r="G3125" s="4" t="inlineStr">
        <is>
          <t>SHOPEE: https://shopee.vn/search?keyword=store%20d%E1%BB%A5ng%20c%E1%BB%A5%20tpTIKTOK: LAZADA: WEBSITE BÁN HÀNG:</t>
        </is>
      </c>
      <c r="H3125" s="3" t="inlineStr">
        <is>
          <t>KD2-250</t>
        </is>
      </c>
      <c r="I3125" s="4" t="inlineStr">
        <is>
          <t>Mỏ lết KD2-250</t>
        </is>
      </c>
      <c r="J3125" s="3" t="inlineStr">
        <is>
          <t>Cái</t>
        </is>
      </c>
      <c r="K3125" s="5" t="n">
        <v>127000</v>
      </c>
      <c r="L3125" s="5" t="n">
        <v>150000</v>
      </c>
      <c r="M3125" s="6" t="n">
        <v>184000</v>
      </c>
      <c r="N3125" s="5" t="n"/>
      <c r="O3125" s="5">
        <f>IF(AND(ISNUMBER(N3125),ISNUMBER(M3125)),N3125-M3125,"")</f>
        <v/>
      </c>
      <c r="P3125" s="7">
        <f>IF(AND(ISNUMBER(N3125),ISNUMBER(M3125),M3125&gt;0),(N3125-M3125)/M3125,"")</f>
        <v/>
      </c>
      <c r="Q3125" s="3">
        <f>IF(P3125="","",IF(P3125&lt;-0.02,"🔴 Bán phá giá sàn",IF(P3125&gt;0.05,"🔵 Bán cao hơn","🟢 Đúng giá sàn TMĐT")))</f>
        <v/>
      </c>
      <c r="R3125" s="3" t="n"/>
      <c r="S3125" s="4" t="n"/>
      <c r="T3125" s="4" t="n"/>
    </row>
    <row r="3126">
      <c r="A3126" s="3" t="n">
        <v>3125</v>
      </c>
      <c r="B3126" s="3" t="inlineStr">
        <is>
          <t>DL028</t>
        </is>
      </c>
      <c r="C3126" s="4" t="inlineStr">
        <is>
          <t>ĐL Bình Thuận - Cửa hàng Đạo Vương</t>
        </is>
      </c>
      <c r="D3126" s="3" t="inlineStr">
        <is>
          <t>LÂM ĐỒNG 
(BÌNH THUẬN CŨ)</t>
        </is>
      </c>
      <c r="E3126" s="3" t="inlineStr">
        <is>
          <t>THÙY TRANG</t>
        </is>
      </c>
      <c r="F3126" s="3" t="inlineStr"/>
      <c r="G3126" s="4" t="inlineStr">
        <is>
          <t>SHOPEE: https://shopee.vn/search?keyword=store%20d%E1%BB%A5ng%20c%E1%BB%A5%20tpTIKTOK: LAZADA: WEBSITE BÁN HÀNG:</t>
        </is>
      </c>
      <c r="H3126" s="3" t="inlineStr">
        <is>
          <t>V65S</t>
        </is>
      </c>
      <c r="I3126" s="4" t="inlineStr">
        <is>
          <t>Mũi bắn vít PH2 V65S</t>
        </is>
      </c>
      <c r="J3126" s="3" t="inlineStr">
        <is>
          <t>Vỉ</t>
        </is>
      </c>
      <c r="K3126" s="5" t="n">
        <v>30000</v>
      </c>
      <c r="L3126" s="5" t="n">
        <v>38000</v>
      </c>
      <c r="M3126" s="6" t="n">
        <v>50000</v>
      </c>
      <c r="N3126" s="5" t="n"/>
      <c r="O3126" s="5">
        <f>IF(AND(ISNUMBER(N3126),ISNUMBER(M3126)),N3126-M3126,"")</f>
        <v/>
      </c>
      <c r="P3126" s="7">
        <f>IF(AND(ISNUMBER(N3126),ISNUMBER(M3126),M3126&gt;0),(N3126-M3126)/M3126,"")</f>
        <v/>
      </c>
      <c r="Q3126" s="3">
        <f>IF(P3126="","",IF(P3126&lt;-0.02,"🔴 Bán phá giá sàn",IF(P3126&gt;0.05,"🔵 Bán cao hơn","🟢 Đúng giá sàn TMĐT")))</f>
        <v/>
      </c>
      <c r="R3126" s="3" t="n"/>
      <c r="S3126" s="4" t="n"/>
      <c r="T3126" s="4" t="n"/>
    </row>
    <row r="3127">
      <c r="A3127" s="3" t="n">
        <v>3126</v>
      </c>
      <c r="B3127" s="3" t="inlineStr">
        <is>
          <t>DL028</t>
        </is>
      </c>
      <c r="C3127" s="4" t="inlineStr">
        <is>
          <t>ĐL Bình Thuận - Cửa hàng Đạo Vương</t>
        </is>
      </c>
      <c r="D3127" s="3" t="inlineStr">
        <is>
          <t>LÂM ĐỒNG 
(BÌNH THUẬN CŨ)</t>
        </is>
      </c>
      <c r="E3127" s="3" t="inlineStr">
        <is>
          <t>THÙY TRANG</t>
        </is>
      </c>
      <c r="F3127" s="3" t="inlineStr"/>
      <c r="G3127" s="4" t="inlineStr">
        <is>
          <t>SHOPEE: https://shopee.vn/search?keyword=store%20d%E1%BB%A5ng%20c%E1%BB%A5%20tpTIKTOK: LAZADA: WEBSITE BÁN HÀNG:</t>
        </is>
      </c>
      <c r="H3127" s="3" t="inlineStr">
        <is>
          <t>KBL2-3.290</t>
        </is>
      </c>
      <c r="I3127" s="4" t="inlineStr">
        <is>
          <t>Mũi khoan bê tông không tắc kê KBL2-3.2*90</t>
        </is>
      </c>
      <c r="J3127" s="3" t="inlineStr">
        <is>
          <t>Cái</t>
        </is>
      </c>
      <c r="K3127" s="5" t="n">
        <v>23000</v>
      </c>
      <c r="L3127" s="5" t="n">
        <v>29000</v>
      </c>
      <c r="M3127" s="6" t="n">
        <v>38000</v>
      </c>
      <c r="N3127" s="5" t="n"/>
      <c r="O3127" s="5">
        <f>IF(AND(ISNUMBER(N3127),ISNUMBER(M3127)),N3127-M3127,"")</f>
        <v/>
      </c>
      <c r="P3127" s="7">
        <f>IF(AND(ISNUMBER(N3127),ISNUMBER(M3127),M3127&gt;0),(N3127-M3127)/M3127,"")</f>
        <v/>
      </c>
      <c r="Q3127" s="3">
        <f>IF(P3127="","",IF(P3127&lt;-0.02,"🔴 Bán phá giá sàn",IF(P3127&gt;0.05,"🔵 Bán cao hơn","🟢 Đúng giá sàn TMĐT")))</f>
        <v/>
      </c>
      <c r="R3127" s="3" t="n"/>
      <c r="S3127" s="4" t="n"/>
      <c r="T3127" s="4" t="n"/>
    </row>
    <row r="3128">
      <c r="A3128" s="3" t="n">
        <v>3127</v>
      </c>
      <c r="B3128" s="3" t="inlineStr">
        <is>
          <t>DL028</t>
        </is>
      </c>
      <c r="C3128" s="4" t="inlineStr">
        <is>
          <t>ĐL Bình Thuận - Cửa hàng Đạo Vương</t>
        </is>
      </c>
      <c r="D3128" s="3" t="inlineStr">
        <is>
          <t>LÂM ĐỒNG 
(BÌNH THUẬN CŨ)</t>
        </is>
      </c>
      <c r="E3128" s="3" t="inlineStr">
        <is>
          <t>THÙY TRANG</t>
        </is>
      </c>
      <c r="F3128" s="3" t="inlineStr"/>
      <c r="G3128" s="4" t="inlineStr">
        <is>
          <t>SHOPEE: https://shopee.vn/search?keyword=store%20d%E1%BB%A5ng%20c%E1%BB%A5%20tpTIKTOK: LAZADA: WEBSITE BÁN HÀNG:</t>
        </is>
      </c>
      <c r="H3128" s="3" t="inlineStr">
        <is>
          <t>KBL2-3.5110</t>
        </is>
      </c>
      <c r="I3128" s="4" t="inlineStr">
        <is>
          <t>Mũi khoan bê tông không tắc kê KBL2-3.5*110</t>
        </is>
      </c>
      <c r="J3128" s="3" t="inlineStr">
        <is>
          <t>Cái</t>
        </is>
      </c>
      <c r="K3128" s="5" t="n">
        <v>23000</v>
      </c>
      <c r="L3128" s="5" t="n">
        <v>29000</v>
      </c>
      <c r="M3128" s="6" t="n">
        <v>38000</v>
      </c>
      <c r="N3128" s="5" t="n"/>
      <c r="O3128" s="5">
        <f>IF(AND(ISNUMBER(N3128),ISNUMBER(M3128)),N3128-M3128,"")</f>
        <v/>
      </c>
      <c r="P3128" s="7">
        <f>IF(AND(ISNUMBER(N3128),ISNUMBER(M3128),M3128&gt;0),(N3128-M3128)/M3128,"")</f>
        <v/>
      </c>
      <c r="Q3128" s="3">
        <f>IF(P3128="","",IF(P3128&lt;-0.02,"🔴 Bán phá giá sàn",IF(P3128&gt;0.05,"🔵 Bán cao hơn","🟢 Đúng giá sàn TMĐT")))</f>
        <v/>
      </c>
      <c r="R3128" s="3" t="n"/>
      <c r="S3128" s="4" t="n"/>
      <c r="T3128" s="4" t="n"/>
    </row>
    <row r="3129">
      <c r="A3129" s="3" t="n">
        <v>3128</v>
      </c>
      <c r="B3129" s="3" t="inlineStr">
        <is>
          <t>DL028</t>
        </is>
      </c>
      <c r="C3129" s="4" t="inlineStr">
        <is>
          <t>ĐL Bình Thuận - Cửa hàng Đạo Vương</t>
        </is>
      </c>
      <c r="D3129" s="3" t="inlineStr">
        <is>
          <t>LÂM ĐỒNG 
(BÌNH THUẬN CŨ)</t>
        </is>
      </c>
      <c r="E3129" s="3" t="inlineStr">
        <is>
          <t>THÙY TRANG</t>
        </is>
      </c>
      <c r="F3129" s="3" t="inlineStr"/>
      <c r="G3129" s="4" t="inlineStr">
        <is>
          <t>SHOPEE: https://shopee.vn/search?keyword=store%20d%E1%BB%A5ng%20c%E1%BB%A5%20tpTIKTOK: LAZADA: WEBSITE BÁN HÀNG:</t>
        </is>
      </c>
      <c r="H3129" s="3" t="inlineStr">
        <is>
          <t>KBL2-4.2110</t>
        </is>
      </c>
      <c r="I3129" s="4" t="inlineStr">
        <is>
          <t>Mũi khoan bê tông không tắc kê KBL2-4.2*110</t>
        </is>
      </c>
      <c r="J3129" s="3" t="inlineStr">
        <is>
          <t>Cái</t>
        </is>
      </c>
      <c r="K3129" s="5" t="n">
        <v>23000</v>
      </c>
      <c r="L3129" s="5" t="n">
        <v>29000</v>
      </c>
      <c r="M3129" s="6" t="n">
        <v>38000</v>
      </c>
      <c r="N3129" s="5" t="n"/>
      <c r="O3129" s="5">
        <f>IF(AND(ISNUMBER(N3129),ISNUMBER(M3129)),N3129-M3129,"")</f>
        <v/>
      </c>
      <c r="P3129" s="7">
        <f>IF(AND(ISNUMBER(N3129),ISNUMBER(M3129),M3129&gt;0),(N3129-M3129)/M3129,"")</f>
        <v/>
      </c>
      <c r="Q3129" s="3">
        <f>IF(P3129="","",IF(P3129&lt;-0.02,"🔴 Bán phá giá sàn",IF(P3129&gt;0.05,"🔵 Bán cao hơn","🟢 Đúng giá sàn TMĐT")))</f>
        <v/>
      </c>
      <c r="R3129" s="3" t="n"/>
      <c r="S3129" s="4" t="n"/>
      <c r="T3129" s="4" t="n"/>
    </row>
    <row r="3130">
      <c r="A3130" s="3" t="n">
        <v>3129</v>
      </c>
      <c r="B3130" s="3" t="inlineStr">
        <is>
          <t>DL028</t>
        </is>
      </c>
      <c r="C3130" s="4" t="inlineStr">
        <is>
          <t>ĐL Bình Thuận - Cửa hàng Đạo Vương</t>
        </is>
      </c>
      <c r="D3130" s="3" t="inlineStr">
        <is>
          <t>LÂM ĐỒNG 
(BÌNH THUẬN CŨ)</t>
        </is>
      </c>
      <c r="E3130" s="3" t="inlineStr">
        <is>
          <t>THÙY TRANG</t>
        </is>
      </c>
      <c r="F3130" s="3" t="inlineStr"/>
      <c r="G3130" s="4" t="inlineStr">
        <is>
          <t>SHOPEE: https://shopee.vn/search?keyword=store%20d%E1%BB%A5ng%20c%E1%BB%A5%20tpTIKTOK: LAZADA: WEBSITE BÁN HÀNG:</t>
        </is>
      </c>
      <c r="H3130" s="3" t="inlineStr">
        <is>
          <t>KBH2E-3120</t>
        </is>
      </c>
      <c r="I3130" s="4" t="inlineStr">
        <is>
          <t>Mũi khoan đa năng lục giác 2 cạnh KBH2E-3*120</t>
        </is>
      </c>
      <c r="J3130" s="3" t="inlineStr">
        <is>
          <t>Cái</t>
        </is>
      </c>
      <c r="K3130" s="5" t="n">
        <v>269000</v>
      </c>
      <c r="L3130" s="5" t="n">
        <v>317000</v>
      </c>
      <c r="M3130" s="6" t="n">
        <v>390000</v>
      </c>
      <c r="N3130" s="5" t="n"/>
      <c r="O3130" s="5">
        <f>IF(AND(ISNUMBER(N3130),ISNUMBER(M3130)),N3130-M3130,"")</f>
        <v/>
      </c>
      <c r="P3130" s="7">
        <f>IF(AND(ISNUMBER(N3130),ISNUMBER(M3130),M3130&gt;0),(N3130-M3130)/M3130,"")</f>
        <v/>
      </c>
      <c r="Q3130" s="3">
        <f>IF(P3130="","",IF(P3130&lt;-0.02,"🔴 Bán phá giá sàn",IF(P3130&gt;0.05,"🔵 Bán cao hơn","🟢 Đúng giá sàn TMĐT")))</f>
        <v/>
      </c>
      <c r="R3130" s="3" t="n"/>
      <c r="S3130" s="4" t="n"/>
      <c r="T3130" s="4" t="n"/>
    </row>
    <row r="3131">
      <c r="A3131" s="3" t="n">
        <v>3130</v>
      </c>
      <c r="B3131" s="3" t="inlineStr">
        <is>
          <t>DL028</t>
        </is>
      </c>
      <c r="C3131" s="4" t="inlineStr">
        <is>
          <t>ĐL Bình Thuận - Cửa hàng Đạo Vương</t>
        </is>
      </c>
      <c r="D3131" s="3" t="inlineStr">
        <is>
          <t>LÂM ĐỒNG 
(BÌNH THUẬN CŨ)</t>
        </is>
      </c>
      <c r="E3131" s="3" t="inlineStr">
        <is>
          <t>THÙY TRANG</t>
        </is>
      </c>
      <c r="F3131" s="3" t="inlineStr"/>
      <c r="G3131" s="4" t="inlineStr">
        <is>
          <t>SHOPEE: https://shopee.vn/search?keyword=store%20d%E1%BB%A5ng%20c%E1%BB%A5%20tpTIKTOK: LAZADA: WEBSITE BÁN HÀNG:</t>
        </is>
      </c>
      <c r="H3131" s="3" t="inlineStr">
        <is>
          <t>KBH2E-3.2120</t>
        </is>
      </c>
      <c r="I3131" s="4" t="inlineStr">
        <is>
          <t>Mũi khoan đa năng lục giác 2 cạnh KBH2E-3.2*120</t>
        </is>
      </c>
      <c r="J3131" s="3" t="inlineStr">
        <is>
          <t>Cái</t>
        </is>
      </c>
      <c r="K3131" s="5" t="n">
        <v>28000</v>
      </c>
      <c r="L3131" s="5" t="n">
        <v>35000</v>
      </c>
      <c r="M3131" s="6" t="n">
        <v>45000</v>
      </c>
      <c r="N3131" s="5" t="n"/>
      <c r="O3131" s="5">
        <f>IF(AND(ISNUMBER(N3131),ISNUMBER(M3131)),N3131-M3131,"")</f>
        <v/>
      </c>
      <c r="P3131" s="7">
        <f>IF(AND(ISNUMBER(N3131),ISNUMBER(M3131),M3131&gt;0),(N3131-M3131)/M3131,"")</f>
        <v/>
      </c>
      <c r="Q3131" s="3">
        <f>IF(P3131="","",IF(P3131&lt;-0.02,"🔴 Bán phá giá sàn",IF(P3131&gt;0.05,"🔵 Bán cao hơn","🟢 Đúng giá sàn TMĐT")))</f>
        <v/>
      </c>
      <c r="R3131" s="3" t="n"/>
      <c r="S3131" s="4" t="n"/>
      <c r="T3131" s="4" t="n"/>
    </row>
    <row r="3132">
      <c r="A3132" s="3" t="n">
        <v>3131</v>
      </c>
      <c r="B3132" s="3" t="inlineStr">
        <is>
          <t>DL028</t>
        </is>
      </c>
      <c r="C3132" s="4" t="inlineStr">
        <is>
          <t>ĐL Bình Thuận - Cửa hàng Đạo Vương</t>
        </is>
      </c>
      <c r="D3132" s="3" t="inlineStr">
        <is>
          <t>LÂM ĐỒNG 
(BÌNH THUẬN CŨ)</t>
        </is>
      </c>
      <c r="E3132" s="3" t="inlineStr">
        <is>
          <t>THÙY TRANG</t>
        </is>
      </c>
      <c r="F3132" s="3" t="inlineStr"/>
      <c r="G3132" s="4" t="inlineStr">
        <is>
          <t>SHOPEE: https://shopee.vn/search?keyword=store%20d%E1%BB%A5ng%20c%E1%BB%A5%20tpTIKTOK: LAZADA: WEBSITE BÁN HÀNG:</t>
        </is>
      </c>
      <c r="H3132" s="3" t="inlineStr">
        <is>
          <t>KBH2E-04150</t>
        </is>
      </c>
      <c r="I3132" s="4" t="inlineStr">
        <is>
          <t>Mũi khoan ĐN lục giác 2 cạnh KBH2E-04*150</t>
        </is>
      </c>
      <c r="J3132" s="3" t="inlineStr">
        <is>
          <t>Cái</t>
        </is>
      </c>
      <c r="K3132" s="5" t="n">
        <v>28000</v>
      </c>
      <c r="L3132" s="5" t="n">
        <v>35000</v>
      </c>
      <c r="M3132" s="6" t="n">
        <v>45000</v>
      </c>
      <c r="N3132" s="5" t="n"/>
      <c r="O3132" s="5">
        <f>IF(AND(ISNUMBER(N3132),ISNUMBER(M3132)),N3132-M3132,"")</f>
        <v/>
      </c>
      <c r="P3132" s="7">
        <f>IF(AND(ISNUMBER(N3132),ISNUMBER(M3132),M3132&gt;0),(N3132-M3132)/M3132,"")</f>
        <v/>
      </c>
      <c r="Q3132" s="3">
        <f>IF(P3132="","",IF(P3132&lt;-0.02,"🔴 Bán phá giá sàn",IF(P3132&gt;0.05,"🔵 Bán cao hơn","🟢 Đúng giá sàn TMĐT")))</f>
        <v/>
      </c>
      <c r="R3132" s="3" t="n"/>
      <c r="S3132" s="4" t="n"/>
      <c r="T3132" s="4" t="n"/>
    </row>
    <row r="3133">
      <c r="A3133" s="3" t="n">
        <v>3132</v>
      </c>
      <c r="B3133" s="3" t="inlineStr">
        <is>
          <t>DL028</t>
        </is>
      </c>
      <c r="C3133" s="4" t="inlineStr">
        <is>
          <t>ĐL Bình Thuận - Cửa hàng Đạo Vương</t>
        </is>
      </c>
      <c r="D3133" s="3" t="inlineStr">
        <is>
          <t>LÂM ĐỒNG 
(BÌNH THUẬN CŨ)</t>
        </is>
      </c>
      <c r="E3133" s="3" t="inlineStr">
        <is>
          <t>THÙY TRANG</t>
        </is>
      </c>
      <c r="F3133" s="3" t="inlineStr"/>
      <c r="G3133" s="4" t="inlineStr">
        <is>
          <t>SHOPEE: https://shopee.vn/search?keyword=store%20d%E1%BB%A5ng%20c%E1%BB%A5%20tpTIKTOK: LAZADA: WEBSITE BÁN HÀNG:</t>
        </is>
      </c>
      <c r="H3133" s="3" t="inlineStr">
        <is>
          <t>KBH2E-06150</t>
        </is>
      </c>
      <c r="I3133" s="4" t="inlineStr">
        <is>
          <t>Mũi khoan ĐN lục giác 2 cạnh KBH2E-06*150</t>
        </is>
      </c>
      <c r="J3133" s="3" t="inlineStr">
        <is>
          <t>Cái</t>
        </is>
      </c>
      <c r="K3133" s="5" t="n">
        <v>31000</v>
      </c>
      <c r="L3133" s="5" t="n">
        <v>39000</v>
      </c>
      <c r="M3133" s="6" t="n">
        <v>50000</v>
      </c>
      <c r="N3133" s="5" t="n"/>
      <c r="O3133" s="5">
        <f>IF(AND(ISNUMBER(N3133),ISNUMBER(M3133)),N3133-M3133,"")</f>
        <v/>
      </c>
      <c r="P3133" s="7">
        <f>IF(AND(ISNUMBER(N3133),ISNUMBER(M3133),M3133&gt;0),(N3133-M3133)/M3133,"")</f>
        <v/>
      </c>
      <c r="Q3133" s="3">
        <f>IF(P3133="","",IF(P3133&lt;-0.02,"🔴 Bán phá giá sàn",IF(P3133&gt;0.05,"🔵 Bán cao hơn","🟢 Đúng giá sàn TMĐT")))</f>
        <v/>
      </c>
      <c r="R3133" s="3" t="n"/>
      <c r="S3133" s="4" t="n"/>
      <c r="T3133" s="4" t="n"/>
    </row>
    <row r="3134">
      <c r="A3134" s="3" t="n">
        <v>3133</v>
      </c>
      <c r="B3134" s="3" t="inlineStr">
        <is>
          <t>DL028</t>
        </is>
      </c>
      <c r="C3134" s="4" t="inlineStr">
        <is>
          <t>ĐL Bình Thuận - Cửa hàng Đạo Vương</t>
        </is>
      </c>
      <c r="D3134" s="3" t="inlineStr">
        <is>
          <t>LÂM ĐỒNG 
(BÌNH THUẬN CŨ)</t>
        </is>
      </c>
      <c r="E3134" s="3" t="inlineStr">
        <is>
          <t>THÙY TRANG</t>
        </is>
      </c>
      <c r="F3134" s="3" t="inlineStr"/>
      <c r="G3134" s="4" t="inlineStr">
        <is>
          <t>SHOPEE: https://shopee.vn/search?keyword=store%20d%E1%BB%A5ng%20c%E1%BB%A5%20tpTIKTOK: LAZADA: WEBSITE BÁN HÀNG:</t>
        </is>
      </c>
      <c r="H3134" s="3" t="inlineStr">
        <is>
          <t>KBH2E-08150</t>
        </is>
      </c>
      <c r="I3134" s="4" t="inlineStr">
        <is>
          <t>Mũi khoan ĐN lục giác 2 cạnh KBH2E-08*150</t>
        </is>
      </c>
      <c r="J3134" s="3" t="inlineStr">
        <is>
          <t>Cái</t>
        </is>
      </c>
      <c r="K3134" s="5" t="n">
        <v>41000</v>
      </c>
      <c r="L3134" s="5" t="n">
        <v>51000</v>
      </c>
      <c r="M3134" s="6" t="n">
        <v>66000</v>
      </c>
      <c r="N3134" s="5" t="n"/>
      <c r="O3134" s="5">
        <f>IF(AND(ISNUMBER(N3134),ISNUMBER(M3134)),N3134-M3134,"")</f>
        <v/>
      </c>
      <c r="P3134" s="7">
        <f>IF(AND(ISNUMBER(N3134),ISNUMBER(M3134),M3134&gt;0),(N3134-M3134)/M3134,"")</f>
        <v/>
      </c>
      <c r="Q3134" s="3">
        <f>IF(P3134="","",IF(P3134&lt;-0.02,"🔴 Bán phá giá sàn",IF(P3134&gt;0.05,"🔵 Bán cao hơn","🟢 Đúng giá sàn TMĐT")))</f>
        <v/>
      </c>
      <c r="R3134" s="3" t="n"/>
      <c r="S3134" s="4" t="n"/>
      <c r="T3134" s="4" t="n"/>
    </row>
    <row r="3135">
      <c r="A3135" s="3" t="n">
        <v>3134</v>
      </c>
      <c r="B3135" s="3" t="inlineStr">
        <is>
          <t>DL028</t>
        </is>
      </c>
      <c r="C3135" s="4" t="inlineStr">
        <is>
          <t>ĐL Bình Thuận - Cửa hàng Đạo Vương</t>
        </is>
      </c>
      <c r="D3135" s="3" t="inlineStr">
        <is>
          <t>LÂM ĐỒNG 
(BÌNH THUẬN CŨ)</t>
        </is>
      </c>
      <c r="E3135" s="3" t="inlineStr">
        <is>
          <t>THÙY TRANG</t>
        </is>
      </c>
      <c r="F3135" s="3" t="inlineStr"/>
      <c r="G3135" s="4" t="inlineStr">
        <is>
          <t>SHOPEE: https://shopee.vn/search?keyword=store%20d%E1%BB%A5ng%20c%E1%BB%A5%20tpTIKTOK: LAZADA: WEBSITE BÁN HÀNG:</t>
        </is>
      </c>
      <c r="H3135" s="3" t="inlineStr">
        <is>
          <t>KBH2E-10150</t>
        </is>
      </c>
      <c r="I3135" s="4" t="inlineStr">
        <is>
          <t>Mũi khoan ĐN lục giác 2 cạnh KBH2E-10*150</t>
        </is>
      </c>
      <c r="J3135" s="3" t="inlineStr">
        <is>
          <t>Cái</t>
        </is>
      </c>
      <c r="K3135" s="5" t="n">
        <v>48000</v>
      </c>
      <c r="L3135" s="5" t="n">
        <v>60000</v>
      </c>
      <c r="M3135" s="6" t="n">
        <v>77000</v>
      </c>
      <c r="N3135" s="5" t="n"/>
      <c r="O3135" s="5">
        <f>IF(AND(ISNUMBER(N3135),ISNUMBER(M3135)),N3135-M3135,"")</f>
        <v/>
      </c>
      <c r="P3135" s="7">
        <f>IF(AND(ISNUMBER(N3135),ISNUMBER(M3135),M3135&gt;0),(N3135-M3135)/M3135,"")</f>
        <v/>
      </c>
      <c r="Q3135" s="3">
        <f>IF(P3135="","",IF(P3135&lt;-0.02,"🔴 Bán phá giá sàn",IF(P3135&gt;0.05,"🔵 Bán cao hơn","🟢 Đúng giá sàn TMĐT")))</f>
        <v/>
      </c>
      <c r="R3135" s="3" t="n"/>
      <c r="S3135" s="4" t="n"/>
      <c r="T3135" s="4" t="n"/>
    </row>
    <row r="3136">
      <c r="A3136" s="3" t="n">
        <v>3135</v>
      </c>
      <c r="B3136" s="3" t="inlineStr">
        <is>
          <t>DL028</t>
        </is>
      </c>
      <c r="C3136" s="4" t="inlineStr">
        <is>
          <t>ĐL Bình Thuận - Cửa hàng Đạo Vương</t>
        </is>
      </c>
      <c r="D3136" s="3" t="inlineStr">
        <is>
          <t>LÂM ĐỒNG 
(BÌNH THUẬN CŨ)</t>
        </is>
      </c>
      <c r="E3136" s="3" t="inlineStr">
        <is>
          <t>THÙY TRANG</t>
        </is>
      </c>
      <c r="F3136" s="3" t="inlineStr"/>
      <c r="G3136" s="4" t="inlineStr">
        <is>
          <t>SHOPEE: https://shopee.vn/search?keyword=store%20d%E1%BB%A5ng%20c%E1%BB%A5%20tpTIKTOK: LAZADA: WEBSITE BÁN HÀNG:</t>
        </is>
      </c>
      <c r="H3136" s="3" t="inlineStr">
        <is>
          <t>KBH2E-12150</t>
        </is>
      </c>
      <c r="I3136" s="4" t="inlineStr">
        <is>
          <t>Mũi khoan ĐN lục giác 2 cạnh KBH2E-12*150</t>
        </is>
      </c>
      <c r="J3136" s="3" t="inlineStr">
        <is>
          <t>Cái</t>
        </is>
      </c>
      <c r="K3136" s="5" t="n">
        <v>63000</v>
      </c>
      <c r="L3136" s="5" t="n">
        <v>78000</v>
      </c>
      <c r="M3136" s="6" t="n">
        <v>101000</v>
      </c>
      <c r="N3136" s="5" t="n"/>
      <c r="O3136" s="5">
        <f>IF(AND(ISNUMBER(N3136),ISNUMBER(M3136)),N3136-M3136,"")</f>
        <v/>
      </c>
      <c r="P3136" s="7">
        <f>IF(AND(ISNUMBER(N3136),ISNUMBER(M3136),M3136&gt;0),(N3136-M3136)/M3136,"")</f>
        <v/>
      </c>
      <c r="Q3136" s="3">
        <f>IF(P3136="","",IF(P3136&lt;-0.02,"🔴 Bán phá giá sàn",IF(P3136&gt;0.05,"🔵 Bán cao hơn","🟢 Đúng giá sàn TMĐT")))</f>
        <v/>
      </c>
      <c r="R3136" s="3" t="n"/>
      <c r="S3136" s="4" t="n"/>
      <c r="T3136" s="4" t="n"/>
    </row>
    <row r="3137">
      <c r="A3137" s="3" t="n">
        <v>3136</v>
      </c>
      <c r="B3137" s="3" t="inlineStr">
        <is>
          <t>DL028</t>
        </is>
      </c>
      <c r="C3137" s="4" t="inlineStr">
        <is>
          <t>ĐL Bình Thuận - Cửa hàng Đạo Vương</t>
        </is>
      </c>
      <c r="D3137" s="3" t="inlineStr">
        <is>
          <t>LÂM ĐỒNG 
(BÌNH THUẬN CŨ)</t>
        </is>
      </c>
      <c r="E3137" s="3" t="inlineStr">
        <is>
          <t>THÙY TRANG</t>
        </is>
      </c>
      <c r="F3137" s="3" t="inlineStr"/>
      <c r="G3137" s="4" t="inlineStr">
        <is>
          <t>SHOPEE: https://shopee.vn/search?keyword=store%20d%E1%BB%A5ng%20c%E1%BB%A5%20tpTIKTOK: LAZADA: WEBSITE BÁN HÀNG:</t>
        </is>
      </c>
      <c r="H3137" s="3" t="inlineStr">
        <is>
          <t>KBH2F-0695</t>
        </is>
      </c>
      <c r="I3137" s="4" t="inlineStr">
        <is>
          <t>Mũi khoan ĐN lục giác 2 cạnh KBH2F-06*95</t>
        </is>
      </c>
      <c r="J3137" s="3" t="inlineStr">
        <is>
          <t>Cái</t>
        </is>
      </c>
      <c r="K3137" s="5" t="n">
        <v>26000</v>
      </c>
      <c r="L3137" s="5" t="n">
        <v>32000</v>
      </c>
      <c r="M3137" s="6" t="n">
        <v>42000</v>
      </c>
      <c r="N3137" s="5" t="n"/>
      <c r="O3137" s="5">
        <f>IF(AND(ISNUMBER(N3137),ISNUMBER(M3137)),N3137-M3137,"")</f>
        <v/>
      </c>
      <c r="P3137" s="7">
        <f>IF(AND(ISNUMBER(N3137),ISNUMBER(M3137),M3137&gt;0),(N3137-M3137)/M3137,"")</f>
        <v/>
      </c>
      <c r="Q3137" s="3">
        <f>IF(P3137="","",IF(P3137&lt;-0.02,"🔴 Bán phá giá sàn",IF(P3137&gt;0.05,"🔵 Bán cao hơn","🟢 Đúng giá sàn TMĐT")))</f>
        <v/>
      </c>
      <c r="R3137" s="3" t="n"/>
      <c r="S3137" s="4" t="n"/>
      <c r="T3137" s="4" t="n"/>
    </row>
    <row r="3138">
      <c r="A3138" s="3" t="n">
        <v>3137</v>
      </c>
      <c r="B3138" s="3" t="inlineStr">
        <is>
          <t>DL028</t>
        </is>
      </c>
      <c r="C3138" s="4" t="inlineStr">
        <is>
          <t>ĐL Bình Thuận - Cửa hàng Đạo Vương</t>
        </is>
      </c>
      <c r="D3138" s="3" t="inlineStr">
        <is>
          <t>LÂM ĐỒNG 
(BÌNH THUẬN CŨ)</t>
        </is>
      </c>
      <c r="E3138" s="3" t="inlineStr">
        <is>
          <t>THÙY TRANG</t>
        </is>
      </c>
      <c r="F3138" s="3" t="inlineStr"/>
      <c r="G3138" s="4" t="inlineStr">
        <is>
          <t>SHOPEE: https://shopee.vn/search?keyword=store%20d%E1%BB%A5ng%20c%E1%BB%A5%20tpTIKTOK: LAZADA: WEBSITE BÁN HÀNG:</t>
        </is>
      </c>
      <c r="H3138" s="3" t="inlineStr">
        <is>
          <t>KBH2F-0895</t>
        </is>
      </c>
      <c r="I3138" s="4" t="inlineStr">
        <is>
          <t>Mũi khoan ĐN lục giác 2 cạnh KBH2F-08*95</t>
        </is>
      </c>
      <c r="J3138" s="3" t="inlineStr">
        <is>
          <t>Cái</t>
        </is>
      </c>
      <c r="K3138" s="5" t="n">
        <v>33000</v>
      </c>
      <c r="L3138" s="5" t="n">
        <v>41000</v>
      </c>
      <c r="M3138" s="6" t="n">
        <v>53000</v>
      </c>
      <c r="N3138" s="5" t="n"/>
      <c r="O3138" s="5">
        <f>IF(AND(ISNUMBER(N3138),ISNUMBER(M3138)),N3138-M3138,"")</f>
        <v/>
      </c>
      <c r="P3138" s="7">
        <f>IF(AND(ISNUMBER(N3138),ISNUMBER(M3138),M3138&gt;0),(N3138-M3138)/M3138,"")</f>
        <v/>
      </c>
      <c r="Q3138" s="3">
        <f>IF(P3138="","",IF(P3138&lt;-0.02,"🔴 Bán phá giá sàn",IF(P3138&gt;0.05,"🔵 Bán cao hơn","🟢 Đúng giá sàn TMĐT")))</f>
        <v/>
      </c>
      <c r="R3138" s="3" t="n"/>
      <c r="S3138" s="4" t="n"/>
      <c r="T3138" s="4" t="n"/>
    </row>
    <row r="3139">
      <c r="A3139" s="3" t="n">
        <v>3138</v>
      </c>
      <c r="B3139" s="3" t="inlineStr">
        <is>
          <t>DL028</t>
        </is>
      </c>
      <c r="C3139" s="4" t="inlineStr">
        <is>
          <t>ĐL Bình Thuận - Cửa hàng Đạo Vương</t>
        </is>
      </c>
      <c r="D3139" s="3" t="inlineStr">
        <is>
          <t>LÂM ĐỒNG 
(BÌNH THUẬN CŨ)</t>
        </is>
      </c>
      <c r="E3139" s="3" t="inlineStr">
        <is>
          <t>THÙY TRANG</t>
        </is>
      </c>
      <c r="F3139" s="3" t="inlineStr"/>
      <c r="G3139" s="4" t="inlineStr">
        <is>
          <t>SHOPEE: https://shopee.vn/search?keyword=store%20d%E1%BB%A5ng%20c%E1%BB%A5%20tpTIKTOK: LAZADA: WEBSITE BÁN HÀNG:</t>
        </is>
      </c>
      <c r="H3139" s="3" t="inlineStr">
        <is>
          <t>KBX1-06200</t>
        </is>
      </c>
      <c r="I3139" s="4" t="inlineStr">
        <is>
          <t>Mũi khoan gỗ chuôi lục KBX1-06*200</t>
        </is>
      </c>
      <c r="J3139" s="3" t="inlineStr">
        <is>
          <t>Cái</t>
        </is>
      </c>
      <c r="K3139" s="5" t="n">
        <v>32000</v>
      </c>
      <c r="L3139" s="5" t="n">
        <v>40000</v>
      </c>
      <c r="M3139" s="6" t="n">
        <v>51000</v>
      </c>
      <c r="N3139" s="5" t="n"/>
      <c r="O3139" s="5">
        <f>IF(AND(ISNUMBER(N3139),ISNUMBER(M3139)),N3139-M3139,"")</f>
        <v/>
      </c>
      <c r="P3139" s="7">
        <f>IF(AND(ISNUMBER(N3139),ISNUMBER(M3139),M3139&gt;0),(N3139-M3139)/M3139,"")</f>
        <v/>
      </c>
      <c r="Q3139" s="3">
        <f>IF(P3139="","",IF(P3139&lt;-0.02,"🔴 Bán phá giá sàn",IF(P3139&gt;0.05,"🔵 Bán cao hơn","🟢 Đúng giá sàn TMĐT")))</f>
        <v/>
      </c>
      <c r="R3139" s="3" t="n"/>
      <c r="S3139" s="4" t="n"/>
      <c r="T3139" s="4" t="n"/>
    </row>
    <row r="3140">
      <c r="A3140" s="3" t="n">
        <v>3139</v>
      </c>
      <c r="B3140" s="3" t="inlineStr">
        <is>
          <t>DL028</t>
        </is>
      </c>
      <c r="C3140" s="4" t="inlineStr">
        <is>
          <t>ĐL Bình Thuận - Cửa hàng Đạo Vương</t>
        </is>
      </c>
      <c r="D3140" s="3" t="inlineStr">
        <is>
          <t>LÂM ĐỒNG 
(BÌNH THUẬN CŨ)</t>
        </is>
      </c>
      <c r="E3140" s="3" t="inlineStr">
        <is>
          <t>THÙY TRANG</t>
        </is>
      </c>
      <c r="F3140" s="3" t="inlineStr"/>
      <c r="G3140" s="4" t="inlineStr">
        <is>
          <t>SHOPEE: https://shopee.vn/search?keyword=store%20d%E1%BB%A5ng%20c%E1%BB%A5%20tpTIKTOK: LAZADA: WEBSITE BÁN HÀNG:</t>
        </is>
      </c>
      <c r="H3140" s="3" t="inlineStr">
        <is>
          <t>KBX1-08200</t>
        </is>
      </c>
      <c r="I3140" s="4" t="inlineStr">
        <is>
          <t>Mũi khoan gỗ chuôi lục KBX1-08*200</t>
        </is>
      </c>
      <c r="J3140" s="3" t="inlineStr">
        <is>
          <t>Cái</t>
        </is>
      </c>
      <c r="K3140" s="5" t="n">
        <v>39000</v>
      </c>
      <c r="L3140" s="5" t="n">
        <v>48000</v>
      </c>
      <c r="M3140" s="6" t="n">
        <v>62000</v>
      </c>
      <c r="N3140" s="5" t="n"/>
      <c r="O3140" s="5">
        <f>IF(AND(ISNUMBER(N3140),ISNUMBER(M3140)),N3140-M3140,"")</f>
        <v/>
      </c>
      <c r="P3140" s="7">
        <f>IF(AND(ISNUMBER(N3140),ISNUMBER(M3140),M3140&gt;0),(N3140-M3140)/M3140,"")</f>
        <v/>
      </c>
      <c r="Q3140" s="3">
        <f>IF(P3140="","",IF(P3140&lt;-0.02,"🔴 Bán phá giá sàn",IF(P3140&gt;0.05,"🔵 Bán cao hơn","🟢 Đúng giá sàn TMĐT")))</f>
        <v/>
      </c>
      <c r="R3140" s="3" t="n"/>
      <c r="S3140" s="4" t="n"/>
      <c r="T3140" s="4" t="n"/>
    </row>
    <row r="3141">
      <c r="A3141" s="3" t="n">
        <v>3140</v>
      </c>
      <c r="B3141" s="3" t="inlineStr">
        <is>
          <t>DL028</t>
        </is>
      </c>
      <c r="C3141" s="4" t="inlineStr">
        <is>
          <t>ĐL Bình Thuận - Cửa hàng Đạo Vương</t>
        </is>
      </c>
      <c r="D3141" s="3" t="inlineStr">
        <is>
          <t>LÂM ĐỒNG 
(BÌNH THUẬN CŨ)</t>
        </is>
      </c>
      <c r="E3141" s="3" t="inlineStr">
        <is>
          <t>THÙY TRANG</t>
        </is>
      </c>
      <c r="F3141" s="3" t="inlineStr"/>
      <c r="G3141" s="4" t="inlineStr">
        <is>
          <t>SHOPEE: https://shopee.vn/search?keyword=store%20d%E1%BB%A5ng%20c%E1%BB%A5%20tpTIKTOK: LAZADA: WEBSITE BÁN HÀNG:</t>
        </is>
      </c>
      <c r="H3141" s="3" t="inlineStr">
        <is>
          <t>KBX1-10200</t>
        </is>
      </c>
      <c r="I3141" s="4" t="inlineStr">
        <is>
          <t>Mũi khoan gỗ chuôi lục KBX1-10*200</t>
        </is>
      </c>
      <c r="J3141" s="3" t="inlineStr">
        <is>
          <t>Cái</t>
        </is>
      </c>
      <c r="K3141" s="5" t="n">
        <v>43000</v>
      </c>
      <c r="L3141" s="5" t="n">
        <v>53000</v>
      </c>
      <c r="M3141" s="6" t="n">
        <v>69000</v>
      </c>
      <c r="N3141" s="5" t="n"/>
      <c r="O3141" s="5">
        <f>IF(AND(ISNUMBER(N3141),ISNUMBER(M3141)),N3141-M3141,"")</f>
        <v/>
      </c>
      <c r="P3141" s="7">
        <f>IF(AND(ISNUMBER(N3141),ISNUMBER(M3141),M3141&gt;0),(N3141-M3141)/M3141,"")</f>
        <v/>
      </c>
      <c r="Q3141" s="3">
        <f>IF(P3141="","",IF(P3141&lt;-0.02,"🔴 Bán phá giá sàn",IF(P3141&gt;0.05,"🔵 Bán cao hơn","🟢 Đúng giá sàn TMĐT")))</f>
        <v/>
      </c>
      <c r="R3141" s="3" t="n"/>
      <c r="S3141" s="4" t="n"/>
      <c r="T3141" s="4" t="n"/>
    </row>
    <row r="3142">
      <c r="A3142" s="3" t="n">
        <v>3141</v>
      </c>
      <c r="B3142" s="3" t="inlineStr">
        <is>
          <t>DL028</t>
        </is>
      </c>
      <c r="C3142" s="4" t="inlineStr">
        <is>
          <t>ĐL Bình Thuận - Cửa hàng Đạo Vương</t>
        </is>
      </c>
      <c r="D3142" s="3" t="inlineStr">
        <is>
          <t>LÂM ĐỒNG 
(BÌNH THUẬN CŨ)</t>
        </is>
      </c>
      <c r="E3142" s="3" t="inlineStr">
        <is>
          <t>THÙY TRANG</t>
        </is>
      </c>
      <c r="F3142" s="3" t="inlineStr"/>
      <c r="G3142" s="4" t="inlineStr">
        <is>
          <t>SHOPEE: https://shopee.vn/search?keyword=store%20d%E1%BB%A5ng%20c%E1%BB%A5%20tpTIKTOK: LAZADA: WEBSITE BÁN HÀNG:</t>
        </is>
      </c>
      <c r="H3142" s="3" t="inlineStr">
        <is>
          <t>KBR-M30.5</t>
        </is>
      </c>
      <c r="I3142" s="4" t="inlineStr">
        <is>
          <t>Mũi khoan TARO KBR-M3*0.5</t>
        </is>
      </c>
      <c r="J3142" s="3" t="inlineStr">
        <is>
          <t>Cái</t>
        </is>
      </c>
      <c r="K3142" s="5" t="n">
        <v>58000</v>
      </c>
      <c r="L3142" s="5" t="n">
        <v>72000</v>
      </c>
      <c r="M3142" s="6" t="n">
        <v>93000</v>
      </c>
      <c r="N3142" s="5" t="n"/>
      <c r="O3142" s="5">
        <f>IF(AND(ISNUMBER(N3142),ISNUMBER(M3142)),N3142-M3142,"")</f>
        <v/>
      </c>
      <c r="P3142" s="7">
        <f>IF(AND(ISNUMBER(N3142),ISNUMBER(M3142),M3142&gt;0),(N3142-M3142)/M3142,"")</f>
        <v/>
      </c>
      <c r="Q3142" s="3">
        <f>IF(P3142="","",IF(P3142&lt;-0.02,"🔴 Bán phá giá sàn",IF(P3142&gt;0.05,"🔵 Bán cao hơn","🟢 Đúng giá sàn TMĐT")))</f>
        <v/>
      </c>
      <c r="R3142" s="3" t="n"/>
      <c r="S3142" s="4" t="n"/>
      <c r="T3142" s="4" t="n"/>
    </row>
    <row r="3143">
      <c r="A3143" s="3" t="n">
        <v>3142</v>
      </c>
      <c r="B3143" s="3" t="inlineStr">
        <is>
          <t>DL028</t>
        </is>
      </c>
      <c r="C3143" s="4" t="inlineStr">
        <is>
          <t>ĐL Bình Thuận - Cửa hàng Đạo Vương</t>
        </is>
      </c>
      <c r="D3143" s="3" t="inlineStr">
        <is>
          <t>LÂM ĐỒNG 
(BÌNH THUẬN CŨ)</t>
        </is>
      </c>
      <c r="E3143" s="3" t="inlineStr">
        <is>
          <t>THÙY TRANG</t>
        </is>
      </c>
      <c r="F3143" s="3" t="inlineStr"/>
      <c r="G3143" s="4" t="inlineStr">
        <is>
          <t>SHOPEE: https://shopee.vn/search?keyword=store%20d%E1%BB%A5ng%20c%E1%BB%A5%20tpTIKTOK: LAZADA: WEBSITE BÁN HÀNG:</t>
        </is>
      </c>
      <c r="H3143" s="3" t="inlineStr">
        <is>
          <t>KBR-M40.7</t>
        </is>
      </c>
      <c r="I3143" s="4" t="inlineStr">
        <is>
          <t>Mũi khoan TARO KBR-M4*0.7</t>
        </is>
      </c>
      <c r="J3143" s="3" t="inlineStr">
        <is>
          <t>Cái</t>
        </is>
      </c>
      <c r="K3143" s="5" t="n">
        <v>58000</v>
      </c>
      <c r="L3143" s="5" t="n">
        <v>72000</v>
      </c>
      <c r="M3143" s="6" t="n">
        <v>93000</v>
      </c>
      <c r="N3143" s="5" t="n"/>
      <c r="O3143" s="5">
        <f>IF(AND(ISNUMBER(N3143),ISNUMBER(M3143)),N3143-M3143,"")</f>
        <v/>
      </c>
      <c r="P3143" s="7">
        <f>IF(AND(ISNUMBER(N3143),ISNUMBER(M3143),M3143&gt;0),(N3143-M3143)/M3143,"")</f>
        <v/>
      </c>
      <c r="Q3143" s="3">
        <f>IF(P3143="","",IF(P3143&lt;-0.02,"🔴 Bán phá giá sàn",IF(P3143&gt;0.05,"🔵 Bán cao hơn","🟢 Đúng giá sàn TMĐT")))</f>
        <v/>
      </c>
      <c r="R3143" s="3" t="n"/>
      <c r="S3143" s="4" t="n"/>
      <c r="T3143" s="4" t="n"/>
    </row>
    <row r="3144">
      <c r="A3144" s="3" t="n">
        <v>3143</v>
      </c>
      <c r="B3144" s="3" t="inlineStr">
        <is>
          <t>DL028</t>
        </is>
      </c>
      <c r="C3144" s="4" t="inlineStr">
        <is>
          <t>ĐL Bình Thuận - Cửa hàng Đạo Vương</t>
        </is>
      </c>
      <c r="D3144" s="3" t="inlineStr">
        <is>
          <t>LÂM ĐỒNG 
(BÌNH THUẬN CŨ)</t>
        </is>
      </c>
      <c r="E3144" s="3" t="inlineStr">
        <is>
          <t>THÙY TRANG</t>
        </is>
      </c>
      <c r="F3144" s="3" t="inlineStr"/>
      <c r="G3144" s="4" t="inlineStr">
        <is>
          <t>SHOPEE: https://shopee.vn/search?keyword=store%20d%E1%BB%A5ng%20c%E1%BB%A5%20tpTIKTOK: LAZADA: WEBSITE BÁN HÀNG:</t>
        </is>
      </c>
      <c r="H3144" s="3" t="inlineStr"/>
      <c r="I3144" s="4" t="inlineStr">
        <is>
          <t>Mũi khoan tường không tắc kê KBLJ - 03*100</t>
        </is>
      </c>
      <c r="J3144" s="3" t="inlineStr">
        <is>
          <t>Cái</t>
        </is>
      </c>
      <c r="K3144" s="5" t="n">
        <v>269000</v>
      </c>
      <c r="L3144" s="5" t="n">
        <v>317000</v>
      </c>
      <c r="M3144" s="6" t="n">
        <v>390000</v>
      </c>
      <c r="N3144" s="5" t="n"/>
      <c r="O3144" s="5">
        <f>IF(AND(ISNUMBER(N3144),ISNUMBER(M3144)),N3144-M3144,"")</f>
        <v/>
      </c>
      <c r="P3144" s="7">
        <f>IF(AND(ISNUMBER(N3144),ISNUMBER(M3144),M3144&gt;0),(N3144-M3144)/M3144,"")</f>
        <v/>
      </c>
      <c r="Q3144" s="3">
        <f>IF(P3144="","",IF(P3144&lt;-0.02,"🔴 Bán phá giá sàn",IF(P3144&gt;0.05,"🔵 Bán cao hơn","🟢 Đúng giá sàn TMĐT")))</f>
        <v/>
      </c>
      <c r="R3144" s="3" t="n"/>
      <c r="S3144" s="4" t="n"/>
      <c r="T3144" s="4" t="n"/>
    </row>
    <row r="3145">
      <c r="A3145" s="3" t="n">
        <v>3144</v>
      </c>
      <c r="B3145" s="3" t="inlineStr">
        <is>
          <t>DL028</t>
        </is>
      </c>
      <c r="C3145" s="4" t="inlineStr">
        <is>
          <t>ĐL Bình Thuận - Cửa hàng Đạo Vương</t>
        </is>
      </c>
      <c r="D3145" s="3" t="inlineStr">
        <is>
          <t>LÂM ĐỒNG 
(BÌNH THUẬN CŨ)</t>
        </is>
      </c>
      <c r="E3145" s="3" t="inlineStr">
        <is>
          <t>THÙY TRANG</t>
        </is>
      </c>
      <c r="F3145" s="3" t="inlineStr"/>
      <c r="G3145" s="4" t="inlineStr">
        <is>
          <t>SHOPEE: https://shopee.vn/search?keyword=store%20d%E1%BB%A5ng%20c%E1%BB%A5%20tpTIKTOK: LAZADA: WEBSITE BÁN HÀNG:</t>
        </is>
      </c>
      <c r="H3145" s="3" t="inlineStr"/>
      <c r="I3145" s="4" t="inlineStr">
        <is>
          <t>Mũi khoan tường không tắc kê KBLJ - 03.2*100</t>
        </is>
      </c>
      <c r="J3145" s="3" t="inlineStr">
        <is>
          <t>Cái</t>
        </is>
      </c>
      <c r="K3145" s="5" t="n">
        <v>269000</v>
      </c>
      <c r="L3145" s="5" t="n">
        <v>317000</v>
      </c>
      <c r="M3145" s="6" t="n">
        <v>390000</v>
      </c>
      <c r="N3145" s="5" t="n"/>
      <c r="O3145" s="5">
        <f>IF(AND(ISNUMBER(N3145),ISNUMBER(M3145)),N3145-M3145,"")</f>
        <v/>
      </c>
      <c r="P3145" s="7">
        <f>IF(AND(ISNUMBER(N3145),ISNUMBER(M3145),M3145&gt;0),(N3145-M3145)/M3145,"")</f>
        <v/>
      </c>
      <c r="Q3145" s="3">
        <f>IF(P3145="","",IF(P3145&lt;-0.02,"🔴 Bán phá giá sàn",IF(P3145&gt;0.05,"🔵 Bán cao hơn","🟢 Đúng giá sàn TMĐT")))</f>
        <v/>
      </c>
      <c r="R3145" s="3" t="n"/>
      <c r="S3145" s="4" t="n"/>
      <c r="T3145" s="4" t="n"/>
    </row>
    <row r="3146">
      <c r="A3146" s="3" t="n">
        <v>3145</v>
      </c>
      <c r="B3146" s="3" t="inlineStr">
        <is>
          <t>DL028</t>
        </is>
      </c>
      <c r="C3146" s="4" t="inlineStr">
        <is>
          <t>ĐL Bình Thuận - Cửa hàng Đạo Vương</t>
        </is>
      </c>
      <c r="D3146" s="3" t="inlineStr">
        <is>
          <t>LÂM ĐỒNG 
(BÌNH THUẬN CŨ)</t>
        </is>
      </c>
      <c r="E3146" s="3" t="inlineStr">
        <is>
          <t>THÙY TRANG</t>
        </is>
      </c>
      <c r="F3146" s="3" t="inlineStr"/>
      <c r="G3146" s="4" t="inlineStr">
        <is>
          <t>SHOPEE: https://shopee.vn/search?keyword=store%20d%E1%BB%A5ng%20c%E1%BB%A5%20tpTIKTOK: LAZADA: WEBSITE BÁN HÀNG:</t>
        </is>
      </c>
      <c r="H3146" s="3" t="inlineStr"/>
      <c r="I3146" s="4" t="inlineStr">
        <is>
          <t>Mũi khoan tường không tắc kê KBLJ - 03.5*100</t>
        </is>
      </c>
      <c r="J3146" s="3" t="inlineStr">
        <is>
          <t>Cái</t>
        </is>
      </c>
      <c r="K3146" s="5" t="n">
        <v>269000</v>
      </c>
      <c r="L3146" s="5" t="n">
        <v>317000</v>
      </c>
      <c r="M3146" s="6" t="n">
        <v>390000</v>
      </c>
      <c r="N3146" s="5" t="n"/>
      <c r="O3146" s="5">
        <f>IF(AND(ISNUMBER(N3146),ISNUMBER(M3146)),N3146-M3146,"")</f>
        <v/>
      </c>
      <c r="P3146" s="7">
        <f>IF(AND(ISNUMBER(N3146),ISNUMBER(M3146),M3146&gt;0),(N3146-M3146)/M3146,"")</f>
        <v/>
      </c>
      <c r="Q3146" s="3">
        <f>IF(P3146="","",IF(P3146&lt;-0.02,"🔴 Bán phá giá sàn",IF(P3146&gt;0.05,"🔵 Bán cao hơn","🟢 Đúng giá sàn TMĐT")))</f>
        <v/>
      </c>
      <c r="R3146" s="3" t="n"/>
      <c r="S3146" s="4" t="n"/>
      <c r="T3146" s="4" t="n"/>
    </row>
    <row r="3147">
      <c r="A3147" s="3" t="n">
        <v>3146</v>
      </c>
      <c r="B3147" s="3" t="inlineStr">
        <is>
          <t>DL028</t>
        </is>
      </c>
      <c r="C3147" s="4" t="inlineStr">
        <is>
          <t>ĐL Bình Thuận - Cửa hàng Đạo Vương</t>
        </is>
      </c>
      <c r="D3147" s="3" t="inlineStr">
        <is>
          <t>LÂM ĐỒNG 
(BÌNH THUẬN CŨ)</t>
        </is>
      </c>
      <c r="E3147" s="3" t="inlineStr">
        <is>
          <t>THÙY TRANG</t>
        </is>
      </c>
      <c r="F3147" s="3" t="inlineStr"/>
      <c r="G3147" s="4" t="inlineStr">
        <is>
          <t>SHOPEE: https://shopee.vn/search?keyword=store%20d%E1%BB%A5ng%20c%E1%BB%A5%20tpTIKTOK: LAZADA: WEBSITE BÁN HÀNG:</t>
        </is>
      </c>
      <c r="H3147" s="3" t="inlineStr"/>
      <c r="I3147" s="4" t="inlineStr">
        <is>
          <t>Mũi khoan tường không tắc kê KBLJ - 04*100</t>
        </is>
      </c>
      <c r="J3147" s="3" t="inlineStr">
        <is>
          <t>Cái</t>
        </is>
      </c>
      <c r="K3147" s="5" t="n">
        <v>269000</v>
      </c>
      <c r="L3147" s="5" t="n">
        <v>317000</v>
      </c>
      <c r="M3147" s="6" t="n">
        <v>390000</v>
      </c>
      <c r="N3147" s="5" t="n"/>
      <c r="O3147" s="5">
        <f>IF(AND(ISNUMBER(N3147),ISNUMBER(M3147)),N3147-M3147,"")</f>
        <v/>
      </c>
      <c r="P3147" s="7">
        <f>IF(AND(ISNUMBER(N3147),ISNUMBER(M3147),M3147&gt;0),(N3147-M3147)/M3147,"")</f>
        <v/>
      </c>
      <c r="Q3147" s="3">
        <f>IF(P3147="","",IF(P3147&lt;-0.02,"🔴 Bán phá giá sàn",IF(P3147&gt;0.05,"🔵 Bán cao hơn","🟢 Đúng giá sàn TMĐT")))</f>
        <v/>
      </c>
      <c r="R3147" s="3" t="n"/>
      <c r="S3147" s="4" t="n"/>
      <c r="T3147" s="4" t="n"/>
    </row>
    <row r="3148">
      <c r="A3148" s="3" t="n">
        <v>3147</v>
      </c>
      <c r="B3148" s="3" t="inlineStr">
        <is>
          <t>DL028</t>
        </is>
      </c>
      <c r="C3148" s="4" t="inlineStr">
        <is>
          <t>ĐL Bình Thuận - Cửa hàng Đạo Vương</t>
        </is>
      </c>
      <c r="D3148" s="3" t="inlineStr">
        <is>
          <t>LÂM ĐỒNG 
(BÌNH THUẬN CŨ)</t>
        </is>
      </c>
      <c r="E3148" s="3" t="inlineStr">
        <is>
          <t>THÙY TRANG</t>
        </is>
      </c>
      <c r="F3148" s="3" t="inlineStr"/>
      <c r="G3148" s="4" t="inlineStr">
        <is>
          <t>SHOPEE: https://shopee.vn/search?keyword=store%20d%E1%BB%A5ng%20c%E1%BB%A5%20tpTIKTOK: LAZADA: WEBSITE BÁN HÀNG:</t>
        </is>
      </c>
      <c r="H3148" s="3" t="inlineStr"/>
      <c r="I3148" s="4" t="inlineStr">
        <is>
          <t>Mũi khoan tường không tắc kê KBLJ - 04.2*100</t>
        </is>
      </c>
      <c r="J3148" s="3" t="inlineStr">
        <is>
          <t>Cái</t>
        </is>
      </c>
      <c r="K3148" s="5" t="n">
        <v>269000</v>
      </c>
      <c r="L3148" s="5" t="n">
        <v>317000</v>
      </c>
      <c r="M3148" s="6" t="n">
        <v>390000</v>
      </c>
      <c r="N3148" s="5" t="n"/>
      <c r="O3148" s="5">
        <f>IF(AND(ISNUMBER(N3148),ISNUMBER(M3148)),N3148-M3148,"")</f>
        <v/>
      </c>
      <c r="P3148" s="7">
        <f>IF(AND(ISNUMBER(N3148),ISNUMBER(M3148),M3148&gt;0),(N3148-M3148)/M3148,"")</f>
        <v/>
      </c>
      <c r="Q3148" s="3">
        <f>IF(P3148="","",IF(P3148&lt;-0.02,"🔴 Bán phá giá sàn",IF(P3148&gt;0.05,"🔵 Bán cao hơn","🟢 Đúng giá sàn TMĐT")))</f>
        <v/>
      </c>
      <c r="R3148" s="3" t="n"/>
      <c r="S3148" s="4" t="n"/>
      <c r="T3148" s="4" t="n"/>
    </row>
    <row r="3149">
      <c r="A3149" s="3" t="n">
        <v>3148</v>
      </c>
      <c r="B3149" s="3" t="inlineStr">
        <is>
          <t>DL028</t>
        </is>
      </c>
      <c r="C3149" s="4" t="inlineStr">
        <is>
          <t>ĐL Bình Thuận - Cửa hàng Đạo Vương</t>
        </is>
      </c>
      <c r="D3149" s="3" t="inlineStr">
        <is>
          <t>LÂM ĐỒNG 
(BÌNH THUẬN CŨ)</t>
        </is>
      </c>
      <c r="E3149" s="3" t="inlineStr">
        <is>
          <t>THÙY TRANG</t>
        </is>
      </c>
      <c r="F3149" s="3" t="inlineStr"/>
      <c r="G3149" s="4" t="inlineStr">
        <is>
          <t>SHOPEE: https://shopee.vn/search?keyword=store%20d%E1%BB%A5ng%20c%E1%BB%A5%20tpTIKTOK: LAZADA: WEBSITE BÁN HÀNG:</t>
        </is>
      </c>
      <c r="H3149" s="3" t="inlineStr"/>
      <c r="I3149" s="4" t="inlineStr">
        <is>
          <t>Mũi khoan tường không tắc kê KBLJ - 05*100</t>
        </is>
      </c>
      <c r="J3149" s="3" t="inlineStr">
        <is>
          <t>Cái</t>
        </is>
      </c>
      <c r="K3149" s="5" t="n">
        <v>269000</v>
      </c>
      <c r="L3149" s="5" t="n">
        <v>317000</v>
      </c>
      <c r="M3149" s="6" t="n">
        <v>390000</v>
      </c>
      <c r="N3149" s="5" t="n"/>
      <c r="O3149" s="5">
        <f>IF(AND(ISNUMBER(N3149),ISNUMBER(M3149)),N3149-M3149,"")</f>
        <v/>
      </c>
      <c r="P3149" s="7">
        <f>IF(AND(ISNUMBER(N3149),ISNUMBER(M3149),M3149&gt;0),(N3149-M3149)/M3149,"")</f>
        <v/>
      </c>
      <c r="Q3149" s="3">
        <f>IF(P3149="","",IF(P3149&lt;-0.02,"🔴 Bán phá giá sàn",IF(P3149&gt;0.05,"🔵 Bán cao hơn","🟢 Đúng giá sàn TMĐT")))</f>
        <v/>
      </c>
      <c r="R3149" s="3" t="n"/>
      <c r="S3149" s="4" t="n"/>
      <c r="T3149" s="4" t="n"/>
    </row>
    <row r="3150">
      <c r="A3150" s="3" t="n">
        <v>3149</v>
      </c>
      <c r="B3150" s="3" t="inlineStr">
        <is>
          <t>DL028</t>
        </is>
      </c>
      <c r="C3150" s="4" t="inlineStr">
        <is>
          <t>ĐL Bình Thuận - Cửa hàng Đạo Vương</t>
        </is>
      </c>
      <c r="D3150" s="3" t="inlineStr">
        <is>
          <t>LÂM ĐỒNG 
(BÌNH THUẬN CŨ)</t>
        </is>
      </c>
      <c r="E3150" s="3" t="inlineStr">
        <is>
          <t>THÙY TRANG</t>
        </is>
      </c>
      <c r="F3150" s="3" t="inlineStr"/>
      <c r="G3150" s="4" t="inlineStr">
        <is>
          <t>SHOPEE: https://shopee.vn/search?keyword=store%20d%E1%BB%A5ng%20c%E1%BB%A5%20tpTIKTOK: LAZADA: WEBSITE BÁN HÀNG:</t>
        </is>
      </c>
      <c r="H3150" s="3" t="inlineStr"/>
      <c r="I3150" s="4" t="inlineStr">
        <is>
          <t>Mũi khoan tường không tắc kê KBLJ - 06*125</t>
        </is>
      </c>
      <c r="J3150" s="3" t="inlineStr">
        <is>
          <t>Cái</t>
        </is>
      </c>
      <c r="K3150" s="5" t="n">
        <v>269000</v>
      </c>
      <c r="L3150" s="5" t="n">
        <v>317000</v>
      </c>
      <c r="M3150" s="6" t="n">
        <v>390000</v>
      </c>
      <c r="N3150" s="5" t="n"/>
      <c r="O3150" s="5">
        <f>IF(AND(ISNUMBER(N3150),ISNUMBER(M3150)),N3150-M3150,"")</f>
        <v/>
      </c>
      <c r="P3150" s="7">
        <f>IF(AND(ISNUMBER(N3150),ISNUMBER(M3150),M3150&gt;0),(N3150-M3150)/M3150,"")</f>
        <v/>
      </c>
      <c r="Q3150" s="3">
        <f>IF(P3150="","",IF(P3150&lt;-0.02,"🔴 Bán phá giá sàn",IF(P3150&gt;0.05,"🔵 Bán cao hơn","🟢 Đúng giá sàn TMĐT")))</f>
        <v/>
      </c>
      <c r="R3150" s="3" t="n"/>
      <c r="S3150" s="4" t="n"/>
      <c r="T3150" s="4" t="n"/>
    </row>
    <row r="3151">
      <c r="A3151" s="3" t="n">
        <v>3150</v>
      </c>
      <c r="B3151" s="3" t="inlineStr">
        <is>
          <t>DL028</t>
        </is>
      </c>
      <c r="C3151" s="4" t="inlineStr">
        <is>
          <t>ĐL Bình Thuận - Cửa hàng Đạo Vương</t>
        </is>
      </c>
      <c r="D3151" s="3" t="inlineStr">
        <is>
          <t>LÂM ĐỒNG 
(BÌNH THUẬN CŨ)</t>
        </is>
      </c>
      <c r="E3151" s="3" t="inlineStr">
        <is>
          <t>THÙY TRANG</t>
        </is>
      </c>
      <c r="F3151" s="3" t="inlineStr"/>
      <c r="G3151" s="4" t="inlineStr">
        <is>
          <t>SHOPEE: https://shopee.vn/search?keyword=store%20d%E1%BB%A5ng%20c%E1%BB%A5%20tpTIKTOK: LAZADA: WEBSITE BÁN HÀNG:</t>
        </is>
      </c>
      <c r="H3151" s="3" t="inlineStr">
        <is>
          <t>KYG70</t>
        </is>
      </c>
      <c r="I3151" s="4" t="inlineStr">
        <is>
          <t>Ổ khóa KYG70</t>
        </is>
      </c>
      <c r="J3151" s="3" t="inlineStr">
        <is>
          <t>Cái</t>
        </is>
      </c>
      <c r="K3151" s="5" t="n">
        <v>198000</v>
      </c>
      <c r="L3151" s="5" t="n">
        <v>230000</v>
      </c>
      <c r="M3151" s="6" t="n">
        <v>277000</v>
      </c>
      <c r="N3151" s="5" t="n"/>
      <c r="O3151" s="5">
        <f>IF(AND(ISNUMBER(N3151),ISNUMBER(M3151)),N3151-M3151,"")</f>
        <v/>
      </c>
      <c r="P3151" s="7">
        <f>IF(AND(ISNUMBER(N3151),ISNUMBER(M3151),M3151&gt;0),(N3151-M3151)/M3151,"")</f>
        <v/>
      </c>
      <c r="Q3151" s="3">
        <f>IF(P3151="","",IF(P3151&lt;-0.02,"🔴 Bán phá giá sàn",IF(P3151&gt;0.05,"🔵 Bán cao hơn","🟢 Đúng giá sàn TMĐT")))</f>
        <v/>
      </c>
      <c r="R3151" s="3" t="n"/>
      <c r="S3151" s="4" t="n"/>
      <c r="T3151" s="4" t="n"/>
    </row>
    <row r="3152">
      <c r="A3152" s="3" t="n">
        <v>3151</v>
      </c>
      <c r="B3152" s="3" t="inlineStr">
        <is>
          <t>DL028</t>
        </is>
      </c>
      <c r="C3152" s="4" t="inlineStr">
        <is>
          <t>ĐL Bình Thuận - Cửa hàng Đạo Vương</t>
        </is>
      </c>
      <c r="D3152" s="3" t="inlineStr">
        <is>
          <t>LÂM ĐỒNG 
(BÌNH THUẬN CŨ)</t>
        </is>
      </c>
      <c r="E3152" s="3" t="inlineStr">
        <is>
          <t>THÙY TRANG</t>
        </is>
      </c>
      <c r="F3152" s="3" t="inlineStr"/>
      <c r="G3152" s="4" t="inlineStr">
        <is>
          <t>SHOPEE: https://shopee.vn/search?keyword=store%20d%E1%BB%A5ng%20c%E1%BB%A5%20tpTIKTOK: LAZADA: WEBSITE BÁN HÀNG:</t>
        </is>
      </c>
      <c r="H3152" s="3" t="inlineStr">
        <is>
          <t>KYG80</t>
        </is>
      </c>
      <c r="I3152" s="4" t="inlineStr">
        <is>
          <t>Ổ khóa KYG80</t>
        </is>
      </c>
      <c r="J3152" s="3" t="inlineStr">
        <is>
          <t>Cái</t>
        </is>
      </c>
      <c r="K3152" s="5" t="n">
        <v>218000</v>
      </c>
      <c r="L3152" s="5" t="n">
        <v>253000</v>
      </c>
      <c r="M3152" s="6" t="n">
        <v>305000</v>
      </c>
      <c r="N3152" s="5" t="n"/>
      <c r="O3152" s="5">
        <f>IF(AND(ISNUMBER(N3152),ISNUMBER(M3152)),N3152-M3152,"")</f>
        <v/>
      </c>
      <c r="P3152" s="7">
        <f>IF(AND(ISNUMBER(N3152),ISNUMBER(M3152),M3152&gt;0),(N3152-M3152)/M3152,"")</f>
        <v/>
      </c>
      <c r="Q3152" s="3">
        <f>IF(P3152="","",IF(P3152&lt;-0.02,"🔴 Bán phá giá sàn",IF(P3152&gt;0.05,"🔵 Bán cao hơn","🟢 Đúng giá sàn TMĐT")))</f>
        <v/>
      </c>
      <c r="R3152" s="3" t="n"/>
      <c r="S3152" s="4" t="n"/>
      <c r="T3152" s="4" t="n"/>
    </row>
    <row r="3153">
      <c r="A3153" s="3" t="n">
        <v>3152</v>
      </c>
      <c r="B3153" s="3" t="inlineStr">
        <is>
          <t>DL028</t>
        </is>
      </c>
      <c r="C3153" s="4" t="inlineStr">
        <is>
          <t>ĐL Bình Thuận - Cửa hàng Đạo Vương</t>
        </is>
      </c>
      <c r="D3153" s="3" t="inlineStr">
        <is>
          <t>LÂM ĐỒNG 
(BÌNH THUẬN CŨ)</t>
        </is>
      </c>
      <c r="E3153" s="3" t="inlineStr">
        <is>
          <t>THÙY TRANG</t>
        </is>
      </c>
      <c r="F3153" s="3" t="inlineStr"/>
      <c r="G3153" s="4" t="inlineStr">
        <is>
          <t>SHOPEE: https://shopee.vn/search?keyword=store%20d%E1%BB%A5ng%20c%E1%BB%A5%20tpTIKTOK: LAZADA: WEBSITE BÁN HÀNG:</t>
        </is>
      </c>
      <c r="H3153" s="3" t="inlineStr">
        <is>
          <t>KYT50</t>
        </is>
      </c>
      <c r="I3153" s="4" t="inlineStr">
        <is>
          <t>Ổ khóa KYT50</t>
        </is>
      </c>
      <c r="J3153" s="3" t="inlineStr">
        <is>
          <t>Cái</t>
        </is>
      </c>
      <c r="K3153" s="5" t="n">
        <v>141000</v>
      </c>
      <c r="L3153" s="5" t="n">
        <v>163000</v>
      </c>
      <c r="M3153" s="6" t="n">
        <v>197000</v>
      </c>
      <c r="N3153" s="5" t="n"/>
      <c r="O3153" s="5">
        <f>IF(AND(ISNUMBER(N3153),ISNUMBER(M3153)),N3153-M3153,"")</f>
        <v/>
      </c>
      <c r="P3153" s="7">
        <f>IF(AND(ISNUMBER(N3153),ISNUMBER(M3153),M3153&gt;0),(N3153-M3153)/M3153,"")</f>
        <v/>
      </c>
      <c r="Q3153" s="3">
        <f>IF(P3153="","",IF(P3153&lt;-0.02,"🔴 Bán phá giá sàn",IF(P3153&gt;0.05,"🔵 Bán cao hơn","🟢 Đúng giá sàn TMĐT")))</f>
        <v/>
      </c>
      <c r="R3153" s="3" t="n"/>
      <c r="S3153" s="4" t="n"/>
      <c r="T3153" s="4" t="n"/>
    </row>
    <row r="3154">
      <c r="A3154" s="3" t="n">
        <v>3153</v>
      </c>
      <c r="B3154" s="3" t="inlineStr">
        <is>
          <t>DL028</t>
        </is>
      </c>
      <c r="C3154" s="4" t="inlineStr">
        <is>
          <t>ĐL Bình Thuận - Cửa hàng Đạo Vương</t>
        </is>
      </c>
      <c r="D3154" s="3" t="inlineStr">
        <is>
          <t>LÂM ĐỒNG 
(BÌNH THUẬN CŨ)</t>
        </is>
      </c>
      <c r="E3154" s="3" t="inlineStr">
        <is>
          <t>THÙY TRANG</t>
        </is>
      </c>
      <c r="F3154" s="3" t="inlineStr"/>
      <c r="G3154" s="4" t="inlineStr">
        <is>
          <t>SHOPEE: https://shopee.vn/search?keyword=store%20d%E1%BB%A5ng%20c%E1%BB%A5%20tpTIKTOK: LAZADA: WEBSITE BÁN HÀNG:</t>
        </is>
      </c>
      <c r="H3154" s="3" t="inlineStr">
        <is>
          <t>KYT60</t>
        </is>
      </c>
      <c r="I3154" s="4" t="inlineStr">
        <is>
          <t>Ổ khóa KYT60</t>
        </is>
      </c>
      <c r="J3154" s="3" t="inlineStr">
        <is>
          <t>Cái</t>
        </is>
      </c>
      <c r="K3154" s="5" t="n">
        <v>182000</v>
      </c>
      <c r="L3154" s="5" t="n">
        <v>211000</v>
      </c>
      <c r="M3154" s="6" t="n">
        <v>255000</v>
      </c>
      <c r="N3154" s="5" t="n"/>
      <c r="O3154" s="5">
        <f>IF(AND(ISNUMBER(N3154),ISNUMBER(M3154)),N3154-M3154,"")</f>
        <v/>
      </c>
      <c r="P3154" s="7">
        <f>IF(AND(ISNUMBER(N3154),ISNUMBER(M3154),M3154&gt;0),(N3154-M3154)/M3154,"")</f>
        <v/>
      </c>
      <c r="Q3154" s="3">
        <f>IF(P3154="","",IF(P3154&lt;-0.02,"🔴 Bán phá giá sàn",IF(P3154&gt;0.05,"🔵 Bán cao hơn","🟢 Đúng giá sàn TMĐT")))</f>
        <v/>
      </c>
      <c r="R3154" s="3" t="n"/>
      <c r="S3154" s="4" t="n"/>
      <c r="T3154" s="4" t="n"/>
    </row>
    <row r="3155">
      <c r="A3155" s="3" t="n">
        <v>3154</v>
      </c>
      <c r="B3155" s="3" t="inlineStr">
        <is>
          <t>DL028</t>
        </is>
      </c>
      <c r="C3155" s="4" t="inlineStr">
        <is>
          <t>ĐL Bình Thuận - Cửa hàng Đạo Vương</t>
        </is>
      </c>
      <c r="D3155" s="3" t="inlineStr">
        <is>
          <t>LÂM ĐỒNG 
(BÌNH THUẬN CŨ)</t>
        </is>
      </c>
      <c r="E3155" s="3" t="inlineStr">
        <is>
          <t>THÙY TRANG</t>
        </is>
      </c>
      <c r="F3155" s="3" t="inlineStr"/>
      <c r="G3155" s="4" t="inlineStr">
        <is>
          <t>SHOPEE: https://shopee.vn/search?keyword=store%20d%E1%BB%A5ng%20c%E1%BB%A5%20tpTIKTOK: LAZADA: WEBSITE BÁN HÀNG:</t>
        </is>
      </c>
      <c r="H3155" s="3" t="inlineStr">
        <is>
          <t>KYV40</t>
        </is>
      </c>
      <c r="I3155" s="4" t="inlineStr">
        <is>
          <t>Ổ khóa KYV40</t>
        </is>
      </c>
      <c r="J3155" s="3" t="inlineStr">
        <is>
          <t>Cái</t>
        </is>
      </c>
      <c r="K3155" s="5" t="n">
        <v>62000</v>
      </c>
      <c r="L3155" s="5" t="n">
        <v>72000</v>
      </c>
      <c r="M3155" s="6" t="n">
        <v>87000</v>
      </c>
      <c r="N3155" s="5" t="n"/>
      <c r="O3155" s="5">
        <f>IF(AND(ISNUMBER(N3155),ISNUMBER(M3155)),N3155-M3155,"")</f>
        <v/>
      </c>
      <c r="P3155" s="7">
        <f>IF(AND(ISNUMBER(N3155),ISNUMBER(M3155),M3155&gt;0),(N3155-M3155)/M3155,"")</f>
        <v/>
      </c>
      <c r="Q3155" s="3">
        <f>IF(P3155="","",IF(P3155&lt;-0.02,"🔴 Bán phá giá sàn",IF(P3155&gt;0.05,"🔵 Bán cao hơn","🟢 Đúng giá sàn TMĐT")))</f>
        <v/>
      </c>
      <c r="R3155" s="3" t="n"/>
      <c r="S3155" s="4" t="n"/>
      <c r="T3155" s="4" t="n"/>
    </row>
    <row r="3156">
      <c r="A3156" s="3" t="n">
        <v>3155</v>
      </c>
      <c r="B3156" s="3" t="inlineStr">
        <is>
          <t>DL028</t>
        </is>
      </c>
      <c r="C3156" s="4" t="inlineStr">
        <is>
          <t>ĐL Bình Thuận - Cửa hàng Đạo Vương</t>
        </is>
      </c>
      <c r="D3156" s="3" t="inlineStr">
        <is>
          <t>LÂM ĐỒNG 
(BÌNH THUẬN CŨ)</t>
        </is>
      </c>
      <c r="E3156" s="3" t="inlineStr">
        <is>
          <t>THÙY TRANG</t>
        </is>
      </c>
      <c r="F3156" s="3" t="inlineStr"/>
      <c r="G3156" s="4" t="inlineStr">
        <is>
          <t>SHOPEE: https://shopee.vn/search?keyword=store%20d%E1%BB%A5ng%20c%E1%BB%A5%20tpTIKTOK: LAZADA: WEBSITE BÁN HÀNG:</t>
        </is>
      </c>
      <c r="H3156" s="3" t="inlineStr">
        <is>
          <t>KYZ50</t>
        </is>
      </c>
      <c r="I3156" s="4" t="inlineStr">
        <is>
          <t>Ổ khóa KYZ50</t>
        </is>
      </c>
      <c r="J3156" s="3" t="inlineStr">
        <is>
          <t>Cái</t>
        </is>
      </c>
      <c r="K3156" s="5" t="n">
        <v>152000</v>
      </c>
      <c r="L3156" s="5" t="n">
        <v>176000</v>
      </c>
      <c r="M3156" s="6" t="n">
        <v>213000</v>
      </c>
      <c r="N3156" s="5" t="n"/>
      <c r="O3156" s="5">
        <f>IF(AND(ISNUMBER(N3156),ISNUMBER(M3156)),N3156-M3156,"")</f>
        <v/>
      </c>
      <c r="P3156" s="7">
        <f>IF(AND(ISNUMBER(N3156),ISNUMBER(M3156),M3156&gt;0),(N3156-M3156)/M3156,"")</f>
        <v/>
      </c>
      <c r="Q3156" s="3">
        <f>IF(P3156="","",IF(P3156&lt;-0.02,"🔴 Bán phá giá sàn",IF(P3156&gt;0.05,"🔵 Bán cao hơn","🟢 Đúng giá sàn TMĐT")))</f>
        <v/>
      </c>
      <c r="R3156" s="3" t="n"/>
      <c r="S3156" s="4" t="n"/>
      <c r="T3156" s="4" t="n"/>
    </row>
    <row r="3157">
      <c r="A3157" s="3" t="n">
        <v>3156</v>
      </c>
      <c r="B3157" s="3" t="inlineStr">
        <is>
          <t>DL028</t>
        </is>
      </c>
      <c r="C3157" s="4" t="inlineStr">
        <is>
          <t>ĐL Bình Thuận - Cửa hàng Đạo Vương</t>
        </is>
      </c>
      <c r="D3157" s="3" t="inlineStr">
        <is>
          <t>LÂM ĐỒNG 
(BÌNH THUẬN CŨ)</t>
        </is>
      </c>
      <c r="E3157" s="3" t="inlineStr">
        <is>
          <t>THÙY TRANG</t>
        </is>
      </c>
      <c r="F3157" s="3" t="inlineStr"/>
      <c r="G3157" s="4" t="inlineStr">
        <is>
          <t>SHOPEE: https://shopee.vn/search?keyword=store%20d%E1%BB%A5ng%20c%E1%BB%A5%20tpTIKTOK: LAZADA: WEBSITE BÁN HÀNG:</t>
        </is>
      </c>
      <c r="H3157" s="3" t="inlineStr">
        <is>
          <t>KYZ60</t>
        </is>
      </c>
      <c r="I3157" s="4" t="inlineStr">
        <is>
          <t>Ổ khóa KYZ60</t>
        </is>
      </c>
      <c r="J3157" s="3" t="inlineStr">
        <is>
          <t>Cái</t>
        </is>
      </c>
      <c r="K3157" s="5" t="n">
        <v>209000</v>
      </c>
      <c r="L3157" s="5" t="n">
        <v>243000</v>
      </c>
      <c r="M3157" s="6" t="n">
        <v>293000</v>
      </c>
      <c r="N3157" s="5" t="n"/>
      <c r="O3157" s="5">
        <f>IF(AND(ISNUMBER(N3157),ISNUMBER(M3157)),N3157-M3157,"")</f>
        <v/>
      </c>
      <c r="P3157" s="7">
        <f>IF(AND(ISNUMBER(N3157),ISNUMBER(M3157),M3157&gt;0),(N3157-M3157)/M3157,"")</f>
        <v/>
      </c>
      <c r="Q3157" s="3">
        <f>IF(P3157="","",IF(P3157&lt;-0.02,"🔴 Bán phá giá sàn",IF(P3157&gt;0.05,"🔵 Bán cao hơn","🟢 Đúng giá sàn TMĐT")))</f>
        <v/>
      </c>
      <c r="R3157" s="3" t="n"/>
      <c r="S3157" s="4" t="n"/>
      <c r="T3157" s="4" t="n"/>
    </row>
    <row r="3158">
      <c r="A3158" s="3" t="n">
        <v>3157</v>
      </c>
      <c r="B3158" s="3" t="inlineStr">
        <is>
          <t>DL028</t>
        </is>
      </c>
      <c r="C3158" s="4" t="inlineStr">
        <is>
          <t>ĐL Bình Thuận - Cửa hàng Đạo Vương</t>
        </is>
      </c>
      <c r="D3158" s="3" t="inlineStr">
        <is>
          <t>LÂM ĐỒNG 
(BÌNH THUẬN CŨ)</t>
        </is>
      </c>
      <c r="E3158" s="3" t="inlineStr">
        <is>
          <t>THÙY TRANG</t>
        </is>
      </c>
      <c r="F3158" s="3" t="inlineStr"/>
      <c r="G3158" s="4" t="inlineStr">
        <is>
          <t>SHOPEE: https://shopee.vn/search?keyword=store%20d%E1%BB%A5ng%20c%E1%BB%A5%20tpTIKTOK: LAZADA: WEBSITE BÁN HÀNG:</t>
        </is>
      </c>
      <c r="H3158" s="3" t="inlineStr">
        <is>
          <t>ST08x42V</t>
        </is>
      </c>
      <c r="I3158" s="4" t="inlineStr">
        <is>
          <t>Siết tôn King Blue ST08x42V</t>
        </is>
      </c>
      <c r="J3158" s="3" t="inlineStr">
        <is>
          <t>Vỉ</t>
        </is>
      </c>
      <c r="K3158" s="5" t="n">
        <v>22000</v>
      </c>
      <c r="L3158" s="5" t="n">
        <v>28000</v>
      </c>
      <c r="M3158" s="6" t="n">
        <v>36000</v>
      </c>
      <c r="N3158" s="5" t="n"/>
      <c r="O3158" s="5">
        <f>IF(AND(ISNUMBER(N3158),ISNUMBER(M3158)),N3158-M3158,"")</f>
        <v/>
      </c>
      <c r="P3158" s="7">
        <f>IF(AND(ISNUMBER(N3158),ISNUMBER(M3158),M3158&gt;0),(N3158-M3158)/M3158,"")</f>
        <v/>
      </c>
      <c r="Q3158" s="3">
        <f>IF(P3158="","",IF(P3158&lt;-0.02,"🔴 Bán phá giá sàn",IF(P3158&gt;0.05,"🔵 Bán cao hơn","🟢 Đúng giá sàn TMĐT")))</f>
        <v/>
      </c>
      <c r="R3158" s="3" t="n"/>
      <c r="S3158" s="4" t="n"/>
      <c r="T3158" s="4" t="n"/>
    </row>
    <row r="3159">
      <c r="A3159" s="3" t="n">
        <v>3158</v>
      </c>
      <c r="B3159" s="3" t="inlineStr">
        <is>
          <t>DL028</t>
        </is>
      </c>
      <c r="C3159" s="4" t="inlineStr">
        <is>
          <t>ĐL Bình Thuận - Cửa hàng Đạo Vương</t>
        </is>
      </c>
      <c r="D3159" s="3" t="inlineStr">
        <is>
          <t>LÂM ĐỒNG 
(BÌNH THUẬN CŨ)</t>
        </is>
      </c>
      <c r="E3159" s="3" t="inlineStr">
        <is>
          <t>THÙY TRANG</t>
        </is>
      </c>
      <c r="F3159" s="3" t="inlineStr"/>
      <c r="G3159" s="4" t="inlineStr">
        <is>
          <t>SHOPEE: https://shopee.vn/search?keyword=store%20d%E1%BB%A5ng%20c%E1%BB%A5%20tpTIKTOK: LAZADA: WEBSITE BÁN HÀNG:</t>
        </is>
      </c>
      <c r="H3159" s="3" t="inlineStr">
        <is>
          <t>ST08x65G</t>
        </is>
      </c>
      <c r="I3159" s="4" t="inlineStr">
        <is>
          <t>Siết tôn KingBlue ST08x65G</t>
        </is>
      </c>
      <c r="J3159" s="3" t="inlineStr">
        <is>
          <t>Cái</t>
        </is>
      </c>
      <c r="K3159" s="5" t="n">
        <v>8500</v>
      </c>
      <c r="L3159" s="5" t="n">
        <v>11000</v>
      </c>
      <c r="M3159" s="6" t="n">
        <v>14000</v>
      </c>
      <c r="N3159" s="5" t="n"/>
      <c r="O3159" s="5">
        <f>IF(AND(ISNUMBER(N3159),ISNUMBER(M3159)),N3159-M3159,"")</f>
        <v/>
      </c>
      <c r="P3159" s="7">
        <f>IF(AND(ISNUMBER(N3159),ISNUMBER(M3159),M3159&gt;0),(N3159-M3159)/M3159,"")</f>
        <v/>
      </c>
      <c r="Q3159" s="3">
        <f>IF(P3159="","",IF(P3159&lt;-0.02,"🔴 Bán phá giá sàn",IF(P3159&gt;0.05,"🔵 Bán cao hơn","🟢 Đúng giá sàn TMĐT")))</f>
        <v/>
      </c>
      <c r="R3159" s="3" t="n"/>
      <c r="S3159" s="4" t="n"/>
      <c r="T3159" s="4" t="n"/>
    </row>
    <row r="3160">
      <c r="A3160" s="3" t="n">
        <v>3159</v>
      </c>
      <c r="B3160" s="3" t="inlineStr">
        <is>
          <t>DL028</t>
        </is>
      </c>
      <c r="C3160" s="4" t="inlineStr">
        <is>
          <t>ĐL Bình Thuận - Cửa hàng Đạo Vương</t>
        </is>
      </c>
      <c r="D3160" s="3" t="inlineStr">
        <is>
          <t>LÂM ĐỒNG 
(BÌNH THUẬN CŨ)</t>
        </is>
      </c>
      <c r="E3160" s="3" t="inlineStr">
        <is>
          <t>THÙY TRANG</t>
        </is>
      </c>
      <c r="F3160" s="3" t="inlineStr"/>
      <c r="G3160" s="4" t="inlineStr">
        <is>
          <t>SHOPEE: https://shopee.vn/search?keyword=store%20d%E1%BB%A5ng%20c%E1%BB%A5%20tpTIKTOK: LAZADA: WEBSITE BÁN HÀNG:</t>
        </is>
      </c>
      <c r="H3160" s="3" t="inlineStr"/>
      <c r="I3160" s="4" t="inlineStr">
        <is>
          <t>Thước thủy công nghiệp KTT- 25C</t>
        </is>
      </c>
      <c r="J3160" s="3" t="inlineStr">
        <is>
          <t>Cái</t>
        </is>
      </c>
      <c r="K3160" s="5" t="n">
        <v>269000</v>
      </c>
      <c r="L3160" s="5" t="n">
        <v>317000</v>
      </c>
      <c r="M3160" s="6" t="n">
        <v>390000</v>
      </c>
      <c r="N3160" s="5" t="n"/>
      <c r="O3160" s="5">
        <f>IF(AND(ISNUMBER(N3160),ISNUMBER(M3160)),N3160-M3160,"")</f>
        <v/>
      </c>
      <c r="P3160" s="7">
        <f>IF(AND(ISNUMBER(N3160),ISNUMBER(M3160),M3160&gt;0),(N3160-M3160)/M3160,"")</f>
        <v/>
      </c>
      <c r="Q3160" s="3">
        <f>IF(P3160="","",IF(P3160&lt;-0.02,"🔴 Bán phá giá sàn",IF(P3160&gt;0.05,"🔵 Bán cao hơn","🟢 Đúng giá sàn TMĐT")))</f>
        <v/>
      </c>
      <c r="R3160" s="3" t="n"/>
      <c r="S3160" s="4" t="n"/>
      <c r="T3160" s="4" t="n"/>
    </row>
    <row r="3161">
      <c r="A3161" s="3" t="n">
        <v>3160</v>
      </c>
      <c r="B3161" s="3" t="inlineStr">
        <is>
          <t>DL028</t>
        </is>
      </c>
      <c r="C3161" s="4" t="inlineStr">
        <is>
          <t>ĐL Bình Thuận - Cửa hàng Đạo Vương</t>
        </is>
      </c>
      <c r="D3161" s="3" t="inlineStr">
        <is>
          <t>LÂM ĐỒNG 
(BÌNH THUẬN CŨ)</t>
        </is>
      </c>
      <c r="E3161" s="3" t="inlineStr">
        <is>
          <t>THÙY TRANG</t>
        </is>
      </c>
      <c r="F3161" s="3" t="inlineStr"/>
      <c r="G3161" s="4" t="inlineStr">
        <is>
          <t>SHOPEE: https://shopee.vn/search?keyword=store%20d%E1%BB%A5ng%20c%E1%BB%A5%20tpTIKTOK: LAZADA: WEBSITE BÁN HÀNG:</t>
        </is>
      </c>
      <c r="H3161" s="3" t="inlineStr">
        <is>
          <t>KTT-40C</t>
        </is>
      </c>
      <c r="I3161" s="4" t="inlineStr">
        <is>
          <t>Thước thủy công nghiệp KTT-40C</t>
        </is>
      </c>
      <c r="J3161" s="3" t="inlineStr">
        <is>
          <t>Cái</t>
        </is>
      </c>
      <c r="K3161" s="5" t="n">
        <v>149000</v>
      </c>
      <c r="L3161" s="5" t="n">
        <v>176000</v>
      </c>
      <c r="M3161" s="6" t="n">
        <v>216000</v>
      </c>
      <c r="N3161" s="5" t="n"/>
      <c r="O3161" s="5">
        <f>IF(AND(ISNUMBER(N3161),ISNUMBER(M3161)),N3161-M3161,"")</f>
        <v/>
      </c>
      <c r="P3161" s="7">
        <f>IF(AND(ISNUMBER(N3161),ISNUMBER(M3161),M3161&gt;0),(N3161-M3161)/M3161,"")</f>
        <v/>
      </c>
      <c r="Q3161" s="3">
        <f>IF(P3161="","",IF(P3161&lt;-0.02,"🔴 Bán phá giá sàn",IF(P3161&gt;0.05,"🔵 Bán cao hơn","🟢 Đúng giá sàn TMĐT")))</f>
        <v/>
      </c>
      <c r="R3161" s="3" t="n"/>
      <c r="S3161" s="4" t="n"/>
      <c r="T3161" s="4" t="n"/>
    </row>
    <row r="3162">
      <c r="A3162" s="3" t="n">
        <v>3161</v>
      </c>
      <c r="B3162" s="3" t="inlineStr">
        <is>
          <t>DL028</t>
        </is>
      </c>
      <c r="C3162" s="4" t="inlineStr">
        <is>
          <t>ĐL Bình Thuận - Cửa hàng Đạo Vương</t>
        </is>
      </c>
      <c r="D3162" s="3" t="inlineStr">
        <is>
          <t>LÂM ĐỒNG 
(BÌNH THUẬN CŨ)</t>
        </is>
      </c>
      <c r="E3162" s="3" t="inlineStr">
        <is>
          <t>THÙY TRANG</t>
        </is>
      </c>
      <c r="F3162" s="3" t="inlineStr"/>
      <c r="G3162" s="4" t="inlineStr">
        <is>
          <t>SHOPEE: https://shopee.vn/search?keyword=store%20d%E1%BB%A5ng%20c%E1%BB%A5%20tpTIKTOK: LAZADA: WEBSITE BÁN HÀNG:</t>
        </is>
      </c>
      <c r="H3162" s="3" t="inlineStr">
        <is>
          <t>KV6-8200</t>
        </is>
      </c>
      <c r="I3162" s="4" t="inlineStr">
        <is>
          <t>Tuốc nơ vít KV6-8*200</t>
        </is>
      </c>
      <c r="J3162" s="3" t="inlineStr">
        <is>
          <t>Cái</t>
        </is>
      </c>
      <c r="K3162" s="5" t="n">
        <v>46000</v>
      </c>
      <c r="L3162" s="5" t="n">
        <v>54000</v>
      </c>
      <c r="M3162" s="6" t="n">
        <v>67000</v>
      </c>
      <c r="N3162" s="5" t="n"/>
      <c r="O3162" s="5">
        <f>IF(AND(ISNUMBER(N3162),ISNUMBER(M3162)),N3162-M3162,"")</f>
        <v/>
      </c>
      <c r="P3162" s="7">
        <f>IF(AND(ISNUMBER(N3162),ISNUMBER(M3162),M3162&gt;0),(N3162-M3162)/M3162,"")</f>
        <v/>
      </c>
      <c r="Q3162" s="3">
        <f>IF(P3162="","",IF(P3162&lt;-0.02,"🔴 Bán phá giá sàn",IF(P3162&gt;0.05,"🔵 Bán cao hơn","🟢 Đúng giá sàn TMĐT")))</f>
        <v/>
      </c>
      <c r="R3162" s="3" t="n"/>
      <c r="S3162" s="4" t="n"/>
      <c r="T3162" s="4" t="n"/>
    </row>
    <row r="3163">
      <c r="A3163" s="3" t="n">
        <v>3162</v>
      </c>
      <c r="B3163" s="3" t="inlineStr">
        <is>
          <t>DL028</t>
        </is>
      </c>
      <c r="C3163" s="4" t="inlineStr">
        <is>
          <t>ĐL Bình Thuận - Cửa hàng Đạo Vương</t>
        </is>
      </c>
      <c r="D3163" s="3" t="inlineStr">
        <is>
          <t>LÂM ĐỒNG 
(BÌNH THUẬN CŨ)</t>
        </is>
      </c>
      <c r="E3163" s="3" t="inlineStr">
        <is>
          <t>THÙY TRANG</t>
        </is>
      </c>
      <c r="F3163" s="3" t="inlineStr"/>
      <c r="G3163" s="4" t="inlineStr">
        <is>
          <t>SHOPEE: https://shopee.vn/search?keyword=store%20d%E1%BB%A5ng%20c%E1%BB%A5%20tpTIKTOK: LAZADA: WEBSITE BÁN HÀNG:</t>
        </is>
      </c>
      <c r="H3163" s="3" t="inlineStr">
        <is>
          <t>KFJ-432</t>
        </is>
      </c>
      <c r="I3163" s="4" t="inlineStr">
        <is>
          <t>Vít bê tông không dùng tắc kê KFJ-432</t>
        </is>
      </c>
      <c r="J3163" s="3" t="inlineStr">
        <is>
          <t>Hộp</t>
        </is>
      </c>
      <c r="K3163" s="5" t="n">
        <v>81000</v>
      </c>
      <c r="L3163" s="5" t="n">
        <v>101000</v>
      </c>
      <c r="M3163" s="6" t="n">
        <v>130000</v>
      </c>
      <c r="N3163" s="5" t="n"/>
      <c r="O3163" s="5">
        <f>IF(AND(ISNUMBER(N3163),ISNUMBER(M3163)),N3163-M3163,"")</f>
        <v/>
      </c>
      <c r="P3163" s="7">
        <f>IF(AND(ISNUMBER(N3163),ISNUMBER(M3163),M3163&gt;0),(N3163-M3163)/M3163,"")</f>
        <v/>
      </c>
      <c r="Q3163" s="3">
        <f>IF(P3163="","",IF(P3163&lt;-0.02,"🔴 Bán phá giá sàn",IF(P3163&gt;0.05,"🔵 Bán cao hơn","🟢 Đúng giá sàn TMĐT")))</f>
        <v/>
      </c>
      <c r="R3163" s="3" t="n"/>
      <c r="S3163" s="4" t="n"/>
      <c r="T3163" s="4" t="n"/>
    </row>
    <row r="3164">
      <c r="A3164" s="3" t="n">
        <v>3163</v>
      </c>
      <c r="B3164" s="3" t="inlineStr">
        <is>
          <t>DL029</t>
        </is>
      </c>
      <c r="C3164" s="4" t="inlineStr">
        <is>
          <t>Trung Linh</t>
        </is>
      </c>
      <c r="D3164" s="3" t="inlineStr">
        <is>
          <t>HN</t>
        </is>
      </c>
      <c r="E3164" s="3" t="inlineStr">
        <is>
          <t>ĐIỆP</t>
        </is>
      </c>
      <c r="F3164" s="3" t="inlineStr">
        <is>
          <t>Website bán hàng</t>
        </is>
      </c>
      <c r="G3164" s="4" t="inlineStr">
        <is>
          <t>SHOPEE: TIKTOK: LAZADA: WEBSITE BÁN HÀNG: https://trunglinh.com/</t>
        </is>
      </c>
      <c r="H3164" s="3" t="inlineStr">
        <is>
          <t>K10000</t>
        </is>
      </c>
      <c r="I3164" s="4" t="inlineStr">
        <is>
          <t>Bộ bơm lốp, kích bình đa năng K10000</t>
        </is>
      </c>
      <c r="J3164" s="3" t="inlineStr">
        <is>
          <t>Cái</t>
        </is>
      </c>
      <c r="K3164" s="5" t="n">
        <v>269000</v>
      </c>
      <c r="L3164" s="5" t="n">
        <v>317000</v>
      </c>
      <c r="M3164" s="6" t="n">
        <v>390000</v>
      </c>
      <c r="N3164" s="5" t="n"/>
      <c r="O3164" s="5">
        <f>IF(AND(ISNUMBER(N3164),ISNUMBER(M3164)),N3164-M3164,"")</f>
        <v/>
      </c>
      <c r="P3164" s="7">
        <f>IF(AND(ISNUMBER(N3164),ISNUMBER(M3164),M3164&gt;0),(N3164-M3164)/M3164,"")</f>
        <v/>
      </c>
      <c r="Q3164" s="3">
        <f>IF(P3164="","",IF(P3164&lt;-0.02,"🔴 Bán phá giá sàn",IF(P3164&gt;0.05,"🔵 Bán cao hơn","🟢 Đúng giá sàn TMĐT")))</f>
        <v/>
      </c>
      <c r="R3164" s="3" t="n"/>
      <c r="S3164" s="4" t="n"/>
      <c r="T3164" s="4" t="n"/>
    </row>
    <row r="3165">
      <c r="A3165" s="3" t="n">
        <v>3164</v>
      </c>
      <c r="B3165" s="3" t="inlineStr">
        <is>
          <t>DL029</t>
        </is>
      </c>
      <c r="C3165" s="4" t="inlineStr">
        <is>
          <t>Trung Linh</t>
        </is>
      </c>
      <c r="D3165" s="3" t="inlineStr">
        <is>
          <t>HN</t>
        </is>
      </c>
      <c r="E3165" s="3" t="inlineStr">
        <is>
          <t>ĐIỆP</t>
        </is>
      </c>
      <c r="F3165" s="3" t="inlineStr">
        <is>
          <t>Website bán hàng</t>
        </is>
      </c>
      <c r="G3165" s="4" t="inlineStr">
        <is>
          <t>SHOPEE: TIKTOK: LAZADA: WEBSITE BÁN HÀNG: https://trunglinh.com/</t>
        </is>
      </c>
      <c r="H3165" s="3" t="inlineStr">
        <is>
          <t>KB16VA2</t>
        </is>
      </c>
      <c r="I3165" s="4" t="inlineStr">
        <is>
          <t>Bộ Máy Vặn Vít Cấp Trượt 16V KB16VA2</t>
        </is>
      </c>
      <c r="J3165" s="3" t="inlineStr">
        <is>
          <t>Bộ</t>
        </is>
      </c>
      <c r="K3165" s="5" t="n">
        <v>1690000</v>
      </c>
      <c r="L3165" s="5" t="n">
        <v>1860000</v>
      </c>
      <c r="M3165" s="6" t="n">
        <v>2120000</v>
      </c>
      <c r="N3165" s="5" t="n"/>
      <c r="O3165" s="5">
        <f>IF(AND(ISNUMBER(N3165),ISNUMBER(M3165)),N3165-M3165,"")</f>
        <v/>
      </c>
      <c r="P3165" s="7">
        <f>IF(AND(ISNUMBER(N3165),ISNUMBER(M3165),M3165&gt;0),(N3165-M3165)/M3165,"")</f>
        <v/>
      </c>
      <c r="Q3165" s="3">
        <f>IF(P3165="","",IF(P3165&lt;-0.02,"🔴 Bán phá giá sàn",IF(P3165&gt;0.05,"🔵 Bán cao hơn","🟢 Đúng giá sàn TMĐT")))</f>
        <v/>
      </c>
      <c r="R3165" s="3" t="n"/>
      <c r="S3165" s="4" t="n"/>
      <c r="T3165" s="4" t="n"/>
    </row>
    <row r="3166">
      <c r="A3166" s="3" t="n">
        <v>3165</v>
      </c>
      <c r="B3166" s="3" t="inlineStr">
        <is>
          <t>DL029</t>
        </is>
      </c>
      <c r="C3166" s="4" t="inlineStr">
        <is>
          <t>Trung Linh</t>
        </is>
      </c>
      <c r="D3166" s="3" t="inlineStr">
        <is>
          <t>HN</t>
        </is>
      </c>
      <c r="E3166" s="3" t="inlineStr">
        <is>
          <t>ĐIỆP</t>
        </is>
      </c>
      <c r="F3166" s="3" t="inlineStr">
        <is>
          <t>Website bán hàng</t>
        </is>
      </c>
      <c r="G3166" s="4" t="inlineStr">
        <is>
          <t>SHOPEE: TIKTOK: LAZADA: WEBSITE BÁN HÀNG: https://trunglinh.com/</t>
        </is>
      </c>
      <c r="H3166" s="3" t="inlineStr">
        <is>
          <t>KBA-I1800</t>
        </is>
      </c>
      <c r="I3166" s="4" t="inlineStr">
        <is>
          <t>Bộ phận (cụm piston) - phụ kiện máy rửa xe KBA-I1800</t>
        </is>
      </c>
      <c r="J3166" s="3" t="inlineStr">
        <is>
          <t>Cái</t>
        </is>
      </c>
      <c r="K3166" s="5" t="n">
        <v>269000</v>
      </c>
      <c r="L3166" s="5" t="n">
        <v>317000</v>
      </c>
      <c r="M3166" s="6" t="n">
        <v>390000</v>
      </c>
      <c r="N3166" s="5" t="n"/>
      <c r="O3166" s="5">
        <f>IF(AND(ISNUMBER(N3166),ISNUMBER(M3166)),N3166-M3166,"")</f>
        <v/>
      </c>
      <c r="P3166" s="7">
        <f>IF(AND(ISNUMBER(N3166),ISNUMBER(M3166),M3166&gt;0),(N3166-M3166)/M3166,"")</f>
        <v/>
      </c>
      <c r="Q3166" s="3">
        <f>IF(P3166="","",IF(P3166&lt;-0.02,"🔴 Bán phá giá sàn",IF(P3166&gt;0.05,"🔵 Bán cao hơn","🟢 Đúng giá sàn TMĐT")))</f>
        <v/>
      </c>
      <c r="R3166" s="3" t="n"/>
      <c r="S3166" s="4" t="n"/>
      <c r="T3166" s="4" t="n"/>
    </row>
    <row r="3167">
      <c r="A3167" s="3" t="n">
        <v>3166</v>
      </c>
      <c r="B3167" s="3" t="inlineStr">
        <is>
          <t>DL029</t>
        </is>
      </c>
      <c r="C3167" s="4" t="inlineStr">
        <is>
          <t>Trung Linh</t>
        </is>
      </c>
      <c r="D3167" s="3" t="inlineStr">
        <is>
          <t>HN</t>
        </is>
      </c>
      <c r="E3167" s="3" t="inlineStr">
        <is>
          <t>ĐIỆP</t>
        </is>
      </c>
      <c r="F3167" s="3" t="inlineStr">
        <is>
          <t>Website bán hàng</t>
        </is>
      </c>
      <c r="G3167" s="4" t="inlineStr">
        <is>
          <t>SHOPEE: TIKTOK: LAZADA: WEBSITE BÁN HÀNG: https://trunglinh.com/</t>
        </is>
      </c>
      <c r="H3167" s="3" t="inlineStr">
        <is>
          <t>KB-05X</t>
        </is>
      </c>
      <c r="I3167" s="4" t="inlineStr">
        <is>
          <t>Chân máy laser KB-05X</t>
        </is>
      </c>
      <c r="J3167" s="3" t="inlineStr">
        <is>
          <t>Cái</t>
        </is>
      </c>
      <c r="K3167" s="5" t="n">
        <v>1350000</v>
      </c>
      <c r="L3167" s="5" t="n">
        <v>1510000</v>
      </c>
      <c r="M3167" s="6" t="n">
        <v>1760000</v>
      </c>
      <c r="N3167" s="5" t="n"/>
      <c r="O3167" s="5">
        <f>IF(AND(ISNUMBER(N3167),ISNUMBER(M3167)),N3167-M3167,"")</f>
        <v/>
      </c>
      <c r="P3167" s="7">
        <f>IF(AND(ISNUMBER(N3167),ISNUMBER(M3167),M3167&gt;0),(N3167-M3167)/M3167,"")</f>
        <v/>
      </c>
      <c r="Q3167" s="3">
        <f>IF(P3167="","",IF(P3167&lt;-0.02,"🔴 Bán phá giá sàn",IF(P3167&gt;0.05,"🔵 Bán cao hơn","🟢 Đúng giá sàn TMĐT")))</f>
        <v/>
      </c>
      <c r="R3167" s="3" t="n"/>
      <c r="S3167" s="4" t="n"/>
      <c r="T3167" s="4" t="n"/>
    </row>
    <row r="3168">
      <c r="A3168" s="3" t="n">
        <v>3167</v>
      </c>
      <c r="B3168" s="3" t="inlineStr">
        <is>
          <t>DL029</t>
        </is>
      </c>
      <c r="C3168" s="4" t="inlineStr">
        <is>
          <t>Trung Linh</t>
        </is>
      </c>
      <c r="D3168" s="3" t="inlineStr">
        <is>
          <t>HN</t>
        </is>
      </c>
      <c r="E3168" s="3" t="inlineStr">
        <is>
          <t>ĐIỆP</t>
        </is>
      </c>
      <c r="F3168" s="3" t="inlineStr">
        <is>
          <t>Website bán hàng</t>
        </is>
      </c>
      <c r="G3168" s="4" t="inlineStr">
        <is>
          <t>SHOPEE: TIKTOK: LAZADA: WEBSITE BÁN HÀNG: https://trunglinh.com/</t>
        </is>
      </c>
      <c r="H3168" s="3" t="inlineStr">
        <is>
          <t>KBA-I1800</t>
        </is>
      </c>
      <c r="I3168" s="4" t="inlineStr">
        <is>
          <t>Dây bố thép 10m - Phụ kiện máy rửa xe KBA-I1800</t>
        </is>
      </c>
      <c r="J3168" s="3" t="inlineStr">
        <is>
          <t>Cái</t>
        </is>
      </c>
      <c r="K3168" s="5" t="n">
        <v>269000</v>
      </c>
      <c r="L3168" s="5" t="n">
        <v>317000</v>
      </c>
      <c r="M3168" s="6" t="n">
        <v>390000</v>
      </c>
      <c r="N3168" s="5" t="n"/>
      <c r="O3168" s="5">
        <f>IF(AND(ISNUMBER(N3168),ISNUMBER(M3168)),N3168-M3168,"")</f>
        <v/>
      </c>
      <c r="P3168" s="7">
        <f>IF(AND(ISNUMBER(N3168),ISNUMBER(M3168),M3168&gt;0),(N3168-M3168)/M3168,"")</f>
        <v/>
      </c>
      <c r="Q3168" s="3">
        <f>IF(P3168="","",IF(P3168&lt;-0.02,"🔴 Bán phá giá sàn",IF(P3168&gt;0.05,"🔵 Bán cao hơn","🟢 Đúng giá sàn TMĐT")))</f>
        <v/>
      </c>
      <c r="R3168" s="3" t="n"/>
      <c r="S3168" s="4" t="n"/>
      <c r="T3168" s="4" t="n"/>
    </row>
    <row r="3169">
      <c r="A3169" s="3" t="n">
        <v>3168</v>
      </c>
      <c r="B3169" s="3" t="inlineStr">
        <is>
          <t>DL029</t>
        </is>
      </c>
      <c r="C3169" s="4" t="inlineStr">
        <is>
          <t>Trung Linh</t>
        </is>
      </c>
      <c r="D3169" s="3" t="inlineStr">
        <is>
          <t>HN</t>
        </is>
      </c>
      <c r="E3169" s="3" t="inlineStr">
        <is>
          <t>ĐIỆP</t>
        </is>
      </c>
      <c r="F3169" s="3" t="inlineStr">
        <is>
          <t>Website bán hàng</t>
        </is>
      </c>
      <c r="G3169" s="4" t="inlineStr">
        <is>
          <t>SHOPEE: TIKTOK: LAZADA: WEBSITE BÁN HÀNG: https://trunglinh.com/</t>
        </is>
      </c>
      <c r="H3169" s="3" t="inlineStr">
        <is>
          <t>KB-02X</t>
        </is>
      </c>
      <c r="I3169" s="4" t="inlineStr">
        <is>
          <t>Máy cân bằng KB-02X</t>
        </is>
      </c>
      <c r="J3169" s="3" t="inlineStr">
        <is>
          <t>Cái</t>
        </is>
      </c>
      <c r="K3169" s="5" t="n">
        <v>700000</v>
      </c>
      <c r="L3169" s="5" t="n">
        <v>780000</v>
      </c>
      <c r="M3169" s="6" t="n">
        <v>910000</v>
      </c>
      <c r="N3169" s="5" t="n"/>
      <c r="O3169" s="5">
        <f>IF(AND(ISNUMBER(N3169),ISNUMBER(M3169)),N3169-M3169,"")</f>
        <v/>
      </c>
      <c r="P3169" s="7">
        <f>IF(AND(ISNUMBER(N3169),ISNUMBER(M3169),M3169&gt;0),(N3169-M3169)/M3169,"")</f>
        <v/>
      </c>
      <c r="Q3169" s="3">
        <f>IF(P3169="","",IF(P3169&lt;-0.02,"🔴 Bán phá giá sàn",IF(P3169&gt;0.05,"🔵 Bán cao hơn","🟢 Đúng giá sàn TMĐT")))</f>
        <v/>
      </c>
      <c r="R3169" s="3" t="n"/>
      <c r="S3169" s="4" t="n"/>
      <c r="T3169" s="4" t="n"/>
    </row>
    <row r="3170">
      <c r="A3170" s="3" t="n">
        <v>3169</v>
      </c>
      <c r="B3170" s="3" t="inlineStr">
        <is>
          <t>DL029</t>
        </is>
      </c>
      <c r="C3170" s="4" t="inlineStr">
        <is>
          <t>Trung Linh</t>
        </is>
      </c>
      <c r="D3170" s="3" t="inlineStr">
        <is>
          <t>HN</t>
        </is>
      </c>
      <c r="E3170" s="3" t="inlineStr">
        <is>
          <t>ĐIỆP</t>
        </is>
      </c>
      <c r="F3170" s="3" t="inlineStr">
        <is>
          <t>Website bán hàng</t>
        </is>
      </c>
      <c r="G3170" s="4" t="inlineStr">
        <is>
          <t>SHOPEE: TIKTOK: LAZADA: WEBSITE BÁN HÀNG: https://trunglinh.com/</t>
        </is>
      </c>
      <c r="H3170" s="3" t="inlineStr">
        <is>
          <t>KB-02XS</t>
        </is>
      </c>
      <c r="I3170" s="4" t="inlineStr">
        <is>
          <t>Máy cân bằng KB-02XS</t>
        </is>
      </c>
      <c r="J3170" s="3" t="inlineStr">
        <is>
          <t>Cái</t>
        </is>
      </c>
      <c r="K3170" s="5" t="n">
        <v>269000</v>
      </c>
      <c r="L3170" s="5" t="n">
        <v>317000</v>
      </c>
      <c r="M3170" s="6" t="n">
        <v>390000</v>
      </c>
      <c r="N3170" s="5" t="n"/>
      <c r="O3170" s="5">
        <f>IF(AND(ISNUMBER(N3170),ISNUMBER(M3170)),N3170-M3170,"")</f>
        <v/>
      </c>
      <c r="P3170" s="7">
        <f>IF(AND(ISNUMBER(N3170),ISNUMBER(M3170),M3170&gt;0),(N3170-M3170)/M3170,"")</f>
        <v/>
      </c>
      <c r="Q3170" s="3">
        <f>IF(P3170="","",IF(P3170&lt;-0.02,"🔴 Bán phá giá sàn",IF(P3170&gt;0.05,"🔵 Bán cao hơn","🟢 Đúng giá sàn TMĐT")))</f>
        <v/>
      </c>
      <c r="R3170" s="3" t="n"/>
      <c r="S3170" s="4" t="n"/>
      <c r="T3170" s="4" t="n"/>
    </row>
    <row r="3171">
      <c r="A3171" s="3" t="n">
        <v>3170</v>
      </c>
      <c r="B3171" s="3" t="inlineStr">
        <is>
          <t>DL029</t>
        </is>
      </c>
      <c r="C3171" s="4" t="inlineStr">
        <is>
          <t>Trung Linh</t>
        </is>
      </c>
      <c r="D3171" s="3" t="inlineStr">
        <is>
          <t>HN</t>
        </is>
      </c>
      <c r="E3171" s="3" t="inlineStr">
        <is>
          <t>ĐIỆP</t>
        </is>
      </c>
      <c r="F3171" s="3" t="inlineStr">
        <is>
          <t>Website bán hàng</t>
        </is>
      </c>
      <c r="G3171" s="4" t="inlineStr">
        <is>
          <t>SHOPEE: TIKTOK: LAZADA: WEBSITE BÁN HÀNG: https://trunglinh.com/</t>
        </is>
      </c>
      <c r="H3171" s="3" t="inlineStr">
        <is>
          <t>KB-05XS</t>
        </is>
      </c>
      <c r="I3171" s="4" t="inlineStr">
        <is>
          <t>Máy cân bằng KB-05XS</t>
        </is>
      </c>
      <c r="J3171" s="3" t="inlineStr">
        <is>
          <t>Cái</t>
        </is>
      </c>
      <c r="K3171" s="5" t="n">
        <v>2090000</v>
      </c>
      <c r="L3171" s="5" t="n">
        <v>2340000</v>
      </c>
      <c r="M3171" s="6" t="n">
        <v>2720000</v>
      </c>
      <c r="N3171" s="5" t="n"/>
      <c r="O3171" s="5">
        <f>IF(AND(ISNUMBER(N3171),ISNUMBER(M3171)),N3171-M3171,"")</f>
        <v/>
      </c>
      <c r="P3171" s="7">
        <f>IF(AND(ISNUMBER(N3171),ISNUMBER(M3171),M3171&gt;0),(N3171-M3171)/M3171,"")</f>
        <v/>
      </c>
      <c r="Q3171" s="3">
        <f>IF(P3171="","",IF(P3171&lt;-0.02,"🔴 Bán phá giá sàn",IF(P3171&gt;0.05,"🔵 Bán cao hơn","🟢 Đúng giá sàn TMĐT")))</f>
        <v/>
      </c>
      <c r="R3171" s="3" t="n"/>
      <c r="S3171" s="4" t="n"/>
      <c r="T3171" s="4" t="n"/>
    </row>
    <row r="3172">
      <c r="A3172" s="3" t="n">
        <v>3171</v>
      </c>
      <c r="B3172" s="3" t="inlineStr">
        <is>
          <t>DL029</t>
        </is>
      </c>
      <c r="C3172" s="4" t="inlineStr">
        <is>
          <t>Trung Linh</t>
        </is>
      </c>
      <c r="D3172" s="3" t="inlineStr">
        <is>
          <t>HN</t>
        </is>
      </c>
      <c r="E3172" s="3" t="inlineStr">
        <is>
          <t>ĐIỆP</t>
        </is>
      </c>
      <c r="F3172" s="3" t="inlineStr">
        <is>
          <t>Website bán hàng</t>
        </is>
      </c>
      <c r="G3172" s="4" t="inlineStr">
        <is>
          <t>SHOPEE: TIKTOK: LAZADA: WEBSITE BÁN HÀNG: https://trunglinh.com/</t>
        </is>
      </c>
      <c r="H3172" s="3" t="inlineStr">
        <is>
          <t>KBA-U1200</t>
        </is>
      </c>
      <c r="I3172" s="4" t="inlineStr">
        <is>
          <t>Máy rửa xe KBA-U1200</t>
        </is>
      </c>
      <c r="J3172" s="3" t="inlineStr">
        <is>
          <t>Cái</t>
        </is>
      </c>
      <c r="K3172" s="5" t="n">
        <v>1100000</v>
      </c>
      <c r="L3172" s="5" t="n">
        <v>1230000</v>
      </c>
      <c r="M3172" s="6" t="n">
        <v>1430000</v>
      </c>
      <c r="N3172" s="5" t="n"/>
      <c r="O3172" s="5">
        <f>IF(AND(ISNUMBER(N3172),ISNUMBER(M3172)),N3172-M3172,"")</f>
        <v/>
      </c>
      <c r="P3172" s="7">
        <f>IF(AND(ISNUMBER(N3172),ISNUMBER(M3172),M3172&gt;0),(N3172-M3172)/M3172,"")</f>
        <v/>
      </c>
      <c r="Q3172" s="3">
        <f>IF(P3172="","",IF(P3172&lt;-0.02,"🔴 Bán phá giá sàn",IF(P3172&gt;0.05,"🔵 Bán cao hơn","🟢 Đúng giá sàn TMĐT")))</f>
        <v/>
      </c>
      <c r="R3172" s="3" t="n"/>
      <c r="S3172" s="4" t="n"/>
      <c r="T3172" s="4" t="n"/>
    </row>
    <row r="3173">
      <c r="A3173" s="3" t="n">
        <v>3172</v>
      </c>
      <c r="B3173" s="3" t="inlineStr">
        <is>
          <t>DL029</t>
        </is>
      </c>
      <c r="C3173" s="4" t="inlineStr">
        <is>
          <t>Trung Linh</t>
        </is>
      </c>
      <c r="D3173" s="3" t="inlineStr">
        <is>
          <t>HN</t>
        </is>
      </c>
      <c r="E3173" s="3" t="inlineStr">
        <is>
          <t>ĐIỆP</t>
        </is>
      </c>
      <c r="F3173" s="3" t="inlineStr">
        <is>
          <t>Website bán hàng</t>
        </is>
      </c>
      <c r="G3173" s="4" t="inlineStr">
        <is>
          <t>SHOPEE: TIKTOK: LAZADA: WEBSITE BÁN HÀNG: https://trunglinh.com/</t>
        </is>
      </c>
      <c r="H3173" s="3" t="inlineStr">
        <is>
          <t>KBC-I1800</t>
        </is>
      </c>
      <c r="I3173" s="4" t="inlineStr">
        <is>
          <t>Máy rửa xe KBC-I1800</t>
        </is>
      </c>
      <c r="J3173" s="3" t="inlineStr">
        <is>
          <t>Cái</t>
        </is>
      </c>
      <c r="K3173" s="5" t="n">
        <v>3120000</v>
      </c>
      <c r="L3173" s="5" t="n">
        <v>3490000</v>
      </c>
      <c r="M3173" s="6" t="n">
        <v>4060000</v>
      </c>
      <c r="N3173" s="5" t="n"/>
      <c r="O3173" s="5">
        <f>IF(AND(ISNUMBER(N3173),ISNUMBER(M3173)),N3173-M3173,"")</f>
        <v/>
      </c>
      <c r="P3173" s="7">
        <f>IF(AND(ISNUMBER(N3173),ISNUMBER(M3173),M3173&gt;0),(N3173-M3173)/M3173,"")</f>
        <v/>
      </c>
      <c r="Q3173" s="3">
        <f>IF(P3173="","",IF(P3173&lt;-0.02,"🔴 Bán phá giá sàn",IF(P3173&gt;0.05,"🔵 Bán cao hơn","🟢 Đúng giá sàn TMĐT")))</f>
        <v/>
      </c>
      <c r="R3173" s="3" t="n"/>
      <c r="S3173" s="4" t="n"/>
      <c r="T3173" s="4" t="n"/>
    </row>
    <row r="3174">
      <c r="A3174" s="3" t="n">
        <v>3173</v>
      </c>
      <c r="B3174" s="3" t="inlineStr">
        <is>
          <t>DL029</t>
        </is>
      </c>
      <c r="C3174" s="4" t="inlineStr">
        <is>
          <t>Trung Linh</t>
        </is>
      </c>
      <c r="D3174" s="3" t="inlineStr">
        <is>
          <t>HN</t>
        </is>
      </c>
      <c r="E3174" s="3" t="inlineStr">
        <is>
          <t>ĐIỆP</t>
        </is>
      </c>
      <c r="F3174" s="3" t="inlineStr">
        <is>
          <t>Website bán hàng</t>
        </is>
      </c>
      <c r="G3174" s="4" t="inlineStr">
        <is>
          <t>SHOPEE: TIKTOK: LAZADA: WEBSITE BÁN HÀNG: https://trunglinh.com/</t>
        </is>
      </c>
      <c r="H3174" s="3" t="inlineStr">
        <is>
          <t>KFF-73</t>
        </is>
      </c>
      <c r="I3174" s="4" t="inlineStr">
        <is>
          <t>Súng bắn đinh bê tông KFF-73</t>
        </is>
      </c>
      <c r="J3174" s="3" t="inlineStr">
        <is>
          <t>Cái</t>
        </is>
      </c>
      <c r="K3174" s="5" t="n">
        <v>660000</v>
      </c>
      <c r="L3174" s="5" t="n">
        <v>739000</v>
      </c>
      <c r="M3174" s="6" t="n">
        <v>858000</v>
      </c>
      <c r="N3174" s="5" t="n"/>
      <c r="O3174" s="5">
        <f>IF(AND(ISNUMBER(N3174),ISNUMBER(M3174)),N3174-M3174,"")</f>
        <v/>
      </c>
      <c r="P3174" s="7">
        <f>IF(AND(ISNUMBER(N3174),ISNUMBER(M3174),M3174&gt;0),(N3174-M3174)/M3174,"")</f>
        <v/>
      </c>
      <c r="Q3174" s="3">
        <f>IF(P3174="","",IF(P3174&lt;-0.02,"🔴 Bán phá giá sàn",IF(P3174&gt;0.05,"🔵 Bán cao hơn","🟢 Đúng giá sàn TMĐT")))</f>
        <v/>
      </c>
      <c r="R3174" s="3" t="n"/>
      <c r="S3174" s="4" t="n"/>
      <c r="T3174" s="4" t="n"/>
    </row>
    <row r="3175">
      <c r="A3175" s="3" t="n">
        <v>3174</v>
      </c>
      <c r="B3175" s="3" t="inlineStr">
        <is>
          <t>DL029</t>
        </is>
      </c>
      <c r="C3175" s="4" t="inlineStr">
        <is>
          <t>Trung Linh</t>
        </is>
      </c>
      <c r="D3175" s="3" t="inlineStr">
        <is>
          <t>HN</t>
        </is>
      </c>
      <c r="E3175" s="3" t="inlineStr">
        <is>
          <t>ĐIỆP</t>
        </is>
      </c>
      <c r="F3175" s="3" t="inlineStr">
        <is>
          <t>Website bán hàng</t>
        </is>
      </c>
      <c r="G3175" s="4" t="inlineStr">
        <is>
          <t>SHOPEE: TIKTOK: LAZADA: WEBSITE BÁN HÀNG: https://trunglinh.com/</t>
        </is>
      </c>
      <c r="H3175" s="3" t="inlineStr">
        <is>
          <t>KNZ-100X</t>
        </is>
      </c>
      <c r="I3175" s="4" t="inlineStr">
        <is>
          <t>Thước đo khoảng cách laser KNZ-100X</t>
        </is>
      </c>
      <c r="J3175" s="3" t="inlineStr">
        <is>
          <t>Cái</t>
        </is>
      </c>
      <c r="K3175" s="5" t="n">
        <v>730000</v>
      </c>
      <c r="L3175" s="5" t="n">
        <v>810000</v>
      </c>
      <c r="M3175" s="6" t="n">
        <v>940000</v>
      </c>
      <c r="N3175" s="5" t="n"/>
      <c r="O3175" s="5">
        <f>IF(AND(ISNUMBER(N3175),ISNUMBER(M3175)),N3175-M3175,"")</f>
        <v/>
      </c>
      <c r="P3175" s="7">
        <f>IF(AND(ISNUMBER(N3175),ISNUMBER(M3175),M3175&gt;0),(N3175-M3175)/M3175,"")</f>
        <v/>
      </c>
      <c r="Q3175" s="3">
        <f>IF(P3175="","",IF(P3175&lt;-0.02,"🔴 Bán phá giá sàn",IF(P3175&gt;0.05,"🔵 Bán cao hơn","🟢 Đúng giá sàn TMĐT")))</f>
        <v/>
      </c>
      <c r="R3175" s="3" t="n"/>
      <c r="S3175" s="4" t="n"/>
      <c r="T3175" s="4" t="n"/>
    </row>
    <row r="3176">
      <c r="A3176" s="3" t="n">
        <v>3175</v>
      </c>
      <c r="B3176" s="3" t="inlineStr">
        <is>
          <t>DL029</t>
        </is>
      </c>
      <c r="C3176" s="4" t="inlineStr">
        <is>
          <t>Trung Linh</t>
        </is>
      </c>
      <c r="D3176" s="3" t="inlineStr">
        <is>
          <t>HN</t>
        </is>
      </c>
      <c r="E3176" s="3" t="inlineStr">
        <is>
          <t>ĐIỆP</t>
        </is>
      </c>
      <c r="F3176" s="3" t="inlineStr">
        <is>
          <t>Website bán hàng</t>
        </is>
      </c>
      <c r="G3176" s="4" t="inlineStr">
        <is>
          <t>SHOPEE: TIKTOK: LAZADA: WEBSITE BÁN HÀNG: https://trunglinh.com/</t>
        </is>
      </c>
      <c r="H3176" s="3" t="inlineStr">
        <is>
          <t>KNZ-80R</t>
        </is>
      </c>
      <c r="I3176" s="4" t="inlineStr">
        <is>
          <t>Thước đo khoảng cách laser KNZ-80R</t>
        </is>
      </c>
      <c r="J3176" s="3" t="inlineStr">
        <is>
          <t>Cái</t>
        </is>
      </c>
      <c r="K3176" s="5" t="n">
        <v>269000</v>
      </c>
      <c r="L3176" s="5" t="n">
        <v>317000</v>
      </c>
      <c r="M3176" s="6" t="n">
        <v>390000</v>
      </c>
      <c r="N3176" s="5" t="n"/>
      <c r="O3176" s="5">
        <f>IF(AND(ISNUMBER(N3176),ISNUMBER(M3176)),N3176-M3176,"")</f>
        <v/>
      </c>
      <c r="P3176" s="7">
        <f>IF(AND(ISNUMBER(N3176),ISNUMBER(M3176),M3176&gt;0),(N3176-M3176)/M3176,"")</f>
        <v/>
      </c>
      <c r="Q3176" s="3">
        <f>IF(P3176="","",IF(P3176&lt;-0.02,"🔴 Bán phá giá sàn",IF(P3176&gt;0.05,"🔵 Bán cao hơn","🟢 Đúng giá sàn TMĐT")))</f>
        <v/>
      </c>
      <c r="R3176" s="3" t="n"/>
      <c r="S3176" s="4" t="n"/>
      <c r="T3176" s="4" t="n"/>
    </row>
    <row r="3177">
      <c r="A3177" s="3" t="n">
        <v>3176</v>
      </c>
      <c r="B3177" s="3" t="inlineStr">
        <is>
          <t>DL030</t>
        </is>
      </c>
      <c r="C3177" s="4" t="inlineStr">
        <is>
          <t>Siêu thị Hưng Thịnh</t>
        </is>
      </c>
      <c r="D3177" s="3" t="inlineStr">
        <is>
          <t>HN</t>
        </is>
      </c>
      <c r="E3177" s="3" t="inlineStr">
        <is>
          <t>Lan</t>
        </is>
      </c>
      <c r="F3177" s="3" t="inlineStr">
        <is>
          <t>Website bán hàng</t>
        </is>
      </c>
      <c r="G3177" s="4" t="inlineStr">
        <is>
          <t>SHOPEE: TIKTOK: LAZADA: WEBSITE BÁN HÀNG: https://sieuthikimkhihungthinh.vn/admin-at5</t>
        </is>
      </c>
      <c r="H3177" s="3" t="inlineStr">
        <is>
          <t>KL018</t>
        </is>
      </c>
      <c r="I3177" s="4" t="inlineStr">
        <is>
          <t>Bộ lục giác KL018</t>
        </is>
      </c>
      <c r="J3177" s="3" t="inlineStr">
        <is>
          <t>Cái</t>
        </is>
      </c>
      <c r="K3177" s="5" t="n">
        <v>269000</v>
      </c>
      <c r="L3177" s="5" t="n">
        <v>317000</v>
      </c>
      <c r="M3177" s="6" t="n">
        <v>390000</v>
      </c>
      <c r="N3177" s="5" t="n"/>
      <c r="O3177" s="5">
        <f>IF(AND(ISNUMBER(N3177),ISNUMBER(M3177)),N3177-M3177,"")</f>
        <v/>
      </c>
      <c r="P3177" s="7">
        <f>IF(AND(ISNUMBER(N3177),ISNUMBER(M3177),M3177&gt;0),(N3177-M3177)/M3177,"")</f>
        <v/>
      </c>
      <c r="Q3177" s="3">
        <f>IF(P3177="","",IF(P3177&lt;-0.02,"🔴 Bán phá giá sàn",IF(P3177&gt;0.05,"🔵 Bán cao hơn","🟢 Đúng giá sàn TMĐT")))</f>
        <v/>
      </c>
      <c r="R3177" s="3" t="n"/>
      <c r="S3177" s="4" t="n"/>
      <c r="T3177" s="4" t="n"/>
    </row>
    <row r="3178">
      <c r="A3178" s="3" t="n">
        <v>3177</v>
      </c>
      <c r="B3178" s="3" t="inlineStr">
        <is>
          <t>DL030</t>
        </is>
      </c>
      <c r="C3178" s="4" t="inlineStr">
        <is>
          <t>Siêu thị Hưng Thịnh</t>
        </is>
      </c>
      <c r="D3178" s="3" t="inlineStr">
        <is>
          <t>HN</t>
        </is>
      </c>
      <c r="E3178" s="3" t="inlineStr">
        <is>
          <t>Lan</t>
        </is>
      </c>
      <c r="F3178" s="3" t="inlineStr">
        <is>
          <t>Website bán hàng</t>
        </is>
      </c>
      <c r="G3178" s="4" t="inlineStr">
        <is>
          <t>SHOPEE: TIKTOK: LAZADA: WEBSITE BÁN HÀNG: https://sieuthikimkhihungthinh.vn/admin-at5</t>
        </is>
      </c>
      <c r="H3178" s="3" t="inlineStr">
        <is>
          <t>KL5-09</t>
        </is>
      </c>
      <c r="I3178" s="4" t="inlineStr">
        <is>
          <t>Bộ lục giác KL5-09 ( đầu bi)</t>
        </is>
      </c>
      <c r="J3178" s="3" t="inlineStr">
        <is>
          <t>Cái</t>
        </is>
      </c>
      <c r="K3178" s="5" t="n">
        <v>269000</v>
      </c>
      <c r="L3178" s="5" t="n">
        <v>317000</v>
      </c>
      <c r="M3178" s="6" t="n">
        <v>390000</v>
      </c>
      <c r="N3178" s="5" t="n"/>
      <c r="O3178" s="5">
        <f>IF(AND(ISNUMBER(N3178),ISNUMBER(M3178)),N3178-M3178,"")</f>
        <v/>
      </c>
      <c r="P3178" s="7">
        <f>IF(AND(ISNUMBER(N3178),ISNUMBER(M3178),M3178&gt;0),(N3178-M3178)/M3178,"")</f>
        <v/>
      </c>
      <c r="Q3178" s="3">
        <f>IF(P3178="","",IF(P3178&lt;-0.02,"🔴 Bán phá giá sàn",IF(P3178&gt;0.05,"🔵 Bán cao hơn","🟢 Đúng giá sàn TMĐT")))</f>
        <v/>
      </c>
      <c r="R3178" s="3" t="n"/>
      <c r="S3178" s="4" t="n"/>
      <c r="T3178" s="4" t="n"/>
    </row>
    <row r="3179">
      <c r="A3179" s="3" t="n">
        <v>3178</v>
      </c>
      <c r="B3179" s="3" t="inlineStr">
        <is>
          <t>DL030</t>
        </is>
      </c>
      <c r="C3179" s="4" t="inlineStr">
        <is>
          <t>Siêu thị Hưng Thịnh</t>
        </is>
      </c>
      <c r="D3179" s="3" t="inlineStr">
        <is>
          <t>HN</t>
        </is>
      </c>
      <c r="E3179" s="3" t="inlineStr">
        <is>
          <t>Lan</t>
        </is>
      </c>
      <c r="F3179" s="3" t="inlineStr">
        <is>
          <t>Website bán hàng</t>
        </is>
      </c>
      <c r="G3179" s="4" t="inlineStr">
        <is>
          <t>SHOPEE: TIKTOK: LAZADA: WEBSITE BÁN HÀNG: https://sieuthikimkhihungthinh.vn/admin-at5</t>
        </is>
      </c>
      <c r="H3179" s="3" t="inlineStr">
        <is>
          <t>KIC140</t>
        </is>
      </c>
      <c r="I3179" s="4" t="inlineStr">
        <is>
          <t>Bút thử điện KIC140</t>
        </is>
      </c>
      <c r="J3179" s="3" t="inlineStr">
        <is>
          <t>Cái</t>
        </is>
      </c>
      <c r="K3179" s="5" t="n">
        <v>14000</v>
      </c>
      <c r="L3179" s="5" t="n">
        <v>16000</v>
      </c>
      <c r="M3179" s="6" t="n">
        <v>20000</v>
      </c>
      <c r="N3179" s="5" t="n"/>
      <c r="O3179" s="5">
        <f>IF(AND(ISNUMBER(N3179),ISNUMBER(M3179)),N3179-M3179,"")</f>
        <v/>
      </c>
      <c r="P3179" s="7">
        <f>IF(AND(ISNUMBER(N3179),ISNUMBER(M3179),M3179&gt;0),(N3179-M3179)/M3179,"")</f>
        <v/>
      </c>
      <c r="Q3179" s="3">
        <f>IF(P3179="","",IF(P3179&lt;-0.02,"🔴 Bán phá giá sàn",IF(P3179&gt;0.05,"🔵 Bán cao hơn","🟢 Đúng giá sàn TMĐT")))</f>
        <v/>
      </c>
      <c r="R3179" s="3" t="n"/>
      <c r="S3179" s="4" t="n"/>
      <c r="T3179" s="4" t="n"/>
    </row>
    <row r="3180">
      <c r="A3180" s="3" t="n">
        <v>3179</v>
      </c>
      <c r="B3180" s="3" t="inlineStr">
        <is>
          <t>DL030</t>
        </is>
      </c>
      <c r="C3180" s="4" t="inlineStr">
        <is>
          <t>Siêu thị Hưng Thịnh</t>
        </is>
      </c>
      <c r="D3180" s="3" t="inlineStr">
        <is>
          <t>HN</t>
        </is>
      </c>
      <c r="E3180" s="3" t="inlineStr">
        <is>
          <t>Lan</t>
        </is>
      </c>
      <c r="F3180" s="3" t="inlineStr">
        <is>
          <t>Website bán hàng</t>
        </is>
      </c>
      <c r="G3180" s="4" t="inlineStr">
        <is>
          <t>SHOPEE: TIKTOK: LAZADA: WEBSITE BÁN HÀNG: https://sieuthikimkhihungthinh.vn/admin-at5</t>
        </is>
      </c>
      <c r="H3180" s="3" t="inlineStr">
        <is>
          <t>M1-110x5L</t>
        </is>
      </c>
      <c r="I3180" s="4" t="inlineStr">
        <is>
          <t>Chén mài Kingblue M1-110x5L (Vàng)</t>
        </is>
      </c>
      <c r="J3180" s="3" t="inlineStr">
        <is>
          <t>Cái</t>
        </is>
      </c>
      <c r="K3180" s="5" t="n">
        <v>77000</v>
      </c>
      <c r="L3180" s="5" t="n">
        <v>91000</v>
      </c>
      <c r="M3180" s="6" t="n">
        <v>112000</v>
      </c>
      <c r="N3180" s="5" t="n"/>
      <c r="O3180" s="5">
        <f>IF(AND(ISNUMBER(N3180),ISNUMBER(M3180)),N3180-M3180,"")</f>
        <v/>
      </c>
      <c r="P3180" s="7">
        <f>IF(AND(ISNUMBER(N3180),ISNUMBER(M3180),M3180&gt;0),(N3180-M3180)/M3180,"")</f>
        <v/>
      </c>
      <c r="Q3180" s="3">
        <f>IF(P3180="","",IF(P3180&lt;-0.02,"🔴 Bán phá giá sàn",IF(P3180&gt;0.05,"🔵 Bán cao hơn","🟢 Đúng giá sàn TMĐT")))</f>
        <v/>
      </c>
      <c r="R3180" s="3" t="n"/>
      <c r="S3180" s="4" t="n"/>
      <c r="T3180" s="4" t="n"/>
    </row>
    <row r="3181">
      <c r="A3181" s="3" t="n">
        <v>3180</v>
      </c>
      <c r="B3181" s="3" t="inlineStr">
        <is>
          <t>DL030</t>
        </is>
      </c>
      <c r="C3181" s="4" t="inlineStr">
        <is>
          <t>Siêu thị Hưng Thịnh</t>
        </is>
      </c>
      <c r="D3181" s="3" t="inlineStr">
        <is>
          <t>HN</t>
        </is>
      </c>
      <c r="E3181" s="3" t="inlineStr">
        <is>
          <t>Lan</t>
        </is>
      </c>
      <c r="F3181" s="3" t="inlineStr">
        <is>
          <t>Website bán hàng</t>
        </is>
      </c>
      <c r="G3181" s="4" t="inlineStr">
        <is>
          <t>SHOPEE: TIKTOK: LAZADA: WEBSITE BÁN HÀNG: https://sieuthikimkhihungthinh.vn/admin-at5</t>
        </is>
      </c>
      <c r="H3181" s="3" t="inlineStr">
        <is>
          <t>ES180i</t>
        </is>
      </c>
      <c r="I3181" s="4" t="inlineStr">
        <is>
          <t>Cưa gấp KingBlue ES180i</t>
        </is>
      </c>
      <c r="J3181" s="3" t="inlineStr">
        <is>
          <t>Cái</t>
        </is>
      </c>
      <c r="K3181" s="5" t="n">
        <v>139000</v>
      </c>
      <c r="L3181" s="5" t="n">
        <v>164000</v>
      </c>
      <c r="M3181" s="6" t="n">
        <v>202000</v>
      </c>
      <c r="N3181" s="5" t="n"/>
      <c r="O3181" s="5">
        <f>IF(AND(ISNUMBER(N3181),ISNUMBER(M3181)),N3181-M3181,"")</f>
        <v/>
      </c>
      <c r="P3181" s="7">
        <f>IF(AND(ISNUMBER(N3181),ISNUMBER(M3181),M3181&gt;0),(N3181-M3181)/M3181,"")</f>
        <v/>
      </c>
      <c r="Q3181" s="3">
        <f>IF(P3181="","",IF(P3181&lt;-0.02,"🔴 Bán phá giá sàn",IF(P3181&gt;0.05,"🔵 Bán cao hơn","🟢 Đúng giá sàn TMĐT")))</f>
        <v/>
      </c>
      <c r="R3181" s="3" t="n"/>
      <c r="S3181" s="4" t="n"/>
      <c r="T3181" s="4" t="n"/>
    </row>
    <row r="3182">
      <c r="A3182" s="3" t="n">
        <v>3181</v>
      </c>
      <c r="B3182" s="3" t="inlineStr">
        <is>
          <t>DL030</t>
        </is>
      </c>
      <c r="C3182" s="4" t="inlineStr">
        <is>
          <t>Siêu thị Hưng Thịnh</t>
        </is>
      </c>
      <c r="D3182" s="3" t="inlineStr">
        <is>
          <t>HN</t>
        </is>
      </c>
      <c r="E3182" s="3" t="inlineStr">
        <is>
          <t>Lan</t>
        </is>
      </c>
      <c r="F3182" s="3" t="inlineStr">
        <is>
          <t>Website bán hàng</t>
        </is>
      </c>
      <c r="G3182" s="4" t="inlineStr">
        <is>
          <t>SHOPEE: TIKTOK: LAZADA: WEBSITE BÁN HÀNG: https://sieuthikimkhihungthinh.vn/admin-at5</t>
        </is>
      </c>
      <c r="H3182" s="3" t="inlineStr">
        <is>
          <t>KB-E350</t>
        </is>
      </c>
      <c r="I3182" s="4" t="inlineStr">
        <is>
          <t>Cưa KingBlue KB-E350</t>
        </is>
      </c>
      <c r="J3182" s="3" t="inlineStr">
        <is>
          <t>Cái</t>
        </is>
      </c>
      <c r="K3182" s="5" t="n">
        <v>242000</v>
      </c>
      <c r="L3182" s="5" t="n">
        <v>286000</v>
      </c>
      <c r="M3182" s="6" t="n">
        <v>351000</v>
      </c>
      <c r="N3182" s="5" t="n"/>
      <c r="O3182" s="5">
        <f>IF(AND(ISNUMBER(N3182),ISNUMBER(M3182)),N3182-M3182,"")</f>
        <v/>
      </c>
      <c r="P3182" s="7">
        <f>IF(AND(ISNUMBER(N3182),ISNUMBER(M3182),M3182&gt;0),(N3182-M3182)/M3182,"")</f>
        <v/>
      </c>
      <c r="Q3182" s="3">
        <f>IF(P3182="","",IF(P3182&lt;-0.02,"🔴 Bán phá giá sàn",IF(P3182&gt;0.05,"🔵 Bán cao hơn","🟢 Đúng giá sàn TMĐT")))</f>
        <v/>
      </c>
      <c r="R3182" s="3" t="n"/>
      <c r="S3182" s="4" t="n"/>
      <c r="T3182" s="4" t="n"/>
    </row>
    <row r="3183">
      <c r="A3183" s="3" t="n">
        <v>3182</v>
      </c>
      <c r="B3183" s="3" t="inlineStr">
        <is>
          <t>DL030</t>
        </is>
      </c>
      <c r="C3183" s="4" t="inlineStr">
        <is>
          <t>Siêu thị Hưng Thịnh</t>
        </is>
      </c>
      <c r="D3183" s="3" t="inlineStr">
        <is>
          <t>HN</t>
        </is>
      </c>
      <c r="E3183" s="3" t="inlineStr">
        <is>
          <t>Lan</t>
        </is>
      </c>
      <c r="F3183" s="3" t="inlineStr">
        <is>
          <t>Website bán hàng</t>
        </is>
      </c>
      <c r="G3183" s="4" t="inlineStr">
        <is>
          <t>SHOPEE: TIKTOK: LAZADA: WEBSITE BÁN HÀNG: https://sieuthikimkhihungthinh.vn/admin-at5</t>
        </is>
      </c>
      <c r="H3183" s="3" t="inlineStr">
        <is>
          <t>KB-S330</t>
        </is>
      </c>
      <c r="I3183" s="4" t="inlineStr">
        <is>
          <t>Cưa KingBlue KB-S330</t>
        </is>
      </c>
      <c r="J3183" s="3" t="inlineStr">
        <is>
          <t>Cái</t>
        </is>
      </c>
      <c r="K3183" s="5" t="n">
        <v>263000</v>
      </c>
      <c r="L3183" s="5" t="n">
        <v>310000</v>
      </c>
      <c r="M3183" s="6" t="n">
        <v>381000</v>
      </c>
      <c r="N3183" s="5" t="n"/>
      <c r="O3183" s="5">
        <f>IF(AND(ISNUMBER(N3183),ISNUMBER(M3183)),N3183-M3183,"")</f>
        <v/>
      </c>
      <c r="P3183" s="7">
        <f>IF(AND(ISNUMBER(N3183),ISNUMBER(M3183),M3183&gt;0),(N3183-M3183)/M3183,"")</f>
        <v/>
      </c>
      <c r="Q3183" s="3">
        <f>IF(P3183="","",IF(P3183&lt;-0.02,"🔴 Bán phá giá sàn",IF(P3183&gt;0.05,"🔵 Bán cao hơn","🟢 Đúng giá sàn TMĐT")))</f>
        <v/>
      </c>
      <c r="R3183" s="3" t="n"/>
      <c r="S3183" s="4" t="n"/>
      <c r="T3183" s="4" t="n"/>
    </row>
    <row r="3184">
      <c r="A3184" s="3" t="n">
        <v>3183</v>
      </c>
      <c r="B3184" s="3" t="inlineStr">
        <is>
          <t>DL030</t>
        </is>
      </c>
      <c r="C3184" s="4" t="inlineStr">
        <is>
          <t>Siêu thị Hưng Thịnh</t>
        </is>
      </c>
      <c r="D3184" s="3" t="inlineStr">
        <is>
          <t>HN</t>
        </is>
      </c>
      <c r="E3184" s="3" t="inlineStr">
        <is>
          <t>Lan</t>
        </is>
      </c>
      <c r="F3184" s="3" t="inlineStr">
        <is>
          <t>Website bán hàng</t>
        </is>
      </c>
      <c r="G3184" s="4" t="inlineStr">
        <is>
          <t>SHOPEE: TIKTOK: LAZADA: WEBSITE BÁN HÀNG: https://sieuthikimkhihungthinh.vn/admin-at5</t>
        </is>
      </c>
      <c r="H3184" s="3" t="inlineStr">
        <is>
          <t>CM07</t>
        </is>
      </c>
      <c r="I3184" s="4" t="inlineStr">
        <is>
          <t>Đầu chụp bulon KingBlue CM07</t>
        </is>
      </c>
      <c r="J3184" s="3" t="inlineStr">
        <is>
          <t>Hộp</t>
        </is>
      </c>
      <c r="K3184" s="5" t="n">
        <v>143000</v>
      </c>
      <c r="L3184" s="5" t="n">
        <v>180000</v>
      </c>
      <c r="M3184" s="6" t="n">
        <v>236000</v>
      </c>
      <c r="N3184" s="5" t="n"/>
      <c r="O3184" s="5">
        <f>IF(AND(ISNUMBER(N3184),ISNUMBER(M3184)),N3184-M3184,"")</f>
        <v/>
      </c>
      <c r="P3184" s="7">
        <f>IF(AND(ISNUMBER(N3184),ISNUMBER(M3184),M3184&gt;0),(N3184-M3184)/M3184,"")</f>
        <v/>
      </c>
      <c r="Q3184" s="3">
        <f>IF(P3184="","",IF(P3184&lt;-0.02,"🔴 Bán phá giá sàn",IF(P3184&gt;0.05,"🔵 Bán cao hơn","🟢 Đúng giá sàn TMĐT")))</f>
        <v/>
      </c>
      <c r="R3184" s="3" t="n"/>
      <c r="S3184" s="4" t="n"/>
      <c r="T3184" s="4" t="n"/>
    </row>
    <row r="3185">
      <c r="A3185" s="3" t="n">
        <v>3184</v>
      </c>
      <c r="B3185" s="3" t="inlineStr">
        <is>
          <t>DL030</t>
        </is>
      </c>
      <c r="C3185" s="4" t="inlineStr">
        <is>
          <t>Siêu thị Hưng Thịnh</t>
        </is>
      </c>
      <c r="D3185" s="3" t="inlineStr">
        <is>
          <t>HN</t>
        </is>
      </c>
      <c r="E3185" s="3" t="inlineStr">
        <is>
          <t>Lan</t>
        </is>
      </c>
      <c r="F3185" s="3" t="inlineStr">
        <is>
          <t>Website bán hàng</t>
        </is>
      </c>
      <c r="G3185" s="4" t="inlineStr">
        <is>
          <t>SHOPEE: TIKTOK: LAZADA: WEBSITE BÁN HÀNG: https://sieuthikimkhihungthinh.vn/admin-at5</t>
        </is>
      </c>
      <c r="H3185" s="3" t="inlineStr">
        <is>
          <t>CM08</t>
        </is>
      </c>
      <c r="I3185" s="4" t="inlineStr">
        <is>
          <t>Đầu chụp bulon KingBlue CM08</t>
        </is>
      </c>
      <c r="J3185" s="3" t="inlineStr">
        <is>
          <t>Hộp</t>
        </is>
      </c>
      <c r="K3185" s="5" t="n">
        <v>154000</v>
      </c>
      <c r="L3185" s="5" t="n">
        <v>194000</v>
      </c>
      <c r="M3185" s="6" t="n">
        <v>254000</v>
      </c>
      <c r="N3185" s="5" t="n"/>
      <c r="O3185" s="5">
        <f>IF(AND(ISNUMBER(N3185),ISNUMBER(M3185)),N3185-M3185,"")</f>
        <v/>
      </c>
      <c r="P3185" s="7">
        <f>IF(AND(ISNUMBER(N3185),ISNUMBER(M3185),M3185&gt;0),(N3185-M3185)/M3185,"")</f>
        <v/>
      </c>
      <c r="Q3185" s="3">
        <f>IF(P3185="","",IF(P3185&lt;-0.02,"🔴 Bán phá giá sàn",IF(P3185&gt;0.05,"🔵 Bán cao hơn","🟢 Đúng giá sàn TMĐT")))</f>
        <v/>
      </c>
      <c r="R3185" s="3" t="n"/>
      <c r="S3185" s="4" t="n"/>
      <c r="T3185" s="4" t="n"/>
    </row>
    <row r="3186">
      <c r="A3186" s="3" t="n">
        <v>3185</v>
      </c>
      <c r="B3186" s="3" t="inlineStr">
        <is>
          <t>DL030</t>
        </is>
      </c>
      <c r="C3186" s="4" t="inlineStr">
        <is>
          <t>Siêu thị Hưng Thịnh</t>
        </is>
      </c>
      <c r="D3186" s="3" t="inlineStr">
        <is>
          <t>HN</t>
        </is>
      </c>
      <c r="E3186" s="3" t="inlineStr">
        <is>
          <t>Lan</t>
        </is>
      </c>
      <c r="F3186" s="3" t="inlineStr">
        <is>
          <t>Website bán hàng</t>
        </is>
      </c>
      <c r="G3186" s="4" t="inlineStr">
        <is>
          <t>SHOPEE: TIKTOK: LAZADA: WEBSITE BÁN HÀNG: https://sieuthikimkhihungthinh.vn/admin-at5</t>
        </is>
      </c>
      <c r="H3186" s="3" t="inlineStr">
        <is>
          <t>CM10</t>
        </is>
      </c>
      <c r="I3186" s="4" t="inlineStr">
        <is>
          <t>Đầu chụp bulon KingBlue CM10</t>
        </is>
      </c>
      <c r="J3186" s="3" t="inlineStr">
        <is>
          <t>Hộp</t>
        </is>
      </c>
      <c r="K3186" s="5" t="n">
        <v>176000</v>
      </c>
      <c r="L3186" s="5" t="n">
        <v>222000</v>
      </c>
      <c r="M3186" s="6" t="n">
        <v>290000</v>
      </c>
      <c r="N3186" s="5" t="n"/>
      <c r="O3186" s="5">
        <f>IF(AND(ISNUMBER(N3186),ISNUMBER(M3186)),N3186-M3186,"")</f>
        <v/>
      </c>
      <c r="P3186" s="7">
        <f>IF(AND(ISNUMBER(N3186),ISNUMBER(M3186),M3186&gt;0),(N3186-M3186)/M3186,"")</f>
        <v/>
      </c>
      <c r="Q3186" s="3">
        <f>IF(P3186="","",IF(P3186&lt;-0.02,"🔴 Bán phá giá sàn",IF(P3186&gt;0.05,"🔵 Bán cao hơn","🟢 Đúng giá sàn TMĐT")))</f>
        <v/>
      </c>
      <c r="R3186" s="3" t="n"/>
      <c r="S3186" s="4" t="n"/>
      <c r="T3186" s="4" t="n"/>
    </row>
    <row r="3187">
      <c r="A3187" s="3" t="n">
        <v>3186</v>
      </c>
      <c r="B3187" s="3" t="inlineStr">
        <is>
          <t>DL030</t>
        </is>
      </c>
      <c r="C3187" s="4" t="inlineStr">
        <is>
          <t>Siêu thị Hưng Thịnh</t>
        </is>
      </c>
      <c r="D3187" s="3" t="inlineStr">
        <is>
          <t>HN</t>
        </is>
      </c>
      <c r="E3187" s="3" t="inlineStr">
        <is>
          <t>Lan</t>
        </is>
      </c>
      <c r="F3187" s="3" t="inlineStr">
        <is>
          <t>Website bán hàng</t>
        </is>
      </c>
      <c r="G3187" s="4" t="inlineStr">
        <is>
          <t>SHOPEE: TIKTOK: LAZADA: WEBSITE BÁN HÀNG: https://sieuthikimkhihungthinh.vn/admin-at5</t>
        </is>
      </c>
      <c r="H3187" s="3" t="inlineStr">
        <is>
          <t>CM12</t>
        </is>
      </c>
      <c r="I3187" s="4" t="inlineStr">
        <is>
          <t>Đầu chụp bulon KingBlue CM12</t>
        </is>
      </c>
      <c r="J3187" s="3" t="inlineStr">
        <is>
          <t>Hộp</t>
        </is>
      </c>
      <c r="K3187" s="5" t="n">
        <v>99000</v>
      </c>
      <c r="L3187" s="5" t="n">
        <v>125000</v>
      </c>
      <c r="M3187" s="6" t="n">
        <v>163000</v>
      </c>
      <c r="N3187" s="5" t="n"/>
      <c r="O3187" s="5">
        <f>IF(AND(ISNUMBER(N3187),ISNUMBER(M3187)),N3187-M3187,"")</f>
        <v/>
      </c>
      <c r="P3187" s="7">
        <f>IF(AND(ISNUMBER(N3187),ISNUMBER(M3187),M3187&gt;0),(N3187-M3187)/M3187,"")</f>
        <v/>
      </c>
      <c r="Q3187" s="3">
        <f>IF(P3187="","",IF(P3187&lt;-0.02,"🔴 Bán phá giá sàn",IF(P3187&gt;0.05,"🔵 Bán cao hơn","🟢 Đúng giá sàn TMĐT")))</f>
        <v/>
      </c>
      <c r="R3187" s="3" t="n"/>
      <c r="S3187" s="4" t="n"/>
      <c r="T3187" s="4" t="n"/>
    </row>
    <row r="3188">
      <c r="A3188" s="3" t="n">
        <v>3187</v>
      </c>
      <c r="B3188" s="3" t="inlineStr">
        <is>
          <t>DL030</t>
        </is>
      </c>
      <c r="C3188" s="4" t="inlineStr">
        <is>
          <t>Siêu thị Hưng Thịnh</t>
        </is>
      </c>
      <c r="D3188" s="3" t="inlineStr">
        <is>
          <t>HN</t>
        </is>
      </c>
      <c r="E3188" s="3" t="inlineStr">
        <is>
          <t>Lan</t>
        </is>
      </c>
      <c r="F3188" s="3" t="inlineStr">
        <is>
          <t>Website bán hàng</t>
        </is>
      </c>
      <c r="G3188" s="4" t="inlineStr">
        <is>
          <t>SHOPEE: TIKTOK: LAZADA: WEBSITE BÁN HÀNG: https://sieuthikimkhihungthinh.vn/admin-at5</t>
        </is>
      </c>
      <c r="H3188" s="3" t="inlineStr">
        <is>
          <t>CM14</t>
        </is>
      </c>
      <c r="I3188" s="4" t="inlineStr">
        <is>
          <t>Đầu chụp bulon KingBlue CM14</t>
        </is>
      </c>
      <c r="J3188" s="3" t="inlineStr">
        <is>
          <t>Hộp</t>
        </is>
      </c>
      <c r="K3188" s="5" t="n">
        <v>105000</v>
      </c>
      <c r="L3188" s="5" t="n">
        <v>132000</v>
      </c>
      <c r="M3188" s="6" t="n">
        <v>173000</v>
      </c>
      <c r="N3188" s="5" t="n"/>
      <c r="O3188" s="5">
        <f>IF(AND(ISNUMBER(N3188),ISNUMBER(M3188)),N3188-M3188,"")</f>
        <v/>
      </c>
      <c r="P3188" s="7">
        <f>IF(AND(ISNUMBER(N3188),ISNUMBER(M3188),M3188&gt;0),(N3188-M3188)/M3188,"")</f>
        <v/>
      </c>
      <c r="Q3188" s="3">
        <f>IF(P3188="","",IF(P3188&lt;-0.02,"🔴 Bán phá giá sàn",IF(P3188&gt;0.05,"🔵 Bán cao hơn","🟢 Đúng giá sàn TMĐT")))</f>
        <v/>
      </c>
      <c r="R3188" s="3" t="n"/>
      <c r="S3188" s="4" t="n"/>
      <c r="T3188" s="4" t="n"/>
    </row>
    <row r="3189">
      <c r="A3189" s="3" t="n">
        <v>3188</v>
      </c>
      <c r="B3189" s="3" t="inlineStr">
        <is>
          <t>DL030</t>
        </is>
      </c>
      <c r="C3189" s="4" t="inlineStr">
        <is>
          <t>Siêu thị Hưng Thịnh</t>
        </is>
      </c>
      <c r="D3189" s="3" t="inlineStr">
        <is>
          <t>HN</t>
        </is>
      </c>
      <c r="E3189" s="3" t="inlineStr">
        <is>
          <t>Lan</t>
        </is>
      </c>
      <c r="F3189" s="3" t="inlineStr">
        <is>
          <t>Website bán hàng</t>
        </is>
      </c>
      <c r="G3189" s="4" t="inlineStr">
        <is>
          <t>SHOPEE: TIKTOK: LAZADA: WEBSITE BÁN HÀNG: https://sieuthikimkhihungthinh.vn/admin-at5</t>
        </is>
      </c>
      <c r="H3189" s="3" t="inlineStr">
        <is>
          <t>CM17</t>
        </is>
      </c>
      <c r="I3189" s="4" t="inlineStr">
        <is>
          <t>Đầu chụp bulon KingBlue CM17</t>
        </is>
      </c>
      <c r="J3189" s="3" t="inlineStr">
        <is>
          <t>Hộp</t>
        </is>
      </c>
      <c r="K3189" s="5" t="n">
        <v>110000</v>
      </c>
      <c r="L3189" s="5" t="n">
        <v>139000</v>
      </c>
      <c r="M3189" s="6" t="n">
        <v>182000</v>
      </c>
      <c r="N3189" s="5" t="n"/>
      <c r="O3189" s="5">
        <f>IF(AND(ISNUMBER(N3189),ISNUMBER(M3189)),N3189-M3189,"")</f>
        <v/>
      </c>
      <c r="P3189" s="7">
        <f>IF(AND(ISNUMBER(N3189),ISNUMBER(M3189),M3189&gt;0),(N3189-M3189)/M3189,"")</f>
        <v/>
      </c>
      <c r="Q3189" s="3">
        <f>IF(P3189="","",IF(P3189&lt;-0.02,"🔴 Bán phá giá sàn",IF(P3189&gt;0.05,"🔵 Bán cao hơn","🟢 Đúng giá sàn TMĐT")))</f>
        <v/>
      </c>
      <c r="R3189" s="3" t="n"/>
      <c r="S3189" s="4" t="n"/>
      <c r="T3189" s="4" t="n"/>
    </row>
    <row r="3190">
      <c r="A3190" s="3" t="n">
        <v>3189</v>
      </c>
      <c r="B3190" s="3" t="inlineStr">
        <is>
          <t>DL030</t>
        </is>
      </c>
      <c r="C3190" s="4" t="inlineStr">
        <is>
          <t>Siêu thị Hưng Thịnh</t>
        </is>
      </c>
      <c r="D3190" s="3" t="inlineStr">
        <is>
          <t>HN</t>
        </is>
      </c>
      <c r="E3190" s="3" t="inlineStr">
        <is>
          <t>Lan</t>
        </is>
      </c>
      <c r="F3190" s="3" t="inlineStr">
        <is>
          <t>Website bán hàng</t>
        </is>
      </c>
      <c r="G3190" s="4" t="inlineStr">
        <is>
          <t>SHOPEE: TIKTOK: LAZADA: WEBSITE BÁN HÀNG: https://sieuthikimkhihungthinh.vn/admin-at5</t>
        </is>
      </c>
      <c r="H3190" s="3" t="inlineStr">
        <is>
          <t>CM19</t>
        </is>
      </c>
      <c r="I3190" s="4" t="inlineStr">
        <is>
          <t>Đầu chụp bulon KingBlue CM19</t>
        </is>
      </c>
      <c r="J3190" s="3" t="inlineStr">
        <is>
          <t>Hộp</t>
        </is>
      </c>
      <c r="K3190" s="5" t="n">
        <v>86000</v>
      </c>
      <c r="L3190" s="5" t="n">
        <v>108000</v>
      </c>
      <c r="M3190" s="6" t="n">
        <v>142000</v>
      </c>
      <c r="N3190" s="5" t="n"/>
      <c r="O3190" s="5">
        <f>IF(AND(ISNUMBER(N3190),ISNUMBER(M3190)),N3190-M3190,"")</f>
        <v/>
      </c>
      <c r="P3190" s="7">
        <f>IF(AND(ISNUMBER(N3190),ISNUMBER(M3190),M3190&gt;0),(N3190-M3190)/M3190,"")</f>
        <v/>
      </c>
      <c r="Q3190" s="3">
        <f>IF(P3190="","",IF(P3190&lt;-0.02,"🔴 Bán phá giá sàn",IF(P3190&gt;0.05,"🔵 Bán cao hơn","🟢 Đúng giá sàn TMĐT")))</f>
        <v/>
      </c>
      <c r="R3190" s="3" t="n"/>
      <c r="S3190" s="4" t="n"/>
      <c r="T3190" s="4" t="n"/>
    </row>
    <row r="3191">
      <c r="A3191" s="3" t="n">
        <v>3190</v>
      </c>
      <c r="B3191" s="3" t="inlineStr">
        <is>
          <t>DL030</t>
        </is>
      </c>
      <c r="C3191" s="4" t="inlineStr">
        <is>
          <t>Siêu thị Hưng Thịnh</t>
        </is>
      </c>
      <c r="D3191" s="3" t="inlineStr">
        <is>
          <t>HN</t>
        </is>
      </c>
      <c r="E3191" s="3" t="inlineStr">
        <is>
          <t>Lan</t>
        </is>
      </c>
      <c r="F3191" s="3" t="inlineStr">
        <is>
          <t>Website bán hàng</t>
        </is>
      </c>
      <c r="G3191" s="4" t="inlineStr">
        <is>
          <t>SHOPEE: TIKTOK: LAZADA: WEBSITE BÁN HÀNG: https://sieuthikimkhihungthinh.vn/admin-at5</t>
        </is>
      </c>
      <c r="H3191" s="3" t="inlineStr">
        <is>
          <t>KCT-250</t>
        </is>
      </c>
      <c r="I3191" s="4" t="inlineStr">
        <is>
          <t>Kéo cắt thạch cao (tole) KCT-250</t>
        </is>
      </c>
      <c r="J3191" s="3" t="inlineStr">
        <is>
          <t>Cái</t>
        </is>
      </c>
      <c r="K3191" s="5" t="n">
        <v>105000</v>
      </c>
      <c r="L3191" s="5" t="n">
        <v>124000</v>
      </c>
      <c r="M3191" s="6" t="n">
        <v>152000</v>
      </c>
      <c r="N3191" s="5" t="n"/>
      <c r="O3191" s="5">
        <f>IF(AND(ISNUMBER(N3191),ISNUMBER(M3191)),N3191-M3191,"")</f>
        <v/>
      </c>
      <c r="P3191" s="7">
        <f>IF(AND(ISNUMBER(N3191),ISNUMBER(M3191),M3191&gt;0),(N3191-M3191)/M3191,"")</f>
        <v/>
      </c>
      <c r="Q3191" s="3">
        <f>IF(P3191="","",IF(P3191&lt;-0.02,"🔴 Bán phá giá sàn",IF(P3191&gt;0.05,"🔵 Bán cao hơn","🟢 Đúng giá sàn TMĐT")))</f>
        <v/>
      </c>
      <c r="R3191" s="3" t="n"/>
      <c r="S3191" s="4" t="n"/>
      <c r="T3191" s="4" t="n"/>
    </row>
    <row r="3192">
      <c r="A3192" s="3" t="n">
        <v>3191</v>
      </c>
      <c r="B3192" s="3" t="inlineStr">
        <is>
          <t>DL030</t>
        </is>
      </c>
      <c r="C3192" s="4" t="inlineStr">
        <is>
          <t>Siêu thị Hưng Thịnh</t>
        </is>
      </c>
      <c r="D3192" s="3" t="inlineStr">
        <is>
          <t>HN</t>
        </is>
      </c>
      <c r="E3192" s="3" t="inlineStr">
        <is>
          <t>Lan</t>
        </is>
      </c>
      <c r="F3192" s="3" t="inlineStr">
        <is>
          <t>Website bán hàng</t>
        </is>
      </c>
      <c r="G3192" s="4" t="inlineStr">
        <is>
          <t>SHOPEE: TIKTOK: LAZADA: WEBSITE BÁN HÀNG: https://sieuthikimkhihungthinh.vn/admin-at5</t>
        </is>
      </c>
      <c r="H3192" s="3" t="inlineStr">
        <is>
          <t>KDT-250</t>
        </is>
      </c>
      <c r="I3192" s="4" t="inlineStr">
        <is>
          <t>Kéo cắt tole KDT-250</t>
        </is>
      </c>
      <c r="J3192" s="3" t="inlineStr">
        <is>
          <t>Cái</t>
        </is>
      </c>
      <c r="K3192" s="5" t="n">
        <v>116000</v>
      </c>
      <c r="L3192" s="5" t="n">
        <v>137000</v>
      </c>
      <c r="M3192" s="6" t="n">
        <v>168000</v>
      </c>
      <c r="N3192" s="5" t="n"/>
      <c r="O3192" s="5">
        <f>IF(AND(ISNUMBER(N3192),ISNUMBER(M3192)),N3192-M3192,"")</f>
        <v/>
      </c>
      <c r="P3192" s="7">
        <f>IF(AND(ISNUMBER(N3192),ISNUMBER(M3192),M3192&gt;0),(N3192-M3192)/M3192,"")</f>
        <v/>
      </c>
      <c r="Q3192" s="3">
        <f>IF(P3192="","",IF(P3192&lt;-0.02,"🔴 Bán phá giá sàn",IF(P3192&gt;0.05,"🔵 Bán cao hơn","🟢 Đúng giá sàn TMĐT")))</f>
        <v/>
      </c>
      <c r="R3192" s="3" t="n"/>
      <c r="S3192" s="4" t="n"/>
      <c r="T3192" s="4" t="n"/>
    </row>
    <row r="3193">
      <c r="A3193" s="3" t="n">
        <v>3192</v>
      </c>
      <c r="B3193" s="3" t="inlineStr">
        <is>
          <t>DL030</t>
        </is>
      </c>
      <c r="C3193" s="4" t="inlineStr">
        <is>
          <t>Siêu thị Hưng Thịnh</t>
        </is>
      </c>
      <c r="D3193" s="3" t="inlineStr">
        <is>
          <t>HN</t>
        </is>
      </c>
      <c r="E3193" s="3" t="inlineStr">
        <is>
          <t>Lan</t>
        </is>
      </c>
      <c r="F3193" s="3" t="inlineStr">
        <is>
          <t>Website bán hàng</t>
        </is>
      </c>
      <c r="G3193" s="4" t="inlineStr">
        <is>
          <t>SHOPEE: TIKTOK: LAZADA: WEBSITE BÁN HÀNG: https://sieuthikimkhihungthinh.vn/admin-at5</t>
        </is>
      </c>
      <c r="H3193" s="3" t="inlineStr">
        <is>
          <t>KDT-300</t>
        </is>
      </c>
      <c r="I3193" s="4" t="inlineStr">
        <is>
          <t>Kéo cắt tole KDT-300</t>
        </is>
      </c>
      <c r="J3193" s="3" t="inlineStr">
        <is>
          <t>Cái</t>
        </is>
      </c>
      <c r="K3193" s="5" t="n">
        <v>143000</v>
      </c>
      <c r="L3193" s="5" t="n">
        <v>169000</v>
      </c>
      <c r="M3193" s="6" t="n">
        <v>207000</v>
      </c>
      <c r="N3193" s="5" t="n"/>
      <c r="O3193" s="5">
        <f>IF(AND(ISNUMBER(N3193),ISNUMBER(M3193)),N3193-M3193,"")</f>
        <v/>
      </c>
      <c r="P3193" s="7">
        <f>IF(AND(ISNUMBER(N3193),ISNUMBER(M3193),M3193&gt;0),(N3193-M3193)/M3193,"")</f>
        <v/>
      </c>
      <c r="Q3193" s="3">
        <f>IF(P3193="","",IF(P3193&lt;-0.02,"🔴 Bán phá giá sàn",IF(P3193&gt;0.05,"🔵 Bán cao hơn","🟢 Đúng giá sàn TMĐT")))</f>
        <v/>
      </c>
      <c r="R3193" s="3" t="n"/>
      <c r="S3193" s="4" t="n"/>
      <c r="T3193" s="4" t="n"/>
    </row>
    <row r="3194">
      <c r="A3194" s="3" t="n">
        <v>3193</v>
      </c>
      <c r="B3194" s="3" t="inlineStr">
        <is>
          <t>DL030</t>
        </is>
      </c>
      <c r="C3194" s="4" t="inlineStr">
        <is>
          <t>Siêu thị Hưng Thịnh</t>
        </is>
      </c>
      <c r="D3194" s="3" t="inlineStr">
        <is>
          <t>HN</t>
        </is>
      </c>
      <c r="E3194" s="3" t="inlineStr">
        <is>
          <t>Lan</t>
        </is>
      </c>
      <c r="F3194" s="3" t="inlineStr">
        <is>
          <t>Website bán hàng</t>
        </is>
      </c>
      <c r="G3194" s="4" t="inlineStr">
        <is>
          <t>SHOPEE: TIKTOK: LAZADA: WEBSITE BÁN HÀNG: https://sieuthikimkhihungthinh.vn/admin-at5</t>
        </is>
      </c>
      <c r="H3194" s="3" t="inlineStr">
        <is>
          <t>QC1</t>
        </is>
      </c>
      <c r="I3194" s="4" t="inlineStr">
        <is>
          <t>Kéo cắt trái cây QC1</t>
        </is>
      </c>
      <c r="J3194" s="3" t="inlineStr">
        <is>
          <t>Cái</t>
        </is>
      </c>
      <c r="K3194" s="5" t="n">
        <v>38000</v>
      </c>
      <c r="L3194" s="5" t="n">
        <v>45000</v>
      </c>
      <c r="M3194" s="6" t="n">
        <v>55000</v>
      </c>
      <c r="N3194" s="5" t="n"/>
      <c r="O3194" s="5">
        <f>IF(AND(ISNUMBER(N3194),ISNUMBER(M3194)),N3194-M3194,"")</f>
        <v/>
      </c>
      <c r="P3194" s="7">
        <f>IF(AND(ISNUMBER(N3194),ISNUMBER(M3194),M3194&gt;0),(N3194-M3194)/M3194,"")</f>
        <v/>
      </c>
      <c r="Q3194" s="3">
        <f>IF(P3194="","",IF(P3194&lt;-0.02,"🔴 Bán phá giá sàn",IF(P3194&gt;0.05,"🔵 Bán cao hơn","🟢 Đúng giá sàn TMĐT")))</f>
        <v/>
      </c>
      <c r="R3194" s="3" t="n"/>
      <c r="S3194" s="4" t="n"/>
      <c r="T3194" s="4" t="n"/>
    </row>
    <row r="3195">
      <c r="A3195" s="3" t="n">
        <v>3194</v>
      </c>
      <c r="B3195" s="3" t="inlineStr">
        <is>
          <t>DL030</t>
        </is>
      </c>
      <c r="C3195" s="4" t="inlineStr">
        <is>
          <t>Siêu thị Hưng Thịnh</t>
        </is>
      </c>
      <c r="D3195" s="3" t="inlineStr">
        <is>
          <t>HN</t>
        </is>
      </c>
      <c r="E3195" s="3" t="inlineStr">
        <is>
          <t>Lan</t>
        </is>
      </c>
      <c r="F3195" s="3" t="inlineStr">
        <is>
          <t>Website bán hàng</t>
        </is>
      </c>
      <c r="G3195" s="4" t="inlineStr">
        <is>
          <t>SHOPEE: TIKTOK: LAZADA: WEBSITE BÁN HÀNG: https://sieuthikimkhihungthinh.vn/admin-at5</t>
        </is>
      </c>
      <c r="H3195" s="3" t="inlineStr">
        <is>
          <t>QC2</t>
        </is>
      </c>
      <c r="I3195" s="4" t="inlineStr">
        <is>
          <t>Kéo cắt trái cây QC2</t>
        </is>
      </c>
      <c r="J3195" s="3" t="inlineStr">
        <is>
          <t>Cái</t>
        </is>
      </c>
      <c r="K3195" s="5" t="n">
        <v>65000</v>
      </c>
      <c r="L3195" s="5" t="n">
        <v>77000</v>
      </c>
      <c r="M3195" s="6" t="n">
        <v>94000</v>
      </c>
      <c r="N3195" s="5" t="n"/>
      <c r="O3195" s="5">
        <f>IF(AND(ISNUMBER(N3195),ISNUMBER(M3195)),N3195-M3195,"")</f>
        <v/>
      </c>
      <c r="P3195" s="7">
        <f>IF(AND(ISNUMBER(N3195),ISNUMBER(M3195),M3195&gt;0),(N3195-M3195)/M3195,"")</f>
        <v/>
      </c>
      <c r="Q3195" s="3">
        <f>IF(P3195="","",IF(P3195&lt;-0.02,"🔴 Bán phá giá sàn",IF(P3195&gt;0.05,"🔵 Bán cao hơn","🟢 Đúng giá sàn TMĐT")))</f>
        <v/>
      </c>
      <c r="R3195" s="3" t="n"/>
      <c r="S3195" s="4" t="n"/>
      <c r="T3195" s="4" t="n"/>
    </row>
    <row r="3196">
      <c r="A3196" s="3" t="n">
        <v>3195</v>
      </c>
      <c r="B3196" s="3" t="inlineStr">
        <is>
          <t>DL030</t>
        </is>
      </c>
      <c r="C3196" s="4" t="inlineStr">
        <is>
          <t>Siêu thị Hưng Thịnh</t>
        </is>
      </c>
      <c r="D3196" s="3" t="inlineStr">
        <is>
          <t>HN</t>
        </is>
      </c>
      <c r="E3196" s="3" t="inlineStr">
        <is>
          <t>Lan</t>
        </is>
      </c>
      <c r="F3196" s="3" t="inlineStr">
        <is>
          <t>Website bán hàng</t>
        </is>
      </c>
      <c r="G3196" s="4" t="inlineStr">
        <is>
          <t>SHOPEE: TIKTOK: LAZADA: WEBSITE BÁN HÀNG: https://sieuthikimkhihungthinh.vn/admin-at5</t>
        </is>
      </c>
      <c r="H3196" s="3" t="inlineStr">
        <is>
          <t>KB001-Q1</t>
        </is>
      </c>
      <c r="I3196" s="4" t="inlineStr">
        <is>
          <t>Kéo KB001-Q1</t>
        </is>
      </c>
      <c r="J3196" s="3" t="inlineStr">
        <is>
          <t>Cái</t>
        </is>
      </c>
      <c r="K3196" s="5" t="n">
        <v>79000</v>
      </c>
      <c r="L3196" s="5" t="n">
        <v>93000</v>
      </c>
      <c r="M3196" s="6" t="n">
        <v>115000</v>
      </c>
      <c r="N3196" s="5" t="n"/>
      <c r="O3196" s="5">
        <f>IF(AND(ISNUMBER(N3196),ISNUMBER(M3196)),N3196-M3196,"")</f>
        <v/>
      </c>
      <c r="P3196" s="7">
        <f>IF(AND(ISNUMBER(N3196),ISNUMBER(M3196),M3196&gt;0),(N3196-M3196)/M3196,"")</f>
        <v/>
      </c>
      <c r="Q3196" s="3">
        <f>IF(P3196="","",IF(P3196&lt;-0.02,"🔴 Bán phá giá sàn",IF(P3196&gt;0.05,"🔵 Bán cao hơn","🟢 Đúng giá sàn TMĐT")))</f>
        <v/>
      </c>
      <c r="R3196" s="3" t="n"/>
      <c r="S3196" s="4" t="n"/>
      <c r="T3196" s="4" t="n"/>
    </row>
    <row r="3197">
      <c r="A3197" s="3" t="n">
        <v>3196</v>
      </c>
      <c r="B3197" s="3" t="inlineStr">
        <is>
          <t>DL030</t>
        </is>
      </c>
      <c r="C3197" s="4" t="inlineStr">
        <is>
          <t>Siêu thị Hưng Thịnh</t>
        </is>
      </c>
      <c r="D3197" s="3" t="inlineStr">
        <is>
          <t>HN</t>
        </is>
      </c>
      <c r="E3197" s="3" t="inlineStr">
        <is>
          <t>Lan</t>
        </is>
      </c>
      <c r="F3197" s="3" t="inlineStr">
        <is>
          <t>Website bán hàng</t>
        </is>
      </c>
      <c r="G3197" s="4" t="inlineStr">
        <is>
          <t>SHOPEE: TIKTOK: LAZADA: WEBSITE BÁN HÀNG: https://sieuthikimkhihungthinh.vn/admin-at5</t>
        </is>
      </c>
      <c r="H3197" s="3" t="inlineStr">
        <is>
          <t>KBY3-020CO</t>
        </is>
      </c>
      <c r="I3197" s="4" t="inlineStr">
        <is>
          <t>Khoan inox chuôi lục KBY3-020CO</t>
        </is>
      </c>
      <c r="J3197" s="3" t="inlineStr">
        <is>
          <t>Vỉ</t>
        </is>
      </c>
      <c r="K3197" s="5" t="n">
        <v>28000</v>
      </c>
      <c r="L3197" s="5" t="n">
        <v>35000</v>
      </c>
      <c r="M3197" s="6" t="n">
        <v>45000</v>
      </c>
      <c r="N3197" s="5" t="n"/>
      <c r="O3197" s="5">
        <f>IF(AND(ISNUMBER(N3197),ISNUMBER(M3197)),N3197-M3197,"")</f>
        <v/>
      </c>
      <c r="P3197" s="7">
        <f>IF(AND(ISNUMBER(N3197),ISNUMBER(M3197),M3197&gt;0),(N3197-M3197)/M3197,"")</f>
        <v/>
      </c>
      <c r="Q3197" s="3">
        <f>IF(P3197="","",IF(P3197&lt;-0.02,"🔴 Bán phá giá sàn",IF(P3197&gt;0.05,"🔵 Bán cao hơn","🟢 Đúng giá sàn TMĐT")))</f>
        <v/>
      </c>
      <c r="R3197" s="3" t="n"/>
      <c r="S3197" s="4" t="n"/>
      <c r="T3197" s="4" t="n"/>
    </row>
    <row r="3198">
      <c r="A3198" s="3" t="n">
        <v>3197</v>
      </c>
      <c r="B3198" s="3" t="inlineStr">
        <is>
          <t>DL030</t>
        </is>
      </c>
      <c r="C3198" s="4" t="inlineStr">
        <is>
          <t>Siêu thị Hưng Thịnh</t>
        </is>
      </c>
      <c r="D3198" s="3" t="inlineStr">
        <is>
          <t>HN</t>
        </is>
      </c>
      <c r="E3198" s="3" t="inlineStr">
        <is>
          <t>Lan</t>
        </is>
      </c>
      <c r="F3198" s="3" t="inlineStr">
        <is>
          <t>Website bán hàng</t>
        </is>
      </c>
      <c r="G3198" s="4" t="inlineStr">
        <is>
          <t>SHOPEE: TIKTOK: LAZADA: WEBSITE BÁN HÀNG: https://sieuthikimkhihungthinh.vn/admin-at5</t>
        </is>
      </c>
      <c r="H3198" s="3" t="inlineStr">
        <is>
          <t>KBY3-025CO</t>
        </is>
      </c>
      <c r="I3198" s="4" t="inlineStr">
        <is>
          <t>Khoan inox chuôi lục KBY3-025CO</t>
        </is>
      </c>
      <c r="J3198" s="3" t="inlineStr">
        <is>
          <t>Vỉ</t>
        </is>
      </c>
      <c r="K3198" s="5" t="n">
        <v>28000</v>
      </c>
      <c r="L3198" s="5" t="n">
        <v>35000</v>
      </c>
      <c r="M3198" s="6" t="n">
        <v>45000</v>
      </c>
      <c r="N3198" s="5" t="n"/>
      <c r="O3198" s="5">
        <f>IF(AND(ISNUMBER(N3198),ISNUMBER(M3198)),N3198-M3198,"")</f>
        <v/>
      </c>
      <c r="P3198" s="7">
        <f>IF(AND(ISNUMBER(N3198),ISNUMBER(M3198),M3198&gt;0),(N3198-M3198)/M3198,"")</f>
        <v/>
      </c>
      <c r="Q3198" s="3">
        <f>IF(P3198="","",IF(P3198&lt;-0.02,"🔴 Bán phá giá sàn",IF(P3198&gt;0.05,"🔵 Bán cao hơn","🟢 Đúng giá sàn TMĐT")))</f>
        <v/>
      </c>
      <c r="R3198" s="3" t="n"/>
      <c r="S3198" s="4" t="n"/>
      <c r="T3198" s="4" t="n"/>
    </row>
    <row r="3199">
      <c r="A3199" s="3" t="n">
        <v>3198</v>
      </c>
      <c r="B3199" s="3" t="inlineStr">
        <is>
          <t>DL030</t>
        </is>
      </c>
      <c r="C3199" s="4" t="inlineStr">
        <is>
          <t>Siêu thị Hưng Thịnh</t>
        </is>
      </c>
      <c r="D3199" s="3" t="inlineStr">
        <is>
          <t>HN</t>
        </is>
      </c>
      <c r="E3199" s="3" t="inlineStr">
        <is>
          <t>Lan</t>
        </is>
      </c>
      <c r="F3199" s="3" t="inlineStr">
        <is>
          <t>Website bán hàng</t>
        </is>
      </c>
      <c r="G3199" s="4" t="inlineStr">
        <is>
          <t>SHOPEE: TIKTOK: LAZADA: WEBSITE BÁN HÀNG: https://sieuthikimkhihungthinh.vn/admin-at5</t>
        </is>
      </c>
      <c r="H3199" s="3" t="inlineStr">
        <is>
          <t>KBY3-060CO</t>
        </is>
      </c>
      <c r="I3199" s="4" t="inlineStr">
        <is>
          <t>Khoan inox chuôi lục KBY3-060CO</t>
        </is>
      </c>
      <c r="J3199" s="3" t="inlineStr">
        <is>
          <t>Vỉ</t>
        </is>
      </c>
      <c r="K3199" s="5" t="n">
        <v>65000</v>
      </c>
      <c r="L3199" s="5" t="n">
        <v>81000</v>
      </c>
      <c r="M3199" s="6" t="n">
        <v>104000</v>
      </c>
      <c r="N3199" s="5" t="n"/>
      <c r="O3199" s="5">
        <f>IF(AND(ISNUMBER(N3199),ISNUMBER(M3199)),N3199-M3199,"")</f>
        <v/>
      </c>
      <c r="P3199" s="7">
        <f>IF(AND(ISNUMBER(N3199),ISNUMBER(M3199),M3199&gt;0),(N3199-M3199)/M3199,"")</f>
        <v/>
      </c>
      <c r="Q3199" s="3">
        <f>IF(P3199="","",IF(P3199&lt;-0.02,"🔴 Bán phá giá sàn",IF(P3199&gt;0.05,"🔵 Bán cao hơn","🟢 Đúng giá sàn TMĐT")))</f>
        <v/>
      </c>
      <c r="R3199" s="3" t="n"/>
      <c r="S3199" s="4" t="n"/>
      <c r="T3199" s="4" t="n"/>
    </row>
    <row r="3200">
      <c r="A3200" s="3" t="n">
        <v>3199</v>
      </c>
      <c r="B3200" s="3" t="inlineStr">
        <is>
          <t>DL030</t>
        </is>
      </c>
      <c r="C3200" s="4" t="inlineStr">
        <is>
          <t>Siêu thị Hưng Thịnh</t>
        </is>
      </c>
      <c r="D3200" s="3" t="inlineStr">
        <is>
          <t>HN</t>
        </is>
      </c>
      <c r="E3200" s="3" t="inlineStr">
        <is>
          <t>Lan</t>
        </is>
      </c>
      <c r="F3200" s="3" t="inlineStr">
        <is>
          <t>Website bán hàng</t>
        </is>
      </c>
      <c r="G3200" s="4" t="inlineStr">
        <is>
          <t>SHOPEE: TIKTOK: LAZADA: WEBSITE BÁN HÀNG: https://sieuthikimkhihungthinh.vn/admin-at5</t>
        </is>
      </c>
      <c r="H3200" s="3" t="inlineStr">
        <is>
          <t>KBY3-070CO</t>
        </is>
      </c>
      <c r="I3200" s="4" t="inlineStr">
        <is>
          <t>Khoan inox chuôi lục KBY3-070CO</t>
        </is>
      </c>
      <c r="J3200" s="3" t="inlineStr">
        <is>
          <t>Cái</t>
        </is>
      </c>
      <c r="K3200" s="5" t="n">
        <v>45000</v>
      </c>
      <c r="L3200" s="5" t="n">
        <v>56000</v>
      </c>
      <c r="M3200" s="6" t="n">
        <v>72000</v>
      </c>
      <c r="N3200" s="5" t="n"/>
      <c r="O3200" s="5">
        <f>IF(AND(ISNUMBER(N3200),ISNUMBER(M3200)),N3200-M3200,"")</f>
        <v/>
      </c>
      <c r="P3200" s="7">
        <f>IF(AND(ISNUMBER(N3200),ISNUMBER(M3200),M3200&gt;0),(N3200-M3200)/M3200,"")</f>
        <v/>
      </c>
      <c r="Q3200" s="3">
        <f>IF(P3200="","",IF(P3200&lt;-0.02,"🔴 Bán phá giá sàn",IF(P3200&gt;0.05,"🔵 Bán cao hơn","🟢 Đúng giá sàn TMĐT")))</f>
        <v/>
      </c>
      <c r="R3200" s="3" t="n"/>
      <c r="S3200" s="4" t="n"/>
      <c r="T3200" s="4" t="n"/>
    </row>
    <row r="3201">
      <c r="A3201" s="3" t="n">
        <v>3200</v>
      </c>
      <c r="B3201" s="3" t="inlineStr">
        <is>
          <t>DL030</t>
        </is>
      </c>
      <c r="C3201" s="4" t="inlineStr">
        <is>
          <t>Siêu thị Hưng Thịnh</t>
        </is>
      </c>
      <c r="D3201" s="3" t="inlineStr">
        <is>
          <t>HN</t>
        </is>
      </c>
      <c r="E3201" s="3" t="inlineStr">
        <is>
          <t>Lan</t>
        </is>
      </c>
      <c r="F3201" s="3" t="inlineStr">
        <is>
          <t>Website bán hàng</t>
        </is>
      </c>
      <c r="G3201" s="4" t="inlineStr">
        <is>
          <t>SHOPEE: TIKTOK: LAZADA: WEBSITE BÁN HÀNG: https://sieuthikimkhihungthinh.vn/admin-at5</t>
        </is>
      </c>
      <c r="H3201" s="3" t="inlineStr">
        <is>
          <t>KBY3-100CO</t>
        </is>
      </c>
      <c r="I3201" s="4" t="inlineStr">
        <is>
          <t>Khoan inox chuôi lục KBY3-100CO</t>
        </is>
      </c>
      <c r="J3201" s="3" t="inlineStr">
        <is>
          <t>Cái</t>
        </is>
      </c>
      <c r="K3201" s="5" t="n">
        <v>90000</v>
      </c>
      <c r="L3201" s="5" t="n">
        <v>112000</v>
      </c>
      <c r="M3201" s="6" t="n">
        <v>144000</v>
      </c>
      <c r="N3201" s="5" t="n"/>
      <c r="O3201" s="5">
        <f>IF(AND(ISNUMBER(N3201),ISNUMBER(M3201)),N3201-M3201,"")</f>
        <v/>
      </c>
      <c r="P3201" s="7">
        <f>IF(AND(ISNUMBER(N3201),ISNUMBER(M3201),M3201&gt;0),(N3201-M3201)/M3201,"")</f>
        <v/>
      </c>
      <c r="Q3201" s="3">
        <f>IF(P3201="","",IF(P3201&lt;-0.02,"🔴 Bán phá giá sàn",IF(P3201&gt;0.05,"🔵 Bán cao hơn","🟢 Đúng giá sàn TMĐT")))</f>
        <v/>
      </c>
      <c r="R3201" s="3" t="n"/>
      <c r="S3201" s="4" t="n"/>
      <c r="T3201" s="4" t="n"/>
    </row>
    <row r="3202">
      <c r="A3202" s="3" t="n">
        <v>3201</v>
      </c>
      <c r="B3202" s="3" t="inlineStr">
        <is>
          <t>DL030</t>
        </is>
      </c>
      <c r="C3202" s="4" t="inlineStr">
        <is>
          <t>Siêu thị Hưng Thịnh</t>
        </is>
      </c>
      <c r="D3202" s="3" t="inlineStr">
        <is>
          <t>HN</t>
        </is>
      </c>
      <c r="E3202" s="3" t="inlineStr">
        <is>
          <t>Lan</t>
        </is>
      </c>
      <c r="F3202" s="3" t="inlineStr">
        <is>
          <t>Website bán hàng</t>
        </is>
      </c>
      <c r="G3202" s="4" t="inlineStr">
        <is>
          <t>SHOPEE: TIKTOK: LAZADA: WEBSITE BÁN HÀNG: https://sieuthikimkhihungthinh.vn/admin-at5</t>
        </is>
      </c>
      <c r="H3202" s="3" t="inlineStr">
        <is>
          <t>KBY2-100CO</t>
        </is>
      </c>
      <c r="I3202" s="4" t="inlineStr">
        <is>
          <t>Khoan inox KingBlue KBY2-100CO</t>
        </is>
      </c>
      <c r="J3202" s="3" t="inlineStr">
        <is>
          <t>Cái</t>
        </is>
      </c>
      <c r="K3202" s="5" t="n">
        <v>101000</v>
      </c>
      <c r="L3202" s="5" t="n">
        <v>125000</v>
      </c>
      <c r="M3202" s="6" t="n">
        <v>162000</v>
      </c>
      <c r="N3202" s="5" t="n"/>
      <c r="O3202" s="5">
        <f>IF(AND(ISNUMBER(N3202),ISNUMBER(M3202)),N3202-M3202,"")</f>
        <v/>
      </c>
      <c r="P3202" s="7">
        <f>IF(AND(ISNUMBER(N3202),ISNUMBER(M3202),M3202&gt;0),(N3202-M3202)/M3202,"")</f>
        <v/>
      </c>
      <c r="Q3202" s="3">
        <f>IF(P3202="","",IF(P3202&lt;-0.02,"🔴 Bán phá giá sàn",IF(P3202&gt;0.05,"🔵 Bán cao hơn","🟢 Đúng giá sàn TMĐT")))</f>
        <v/>
      </c>
      <c r="R3202" s="3" t="n"/>
      <c r="S3202" s="4" t="n"/>
      <c r="T3202" s="4" t="n"/>
    </row>
    <row r="3203">
      <c r="A3203" s="3" t="n">
        <v>3202</v>
      </c>
      <c r="B3203" s="3" t="inlineStr">
        <is>
          <t>DL030</t>
        </is>
      </c>
      <c r="C3203" s="4" t="inlineStr">
        <is>
          <t>Siêu thị Hưng Thịnh</t>
        </is>
      </c>
      <c r="D3203" s="3" t="inlineStr">
        <is>
          <t>HN</t>
        </is>
      </c>
      <c r="E3203" s="3" t="inlineStr">
        <is>
          <t>Lan</t>
        </is>
      </c>
      <c r="F3203" s="3" t="inlineStr">
        <is>
          <t>Website bán hàng</t>
        </is>
      </c>
      <c r="G3203" s="4" t="inlineStr">
        <is>
          <t>SHOPEE: TIKTOK: LAZADA: WEBSITE BÁN HÀNG: https://sieuthikimkhihungthinh.vn/admin-at5</t>
        </is>
      </c>
      <c r="H3203" s="3" t="inlineStr">
        <is>
          <t>KND185</t>
        </is>
      </c>
      <c r="I3203" s="4" t="inlineStr">
        <is>
          <t>Kìm bấm Cos vuông KND185</t>
        </is>
      </c>
      <c r="J3203" s="3" t="inlineStr">
        <is>
          <t>Cái</t>
        </is>
      </c>
      <c r="K3203" s="5" t="n">
        <v>182000</v>
      </c>
      <c r="L3203" s="5" t="n">
        <v>215000</v>
      </c>
      <c r="M3203" s="6" t="n">
        <v>264000</v>
      </c>
      <c r="N3203" s="5" t="n"/>
      <c r="O3203" s="5">
        <f>IF(AND(ISNUMBER(N3203),ISNUMBER(M3203)),N3203-M3203,"")</f>
        <v/>
      </c>
      <c r="P3203" s="7">
        <f>IF(AND(ISNUMBER(N3203),ISNUMBER(M3203),M3203&gt;0),(N3203-M3203)/M3203,"")</f>
        <v/>
      </c>
      <c r="Q3203" s="3">
        <f>IF(P3203="","",IF(P3203&lt;-0.02,"🔴 Bán phá giá sàn",IF(P3203&gt;0.05,"🔵 Bán cao hơn","🟢 Đúng giá sàn TMĐT")))</f>
        <v/>
      </c>
      <c r="R3203" s="3" t="n"/>
      <c r="S3203" s="4" t="n"/>
      <c r="T3203" s="4" t="n"/>
    </row>
    <row r="3204">
      <c r="A3204" s="3" t="n">
        <v>3203</v>
      </c>
      <c r="B3204" s="3" t="inlineStr">
        <is>
          <t>DL030</t>
        </is>
      </c>
      <c r="C3204" s="4" t="inlineStr">
        <is>
          <t>Siêu thị Hưng Thịnh</t>
        </is>
      </c>
      <c r="D3204" s="3" t="inlineStr">
        <is>
          <t>HN</t>
        </is>
      </c>
      <c r="E3204" s="3" t="inlineStr">
        <is>
          <t>Lan</t>
        </is>
      </c>
      <c r="F3204" s="3" t="inlineStr">
        <is>
          <t>Website bán hàng</t>
        </is>
      </c>
      <c r="G3204" s="4" t="inlineStr">
        <is>
          <t>SHOPEE: TIKTOK: LAZADA: WEBSITE BÁN HÀNG: https://sieuthikimkhihungthinh.vn/admin-at5</t>
        </is>
      </c>
      <c r="H3204" s="3" t="inlineStr">
        <is>
          <t>KND200</t>
        </is>
      </c>
      <c r="I3204" s="4" t="inlineStr">
        <is>
          <t>Kìm cắt tuốt đa năng 5 in1 KND200</t>
        </is>
      </c>
      <c r="J3204" s="3" t="inlineStr">
        <is>
          <t>Cái</t>
        </is>
      </c>
      <c r="K3204" s="5" t="n">
        <v>72000</v>
      </c>
      <c r="L3204" s="5" t="n">
        <v>85000</v>
      </c>
      <c r="M3204" s="6" t="n">
        <v>104000</v>
      </c>
      <c r="N3204" s="5" t="n"/>
      <c r="O3204" s="5">
        <f>IF(AND(ISNUMBER(N3204),ISNUMBER(M3204)),N3204-M3204,"")</f>
        <v/>
      </c>
      <c r="P3204" s="7">
        <f>IF(AND(ISNUMBER(N3204),ISNUMBER(M3204),M3204&gt;0),(N3204-M3204)/M3204,"")</f>
        <v/>
      </c>
      <c r="Q3204" s="3">
        <f>IF(P3204="","",IF(P3204&lt;-0.02,"🔴 Bán phá giá sàn",IF(P3204&gt;0.05,"🔵 Bán cao hơn","🟢 Đúng giá sàn TMĐT")))</f>
        <v/>
      </c>
      <c r="R3204" s="3" t="n"/>
      <c r="S3204" s="4" t="n"/>
      <c r="T3204" s="4" t="n"/>
    </row>
    <row r="3205">
      <c r="A3205" s="3" t="n">
        <v>3204</v>
      </c>
      <c r="B3205" s="3" t="inlineStr">
        <is>
          <t>DL030</t>
        </is>
      </c>
      <c r="C3205" s="4" t="inlineStr">
        <is>
          <t>Siêu thị Hưng Thịnh</t>
        </is>
      </c>
      <c r="D3205" s="3" t="inlineStr">
        <is>
          <t>HN</t>
        </is>
      </c>
      <c r="E3205" s="3" t="inlineStr">
        <is>
          <t>Lan</t>
        </is>
      </c>
      <c r="F3205" s="3" t="inlineStr">
        <is>
          <t>Website bán hàng</t>
        </is>
      </c>
      <c r="G3205" s="4" t="inlineStr">
        <is>
          <t>SHOPEE: TIKTOK: LAZADA: WEBSITE BÁN HÀNG: https://sieuthikimkhihungthinh.vn/admin-at5</t>
        </is>
      </c>
      <c r="H3205" s="3" t="inlineStr">
        <is>
          <t>KS1-250</t>
        </is>
      </c>
      <c r="I3205" s="4" t="inlineStr">
        <is>
          <t>Kìm chết KS1-250</t>
        </is>
      </c>
      <c r="J3205" s="3" t="inlineStr">
        <is>
          <t>Cái</t>
        </is>
      </c>
      <c r="K3205" s="5" t="n">
        <v>132000</v>
      </c>
      <c r="L3205" s="5" t="n">
        <v>156000</v>
      </c>
      <c r="M3205" s="6" t="n">
        <v>191000</v>
      </c>
      <c r="N3205" s="5" t="n"/>
      <c r="O3205" s="5">
        <f>IF(AND(ISNUMBER(N3205),ISNUMBER(M3205)),N3205-M3205,"")</f>
        <v/>
      </c>
      <c r="P3205" s="7">
        <f>IF(AND(ISNUMBER(N3205),ISNUMBER(M3205),M3205&gt;0),(N3205-M3205)/M3205,"")</f>
        <v/>
      </c>
      <c r="Q3205" s="3">
        <f>IF(P3205="","",IF(P3205&lt;-0.02,"🔴 Bán phá giá sàn",IF(P3205&gt;0.05,"🔵 Bán cao hơn","🟢 Đúng giá sàn TMĐT")))</f>
        <v/>
      </c>
      <c r="R3205" s="3" t="n"/>
      <c r="S3205" s="4" t="n"/>
      <c r="T3205" s="4" t="n"/>
    </row>
    <row r="3206">
      <c r="A3206" s="3" t="n">
        <v>3205</v>
      </c>
      <c r="B3206" s="3" t="inlineStr">
        <is>
          <t>DL030</t>
        </is>
      </c>
      <c r="C3206" s="4" t="inlineStr">
        <is>
          <t>Siêu thị Hưng Thịnh</t>
        </is>
      </c>
      <c r="D3206" s="3" t="inlineStr">
        <is>
          <t>HN</t>
        </is>
      </c>
      <c r="E3206" s="3" t="inlineStr">
        <is>
          <t>Lan</t>
        </is>
      </c>
      <c r="F3206" s="3" t="inlineStr">
        <is>
          <t>Website bán hàng</t>
        </is>
      </c>
      <c r="G3206" s="4" t="inlineStr">
        <is>
          <t>SHOPEE: TIKTOK: LAZADA: WEBSITE BÁN HÀNG: https://sieuthikimkhihungthinh.vn/admin-at5</t>
        </is>
      </c>
      <c r="H3206" s="3" t="inlineStr">
        <is>
          <t>KS2-250</t>
        </is>
      </c>
      <c r="I3206" s="4" t="inlineStr">
        <is>
          <t>Kìm chết KS2-250</t>
        </is>
      </c>
      <c r="J3206" s="3" t="inlineStr">
        <is>
          <t>Cái</t>
        </is>
      </c>
      <c r="K3206" s="5" t="n">
        <v>149000</v>
      </c>
      <c r="L3206" s="5" t="n">
        <v>176000</v>
      </c>
      <c r="M3206" s="6" t="n">
        <v>216000</v>
      </c>
      <c r="N3206" s="5" t="n"/>
      <c r="O3206" s="5">
        <f>IF(AND(ISNUMBER(N3206),ISNUMBER(M3206)),N3206-M3206,"")</f>
        <v/>
      </c>
      <c r="P3206" s="7">
        <f>IF(AND(ISNUMBER(N3206),ISNUMBER(M3206),M3206&gt;0),(N3206-M3206)/M3206,"")</f>
        <v/>
      </c>
      <c r="Q3206" s="3">
        <f>IF(P3206="","",IF(P3206&lt;-0.02,"🔴 Bán phá giá sàn",IF(P3206&gt;0.05,"🔵 Bán cao hơn","🟢 Đúng giá sàn TMĐT")))</f>
        <v/>
      </c>
      <c r="R3206" s="3" t="n"/>
      <c r="S3206" s="4" t="n"/>
      <c r="T3206" s="4" t="n"/>
    </row>
    <row r="3207">
      <c r="A3207" s="3" t="n">
        <v>3206</v>
      </c>
      <c r="B3207" s="3" t="inlineStr">
        <is>
          <t>DL030</t>
        </is>
      </c>
      <c r="C3207" s="4" t="inlineStr">
        <is>
          <t>Siêu thị Hưng Thịnh</t>
        </is>
      </c>
      <c r="D3207" s="3" t="inlineStr">
        <is>
          <t>HN</t>
        </is>
      </c>
      <c r="E3207" s="3" t="inlineStr">
        <is>
          <t>Lan</t>
        </is>
      </c>
      <c r="F3207" s="3" t="inlineStr">
        <is>
          <t>Website bán hàng</t>
        </is>
      </c>
      <c r="G3207" s="4" t="inlineStr">
        <is>
          <t>SHOPEE: TIKTOK: LAZADA: WEBSITE BÁN HÀNG: https://sieuthikimkhihungthinh.vn/admin-at5</t>
        </is>
      </c>
      <c r="H3207" s="3" t="inlineStr">
        <is>
          <t>KS5-254</t>
        </is>
      </c>
      <c r="I3207" s="4" t="inlineStr">
        <is>
          <t>Kìm chết mỏ dẹt KS5-254</t>
        </is>
      </c>
      <c r="J3207" s="3" t="inlineStr">
        <is>
          <t>Cái</t>
        </is>
      </c>
      <c r="K3207" s="5" t="n">
        <v>176000</v>
      </c>
      <c r="L3207" s="5" t="n">
        <v>208000</v>
      </c>
      <c r="M3207" s="6" t="n">
        <v>255000</v>
      </c>
      <c r="N3207" s="5" t="n"/>
      <c r="O3207" s="5">
        <f>IF(AND(ISNUMBER(N3207),ISNUMBER(M3207)),N3207-M3207,"")</f>
        <v/>
      </c>
      <c r="P3207" s="7">
        <f>IF(AND(ISNUMBER(N3207),ISNUMBER(M3207),M3207&gt;0),(N3207-M3207)/M3207,"")</f>
        <v/>
      </c>
      <c r="Q3207" s="3">
        <f>IF(P3207="","",IF(P3207&lt;-0.02,"🔴 Bán phá giá sàn",IF(P3207&gt;0.05,"🔵 Bán cao hơn","🟢 Đúng giá sàn TMĐT")))</f>
        <v/>
      </c>
      <c r="R3207" s="3" t="n"/>
      <c r="S3207" s="4" t="n"/>
      <c r="T3207" s="4" t="n"/>
    </row>
    <row r="3208">
      <c r="A3208" s="3" t="n">
        <v>3207</v>
      </c>
      <c r="B3208" s="3" t="inlineStr">
        <is>
          <t>DL030</t>
        </is>
      </c>
      <c r="C3208" s="4" t="inlineStr">
        <is>
          <t>Siêu thị Hưng Thịnh</t>
        </is>
      </c>
      <c r="D3208" s="3" t="inlineStr">
        <is>
          <t>HN</t>
        </is>
      </c>
      <c r="E3208" s="3" t="inlineStr">
        <is>
          <t>Lan</t>
        </is>
      </c>
      <c r="F3208" s="3" t="inlineStr">
        <is>
          <t>Website bán hàng</t>
        </is>
      </c>
      <c r="G3208" s="4" t="inlineStr">
        <is>
          <t>SHOPEE: TIKTOK: LAZADA: WEBSITE BÁN HÀNG: https://sieuthikimkhihungthinh.vn/admin-at5</t>
        </is>
      </c>
      <c r="H3208" s="3" t="inlineStr">
        <is>
          <t>KS-216</t>
        </is>
      </c>
      <c r="I3208" s="4" t="inlineStr">
        <is>
          <t>Kìm chết mỏ nhọn KS-216</t>
        </is>
      </c>
      <c r="J3208" s="3" t="inlineStr">
        <is>
          <t>Cái</t>
        </is>
      </c>
      <c r="K3208" s="5" t="n">
        <v>132000</v>
      </c>
      <c r="L3208" s="5" t="n">
        <v>156000</v>
      </c>
      <c r="M3208" s="6" t="n">
        <v>191000</v>
      </c>
      <c r="N3208" s="5" t="n"/>
      <c r="O3208" s="5">
        <f>IF(AND(ISNUMBER(N3208),ISNUMBER(M3208)),N3208-M3208,"")</f>
        <v/>
      </c>
      <c r="P3208" s="7">
        <f>IF(AND(ISNUMBER(N3208),ISNUMBER(M3208),M3208&gt;0),(N3208-M3208)/M3208,"")</f>
        <v/>
      </c>
      <c r="Q3208" s="3">
        <f>IF(P3208="","",IF(P3208&lt;-0.02,"🔴 Bán phá giá sàn",IF(P3208&gt;0.05,"🔵 Bán cao hơn","🟢 Đúng giá sàn TMĐT")))</f>
        <v/>
      </c>
      <c r="R3208" s="3" t="n"/>
      <c r="S3208" s="4" t="n"/>
      <c r="T3208" s="4" t="n"/>
    </row>
    <row r="3209">
      <c r="A3209" s="3" t="n">
        <v>3208</v>
      </c>
      <c r="B3209" s="3" t="inlineStr">
        <is>
          <t>DL030</t>
        </is>
      </c>
      <c r="C3209" s="4" t="inlineStr">
        <is>
          <t>Siêu thị Hưng Thịnh</t>
        </is>
      </c>
      <c r="D3209" s="3" t="inlineStr">
        <is>
          <t>HN</t>
        </is>
      </c>
      <c r="E3209" s="3" t="inlineStr">
        <is>
          <t>Lan</t>
        </is>
      </c>
      <c r="F3209" s="3" t="inlineStr">
        <is>
          <t>Website bán hàng</t>
        </is>
      </c>
      <c r="G3209" s="4" t="inlineStr">
        <is>
          <t>SHOPEE: TIKTOK: LAZADA: WEBSITE BÁN HÀNG: https://sieuthikimkhihungthinh.vn/admin-at5</t>
        </is>
      </c>
      <c r="H3209" s="3" t="inlineStr">
        <is>
          <t>KS4-260</t>
        </is>
      </c>
      <c r="I3209" s="4" t="inlineStr">
        <is>
          <t>Kìm chết ngàm rộng 4 chế độ KS4-260</t>
        </is>
      </c>
      <c r="J3209" s="3" t="inlineStr">
        <is>
          <t>Cái</t>
        </is>
      </c>
      <c r="K3209" s="5" t="n">
        <v>270000</v>
      </c>
      <c r="L3209" s="5" t="n">
        <v>319000</v>
      </c>
      <c r="M3209" s="6" t="n">
        <v>392000</v>
      </c>
      <c r="N3209" s="5" t="n"/>
      <c r="O3209" s="5">
        <f>IF(AND(ISNUMBER(N3209),ISNUMBER(M3209)),N3209-M3209,"")</f>
        <v/>
      </c>
      <c r="P3209" s="7">
        <f>IF(AND(ISNUMBER(N3209),ISNUMBER(M3209),M3209&gt;0),(N3209-M3209)/M3209,"")</f>
        <v/>
      </c>
      <c r="Q3209" s="3">
        <f>IF(P3209="","",IF(P3209&lt;-0.02,"🔴 Bán phá giá sàn",IF(P3209&gt;0.05,"🔵 Bán cao hơn","🟢 Đúng giá sàn TMĐT")))</f>
        <v/>
      </c>
      <c r="R3209" s="3" t="n"/>
      <c r="S3209" s="4" t="n"/>
      <c r="T3209" s="4" t="n"/>
    </row>
    <row r="3210">
      <c r="A3210" s="3" t="n">
        <v>3209</v>
      </c>
      <c r="B3210" s="3" t="inlineStr">
        <is>
          <t>DL030</t>
        </is>
      </c>
      <c r="C3210" s="4" t="inlineStr">
        <is>
          <t>Siêu thị Hưng Thịnh</t>
        </is>
      </c>
      <c r="D3210" s="3" t="inlineStr">
        <is>
          <t>HN</t>
        </is>
      </c>
      <c r="E3210" s="3" t="inlineStr">
        <is>
          <t>Lan</t>
        </is>
      </c>
      <c r="F3210" s="3" t="inlineStr">
        <is>
          <t>Website bán hàng</t>
        </is>
      </c>
      <c r="G3210" s="4" t="inlineStr">
        <is>
          <t>SHOPEE: TIKTOK: LAZADA: WEBSITE BÁN HÀNG: https://sieuthikimkhihungthinh.vn/admin-at5</t>
        </is>
      </c>
      <c r="H3210" s="3" t="inlineStr">
        <is>
          <t>KS3-305</t>
        </is>
      </c>
      <c r="I3210" s="4" t="inlineStr">
        <is>
          <t>Kìm chết ngàm rộng KS3-305</t>
        </is>
      </c>
      <c r="J3210" s="3" t="inlineStr">
        <is>
          <t>Cái</t>
        </is>
      </c>
      <c r="K3210" s="5" t="n">
        <v>352000</v>
      </c>
      <c r="L3210" s="5" t="n">
        <v>415000</v>
      </c>
      <c r="M3210" s="6" t="n">
        <v>510000</v>
      </c>
      <c r="N3210" s="5" t="n"/>
      <c r="O3210" s="5">
        <f>IF(AND(ISNUMBER(N3210),ISNUMBER(M3210)),N3210-M3210,"")</f>
        <v/>
      </c>
      <c r="P3210" s="7">
        <f>IF(AND(ISNUMBER(N3210),ISNUMBER(M3210),M3210&gt;0),(N3210-M3210)/M3210,"")</f>
        <v/>
      </c>
      <c r="Q3210" s="3">
        <f>IF(P3210="","",IF(P3210&lt;-0.02,"🔴 Bán phá giá sàn",IF(P3210&gt;0.05,"🔵 Bán cao hơn","🟢 Đúng giá sàn TMĐT")))</f>
        <v/>
      </c>
      <c r="R3210" s="3" t="n"/>
      <c r="S3210" s="4" t="n"/>
      <c r="T3210" s="4" t="n"/>
    </row>
    <row r="3211">
      <c r="A3211" s="3" t="n">
        <v>3210</v>
      </c>
      <c r="B3211" s="3" t="inlineStr">
        <is>
          <t>DL030</t>
        </is>
      </c>
      <c r="C3211" s="4" t="inlineStr">
        <is>
          <t>Siêu thị Hưng Thịnh</t>
        </is>
      </c>
      <c r="D3211" s="3" t="inlineStr">
        <is>
          <t>HN</t>
        </is>
      </c>
      <c r="E3211" s="3" t="inlineStr">
        <is>
          <t>Lan</t>
        </is>
      </c>
      <c r="F3211" s="3" t="inlineStr">
        <is>
          <t>Website bán hàng</t>
        </is>
      </c>
      <c r="G3211" s="4" t="inlineStr">
        <is>
          <t>SHOPEE: TIKTOK: LAZADA: WEBSITE BÁN HÀNG: https://sieuthikimkhihungthinh.vn/admin-at5</t>
        </is>
      </c>
      <c r="H3211" s="3" t="inlineStr">
        <is>
          <t>KS3-208</t>
        </is>
      </c>
      <c r="I3211" s="4" t="inlineStr">
        <is>
          <t>Kìm chữ C KS3-208</t>
        </is>
      </c>
      <c r="J3211" s="3" t="inlineStr">
        <is>
          <t>Cái</t>
        </is>
      </c>
      <c r="K3211" s="5" t="n">
        <v>132000</v>
      </c>
      <c r="L3211" s="5" t="n">
        <v>156000</v>
      </c>
      <c r="M3211" s="6" t="n">
        <v>191000</v>
      </c>
      <c r="N3211" s="5" t="n"/>
      <c r="O3211" s="5">
        <f>IF(AND(ISNUMBER(N3211),ISNUMBER(M3211)),N3211-M3211,"")</f>
        <v/>
      </c>
      <c r="P3211" s="7">
        <f>IF(AND(ISNUMBER(N3211),ISNUMBER(M3211),M3211&gt;0),(N3211-M3211)/M3211,"")</f>
        <v/>
      </c>
      <c r="Q3211" s="3">
        <f>IF(P3211="","",IF(P3211&lt;-0.02,"🔴 Bán phá giá sàn",IF(P3211&gt;0.05,"🔵 Bán cao hơn","🟢 Đúng giá sàn TMĐT")))</f>
        <v/>
      </c>
      <c r="R3211" s="3" t="n"/>
      <c r="S3211" s="4" t="n"/>
      <c r="T3211" s="4" t="n"/>
    </row>
    <row r="3212">
      <c r="A3212" s="3" t="n">
        <v>3211</v>
      </c>
      <c r="B3212" s="3" t="inlineStr">
        <is>
          <t>DL030</t>
        </is>
      </c>
      <c r="C3212" s="4" t="inlineStr">
        <is>
          <t>Siêu thị Hưng Thịnh</t>
        </is>
      </c>
      <c r="D3212" s="3" t="inlineStr">
        <is>
          <t>HN</t>
        </is>
      </c>
      <c r="E3212" s="3" t="inlineStr">
        <is>
          <t>Lan</t>
        </is>
      </c>
      <c r="F3212" s="3" t="inlineStr">
        <is>
          <t>Website bán hàng</t>
        </is>
      </c>
      <c r="G3212" s="4" t="inlineStr">
        <is>
          <t>SHOPEE: TIKTOK: LAZADA: WEBSITE BÁN HÀNG: https://sieuthikimkhihungthinh.vn/admin-at5</t>
        </is>
      </c>
      <c r="H3212" s="3" t="inlineStr">
        <is>
          <t>KCL-1050</t>
        </is>
      </c>
      <c r="I3212" s="4" t="inlineStr">
        <is>
          <t>Kìm cộng lực KCL-1050</t>
        </is>
      </c>
      <c r="J3212" s="3" t="inlineStr">
        <is>
          <t>Cái</t>
        </is>
      </c>
      <c r="K3212" s="5" t="n">
        <v>1232000</v>
      </c>
      <c r="L3212" s="5" t="n">
        <v>1454000</v>
      </c>
      <c r="M3212" s="6" t="n">
        <v>1786000</v>
      </c>
      <c r="N3212" s="5" t="n"/>
      <c r="O3212" s="5">
        <f>IF(AND(ISNUMBER(N3212),ISNUMBER(M3212)),N3212-M3212,"")</f>
        <v/>
      </c>
      <c r="P3212" s="7">
        <f>IF(AND(ISNUMBER(N3212),ISNUMBER(M3212),M3212&gt;0),(N3212-M3212)/M3212,"")</f>
        <v/>
      </c>
      <c r="Q3212" s="3">
        <f>IF(P3212="","",IF(P3212&lt;-0.02,"🔴 Bán phá giá sàn",IF(P3212&gt;0.05,"🔵 Bán cao hơn","🟢 Đúng giá sàn TMĐT")))</f>
        <v/>
      </c>
      <c r="R3212" s="3" t="n"/>
      <c r="S3212" s="4" t="n"/>
      <c r="T3212" s="4" t="n"/>
    </row>
    <row r="3213">
      <c r="A3213" s="3" t="n">
        <v>3212</v>
      </c>
      <c r="B3213" s="3" t="inlineStr">
        <is>
          <t>DL030</t>
        </is>
      </c>
      <c r="C3213" s="4" t="inlineStr">
        <is>
          <t>Siêu thị Hưng Thịnh</t>
        </is>
      </c>
      <c r="D3213" s="3" t="inlineStr">
        <is>
          <t>HN</t>
        </is>
      </c>
      <c r="E3213" s="3" t="inlineStr">
        <is>
          <t>Lan</t>
        </is>
      </c>
      <c r="F3213" s="3" t="inlineStr">
        <is>
          <t>Website bán hàng</t>
        </is>
      </c>
      <c r="G3213" s="4" t="inlineStr">
        <is>
          <t>SHOPEE: TIKTOK: LAZADA: WEBSITE BÁN HÀNG: https://sieuthikimkhihungthinh.vn/admin-at5</t>
        </is>
      </c>
      <c r="H3213" s="3" t="inlineStr">
        <is>
          <t>KCL-350</t>
        </is>
      </c>
      <c r="I3213" s="4" t="inlineStr">
        <is>
          <t>Kìm cộng lực KCL-350</t>
        </is>
      </c>
      <c r="J3213" s="3" t="inlineStr">
        <is>
          <t>Cái</t>
        </is>
      </c>
      <c r="K3213" s="5" t="n">
        <v>253000</v>
      </c>
      <c r="L3213" s="5" t="n">
        <v>299000</v>
      </c>
      <c r="M3213" s="6" t="n">
        <v>367000</v>
      </c>
      <c r="N3213" s="5" t="n"/>
      <c r="O3213" s="5">
        <f>IF(AND(ISNUMBER(N3213),ISNUMBER(M3213)),N3213-M3213,"")</f>
        <v/>
      </c>
      <c r="P3213" s="7">
        <f>IF(AND(ISNUMBER(N3213),ISNUMBER(M3213),M3213&gt;0),(N3213-M3213)/M3213,"")</f>
        <v/>
      </c>
      <c r="Q3213" s="3">
        <f>IF(P3213="","",IF(P3213&lt;-0.02,"🔴 Bán phá giá sàn",IF(P3213&gt;0.05,"🔵 Bán cao hơn","🟢 Đúng giá sàn TMĐT")))</f>
        <v/>
      </c>
      <c r="R3213" s="3" t="n"/>
      <c r="S3213" s="4" t="n"/>
      <c r="T3213" s="4" t="n"/>
    </row>
    <row r="3214">
      <c r="A3214" s="3" t="n">
        <v>3213</v>
      </c>
      <c r="B3214" s="3" t="inlineStr">
        <is>
          <t>DL030</t>
        </is>
      </c>
      <c r="C3214" s="4" t="inlineStr">
        <is>
          <t>Siêu thị Hưng Thịnh</t>
        </is>
      </c>
      <c r="D3214" s="3" t="inlineStr">
        <is>
          <t>HN</t>
        </is>
      </c>
      <c r="E3214" s="3" t="inlineStr">
        <is>
          <t>Lan</t>
        </is>
      </c>
      <c r="F3214" s="3" t="inlineStr">
        <is>
          <t>Website bán hàng</t>
        </is>
      </c>
      <c r="G3214" s="4" t="inlineStr">
        <is>
          <t>SHOPEE: TIKTOK: LAZADA: WEBSITE BÁN HÀNG: https://sieuthikimkhihungthinh.vn/admin-at5</t>
        </is>
      </c>
      <c r="H3214" s="3" t="inlineStr">
        <is>
          <t>KCL-450</t>
        </is>
      </c>
      <c r="I3214" s="4" t="inlineStr">
        <is>
          <t>Kìm cộng lực KCL-450</t>
        </is>
      </c>
      <c r="J3214" s="3" t="inlineStr">
        <is>
          <t>Cái</t>
        </is>
      </c>
      <c r="K3214" s="5" t="n">
        <v>319000</v>
      </c>
      <c r="L3214" s="5" t="n">
        <v>377000</v>
      </c>
      <c r="M3214" s="6" t="n">
        <v>463000</v>
      </c>
      <c r="N3214" s="5" t="n"/>
      <c r="O3214" s="5">
        <f>IF(AND(ISNUMBER(N3214),ISNUMBER(M3214)),N3214-M3214,"")</f>
        <v/>
      </c>
      <c r="P3214" s="7">
        <f>IF(AND(ISNUMBER(N3214),ISNUMBER(M3214),M3214&gt;0),(N3214-M3214)/M3214,"")</f>
        <v/>
      </c>
      <c r="Q3214" s="3">
        <f>IF(P3214="","",IF(P3214&lt;-0.02,"🔴 Bán phá giá sàn",IF(P3214&gt;0.05,"🔵 Bán cao hơn","🟢 Đúng giá sàn TMĐT")))</f>
        <v/>
      </c>
      <c r="R3214" s="3" t="n"/>
      <c r="S3214" s="4" t="n"/>
      <c r="T3214" s="4" t="n"/>
    </row>
    <row r="3215">
      <c r="A3215" s="3" t="n">
        <v>3214</v>
      </c>
      <c r="B3215" s="3" t="inlineStr">
        <is>
          <t>DL030</t>
        </is>
      </c>
      <c r="C3215" s="4" t="inlineStr">
        <is>
          <t>Siêu thị Hưng Thịnh</t>
        </is>
      </c>
      <c r="D3215" s="3" t="inlineStr">
        <is>
          <t>HN</t>
        </is>
      </c>
      <c r="E3215" s="3" t="inlineStr">
        <is>
          <t>Lan</t>
        </is>
      </c>
      <c r="F3215" s="3" t="inlineStr">
        <is>
          <t>Website bán hàng</t>
        </is>
      </c>
      <c r="G3215" s="4" t="inlineStr">
        <is>
          <t>SHOPEE: TIKTOK: LAZADA: WEBSITE BÁN HÀNG: https://sieuthikimkhihungthinh.vn/admin-at5</t>
        </is>
      </c>
      <c r="H3215" s="3" t="inlineStr">
        <is>
          <t>KCL-750</t>
        </is>
      </c>
      <c r="I3215" s="4" t="inlineStr">
        <is>
          <t>Kìm cộng lực KCL-750</t>
        </is>
      </c>
      <c r="J3215" s="3" t="inlineStr">
        <is>
          <t>Cái</t>
        </is>
      </c>
      <c r="K3215" s="5" t="n">
        <v>622000</v>
      </c>
      <c r="L3215" s="5" t="n">
        <v>734000</v>
      </c>
      <c r="M3215" s="6" t="n">
        <v>902000</v>
      </c>
      <c r="N3215" s="5" t="n"/>
      <c r="O3215" s="5">
        <f>IF(AND(ISNUMBER(N3215),ISNUMBER(M3215)),N3215-M3215,"")</f>
        <v/>
      </c>
      <c r="P3215" s="7">
        <f>IF(AND(ISNUMBER(N3215),ISNUMBER(M3215),M3215&gt;0),(N3215-M3215)/M3215,"")</f>
        <v/>
      </c>
      <c r="Q3215" s="3">
        <f>IF(P3215="","",IF(P3215&lt;-0.02,"🔴 Bán phá giá sàn",IF(P3215&gt;0.05,"🔵 Bán cao hơn","🟢 Đúng giá sàn TMĐT")))</f>
        <v/>
      </c>
      <c r="R3215" s="3" t="n"/>
      <c r="S3215" s="4" t="n"/>
      <c r="T3215" s="4" t="n"/>
    </row>
    <row r="3216">
      <c r="A3216" s="3" t="n">
        <v>3215</v>
      </c>
      <c r="B3216" s="3" t="inlineStr">
        <is>
          <t>DL030</t>
        </is>
      </c>
      <c r="C3216" s="4" t="inlineStr">
        <is>
          <t>Siêu thị Hưng Thịnh</t>
        </is>
      </c>
      <c r="D3216" s="3" t="inlineStr">
        <is>
          <t>HN</t>
        </is>
      </c>
      <c r="E3216" s="3" t="inlineStr">
        <is>
          <t>Lan</t>
        </is>
      </c>
      <c r="F3216" s="3" t="inlineStr">
        <is>
          <t>Website bán hàng</t>
        </is>
      </c>
      <c r="G3216" s="4" t="inlineStr">
        <is>
          <t>SHOPEE: TIKTOK: LAZADA: WEBSITE BÁN HÀNG: https://sieuthikimkhihungthinh.vn/admin-at5</t>
        </is>
      </c>
      <c r="H3216" s="3" t="inlineStr">
        <is>
          <t>KCL-900</t>
        </is>
      </c>
      <c r="I3216" s="4" t="inlineStr">
        <is>
          <t>Kìm cộng lực KCL-900</t>
        </is>
      </c>
      <c r="J3216" s="3" t="inlineStr">
        <is>
          <t>Cái</t>
        </is>
      </c>
      <c r="K3216" s="5" t="n">
        <v>858000</v>
      </c>
      <c r="L3216" s="5" t="n">
        <v>1012000</v>
      </c>
      <c r="M3216" s="6" t="n">
        <v>1244000</v>
      </c>
      <c r="N3216" s="5" t="n"/>
      <c r="O3216" s="5">
        <f>IF(AND(ISNUMBER(N3216),ISNUMBER(M3216)),N3216-M3216,"")</f>
        <v/>
      </c>
      <c r="P3216" s="7">
        <f>IF(AND(ISNUMBER(N3216),ISNUMBER(M3216),M3216&gt;0),(N3216-M3216)/M3216,"")</f>
        <v/>
      </c>
      <c r="Q3216" s="3">
        <f>IF(P3216="","",IF(P3216&lt;-0.02,"🔴 Bán phá giá sàn",IF(P3216&gt;0.05,"🔵 Bán cao hơn","🟢 Đúng giá sàn TMĐT")))</f>
        <v/>
      </c>
      <c r="R3216" s="3" t="n"/>
      <c r="S3216" s="4" t="n"/>
      <c r="T3216" s="4" t="n"/>
    </row>
    <row r="3217">
      <c r="A3217" s="3" t="n">
        <v>3216</v>
      </c>
      <c r="B3217" s="3" t="inlineStr">
        <is>
          <t>DL030</t>
        </is>
      </c>
      <c r="C3217" s="4" t="inlineStr">
        <is>
          <t>Siêu thị Hưng Thịnh</t>
        </is>
      </c>
      <c r="D3217" s="3" t="inlineStr">
        <is>
          <t>HN</t>
        </is>
      </c>
      <c r="E3217" s="3" t="inlineStr">
        <is>
          <t>Lan</t>
        </is>
      </c>
      <c r="F3217" s="3" t="inlineStr">
        <is>
          <t>Website bán hàng</t>
        </is>
      </c>
      <c r="G3217" s="4" t="inlineStr">
        <is>
          <t>SHOPEE: TIKTOK: LAZADA: WEBSITE BÁN HÀNG: https://sieuthikimkhihungthinh.vn/admin-at5</t>
        </is>
      </c>
      <c r="H3217" s="3" t="inlineStr">
        <is>
          <t>KC1-09</t>
        </is>
      </c>
      <c r="I3217" s="4" t="inlineStr">
        <is>
          <t>Kìm điện đa năng KC1-09</t>
        </is>
      </c>
      <c r="J3217" s="3" t="inlineStr">
        <is>
          <t>Cái</t>
        </is>
      </c>
      <c r="K3217" s="5" t="n">
        <v>127000</v>
      </c>
      <c r="L3217" s="5" t="n">
        <v>150000</v>
      </c>
      <c r="M3217" s="6" t="n">
        <v>184000</v>
      </c>
      <c r="N3217" s="5" t="n"/>
      <c r="O3217" s="5">
        <f>IF(AND(ISNUMBER(N3217),ISNUMBER(M3217)),N3217-M3217,"")</f>
        <v/>
      </c>
      <c r="P3217" s="7">
        <f>IF(AND(ISNUMBER(N3217),ISNUMBER(M3217),M3217&gt;0),(N3217-M3217)/M3217,"")</f>
        <v/>
      </c>
      <c r="Q3217" s="3">
        <f>IF(P3217="","",IF(P3217&lt;-0.02,"🔴 Bán phá giá sàn",IF(P3217&gt;0.05,"🔵 Bán cao hơn","🟢 Đúng giá sàn TMĐT")))</f>
        <v/>
      </c>
      <c r="R3217" s="3" t="n"/>
      <c r="S3217" s="4" t="n"/>
      <c r="T3217" s="4" t="n"/>
    </row>
    <row r="3218">
      <c r="A3218" s="3" t="n">
        <v>3217</v>
      </c>
      <c r="B3218" s="3" t="inlineStr">
        <is>
          <t>DL030</t>
        </is>
      </c>
      <c r="C3218" s="4" t="inlineStr">
        <is>
          <t>Siêu thị Hưng Thịnh</t>
        </is>
      </c>
      <c r="D3218" s="3" t="inlineStr">
        <is>
          <t>HN</t>
        </is>
      </c>
      <c r="E3218" s="3" t="inlineStr">
        <is>
          <t>Lan</t>
        </is>
      </c>
      <c r="F3218" s="3" t="inlineStr">
        <is>
          <t>Website bán hàng</t>
        </is>
      </c>
      <c r="G3218" s="4" t="inlineStr">
        <is>
          <t>SHOPEE: TIKTOK: LAZADA: WEBSITE BÁN HÀNG: https://sieuthikimkhihungthinh.vn/admin-at5</t>
        </is>
      </c>
      <c r="H3218" s="3" t="inlineStr">
        <is>
          <t>KC1-06</t>
        </is>
      </c>
      <c r="I3218" s="4" t="inlineStr">
        <is>
          <t>Kìm điện KC1-06</t>
        </is>
      </c>
      <c r="J3218" s="3" t="inlineStr">
        <is>
          <t>Cái</t>
        </is>
      </c>
      <c r="K3218" s="5" t="n">
        <v>269000</v>
      </c>
      <c r="L3218" s="5" t="n">
        <v>317000</v>
      </c>
      <c r="M3218" s="6" t="n">
        <v>390000</v>
      </c>
      <c r="N3218" s="5" t="n"/>
      <c r="O3218" s="5">
        <f>IF(AND(ISNUMBER(N3218),ISNUMBER(M3218)),N3218-M3218,"")</f>
        <v/>
      </c>
      <c r="P3218" s="7">
        <f>IF(AND(ISNUMBER(N3218),ISNUMBER(M3218),M3218&gt;0),(N3218-M3218)/M3218,"")</f>
        <v/>
      </c>
      <c r="Q3218" s="3">
        <f>IF(P3218="","",IF(P3218&lt;-0.02,"🔴 Bán phá giá sàn",IF(P3218&gt;0.05,"🔵 Bán cao hơn","🟢 Đúng giá sàn TMĐT")))</f>
        <v/>
      </c>
      <c r="R3218" s="3" t="n"/>
      <c r="S3218" s="4" t="n"/>
      <c r="T3218" s="4" t="n"/>
    </row>
    <row r="3219">
      <c r="A3219" s="3" t="n">
        <v>3218</v>
      </c>
      <c r="B3219" s="3" t="inlineStr">
        <is>
          <t>DL030</t>
        </is>
      </c>
      <c r="C3219" s="4" t="inlineStr">
        <is>
          <t>Siêu thị Hưng Thịnh</t>
        </is>
      </c>
      <c r="D3219" s="3" t="inlineStr">
        <is>
          <t>HN</t>
        </is>
      </c>
      <c r="E3219" s="3" t="inlineStr">
        <is>
          <t>Lan</t>
        </is>
      </c>
      <c r="F3219" s="3" t="inlineStr">
        <is>
          <t>Website bán hàng</t>
        </is>
      </c>
      <c r="G3219" s="4" t="inlineStr">
        <is>
          <t>SHOPEE: TIKTOK: LAZADA: WEBSITE BÁN HÀNG: https://sieuthikimkhihungthinh.vn/admin-at5</t>
        </is>
      </c>
      <c r="H3219" s="3" t="inlineStr">
        <is>
          <t>KC1-08</t>
        </is>
      </c>
      <c r="I3219" s="4" t="inlineStr">
        <is>
          <t>Kìm điện KC1-08</t>
        </is>
      </c>
      <c r="J3219" s="3" t="inlineStr">
        <is>
          <t>Cái</t>
        </is>
      </c>
      <c r="K3219" s="5" t="n">
        <v>109000</v>
      </c>
      <c r="L3219" s="5" t="n">
        <v>129000</v>
      </c>
      <c r="M3219" s="6" t="n">
        <v>158000</v>
      </c>
      <c r="N3219" s="5" t="n"/>
      <c r="O3219" s="5">
        <f>IF(AND(ISNUMBER(N3219),ISNUMBER(M3219)),N3219-M3219,"")</f>
        <v/>
      </c>
      <c r="P3219" s="7">
        <f>IF(AND(ISNUMBER(N3219),ISNUMBER(M3219),M3219&gt;0),(N3219-M3219)/M3219,"")</f>
        <v/>
      </c>
      <c r="Q3219" s="3">
        <f>IF(P3219="","",IF(P3219&lt;-0.02,"🔴 Bán phá giá sàn",IF(P3219&gt;0.05,"🔵 Bán cao hơn","🟢 Đúng giá sàn TMĐT")))</f>
        <v/>
      </c>
      <c r="R3219" s="3" t="n"/>
      <c r="S3219" s="4" t="n"/>
      <c r="T3219" s="4" t="n"/>
    </row>
    <row r="3220">
      <c r="A3220" s="3" t="n">
        <v>3219</v>
      </c>
      <c r="B3220" s="3" t="inlineStr">
        <is>
          <t>DL030</t>
        </is>
      </c>
      <c r="C3220" s="4" t="inlineStr">
        <is>
          <t>Siêu thị Hưng Thịnh</t>
        </is>
      </c>
      <c r="D3220" s="3" t="inlineStr">
        <is>
          <t>HN</t>
        </is>
      </c>
      <c r="E3220" s="3" t="inlineStr">
        <is>
          <t>Lan</t>
        </is>
      </c>
      <c r="F3220" s="3" t="inlineStr">
        <is>
          <t>Website bán hàng</t>
        </is>
      </c>
      <c r="G3220" s="4" t="inlineStr">
        <is>
          <t>SHOPEE: TIKTOK: LAZADA: WEBSITE BÁN HÀNG: https://sieuthikimkhihungthinh.vn/admin-at5</t>
        </is>
      </c>
      <c r="H3220" s="3" t="inlineStr">
        <is>
          <t>KC4-250</t>
        </is>
      </c>
      <c r="I3220" s="4" t="inlineStr">
        <is>
          <t>Kìm mỏ quạ KC4-250</t>
        </is>
      </c>
      <c r="J3220" s="3" t="inlineStr">
        <is>
          <t>Cái</t>
        </is>
      </c>
      <c r="K3220" s="5" t="n">
        <v>152000</v>
      </c>
      <c r="L3220" s="5" t="n">
        <v>179000</v>
      </c>
      <c r="M3220" s="6" t="n">
        <v>220000</v>
      </c>
      <c r="N3220" s="5" t="n"/>
      <c r="O3220" s="5">
        <f>IF(AND(ISNUMBER(N3220),ISNUMBER(M3220)),N3220-M3220,"")</f>
        <v/>
      </c>
      <c r="P3220" s="7">
        <f>IF(AND(ISNUMBER(N3220),ISNUMBER(M3220),M3220&gt;0),(N3220-M3220)/M3220,"")</f>
        <v/>
      </c>
      <c r="Q3220" s="3">
        <f>IF(P3220="","",IF(P3220&lt;-0.02,"🔴 Bán phá giá sàn",IF(P3220&gt;0.05,"🔵 Bán cao hơn","🟢 Đúng giá sàn TMĐT")))</f>
        <v/>
      </c>
      <c r="R3220" s="3" t="n"/>
      <c r="S3220" s="4" t="n"/>
      <c r="T3220" s="4" t="n"/>
    </row>
    <row r="3221">
      <c r="A3221" s="3" t="n">
        <v>3220</v>
      </c>
      <c r="B3221" s="3" t="inlineStr">
        <is>
          <t>DL030</t>
        </is>
      </c>
      <c r="C3221" s="4" t="inlineStr">
        <is>
          <t>Siêu thị Hưng Thịnh</t>
        </is>
      </c>
      <c r="D3221" s="3" t="inlineStr">
        <is>
          <t>HN</t>
        </is>
      </c>
      <c r="E3221" s="3" t="inlineStr">
        <is>
          <t>Lan</t>
        </is>
      </c>
      <c r="F3221" s="3" t="inlineStr">
        <is>
          <t>Website bán hàng</t>
        </is>
      </c>
      <c r="G3221" s="4" t="inlineStr">
        <is>
          <t>SHOPEE: TIKTOK: LAZADA: WEBSITE BÁN HÀNG: https://sieuthikimkhihungthinh.vn/admin-at5</t>
        </is>
      </c>
      <c r="H3221" s="3" t="inlineStr">
        <is>
          <t>KC4-300</t>
        </is>
      </c>
      <c r="I3221" s="4" t="inlineStr">
        <is>
          <t>Kìm mỏ quạ KC4-300</t>
        </is>
      </c>
      <c r="J3221" s="3" t="inlineStr">
        <is>
          <t>Cái</t>
        </is>
      </c>
      <c r="K3221" s="5" t="n">
        <v>193000</v>
      </c>
      <c r="L3221" s="5" t="n">
        <v>228000</v>
      </c>
      <c r="M3221" s="6" t="n">
        <v>280000</v>
      </c>
      <c r="N3221" s="5" t="n"/>
      <c r="O3221" s="5">
        <f>IF(AND(ISNUMBER(N3221),ISNUMBER(M3221)),N3221-M3221,"")</f>
        <v/>
      </c>
      <c r="P3221" s="7">
        <f>IF(AND(ISNUMBER(N3221),ISNUMBER(M3221),M3221&gt;0),(N3221-M3221)/M3221,"")</f>
        <v/>
      </c>
      <c r="Q3221" s="3">
        <f>IF(P3221="","",IF(P3221&lt;-0.02,"🔴 Bán phá giá sàn",IF(P3221&gt;0.05,"🔵 Bán cao hơn","🟢 Đúng giá sàn TMĐT")))</f>
        <v/>
      </c>
      <c r="R3221" s="3" t="n"/>
      <c r="S3221" s="4" t="n"/>
      <c r="T3221" s="4" t="n"/>
    </row>
    <row r="3222">
      <c r="A3222" s="3" t="n">
        <v>3221</v>
      </c>
      <c r="B3222" s="3" t="inlineStr">
        <is>
          <t>DL030</t>
        </is>
      </c>
      <c r="C3222" s="4" t="inlineStr">
        <is>
          <t>Siêu thị Hưng Thịnh</t>
        </is>
      </c>
      <c r="D3222" s="3" t="inlineStr">
        <is>
          <t>HN</t>
        </is>
      </c>
      <c r="E3222" s="3" t="inlineStr">
        <is>
          <t>Lan</t>
        </is>
      </c>
      <c r="F3222" s="3" t="inlineStr">
        <is>
          <t>Website bán hàng</t>
        </is>
      </c>
      <c r="G3222" s="4" t="inlineStr">
        <is>
          <t>SHOPEE: TIKTOK: LAZADA: WEBSITE BÁN HÀNG: https://sieuthikimkhihungthinh.vn/admin-at5</t>
        </is>
      </c>
      <c r="H3222" s="3" t="inlineStr">
        <is>
          <t>KC2-150</t>
        </is>
      </c>
      <c r="I3222" s="4" t="inlineStr">
        <is>
          <t>Kìm nhọn KC2-150</t>
        </is>
      </c>
      <c r="J3222" s="3" t="inlineStr">
        <is>
          <t>Cái</t>
        </is>
      </c>
      <c r="K3222" s="5" t="n">
        <v>91000</v>
      </c>
      <c r="L3222" s="5" t="n">
        <v>107000</v>
      </c>
      <c r="M3222" s="6" t="n">
        <v>132000</v>
      </c>
      <c r="N3222" s="5" t="n"/>
      <c r="O3222" s="5">
        <f>IF(AND(ISNUMBER(N3222),ISNUMBER(M3222)),N3222-M3222,"")</f>
        <v/>
      </c>
      <c r="P3222" s="7">
        <f>IF(AND(ISNUMBER(N3222),ISNUMBER(M3222),M3222&gt;0),(N3222-M3222)/M3222,"")</f>
        <v/>
      </c>
      <c r="Q3222" s="3">
        <f>IF(P3222="","",IF(P3222&lt;-0.02,"🔴 Bán phá giá sàn",IF(P3222&gt;0.05,"🔵 Bán cao hơn","🟢 Đúng giá sàn TMĐT")))</f>
        <v/>
      </c>
      <c r="R3222" s="3" t="n"/>
      <c r="S3222" s="4" t="n"/>
      <c r="T3222" s="4" t="n"/>
    </row>
    <row r="3223">
      <c r="A3223" s="3" t="n">
        <v>3222</v>
      </c>
      <c r="B3223" s="3" t="inlineStr">
        <is>
          <t>DL030</t>
        </is>
      </c>
      <c r="C3223" s="4" t="inlineStr">
        <is>
          <t>Siêu thị Hưng Thịnh</t>
        </is>
      </c>
      <c r="D3223" s="3" t="inlineStr">
        <is>
          <t>HN</t>
        </is>
      </c>
      <c r="E3223" s="3" t="inlineStr">
        <is>
          <t>Lan</t>
        </is>
      </c>
      <c r="F3223" s="3" t="inlineStr">
        <is>
          <t>Website bán hàng</t>
        </is>
      </c>
      <c r="G3223" s="4" t="inlineStr">
        <is>
          <t>SHOPEE: TIKTOK: LAZADA: WEBSITE BÁN HÀNG: https://sieuthikimkhihungthinh.vn/admin-at5</t>
        </is>
      </c>
      <c r="H3223" s="3" t="inlineStr">
        <is>
          <t>KND180</t>
        </is>
      </c>
      <c r="I3223" s="4" t="inlineStr">
        <is>
          <t>Kìm tuốt dây điện đa năng KND180</t>
        </is>
      </c>
      <c r="J3223" s="3" t="inlineStr">
        <is>
          <t>Cái</t>
        </is>
      </c>
      <c r="K3223" s="5" t="n">
        <v>127000</v>
      </c>
      <c r="L3223" s="5" t="n">
        <v>150000</v>
      </c>
      <c r="M3223" s="6" t="n">
        <v>184000</v>
      </c>
      <c r="N3223" s="5" t="n"/>
      <c r="O3223" s="5">
        <f>IF(AND(ISNUMBER(N3223),ISNUMBER(M3223)),N3223-M3223,"")</f>
        <v/>
      </c>
      <c r="P3223" s="7">
        <f>IF(AND(ISNUMBER(N3223),ISNUMBER(M3223),M3223&gt;0),(N3223-M3223)/M3223,"")</f>
        <v/>
      </c>
      <c r="Q3223" s="3">
        <f>IF(P3223="","",IF(P3223&lt;-0.02,"🔴 Bán phá giá sàn",IF(P3223&gt;0.05,"🔵 Bán cao hơn","🟢 Đúng giá sàn TMĐT")))</f>
        <v/>
      </c>
      <c r="R3223" s="3" t="n"/>
      <c r="S3223" s="4" t="n"/>
      <c r="T3223" s="4" t="n"/>
    </row>
    <row r="3224">
      <c r="A3224" s="3" t="n">
        <v>3223</v>
      </c>
      <c r="B3224" s="3" t="inlineStr">
        <is>
          <t>DL030</t>
        </is>
      </c>
      <c r="C3224" s="4" t="inlineStr">
        <is>
          <t>Siêu thị Hưng Thịnh</t>
        </is>
      </c>
      <c r="D3224" s="3" t="inlineStr">
        <is>
          <t>HN</t>
        </is>
      </c>
      <c r="E3224" s="3" t="inlineStr">
        <is>
          <t>Lan</t>
        </is>
      </c>
      <c r="F3224" s="3" t="inlineStr">
        <is>
          <t>Website bán hàng</t>
        </is>
      </c>
      <c r="G3224" s="4" t="inlineStr">
        <is>
          <t>SHOPEE: TIKTOK: LAZADA: WEBSITE BÁN HÀNG: https://sieuthikimkhihungthinh.vn/admin-at5</t>
        </is>
      </c>
      <c r="H3224" s="3" t="inlineStr">
        <is>
          <t>KND205</t>
        </is>
      </c>
      <c r="I3224" s="4" t="inlineStr">
        <is>
          <t>Kìm tuốt dây điện đa năng KND205</t>
        </is>
      </c>
      <c r="J3224" s="3" t="inlineStr">
        <is>
          <t>Cái</t>
        </is>
      </c>
      <c r="K3224" s="5" t="n">
        <v>160000</v>
      </c>
      <c r="L3224" s="5" t="n">
        <v>189000</v>
      </c>
      <c r="M3224" s="6" t="n">
        <v>232000</v>
      </c>
      <c r="N3224" s="5" t="n"/>
      <c r="O3224" s="5">
        <f>IF(AND(ISNUMBER(N3224),ISNUMBER(M3224)),N3224-M3224,"")</f>
        <v/>
      </c>
      <c r="P3224" s="7">
        <f>IF(AND(ISNUMBER(N3224),ISNUMBER(M3224),M3224&gt;0),(N3224-M3224)/M3224,"")</f>
        <v/>
      </c>
      <c r="Q3224" s="3">
        <f>IF(P3224="","",IF(P3224&lt;-0.02,"🔴 Bán phá giá sàn",IF(P3224&gt;0.05,"🔵 Bán cao hơn","🟢 Đúng giá sàn TMĐT")))</f>
        <v/>
      </c>
      <c r="R3224" s="3" t="n"/>
      <c r="S3224" s="4" t="n"/>
      <c r="T3224" s="4" t="n"/>
    </row>
    <row r="3225">
      <c r="A3225" s="3" t="n">
        <v>3224</v>
      </c>
      <c r="B3225" s="3" t="inlineStr">
        <is>
          <t>DL030</t>
        </is>
      </c>
      <c r="C3225" s="4" t="inlineStr">
        <is>
          <t>Siêu thị Hưng Thịnh</t>
        </is>
      </c>
      <c r="D3225" s="3" t="inlineStr">
        <is>
          <t>HN</t>
        </is>
      </c>
      <c r="E3225" s="3" t="inlineStr">
        <is>
          <t>Lan</t>
        </is>
      </c>
      <c r="F3225" s="3" t="inlineStr">
        <is>
          <t>Website bán hàng</t>
        </is>
      </c>
      <c r="G3225" s="4" t="inlineStr">
        <is>
          <t>SHOPEE: TIKTOK: LAZADA: WEBSITE BÁN HÀNG: https://sieuthikimkhihungthinh.vn/admin-at5</t>
        </is>
      </c>
      <c r="H3225" s="3" t="inlineStr">
        <is>
          <t>S4-105DN</t>
        </is>
      </c>
      <c r="I3225" s="4" t="inlineStr">
        <is>
          <t>Lưỡi cắt KingBlue S4-105DN</t>
        </is>
      </c>
      <c r="J3225" s="3" t="inlineStr">
        <is>
          <t>Cái</t>
        </is>
      </c>
      <c r="K3225" s="5" t="n">
        <v>125000</v>
      </c>
      <c r="L3225" s="5" t="n">
        <v>147000</v>
      </c>
      <c r="M3225" s="6" t="n">
        <v>181000</v>
      </c>
      <c r="N3225" s="5" t="n"/>
      <c r="O3225" s="5">
        <f>IF(AND(ISNUMBER(N3225),ISNUMBER(M3225)),N3225-M3225,"")</f>
        <v/>
      </c>
      <c r="P3225" s="7">
        <f>IF(AND(ISNUMBER(N3225),ISNUMBER(M3225),M3225&gt;0),(N3225-M3225)/M3225,"")</f>
        <v/>
      </c>
      <c r="Q3225" s="3">
        <f>IF(P3225="","",IF(P3225&lt;-0.02,"🔴 Bán phá giá sàn",IF(P3225&gt;0.05,"🔵 Bán cao hơn","🟢 Đúng giá sàn TMĐT")))</f>
        <v/>
      </c>
      <c r="R3225" s="3" t="n"/>
      <c r="S3225" s="4" t="n"/>
      <c r="T3225" s="4" t="n"/>
    </row>
    <row r="3226">
      <c r="A3226" s="3" t="n">
        <v>3225</v>
      </c>
      <c r="B3226" s="3" t="inlineStr">
        <is>
          <t>DL030</t>
        </is>
      </c>
      <c r="C3226" s="4" t="inlineStr">
        <is>
          <t>Siêu thị Hưng Thịnh</t>
        </is>
      </c>
      <c r="D3226" s="3" t="inlineStr">
        <is>
          <t>HN</t>
        </is>
      </c>
      <c r="E3226" s="3" t="inlineStr">
        <is>
          <t>Lan</t>
        </is>
      </c>
      <c r="F3226" s="3" t="inlineStr">
        <is>
          <t>Website bán hàng</t>
        </is>
      </c>
      <c r="G3226" s="4" t="inlineStr">
        <is>
          <t>SHOPEE: TIKTOK: LAZADA: WEBSITE BÁN HÀNG: https://sieuthikimkhihungthinh.vn/admin-at5</t>
        </is>
      </c>
      <c r="H3226" s="3" t="inlineStr">
        <is>
          <t>S4-125DN</t>
        </is>
      </c>
      <c r="I3226" s="4" t="inlineStr">
        <is>
          <t>Lưỡi cắt KingBlue S4-125DN</t>
        </is>
      </c>
      <c r="J3226" s="3" t="inlineStr">
        <is>
          <t>Cái</t>
        </is>
      </c>
      <c r="K3226" s="5" t="n">
        <v>150000</v>
      </c>
      <c r="L3226" s="5" t="n">
        <v>177000</v>
      </c>
      <c r="M3226" s="6" t="n">
        <v>218000</v>
      </c>
      <c r="N3226" s="5" t="n"/>
      <c r="O3226" s="5">
        <f>IF(AND(ISNUMBER(N3226),ISNUMBER(M3226)),N3226-M3226,"")</f>
        <v/>
      </c>
      <c r="P3226" s="7">
        <f>IF(AND(ISNUMBER(N3226),ISNUMBER(M3226),M3226&gt;0),(N3226-M3226)/M3226,"")</f>
        <v/>
      </c>
      <c r="Q3226" s="3">
        <f>IF(P3226="","",IF(P3226&lt;-0.02,"🔴 Bán phá giá sàn",IF(P3226&gt;0.05,"🔵 Bán cao hơn","🟢 Đúng giá sàn TMĐT")))</f>
        <v/>
      </c>
      <c r="R3226" s="3" t="n"/>
      <c r="S3226" s="4" t="n"/>
      <c r="T3226" s="4" t="n"/>
    </row>
    <row r="3227">
      <c r="A3227" s="3" t="n">
        <v>3226</v>
      </c>
      <c r="B3227" s="3" t="inlineStr">
        <is>
          <t>DL030</t>
        </is>
      </c>
      <c r="C3227" s="4" t="inlineStr">
        <is>
          <t>Siêu thị Hưng Thịnh</t>
        </is>
      </c>
      <c r="D3227" s="3" t="inlineStr">
        <is>
          <t>HN</t>
        </is>
      </c>
      <c r="E3227" s="3" t="inlineStr">
        <is>
          <t>Lan</t>
        </is>
      </c>
      <c r="F3227" s="3" t="inlineStr">
        <is>
          <t>Website bán hàng</t>
        </is>
      </c>
      <c r="G3227" s="4" t="inlineStr">
        <is>
          <t>SHOPEE: TIKTOK: LAZADA: WEBSITE BÁN HÀNG: https://sieuthikimkhihungthinh.vn/admin-at5</t>
        </is>
      </c>
      <c r="H3227" s="3" t="inlineStr">
        <is>
          <t>S4-150DN</t>
        </is>
      </c>
      <c r="I3227" s="4" t="inlineStr">
        <is>
          <t>Lưỡi cắt KingBlue S4-150DN</t>
        </is>
      </c>
      <c r="J3227" s="3" t="inlineStr">
        <is>
          <t>Cái</t>
        </is>
      </c>
      <c r="K3227" s="5" t="n">
        <v>180000</v>
      </c>
      <c r="L3227" s="5" t="n">
        <v>212000</v>
      </c>
      <c r="M3227" s="6" t="n">
        <v>261000</v>
      </c>
      <c r="N3227" s="5" t="n"/>
      <c r="O3227" s="5">
        <f>IF(AND(ISNUMBER(N3227),ISNUMBER(M3227)),N3227-M3227,"")</f>
        <v/>
      </c>
      <c r="P3227" s="7">
        <f>IF(AND(ISNUMBER(N3227),ISNUMBER(M3227),M3227&gt;0),(N3227-M3227)/M3227,"")</f>
        <v/>
      </c>
      <c r="Q3227" s="3">
        <f>IF(P3227="","",IF(P3227&lt;-0.02,"🔴 Bán phá giá sàn",IF(P3227&gt;0.05,"🔵 Bán cao hơn","🟢 Đúng giá sàn TMĐT")))</f>
        <v/>
      </c>
      <c r="R3227" s="3" t="n"/>
      <c r="S3227" s="4" t="n"/>
      <c r="T3227" s="4" t="n"/>
    </row>
    <row r="3228">
      <c r="A3228" s="3" t="n">
        <v>3227</v>
      </c>
      <c r="B3228" s="3" t="inlineStr">
        <is>
          <t>DL030</t>
        </is>
      </c>
      <c r="C3228" s="4" t="inlineStr">
        <is>
          <t>Siêu thị Hưng Thịnh</t>
        </is>
      </c>
      <c r="D3228" s="3" t="inlineStr">
        <is>
          <t>HN</t>
        </is>
      </c>
      <c r="E3228" s="3" t="inlineStr">
        <is>
          <t>Lan</t>
        </is>
      </c>
      <c r="F3228" s="3" t="inlineStr">
        <is>
          <t>Website bán hàng</t>
        </is>
      </c>
      <c r="G3228" s="4" t="inlineStr">
        <is>
          <t>SHOPEE: TIKTOK: LAZADA: WEBSITE BÁN HÀNG: https://sieuthikimkhihungthinh.vn/admin-at5</t>
        </is>
      </c>
      <c r="H3228" s="3" t="inlineStr">
        <is>
          <t>T1-114L</t>
        </is>
      </c>
      <c r="I3228" s="4" t="inlineStr">
        <is>
          <t>Lưỡi cắt Kingblue T1-114L</t>
        </is>
      </c>
      <c r="J3228" s="3" t="inlineStr">
        <is>
          <t>Cái</t>
        </is>
      </c>
      <c r="K3228" s="5" t="n">
        <v>61000</v>
      </c>
      <c r="L3228" s="5" t="n">
        <v>72000</v>
      </c>
      <c r="M3228" s="6" t="n">
        <v>89000</v>
      </c>
      <c r="N3228" s="5" t="n"/>
      <c r="O3228" s="5">
        <f>IF(AND(ISNUMBER(N3228),ISNUMBER(M3228)),N3228-M3228,"")</f>
        <v/>
      </c>
      <c r="P3228" s="7">
        <f>IF(AND(ISNUMBER(N3228),ISNUMBER(M3228),M3228&gt;0),(N3228-M3228)/M3228,"")</f>
        <v/>
      </c>
      <c r="Q3228" s="3">
        <f>IF(P3228="","",IF(P3228&lt;-0.02,"🔴 Bán phá giá sàn",IF(P3228&gt;0.05,"🔵 Bán cao hơn","🟢 Đúng giá sàn TMĐT")))</f>
        <v/>
      </c>
      <c r="R3228" s="3" t="n"/>
      <c r="S3228" s="4" t="n"/>
      <c r="T3228" s="4" t="n"/>
    </row>
    <row r="3229">
      <c r="A3229" s="3" t="n">
        <v>3228</v>
      </c>
      <c r="B3229" s="3" t="inlineStr">
        <is>
          <t>DL030</t>
        </is>
      </c>
      <c r="C3229" s="4" t="inlineStr">
        <is>
          <t>Siêu thị Hưng Thịnh</t>
        </is>
      </c>
      <c r="D3229" s="3" t="inlineStr">
        <is>
          <t>HN</t>
        </is>
      </c>
      <c r="E3229" s="3" t="inlineStr">
        <is>
          <t>Lan</t>
        </is>
      </c>
      <c r="F3229" s="3" t="inlineStr">
        <is>
          <t>Website bán hàng</t>
        </is>
      </c>
      <c r="G3229" s="4" t="inlineStr">
        <is>
          <t>SHOPEE: TIKTOK: LAZADA: WEBSITE BÁN HÀNG: https://sieuthikimkhihungthinh.vn/admin-at5</t>
        </is>
      </c>
      <c r="H3229" s="3" t="inlineStr">
        <is>
          <t>V1</t>
        </is>
      </c>
      <c r="I3229" s="4" t="inlineStr">
        <is>
          <t>Lưỡi cắt KingBlue V1 110ĐN</t>
        </is>
      </c>
      <c r="J3229" s="3" t="inlineStr">
        <is>
          <t>Cái</t>
        </is>
      </c>
      <c r="K3229" s="5" t="n">
        <v>59000</v>
      </c>
      <c r="L3229" s="5" t="n">
        <v>70000</v>
      </c>
      <c r="M3229" s="6" t="n">
        <v>86000</v>
      </c>
      <c r="N3229" s="5" t="n"/>
      <c r="O3229" s="5">
        <f>IF(AND(ISNUMBER(N3229),ISNUMBER(M3229)),N3229-M3229,"")</f>
        <v/>
      </c>
      <c r="P3229" s="7">
        <f>IF(AND(ISNUMBER(N3229),ISNUMBER(M3229),M3229&gt;0),(N3229-M3229)/M3229,"")</f>
        <v/>
      </c>
      <c r="Q3229" s="3">
        <f>IF(P3229="","",IF(P3229&lt;-0.02,"🔴 Bán phá giá sàn",IF(P3229&gt;0.05,"🔵 Bán cao hơn","🟢 Đúng giá sàn TMĐT")))</f>
        <v/>
      </c>
      <c r="R3229" s="3" t="n"/>
      <c r="S3229" s="4" t="n"/>
      <c r="T3229" s="4" t="n"/>
    </row>
    <row r="3230">
      <c r="A3230" s="3" t="n">
        <v>3229</v>
      </c>
      <c r="B3230" s="3" t="inlineStr">
        <is>
          <t>DL030</t>
        </is>
      </c>
      <c r="C3230" s="4" t="inlineStr">
        <is>
          <t>Siêu thị Hưng Thịnh</t>
        </is>
      </c>
      <c r="D3230" s="3" t="inlineStr">
        <is>
          <t>HN</t>
        </is>
      </c>
      <c r="E3230" s="3" t="inlineStr">
        <is>
          <t>Lan</t>
        </is>
      </c>
      <c r="F3230" s="3" t="inlineStr">
        <is>
          <t>Website bán hàng</t>
        </is>
      </c>
      <c r="G3230" s="4" t="inlineStr">
        <is>
          <t>SHOPEE: TIKTOK: LAZADA: WEBSITE BÁN HÀNG: https://sieuthikimkhihungthinh.vn/admin-at5</t>
        </is>
      </c>
      <c r="H3230" s="3" t="inlineStr">
        <is>
          <t>KB-LE350</t>
        </is>
      </c>
      <c r="I3230" s="4" t="inlineStr">
        <is>
          <t>Lưỡi Cưa KingBlue KB-LE350</t>
        </is>
      </c>
      <c r="J3230" s="3" t="inlineStr">
        <is>
          <t>Cái</t>
        </is>
      </c>
      <c r="K3230" s="5" t="n">
        <v>158000</v>
      </c>
      <c r="L3230" s="5" t="n">
        <v>186000</v>
      </c>
      <c r="M3230" s="6" t="n">
        <v>229000</v>
      </c>
      <c r="N3230" s="5" t="n"/>
      <c r="O3230" s="5">
        <f>IF(AND(ISNUMBER(N3230),ISNUMBER(M3230)),N3230-M3230,"")</f>
        <v/>
      </c>
      <c r="P3230" s="7">
        <f>IF(AND(ISNUMBER(N3230),ISNUMBER(M3230),M3230&gt;0),(N3230-M3230)/M3230,"")</f>
        <v/>
      </c>
      <c r="Q3230" s="3">
        <f>IF(P3230="","",IF(P3230&lt;-0.02,"🔴 Bán phá giá sàn",IF(P3230&gt;0.05,"🔵 Bán cao hơn","🟢 Đúng giá sàn TMĐT")))</f>
        <v/>
      </c>
      <c r="R3230" s="3" t="n"/>
      <c r="S3230" s="4" t="n"/>
      <c r="T3230" s="4" t="n"/>
    </row>
    <row r="3231">
      <c r="A3231" s="3" t="n">
        <v>3230</v>
      </c>
      <c r="B3231" s="3" t="inlineStr">
        <is>
          <t>DL030</t>
        </is>
      </c>
      <c r="C3231" s="4" t="inlineStr">
        <is>
          <t>Siêu thị Hưng Thịnh</t>
        </is>
      </c>
      <c r="D3231" s="3" t="inlineStr">
        <is>
          <t>HN</t>
        </is>
      </c>
      <c r="E3231" s="3" t="inlineStr">
        <is>
          <t>Lan</t>
        </is>
      </c>
      <c r="F3231" s="3" t="inlineStr">
        <is>
          <t>Website bán hàng</t>
        </is>
      </c>
      <c r="G3231" s="4" t="inlineStr">
        <is>
          <t>SHOPEE: TIKTOK: LAZADA: WEBSITE BÁN HÀNG: https://sieuthikimkhihungthinh.vn/admin-at5</t>
        </is>
      </c>
      <c r="H3231" s="3" t="inlineStr">
        <is>
          <t>KB-LS330</t>
        </is>
      </c>
      <c r="I3231" s="4" t="inlineStr">
        <is>
          <t>Lưỡi Cưa KingBlue KB-LS330</t>
        </is>
      </c>
      <c r="J3231" s="3" t="inlineStr">
        <is>
          <t>Cái</t>
        </is>
      </c>
      <c r="K3231" s="5" t="n">
        <v>184000</v>
      </c>
      <c r="L3231" s="5" t="n">
        <v>217000</v>
      </c>
      <c r="M3231" s="6" t="n">
        <v>267000</v>
      </c>
      <c r="N3231" s="5" t="n"/>
      <c r="O3231" s="5">
        <f>IF(AND(ISNUMBER(N3231),ISNUMBER(M3231)),N3231-M3231,"")</f>
        <v/>
      </c>
      <c r="P3231" s="7">
        <f>IF(AND(ISNUMBER(N3231),ISNUMBER(M3231),M3231&gt;0),(N3231-M3231)/M3231,"")</f>
        <v/>
      </c>
      <c r="Q3231" s="3">
        <f>IF(P3231="","",IF(P3231&lt;-0.02,"🔴 Bán phá giá sàn",IF(P3231&gt;0.05,"🔵 Bán cao hơn","🟢 Đúng giá sàn TMĐT")))</f>
        <v/>
      </c>
      <c r="R3231" s="3" t="n"/>
      <c r="S3231" s="4" t="n"/>
      <c r="T3231" s="4" t="n"/>
    </row>
    <row r="3232">
      <c r="A3232" s="3" t="n">
        <v>3231</v>
      </c>
      <c r="B3232" s="3" t="inlineStr">
        <is>
          <t>DL030</t>
        </is>
      </c>
      <c r="C3232" s="4" t="inlineStr">
        <is>
          <t>Siêu thị Hưng Thịnh</t>
        </is>
      </c>
      <c r="D3232" s="3" t="inlineStr">
        <is>
          <t>HN</t>
        </is>
      </c>
      <c r="E3232" s="3" t="inlineStr">
        <is>
          <t>Lan</t>
        </is>
      </c>
      <c r="F3232" s="3" t="inlineStr">
        <is>
          <t>Website bán hàng</t>
        </is>
      </c>
      <c r="G3232" s="4" t="inlineStr">
        <is>
          <t>SHOPEE: TIKTOK: LAZADA: WEBSITE BÁN HÀNG: https://sieuthikimkhihungthinh.vn/admin-at5</t>
        </is>
      </c>
      <c r="H3232" s="3" t="inlineStr">
        <is>
          <t>X1-150x40T</t>
        </is>
      </c>
      <c r="I3232" s="4" t="inlineStr">
        <is>
          <t>Lưỡi cưa Kingblue X1-150x40T (Cưa gỗ)-NEW</t>
        </is>
      </c>
      <c r="J3232" s="3" t="inlineStr">
        <is>
          <t>Cái</t>
        </is>
      </c>
      <c r="K3232" s="5" t="n">
        <v>135000</v>
      </c>
      <c r="L3232" s="5" t="n">
        <v>159000</v>
      </c>
      <c r="M3232" s="6" t="n">
        <v>196000</v>
      </c>
      <c r="N3232" s="5" t="n"/>
      <c r="O3232" s="5">
        <f>IF(AND(ISNUMBER(N3232),ISNUMBER(M3232)),N3232-M3232,"")</f>
        <v/>
      </c>
      <c r="P3232" s="7">
        <f>IF(AND(ISNUMBER(N3232),ISNUMBER(M3232),M3232&gt;0),(N3232-M3232)/M3232,"")</f>
        <v/>
      </c>
      <c r="Q3232" s="3">
        <f>IF(P3232="","",IF(P3232&lt;-0.02,"🔴 Bán phá giá sàn",IF(P3232&gt;0.05,"🔵 Bán cao hơn","🟢 Đúng giá sàn TMĐT")))</f>
        <v/>
      </c>
      <c r="R3232" s="3" t="n"/>
      <c r="S3232" s="4" t="n"/>
      <c r="T3232" s="4" t="n"/>
    </row>
    <row r="3233">
      <c r="A3233" s="3" t="n">
        <v>3232</v>
      </c>
      <c r="B3233" s="3" t="inlineStr">
        <is>
          <t>DL030</t>
        </is>
      </c>
      <c r="C3233" s="4" t="inlineStr">
        <is>
          <t>Siêu thị Hưng Thịnh</t>
        </is>
      </c>
      <c r="D3233" s="3" t="inlineStr">
        <is>
          <t>HN</t>
        </is>
      </c>
      <c r="E3233" s="3" t="inlineStr">
        <is>
          <t>Lan</t>
        </is>
      </c>
      <c r="F3233" s="3" t="inlineStr">
        <is>
          <t>Website bán hàng</t>
        </is>
      </c>
      <c r="G3233" s="4" t="inlineStr">
        <is>
          <t>SHOPEE: TIKTOK: LAZADA: WEBSITE BÁN HÀNG: https://sieuthikimkhihungthinh.vn/admin-at5</t>
        </is>
      </c>
      <c r="H3233" s="3" t="inlineStr">
        <is>
          <t>XS-110x30T</t>
        </is>
      </c>
      <c r="I3233" s="4" t="inlineStr">
        <is>
          <t>Lưỡi cưa Kingblue XS-110x30T (Cưa gỗ)-NEW</t>
        </is>
      </c>
      <c r="J3233" s="3" t="inlineStr">
        <is>
          <t>Cái</t>
        </is>
      </c>
      <c r="K3233" s="5" t="n">
        <v>72000</v>
      </c>
      <c r="L3233" s="5" t="n">
        <v>85000</v>
      </c>
      <c r="M3233" s="6" t="n">
        <v>104000</v>
      </c>
      <c r="N3233" s="5" t="n"/>
      <c r="O3233" s="5">
        <f>IF(AND(ISNUMBER(N3233),ISNUMBER(M3233)),N3233-M3233,"")</f>
        <v/>
      </c>
      <c r="P3233" s="7">
        <f>IF(AND(ISNUMBER(N3233),ISNUMBER(M3233),M3233&gt;0),(N3233-M3233)/M3233,"")</f>
        <v/>
      </c>
      <c r="Q3233" s="3">
        <f>IF(P3233="","",IF(P3233&lt;-0.02,"🔴 Bán phá giá sàn",IF(P3233&gt;0.05,"🔵 Bán cao hơn","🟢 Đúng giá sàn TMĐT")))</f>
        <v/>
      </c>
      <c r="R3233" s="3" t="n"/>
      <c r="S3233" s="4" t="n"/>
      <c r="T3233" s="4" t="n"/>
    </row>
    <row r="3234">
      <c r="A3234" s="3" t="n">
        <v>3233</v>
      </c>
      <c r="B3234" s="3" t="inlineStr">
        <is>
          <t>DL030</t>
        </is>
      </c>
      <c r="C3234" s="4" t="inlineStr">
        <is>
          <t>Siêu thị Hưng Thịnh</t>
        </is>
      </c>
      <c r="D3234" s="3" t="inlineStr">
        <is>
          <t>HN</t>
        </is>
      </c>
      <c r="E3234" s="3" t="inlineStr">
        <is>
          <t>Lan</t>
        </is>
      </c>
      <c r="F3234" s="3" t="inlineStr">
        <is>
          <t>Website bán hàng</t>
        </is>
      </c>
      <c r="G3234" s="4" t="inlineStr">
        <is>
          <t>SHOPEE: TIKTOK: LAZADA: WEBSITE BÁN HÀNG: https://sieuthikimkhihungthinh.vn/admin-at5</t>
        </is>
      </c>
      <c r="H3234" s="3" t="inlineStr">
        <is>
          <t>XS-125x40T</t>
        </is>
      </c>
      <c r="I3234" s="4" t="inlineStr">
        <is>
          <t>Lưỡi cưa Kingblue XS-125x40T (Cưa gỗ)</t>
        </is>
      </c>
      <c r="J3234" s="3" t="inlineStr">
        <is>
          <t>Cái</t>
        </is>
      </c>
      <c r="K3234" s="5" t="n">
        <v>77000</v>
      </c>
      <c r="L3234" s="5" t="n">
        <v>91000</v>
      </c>
      <c r="M3234" s="6" t="n">
        <v>112000</v>
      </c>
      <c r="N3234" s="5" t="n"/>
      <c r="O3234" s="5">
        <f>IF(AND(ISNUMBER(N3234),ISNUMBER(M3234)),N3234-M3234,"")</f>
        <v/>
      </c>
      <c r="P3234" s="7">
        <f>IF(AND(ISNUMBER(N3234),ISNUMBER(M3234),M3234&gt;0),(N3234-M3234)/M3234,"")</f>
        <v/>
      </c>
      <c r="Q3234" s="3">
        <f>IF(P3234="","",IF(P3234&lt;-0.02,"🔴 Bán phá giá sàn",IF(P3234&gt;0.05,"🔵 Bán cao hơn","🟢 Đúng giá sàn TMĐT")))</f>
        <v/>
      </c>
      <c r="R3234" s="3" t="n"/>
      <c r="S3234" s="4" t="n"/>
      <c r="T3234" s="4" t="n"/>
    </row>
    <row r="3235">
      <c r="A3235" s="3" t="n">
        <v>3234</v>
      </c>
      <c r="B3235" s="3" t="inlineStr">
        <is>
          <t>DL030</t>
        </is>
      </c>
      <c r="C3235" s="4" t="inlineStr">
        <is>
          <t>Siêu thị Hưng Thịnh</t>
        </is>
      </c>
      <c r="D3235" s="3" t="inlineStr">
        <is>
          <t>HN</t>
        </is>
      </c>
      <c r="E3235" s="3" t="inlineStr">
        <is>
          <t>Lan</t>
        </is>
      </c>
      <c r="F3235" s="3" t="inlineStr">
        <is>
          <t>Website bán hàng</t>
        </is>
      </c>
      <c r="G3235" s="4" t="inlineStr">
        <is>
          <t>SHOPEE: TIKTOK: LAZADA: WEBSITE BÁN HÀNG: https://sieuthikimkhihungthinh.vn/admin-at5</t>
        </is>
      </c>
      <c r="H3235" s="3" t="inlineStr">
        <is>
          <t>KBL2-3.2110</t>
        </is>
      </c>
      <c r="I3235" s="4" t="inlineStr">
        <is>
          <t>Mũi khoan bê tông không tắc kê KBL2-3.2*110</t>
        </is>
      </c>
      <c r="J3235" s="3" t="inlineStr">
        <is>
          <t>Cái</t>
        </is>
      </c>
      <c r="K3235" s="5" t="n">
        <v>23000</v>
      </c>
      <c r="L3235" s="5" t="n">
        <v>29000</v>
      </c>
      <c r="M3235" s="6" t="n">
        <v>38000</v>
      </c>
      <c r="N3235" s="5" t="n"/>
      <c r="O3235" s="5">
        <f>IF(AND(ISNUMBER(N3235),ISNUMBER(M3235)),N3235-M3235,"")</f>
        <v/>
      </c>
      <c r="P3235" s="7">
        <f>IF(AND(ISNUMBER(N3235),ISNUMBER(M3235),M3235&gt;0),(N3235-M3235)/M3235,"")</f>
        <v/>
      </c>
      <c r="Q3235" s="3">
        <f>IF(P3235="","",IF(P3235&lt;-0.02,"🔴 Bán phá giá sàn",IF(P3235&gt;0.05,"🔵 Bán cao hơn","🟢 Đúng giá sàn TMĐT")))</f>
        <v/>
      </c>
      <c r="R3235" s="3" t="n"/>
      <c r="S3235" s="4" t="n"/>
      <c r="T3235" s="4" t="n"/>
    </row>
    <row r="3236">
      <c r="A3236" s="3" t="n">
        <v>3235</v>
      </c>
      <c r="B3236" s="3" t="inlineStr">
        <is>
          <t>DL030</t>
        </is>
      </c>
      <c r="C3236" s="4" t="inlineStr">
        <is>
          <t>Siêu thị Hưng Thịnh</t>
        </is>
      </c>
      <c r="D3236" s="3" t="inlineStr">
        <is>
          <t>HN</t>
        </is>
      </c>
      <c r="E3236" s="3" t="inlineStr">
        <is>
          <t>Lan</t>
        </is>
      </c>
      <c r="F3236" s="3" t="inlineStr">
        <is>
          <t>Website bán hàng</t>
        </is>
      </c>
      <c r="G3236" s="4" t="inlineStr">
        <is>
          <t>SHOPEE: TIKTOK: LAZADA: WEBSITE BÁN HÀNG: https://sieuthikimkhihungthinh.vn/admin-at5</t>
        </is>
      </c>
      <c r="H3236" s="3" t="inlineStr">
        <is>
          <t>KBL2-3.290</t>
        </is>
      </c>
      <c r="I3236" s="4" t="inlineStr">
        <is>
          <t>Mũi khoan bê tông không tắc kê KBL2-3.2*90</t>
        </is>
      </c>
      <c r="J3236" s="3" t="inlineStr">
        <is>
          <t>Cái</t>
        </is>
      </c>
      <c r="K3236" s="5" t="n">
        <v>23000</v>
      </c>
      <c r="L3236" s="5" t="n">
        <v>29000</v>
      </c>
      <c r="M3236" s="6" t="n">
        <v>38000</v>
      </c>
      <c r="N3236" s="5" t="n"/>
      <c r="O3236" s="5">
        <f>IF(AND(ISNUMBER(N3236),ISNUMBER(M3236)),N3236-M3236,"")</f>
        <v/>
      </c>
      <c r="P3236" s="7">
        <f>IF(AND(ISNUMBER(N3236),ISNUMBER(M3236),M3236&gt;0),(N3236-M3236)/M3236,"")</f>
        <v/>
      </c>
      <c r="Q3236" s="3">
        <f>IF(P3236="","",IF(P3236&lt;-0.02,"🔴 Bán phá giá sàn",IF(P3236&gt;0.05,"🔵 Bán cao hơn","🟢 Đúng giá sàn TMĐT")))</f>
        <v/>
      </c>
      <c r="R3236" s="3" t="n"/>
      <c r="S3236" s="4" t="n"/>
      <c r="T3236" s="4" t="n"/>
    </row>
    <row r="3237">
      <c r="A3237" s="3" t="n">
        <v>3236</v>
      </c>
      <c r="B3237" s="3" t="inlineStr">
        <is>
          <t>DL030</t>
        </is>
      </c>
      <c r="C3237" s="4" t="inlineStr">
        <is>
          <t>Siêu thị Hưng Thịnh</t>
        </is>
      </c>
      <c r="D3237" s="3" t="inlineStr">
        <is>
          <t>HN</t>
        </is>
      </c>
      <c r="E3237" s="3" t="inlineStr">
        <is>
          <t>Lan</t>
        </is>
      </c>
      <c r="F3237" s="3" t="inlineStr">
        <is>
          <t>Website bán hàng</t>
        </is>
      </c>
      <c r="G3237" s="4" t="inlineStr">
        <is>
          <t>SHOPEE: TIKTOK: LAZADA: WEBSITE BÁN HÀNG: https://sieuthikimkhihungthinh.vn/admin-at5</t>
        </is>
      </c>
      <c r="H3237" s="3" t="inlineStr">
        <is>
          <t>KBL2-4.2110</t>
        </is>
      </c>
      <c r="I3237" s="4" t="inlineStr">
        <is>
          <t>Mũi khoan bê tông không tắc kê KBL2-4.2*110</t>
        </is>
      </c>
      <c r="J3237" s="3" t="inlineStr">
        <is>
          <t>Cái</t>
        </is>
      </c>
      <c r="K3237" s="5" t="n">
        <v>23000</v>
      </c>
      <c r="L3237" s="5" t="n">
        <v>29000</v>
      </c>
      <c r="M3237" s="6" t="n">
        <v>38000</v>
      </c>
      <c r="N3237" s="5" t="n"/>
      <c r="O3237" s="5">
        <f>IF(AND(ISNUMBER(N3237),ISNUMBER(M3237)),N3237-M3237,"")</f>
        <v/>
      </c>
      <c r="P3237" s="7">
        <f>IF(AND(ISNUMBER(N3237),ISNUMBER(M3237),M3237&gt;0),(N3237-M3237)/M3237,"")</f>
        <v/>
      </c>
      <c r="Q3237" s="3">
        <f>IF(P3237="","",IF(P3237&lt;-0.02,"🔴 Bán phá giá sàn",IF(P3237&gt;0.05,"🔵 Bán cao hơn","🟢 Đúng giá sàn TMĐT")))</f>
        <v/>
      </c>
      <c r="R3237" s="3" t="n"/>
      <c r="S3237" s="4" t="n"/>
      <c r="T3237" s="4" t="n"/>
    </row>
    <row r="3238">
      <c r="A3238" s="3" t="n">
        <v>3237</v>
      </c>
      <c r="B3238" s="3" t="inlineStr">
        <is>
          <t>DL030</t>
        </is>
      </c>
      <c r="C3238" s="4" t="inlineStr">
        <is>
          <t>Siêu thị Hưng Thịnh</t>
        </is>
      </c>
      <c r="D3238" s="3" t="inlineStr">
        <is>
          <t>HN</t>
        </is>
      </c>
      <c r="E3238" s="3" t="inlineStr">
        <is>
          <t>Lan</t>
        </is>
      </c>
      <c r="F3238" s="3" t="inlineStr">
        <is>
          <t>Website bán hàng</t>
        </is>
      </c>
      <c r="G3238" s="4" t="inlineStr">
        <is>
          <t>SHOPEE: TIKTOK: LAZADA: WEBSITE BÁN HÀNG: https://sieuthikimkhihungthinh.vn/admin-at5</t>
        </is>
      </c>
      <c r="H3238" s="3" t="inlineStr">
        <is>
          <t>KBR-M101.5</t>
        </is>
      </c>
      <c r="I3238" s="4" t="inlineStr">
        <is>
          <t>Mũi khoan TARO KBR-M10*1.5</t>
        </is>
      </c>
      <c r="J3238" s="3" t="inlineStr">
        <is>
          <t>Cái</t>
        </is>
      </c>
      <c r="K3238" s="5" t="n">
        <v>89000</v>
      </c>
      <c r="L3238" s="5" t="n">
        <v>110000</v>
      </c>
      <c r="M3238" s="6" t="n">
        <v>142000</v>
      </c>
      <c r="N3238" s="5" t="n"/>
      <c r="O3238" s="5">
        <f>IF(AND(ISNUMBER(N3238),ISNUMBER(M3238)),N3238-M3238,"")</f>
        <v/>
      </c>
      <c r="P3238" s="7">
        <f>IF(AND(ISNUMBER(N3238),ISNUMBER(M3238),M3238&gt;0),(N3238-M3238)/M3238,"")</f>
        <v/>
      </c>
      <c r="Q3238" s="3">
        <f>IF(P3238="","",IF(P3238&lt;-0.02,"🔴 Bán phá giá sàn",IF(P3238&gt;0.05,"🔵 Bán cao hơn","🟢 Đúng giá sàn TMĐT")))</f>
        <v/>
      </c>
      <c r="R3238" s="3" t="n"/>
      <c r="S3238" s="4" t="n"/>
      <c r="T3238" s="4" t="n"/>
    </row>
    <row r="3239">
      <c r="A3239" s="3" t="n">
        <v>3238</v>
      </c>
      <c r="B3239" s="3" t="inlineStr">
        <is>
          <t>DL030</t>
        </is>
      </c>
      <c r="C3239" s="4" t="inlineStr">
        <is>
          <t>Siêu thị Hưng Thịnh</t>
        </is>
      </c>
      <c r="D3239" s="3" t="inlineStr">
        <is>
          <t>HN</t>
        </is>
      </c>
      <c r="E3239" s="3" t="inlineStr">
        <is>
          <t>Lan</t>
        </is>
      </c>
      <c r="F3239" s="3" t="inlineStr">
        <is>
          <t>Website bán hàng</t>
        </is>
      </c>
      <c r="G3239" s="4" t="inlineStr">
        <is>
          <t>SHOPEE: TIKTOK: LAZADA: WEBSITE BÁN HÀNG: https://sieuthikimkhihungthinh.vn/admin-at5</t>
        </is>
      </c>
      <c r="H3239" s="3" t="inlineStr">
        <is>
          <t>KBR-M30.5</t>
        </is>
      </c>
      <c r="I3239" s="4" t="inlineStr">
        <is>
          <t>Mũi khoan TARO KBR-M3*0.5</t>
        </is>
      </c>
      <c r="J3239" s="3" t="inlineStr">
        <is>
          <t>Cái</t>
        </is>
      </c>
      <c r="K3239" s="5" t="n">
        <v>58000</v>
      </c>
      <c r="L3239" s="5" t="n">
        <v>72000</v>
      </c>
      <c r="M3239" s="6" t="n">
        <v>93000</v>
      </c>
      <c r="N3239" s="5" t="n"/>
      <c r="O3239" s="5">
        <f>IF(AND(ISNUMBER(N3239),ISNUMBER(M3239)),N3239-M3239,"")</f>
        <v/>
      </c>
      <c r="P3239" s="7">
        <f>IF(AND(ISNUMBER(N3239),ISNUMBER(M3239),M3239&gt;0),(N3239-M3239)/M3239,"")</f>
        <v/>
      </c>
      <c r="Q3239" s="3">
        <f>IF(P3239="","",IF(P3239&lt;-0.02,"🔴 Bán phá giá sàn",IF(P3239&gt;0.05,"🔵 Bán cao hơn","🟢 Đúng giá sàn TMĐT")))</f>
        <v/>
      </c>
      <c r="R3239" s="3" t="n"/>
      <c r="S3239" s="4" t="n"/>
      <c r="T3239" s="4" t="n"/>
    </row>
    <row r="3240">
      <c r="A3240" s="3" t="n">
        <v>3239</v>
      </c>
      <c r="B3240" s="3" t="inlineStr">
        <is>
          <t>DL030</t>
        </is>
      </c>
      <c r="C3240" s="4" t="inlineStr">
        <is>
          <t>Siêu thị Hưng Thịnh</t>
        </is>
      </c>
      <c r="D3240" s="3" t="inlineStr">
        <is>
          <t>HN</t>
        </is>
      </c>
      <c r="E3240" s="3" t="inlineStr">
        <is>
          <t>Lan</t>
        </is>
      </c>
      <c r="F3240" s="3" t="inlineStr">
        <is>
          <t>Website bán hàng</t>
        </is>
      </c>
      <c r="G3240" s="4" t="inlineStr">
        <is>
          <t>SHOPEE: TIKTOK: LAZADA: WEBSITE BÁN HÀNG: https://sieuthikimkhihungthinh.vn/admin-at5</t>
        </is>
      </c>
      <c r="H3240" s="3" t="inlineStr">
        <is>
          <t>KBR-M40.7</t>
        </is>
      </c>
      <c r="I3240" s="4" t="inlineStr">
        <is>
          <t>Mũi khoan TARO KBR-M4*0.7</t>
        </is>
      </c>
      <c r="J3240" s="3" t="inlineStr">
        <is>
          <t>Cái</t>
        </is>
      </c>
      <c r="K3240" s="5" t="n">
        <v>58000</v>
      </c>
      <c r="L3240" s="5" t="n">
        <v>72000</v>
      </c>
      <c r="M3240" s="6" t="n">
        <v>93000</v>
      </c>
      <c r="N3240" s="5" t="n"/>
      <c r="O3240" s="5">
        <f>IF(AND(ISNUMBER(N3240),ISNUMBER(M3240)),N3240-M3240,"")</f>
        <v/>
      </c>
      <c r="P3240" s="7">
        <f>IF(AND(ISNUMBER(N3240),ISNUMBER(M3240),M3240&gt;0),(N3240-M3240)/M3240,"")</f>
        <v/>
      </c>
      <c r="Q3240" s="3">
        <f>IF(P3240="","",IF(P3240&lt;-0.02,"🔴 Bán phá giá sàn",IF(P3240&gt;0.05,"🔵 Bán cao hơn","🟢 Đúng giá sàn TMĐT")))</f>
        <v/>
      </c>
      <c r="R3240" s="3" t="n"/>
      <c r="S3240" s="4" t="n"/>
      <c r="T3240" s="4" t="n"/>
    </row>
    <row r="3241">
      <c r="A3241" s="3" t="n">
        <v>3240</v>
      </c>
      <c r="B3241" s="3" t="inlineStr">
        <is>
          <t>DL030</t>
        </is>
      </c>
      <c r="C3241" s="4" t="inlineStr">
        <is>
          <t>Siêu thị Hưng Thịnh</t>
        </is>
      </c>
      <c r="D3241" s="3" t="inlineStr">
        <is>
          <t>HN</t>
        </is>
      </c>
      <c r="E3241" s="3" t="inlineStr">
        <is>
          <t>Lan</t>
        </is>
      </c>
      <c r="F3241" s="3" t="inlineStr">
        <is>
          <t>Website bán hàng</t>
        </is>
      </c>
      <c r="G3241" s="4" t="inlineStr">
        <is>
          <t>SHOPEE: TIKTOK: LAZADA: WEBSITE BÁN HÀNG: https://sieuthikimkhihungthinh.vn/admin-at5</t>
        </is>
      </c>
      <c r="H3241" s="3" t="inlineStr">
        <is>
          <t>KBR-M50.8</t>
        </is>
      </c>
      <c r="I3241" s="4" t="inlineStr">
        <is>
          <t>Mũi khoan TARO KBR-M5*0.8</t>
        </is>
      </c>
      <c r="J3241" s="3" t="inlineStr">
        <is>
          <t>Cái</t>
        </is>
      </c>
      <c r="K3241" s="5" t="n">
        <v>58000</v>
      </c>
      <c r="L3241" s="5" t="n">
        <v>72000</v>
      </c>
      <c r="M3241" s="6" t="n">
        <v>93000</v>
      </c>
      <c r="N3241" s="5" t="n"/>
      <c r="O3241" s="5">
        <f>IF(AND(ISNUMBER(N3241),ISNUMBER(M3241)),N3241-M3241,"")</f>
        <v/>
      </c>
      <c r="P3241" s="7">
        <f>IF(AND(ISNUMBER(N3241),ISNUMBER(M3241),M3241&gt;0),(N3241-M3241)/M3241,"")</f>
        <v/>
      </c>
      <c r="Q3241" s="3">
        <f>IF(P3241="","",IF(P3241&lt;-0.02,"🔴 Bán phá giá sàn",IF(P3241&gt;0.05,"🔵 Bán cao hơn","🟢 Đúng giá sàn TMĐT")))</f>
        <v/>
      </c>
      <c r="R3241" s="3" t="n"/>
      <c r="S3241" s="4" t="n"/>
      <c r="T3241" s="4" t="n"/>
    </row>
    <row r="3242">
      <c r="A3242" s="3" t="n">
        <v>3241</v>
      </c>
      <c r="B3242" s="3" t="inlineStr">
        <is>
          <t>DL030</t>
        </is>
      </c>
      <c r="C3242" s="4" t="inlineStr">
        <is>
          <t>Siêu thị Hưng Thịnh</t>
        </is>
      </c>
      <c r="D3242" s="3" t="inlineStr">
        <is>
          <t>HN</t>
        </is>
      </c>
      <c r="E3242" s="3" t="inlineStr">
        <is>
          <t>Lan</t>
        </is>
      </c>
      <c r="F3242" s="3" t="inlineStr">
        <is>
          <t>Website bán hàng</t>
        </is>
      </c>
      <c r="G3242" s="4" t="inlineStr">
        <is>
          <t>SHOPEE: TIKTOK: LAZADA: WEBSITE BÁN HÀNG: https://sieuthikimkhihungthinh.vn/admin-at5</t>
        </is>
      </c>
      <c r="H3242" s="3" t="inlineStr">
        <is>
          <t>KBR-M61.0</t>
        </is>
      </c>
      <c r="I3242" s="4" t="inlineStr">
        <is>
          <t>Mũi khoan TARO KBR-M6*1.0</t>
        </is>
      </c>
      <c r="J3242" s="3" t="inlineStr">
        <is>
          <t>Cái</t>
        </is>
      </c>
      <c r="K3242" s="5" t="n">
        <v>58000</v>
      </c>
      <c r="L3242" s="5" t="n">
        <v>72000</v>
      </c>
      <c r="M3242" s="6" t="n">
        <v>93000</v>
      </c>
      <c r="N3242" s="5" t="n"/>
      <c r="O3242" s="5">
        <f>IF(AND(ISNUMBER(N3242),ISNUMBER(M3242)),N3242-M3242,"")</f>
        <v/>
      </c>
      <c r="P3242" s="7">
        <f>IF(AND(ISNUMBER(N3242),ISNUMBER(M3242),M3242&gt;0),(N3242-M3242)/M3242,"")</f>
        <v/>
      </c>
      <c r="Q3242" s="3">
        <f>IF(P3242="","",IF(P3242&lt;-0.02,"🔴 Bán phá giá sàn",IF(P3242&gt;0.05,"🔵 Bán cao hơn","🟢 Đúng giá sàn TMĐT")))</f>
        <v/>
      </c>
      <c r="R3242" s="3" t="n"/>
      <c r="S3242" s="4" t="n"/>
      <c r="T3242" s="4" t="n"/>
    </row>
    <row r="3243">
      <c r="A3243" s="3" t="n">
        <v>3242</v>
      </c>
      <c r="B3243" s="3" t="inlineStr">
        <is>
          <t>DL030</t>
        </is>
      </c>
      <c r="C3243" s="4" t="inlineStr">
        <is>
          <t>Siêu thị Hưng Thịnh</t>
        </is>
      </c>
      <c r="D3243" s="3" t="inlineStr">
        <is>
          <t>HN</t>
        </is>
      </c>
      <c r="E3243" s="3" t="inlineStr">
        <is>
          <t>Lan</t>
        </is>
      </c>
      <c r="F3243" s="3" t="inlineStr">
        <is>
          <t>Website bán hàng</t>
        </is>
      </c>
      <c r="G3243" s="4" t="inlineStr">
        <is>
          <t>SHOPEE: TIKTOK: LAZADA: WEBSITE BÁN HÀNG: https://sieuthikimkhihungthinh.vn/admin-at5</t>
        </is>
      </c>
      <c r="H3243" s="3" t="inlineStr">
        <is>
          <t>KBR-M81.25</t>
        </is>
      </c>
      <c r="I3243" s="4" t="inlineStr">
        <is>
          <t>Mũi khoan TARO KBR-M8*1.25</t>
        </is>
      </c>
      <c r="J3243" s="3" t="inlineStr">
        <is>
          <t>Cái</t>
        </is>
      </c>
      <c r="K3243" s="5" t="n">
        <v>75000</v>
      </c>
      <c r="L3243" s="5" t="n">
        <v>93000</v>
      </c>
      <c r="M3243" s="6" t="n">
        <v>120000</v>
      </c>
      <c r="N3243" s="5" t="n"/>
      <c r="O3243" s="5">
        <f>IF(AND(ISNUMBER(N3243),ISNUMBER(M3243)),N3243-M3243,"")</f>
        <v/>
      </c>
      <c r="P3243" s="7">
        <f>IF(AND(ISNUMBER(N3243),ISNUMBER(M3243),M3243&gt;0),(N3243-M3243)/M3243,"")</f>
        <v/>
      </c>
      <c r="Q3243" s="3">
        <f>IF(P3243="","",IF(P3243&lt;-0.02,"🔴 Bán phá giá sàn",IF(P3243&gt;0.05,"🔵 Bán cao hơn","🟢 Đúng giá sàn TMĐT")))</f>
        <v/>
      </c>
      <c r="R3243" s="3" t="n"/>
      <c r="S3243" s="4" t="n"/>
      <c r="T3243" s="4" t="n"/>
    </row>
    <row r="3244">
      <c r="A3244" s="3" t="n">
        <v>3243</v>
      </c>
      <c r="B3244" s="3" t="inlineStr">
        <is>
          <t>DL030</t>
        </is>
      </c>
      <c r="C3244" s="4" t="inlineStr">
        <is>
          <t>Siêu thị Hưng Thịnh</t>
        </is>
      </c>
      <c r="D3244" s="3" t="inlineStr">
        <is>
          <t>HN</t>
        </is>
      </c>
      <c r="E3244" s="3" t="inlineStr">
        <is>
          <t>Lan</t>
        </is>
      </c>
      <c r="F3244" s="3" t="inlineStr">
        <is>
          <t>Website bán hàng</t>
        </is>
      </c>
      <c r="G3244" s="4" t="inlineStr">
        <is>
          <t>SHOPEE: TIKTOK: LAZADA: WEBSITE BÁN HÀNG: https://sieuthikimkhihungthinh.vn/admin-at5</t>
        </is>
      </c>
      <c r="H3244" s="3" t="inlineStr">
        <is>
          <t>KBT-0412</t>
        </is>
      </c>
      <c r="I3244" s="4" t="inlineStr">
        <is>
          <t>Mũi khoan tháp M2 KBT-04*12</t>
        </is>
      </c>
      <c r="J3244" s="3" t="inlineStr">
        <is>
          <t>Cái</t>
        </is>
      </c>
      <c r="K3244" s="5" t="n">
        <v>88000</v>
      </c>
      <c r="L3244" s="5" t="n">
        <v>109000</v>
      </c>
      <c r="M3244" s="6" t="n">
        <v>141000</v>
      </c>
      <c r="N3244" s="5" t="n"/>
      <c r="O3244" s="5">
        <f>IF(AND(ISNUMBER(N3244),ISNUMBER(M3244)),N3244-M3244,"")</f>
        <v/>
      </c>
      <c r="P3244" s="7">
        <f>IF(AND(ISNUMBER(N3244),ISNUMBER(M3244),M3244&gt;0),(N3244-M3244)/M3244,"")</f>
        <v/>
      </c>
      <c r="Q3244" s="3">
        <f>IF(P3244="","",IF(P3244&lt;-0.02,"🔴 Bán phá giá sàn",IF(P3244&gt;0.05,"🔵 Bán cao hơn","🟢 Đúng giá sàn TMĐT")))</f>
        <v/>
      </c>
      <c r="R3244" s="3" t="n"/>
      <c r="S3244" s="4" t="n"/>
      <c r="T3244" s="4" t="n"/>
    </row>
    <row r="3245">
      <c r="A3245" s="3" t="n">
        <v>3244</v>
      </c>
      <c r="B3245" s="3" t="inlineStr">
        <is>
          <t>DL030</t>
        </is>
      </c>
      <c r="C3245" s="4" t="inlineStr">
        <is>
          <t>Siêu thị Hưng Thịnh</t>
        </is>
      </c>
      <c r="D3245" s="3" t="inlineStr">
        <is>
          <t>HN</t>
        </is>
      </c>
      <c r="E3245" s="3" t="inlineStr">
        <is>
          <t>Lan</t>
        </is>
      </c>
      <c r="F3245" s="3" t="inlineStr">
        <is>
          <t>Website bán hàng</t>
        </is>
      </c>
      <c r="G3245" s="4" t="inlineStr">
        <is>
          <t>SHOPEE: TIKTOK: LAZADA: WEBSITE BÁN HÀNG: https://sieuthikimkhihungthinh.vn/admin-at5</t>
        </is>
      </c>
      <c r="H3245" s="3" t="inlineStr">
        <is>
          <t>KBT-0420</t>
        </is>
      </c>
      <c r="I3245" s="4" t="inlineStr">
        <is>
          <t>Mũi khoan tháp M2 KBT-04*20</t>
        </is>
      </c>
      <c r="J3245" s="3" t="inlineStr">
        <is>
          <t>Cái</t>
        </is>
      </c>
      <c r="K3245" s="5" t="n">
        <v>170000</v>
      </c>
      <c r="L3245" s="5" t="n">
        <v>211000</v>
      </c>
      <c r="M3245" s="6" t="n">
        <v>272000</v>
      </c>
      <c r="N3245" s="5" t="n"/>
      <c r="O3245" s="5">
        <f>IF(AND(ISNUMBER(N3245),ISNUMBER(M3245)),N3245-M3245,"")</f>
        <v/>
      </c>
      <c r="P3245" s="7">
        <f>IF(AND(ISNUMBER(N3245),ISNUMBER(M3245),M3245&gt;0),(N3245-M3245)/M3245,"")</f>
        <v/>
      </c>
      <c r="Q3245" s="3">
        <f>IF(P3245="","",IF(P3245&lt;-0.02,"🔴 Bán phá giá sàn",IF(P3245&gt;0.05,"🔵 Bán cao hơn","🟢 Đúng giá sàn TMĐT")))</f>
        <v/>
      </c>
      <c r="R3245" s="3" t="n"/>
      <c r="S3245" s="4" t="n"/>
      <c r="T3245" s="4" t="n"/>
    </row>
    <row r="3246">
      <c r="A3246" s="3" t="n">
        <v>3245</v>
      </c>
      <c r="B3246" s="3" t="inlineStr">
        <is>
          <t>DL030</t>
        </is>
      </c>
      <c r="C3246" s="4" t="inlineStr">
        <is>
          <t>Siêu thị Hưng Thịnh</t>
        </is>
      </c>
      <c r="D3246" s="3" t="inlineStr">
        <is>
          <t>HN</t>
        </is>
      </c>
      <c r="E3246" s="3" t="inlineStr">
        <is>
          <t>Lan</t>
        </is>
      </c>
      <c r="F3246" s="3" t="inlineStr">
        <is>
          <t>Website bán hàng</t>
        </is>
      </c>
      <c r="G3246" s="4" t="inlineStr">
        <is>
          <t>SHOPEE: TIKTOK: LAZADA: WEBSITE BÁN HÀNG: https://sieuthikimkhihungthinh.vn/admin-at5</t>
        </is>
      </c>
      <c r="H3246" s="3" t="inlineStr">
        <is>
          <t>KBT-0432</t>
        </is>
      </c>
      <c r="I3246" s="4" t="inlineStr">
        <is>
          <t>Mũi khoan tháp M2 KBT-04*32</t>
        </is>
      </c>
      <c r="J3246" s="3" t="inlineStr">
        <is>
          <t>Cái</t>
        </is>
      </c>
      <c r="K3246" s="5" t="n">
        <v>319000</v>
      </c>
      <c r="L3246" s="5" t="n">
        <v>395000</v>
      </c>
      <c r="M3246" s="6" t="n">
        <v>510000</v>
      </c>
      <c r="N3246" s="5" t="n"/>
      <c r="O3246" s="5">
        <f>IF(AND(ISNUMBER(N3246),ISNUMBER(M3246)),N3246-M3246,"")</f>
        <v/>
      </c>
      <c r="P3246" s="7">
        <f>IF(AND(ISNUMBER(N3246),ISNUMBER(M3246),M3246&gt;0),(N3246-M3246)/M3246,"")</f>
        <v/>
      </c>
      <c r="Q3246" s="3">
        <f>IF(P3246="","",IF(P3246&lt;-0.02,"🔴 Bán phá giá sàn",IF(P3246&gt;0.05,"🔵 Bán cao hơn","🟢 Đúng giá sàn TMĐT")))</f>
        <v/>
      </c>
      <c r="R3246" s="3" t="n"/>
      <c r="S3246" s="4" t="n"/>
      <c r="T3246" s="4" t="n"/>
    </row>
    <row r="3247">
      <c r="A3247" s="3" t="n">
        <v>3246</v>
      </c>
      <c r="B3247" s="3" t="inlineStr">
        <is>
          <t>DL030</t>
        </is>
      </c>
      <c r="C3247" s="4" t="inlineStr">
        <is>
          <t>Siêu thị Hưng Thịnh</t>
        </is>
      </c>
      <c r="D3247" s="3" t="inlineStr">
        <is>
          <t>HN</t>
        </is>
      </c>
      <c r="E3247" s="3" t="inlineStr">
        <is>
          <t>Lan</t>
        </is>
      </c>
      <c r="F3247" s="3" t="inlineStr">
        <is>
          <t>Website bán hàng</t>
        </is>
      </c>
      <c r="G3247" s="4" t="inlineStr">
        <is>
          <t>SHOPEE: TIKTOK: LAZADA: WEBSITE BÁN HÀNG: https://sieuthikimkhihungthinh.vn/admin-at5</t>
        </is>
      </c>
      <c r="H3247" s="3" t="inlineStr"/>
      <c r="I3247" s="4" t="inlineStr">
        <is>
          <t>Mũi khoan tường không tắc kê KBLJ - 03.2*100</t>
        </is>
      </c>
      <c r="J3247" s="3" t="inlineStr">
        <is>
          <t>Cái</t>
        </is>
      </c>
      <c r="K3247" s="5" t="n">
        <v>269000</v>
      </c>
      <c r="L3247" s="5" t="n">
        <v>317000</v>
      </c>
      <c r="M3247" s="6" t="n">
        <v>390000</v>
      </c>
      <c r="N3247" s="5" t="n"/>
      <c r="O3247" s="5">
        <f>IF(AND(ISNUMBER(N3247),ISNUMBER(M3247)),N3247-M3247,"")</f>
        <v/>
      </c>
      <c r="P3247" s="7">
        <f>IF(AND(ISNUMBER(N3247),ISNUMBER(M3247),M3247&gt;0),(N3247-M3247)/M3247,"")</f>
        <v/>
      </c>
      <c r="Q3247" s="3">
        <f>IF(P3247="","",IF(P3247&lt;-0.02,"🔴 Bán phá giá sàn",IF(P3247&gt;0.05,"🔵 Bán cao hơn","🟢 Đúng giá sàn TMĐT")))</f>
        <v/>
      </c>
      <c r="R3247" s="3" t="n"/>
      <c r="S3247" s="4" t="n"/>
      <c r="T3247" s="4" t="n"/>
    </row>
    <row r="3248">
      <c r="A3248" s="3" t="n">
        <v>3247</v>
      </c>
      <c r="B3248" s="3" t="inlineStr">
        <is>
          <t>DL030</t>
        </is>
      </c>
      <c r="C3248" s="4" t="inlineStr">
        <is>
          <t>Siêu thị Hưng Thịnh</t>
        </is>
      </c>
      <c r="D3248" s="3" t="inlineStr">
        <is>
          <t>HN</t>
        </is>
      </c>
      <c r="E3248" s="3" t="inlineStr">
        <is>
          <t>Lan</t>
        </is>
      </c>
      <c r="F3248" s="3" t="inlineStr">
        <is>
          <t>Website bán hàng</t>
        </is>
      </c>
      <c r="G3248" s="4" t="inlineStr">
        <is>
          <t>SHOPEE: TIKTOK: LAZADA: WEBSITE BÁN HÀNG: https://sieuthikimkhihungthinh.vn/admin-at5</t>
        </is>
      </c>
      <c r="H3248" s="3" t="inlineStr"/>
      <c r="I3248" s="4" t="inlineStr">
        <is>
          <t>Mũi khoan tường không tắc kê KBLJ - 03.5*100</t>
        </is>
      </c>
      <c r="J3248" s="3" t="inlineStr">
        <is>
          <t>Cái</t>
        </is>
      </c>
      <c r="K3248" s="5" t="n">
        <v>269000</v>
      </c>
      <c r="L3248" s="5" t="n">
        <v>317000</v>
      </c>
      <c r="M3248" s="6" t="n">
        <v>390000</v>
      </c>
      <c r="N3248" s="5" t="n"/>
      <c r="O3248" s="5">
        <f>IF(AND(ISNUMBER(N3248),ISNUMBER(M3248)),N3248-M3248,"")</f>
        <v/>
      </c>
      <c r="P3248" s="7">
        <f>IF(AND(ISNUMBER(N3248),ISNUMBER(M3248),M3248&gt;0),(N3248-M3248)/M3248,"")</f>
        <v/>
      </c>
      <c r="Q3248" s="3">
        <f>IF(P3248="","",IF(P3248&lt;-0.02,"🔴 Bán phá giá sàn",IF(P3248&gt;0.05,"🔵 Bán cao hơn","🟢 Đúng giá sàn TMĐT")))</f>
        <v/>
      </c>
      <c r="R3248" s="3" t="n"/>
      <c r="S3248" s="4" t="n"/>
      <c r="T3248" s="4" t="n"/>
    </row>
    <row r="3249">
      <c r="A3249" s="3" t="n">
        <v>3248</v>
      </c>
      <c r="B3249" s="3" t="inlineStr">
        <is>
          <t>DL030</t>
        </is>
      </c>
      <c r="C3249" s="4" t="inlineStr">
        <is>
          <t>Siêu thị Hưng Thịnh</t>
        </is>
      </c>
      <c r="D3249" s="3" t="inlineStr">
        <is>
          <t>HN</t>
        </is>
      </c>
      <c r="E3249" s="3" t="inlineStr">
        <is>
          <t>Lan</t>
        </is>
      </c>
      <c r="F3249" s="3" t="inlineStr">
        <is>
          <t>Website bán hàng</t>
        </is>
      </c>
      <c r="G3249" s="4" t="inlineStr">
        <is>
          <t>SHOPEE: TIKTOK: LAZADA: WEBSITE BÁN HÀNG: https://sieuthikimkhihungthinh.vn/admin-at5</t>
        </is>
      </c>
      <c r="H3249" s="3" t="inlineStr"/>
      <c r="I3249" s="4" t="inlineStr">
        <is>
          <t>Mũi khoan tường không tắc kê KBLJ - 04*100</t>
        </is>
      </c>
      <c r="J3249" s="3" t="inlineStr">
        <is>
          <t>Cái</t>
        </is>
      </c>
      <c r="K3249" s="5" t="n">
        <v>269000</v>
      </c>
      <c r="L3249" s="5" t="n">
        <v>317000</v>
      </c>
      <c r="M3249" s="6" t="n">
        <v>390000</v>
      </c>
      <c r="N3249" s="5" t="n"/>
      <c r="O3249" s="5">
        <f>IF(AND(ISNUMBER(N3249),ISNUMBER(M3249)),N3249-M3249,"")</f>
        <v/>
      </c>
      <c r="P3249" s="7">
        <f>IF(AND(ISNUMBER(N3249),ISNUMBER(M3249),M3249&gt;0),(N3249-M3249)/M3249,"")</f>
        <v/>
      </c>
      <c r="Q3249" s="3">
        <f>IF(P3249="","",IF(P3249&lt;-0.02,"🔴 Bán phá giá sàn",IF(P3249&gt;0.05,"🔵 Bán cao hơn","🟢 Đúng giá sàn TMĐT")))</f>
        <v/>
      </c>
      <c r="R3249" s="3" t="n"/>
      <c r="S3249" s="4" t="n"/>
      <c r="T3249" s="4" t="n"/>
    </row>
    <row r="3250">
      <c r="A3250" s="3" t="n">
        <v>3249</v>
      </c>
      <c r="B3250" s="3" t="inlineStr">
        <is>
          <t>DL030</t>
        </is>
      </c>
      <c r="C3250" s="4" t="inlineStr">
        <is>
          <t>Siêu thị Hưng Thịnh</t>
        </is>
      </c>
      <c r="D3250" s="3" t="inlineStr">
        <is>
          <t>HN</t>
        </is>
      </c>
      <c r="E3250" s="3" t="inlineStr">
        <is>
          <t>Lan</t>
        </is>
      </c>
      <c r="F3250" s="3" t="inlineStr">
        <is>
          <t>Website bán hàng</t>
        </is>
      </c>
      <c r="G3250" s="4" t="inlineStr">
        <is>
          <t>SHOPEE: TIKTOK: LAZADA: WEBSITE BÁN HÀNG: https://sieuthikimkhihungthinh.vn/admin-at5</t>
        </is>
      </c>
      <c r="H3250" s="3" t="inlineStr"/>
      <c r="I3250" s="4" t="inlineStr">
        <is>
          <t>Mũi khoan tường không tắc kê KBLJ - 06*125</t>
        </is>
      </c>
      <c r="J3250" s="3" t="inlineStr">
        <is>
          <t>Cái</t>
        </is>
      </c>
      <c r="K3250" s="5" t="n">
        <v>269000</v>
      </c>
      <c r="L3250" s="5" t="n">
        <v>317000</v>
      </c>
      <c r="M3250" s="6" t="n">
        <v>390000</v>
      </c>
      <c r="N3250" s="5" t="n"/>
      <c r="O3250" s="5">
        <f>IF(AND(ISNUMBER(N3250),ISNUMBER(M3250)),N3250-M3250,"")</f>
        <v/>
      </c>
      <c r="P3250" s="7">
        <f>IF(AND(ISNUMBER(N3250),ISNUMBER(M3250),M3250&gt;0),(N3250-M3250)/M3250,"")</f>
        <v/>
      </c>
      <c r="Q3250" s="3">
        <f>IF(P3250="","",IF(P3250&lt;-0.02,"🔴 Bán phá giá sàn",IF(P3250&gt;0.05,"🔵 Bán cao hơn","🟢 Đúng giá sàn TMĐT")))</f>
        <v/>
      </c>
      <c r="R3250" s="3" t="n"/>
      <c r="S3250" s="4" t="n"/>
      <c r="T3250" s="4" t="n"/>
    </row>
    <row r="3251">
      <c r="A3251" s="3" t="n">
        <v>3250</v>
      </c>
      <c r="B3251" s="3" t="inlineStr">
        <is>
          <t>DL030</t>
        </is>
      </c>
      <c r="C3251" s="4" t="inlineStr">
        <is>
          <t>Siêu thị Hưng Thịnh</t>
        </is>
      </c>
      <c r="D3251" s="3" t="inlineStr">
        <is>
          <t>HN</t>
        </is>
      </c>
      <c r="E3251" s="3" t="inlineStr">
        <is>
          <t>Lan</t>
        </is>
      </c>
      <c r="F3251" s="3" t="inlineStr">
        <is>
          <t>Website bán hàng</t>
        </is>
      </c>
      <c r="G3251" s="4" t="inlineStr">
        <is>
          <t>SHOPEE: TIKTOK: LAZADA: WEBSITE BÁN HÀNG: https://sieuthikimkhihungthinh.vn/admin-at5</t>
        </is>
      </c>
      <c r="H3251" s="3" t="inlineStr"/>
      <c r="I3251" s="4" t="inlineStr">
        <is>
          <t>Mũi khoan tường không tắc kê KBLJ - 08*125</t>
        </is>
      </c>
      <c r="J3251" s="3" t="inlineStr">
        <is>
          <t>Cái</t>
        </is>
      </c>
      <c r="K3251" s="5" t="n">
        <v>269000</v>
      </c>
      <c r="L3251" s="5" t="n">
        <v>317000</v>
      </c>
      <c r="M3251" s="6" t="n">
        <v>390000</v>
      </c>
      <c r="N3251" s="5" t="n"/>
      <c r="O3251" s="5">
        <f>IF(AND(ISNUMBER(N3251),ISNUMBER(M3251)),N3251-M3251,"")</f>
        <v/>
      </c>
      <c r="P3251" s="7">
        <f>IF(AND(ISNUMBER(N3251),ISNUMBER(M3251),M3251&gt;0),(N3251-M3251)/M3251,"")</f>
        <v/>
      </c>
      <c r="Q3251" s="3">
        <f>IF(P3251="","",IF(P3251&lt;-0.02,"🔴 Bán phá giá sàn",IF(P3251&gt;0.05,"🔵 Bán cao hơn","🟢 Đúng giá sàn TMĐT")))</f>
        <v/>
      </c>
      <c r="R3251" s="3" t="n"/>
      <c r="S3251" s="4" t="n"/>
      <c r="T3251" s="4" t="n"/>
    </row>
    <row r="3252">
      <c r="A3252" s="3" t="n">
        <v>3251</v>
      </c>
      <c r="B3252" s="3" t="inlineStr">
        <is>
          <t>DL030</t>
        </is>
      </c>
      <c r="C3252" s="4" t="inlineStr">
        <is>
          <t>Siêu thị Hưng Thịnh</t>
        </is>
      </c>
      <c r="D3252" s="3" t="inlineStr">
        <is>
          <t>HN</t>
        </is>
      </c>
      <c r="E3252" s="3" t="inlineStr">
        <is>
          <t>Lan</t>
        </is>
      </c>
      <c r="F3252" s="3" t="inlineStr">
        <is>
          <t>Website bán hàng</t>
        </is>
      </c>
      <c r="G3252" s="4" t="inlineStr">
        <is>
          <t>SHOPEE: TIKTOK: LAZADA: WEBSITE BÁN HÀNG: https://sieuthikimkhihungthinh.vn/admin-at5</t>
        </is>
      </c>
      <c r="H3252" s="3" t="inlineStr">
        <is>
          <t>B2040</t>
        </is>
      </c>
      <c r="I3252" s="4" t="inlineStr">
        <is>
          <t>Pin B2040</t>
        </is>
      </c>
      <c r="J3252" s="3" t="inlineStr">
        <is>
          <t>Cái</t>
        </is>
      </c>
      <c r="K3252" s="5" t="n">
        <v>660000</v>
      </c>
      <c r="L3252" s="5" t="n">
        <v>739000</v>
      </c>
      <c r="M3252" s="6" t="n">
        <v>858000</v>
      </c>
      <c r="N3252" s="5" t="n"/>
      <c r="O3252" s="5">
        <f>IF(AND(ISNUMBER(N3252),ISNUMBER(M3252)),N3252-M3252,"")</f>
        <v/>
      </c>
      <c r="P3252" s="7">
        <f>IF(AND(ISNUMBER(N3252),ISNUMBER(M3252),M3252&gt;0),(N3252-M3252)/M3252,"")</f>
        <v/>
      </c>
      <c r="Q3252" s="3">
        <f>IF(P3252="","",IF(P3252&lt;-0.02,"🔴 Bán phá giá sàn",IF(P3252&gt;0.05,"🔵 Bán cao hơn","🟢 Đúng giá sàn TMĐT")))</f>
        <v/>
      </c>
      <c r="R3252" s="3" t="n"/>
      <c r="S3252" s="4" t="n"/>
      <c r="T3252" s="4" t="n"/>
    </row>
    <row r="3253">
      <c r="A3253" s="3" t="n">
        <v>3252</v>
      </c>
      <c r="B3253" s="3" t="inlineStr">
        <is>
          <t>DL030</t>
        </is>
      </c>
      <c r="C3253" s="4" t="inlineStr">
        <is>
          <t>Siêu thị Hưng Thịnh</t>
        </is>
      </c>
      <c r="D3253" s="3" t="inlineStr">
        <is>
          <t>HN</t>
        </is>
      </c>
      <c r="E3253" s="3" t="inlineStr">
        <is>
          <t>Lan</t>
        </is>
      </c>
      <c r="F3253" s="3" t="inlineStr">
        <is>
          <t>Website bán hàng</t>
        </is>
      </c>
      <c r="G3253" s="4" t="inlineStr">
        <is>
          <t>SHOPEE: TIKTOK: LAZADA: WEBSITE BÁN HÀNG: https://sieuthikimkhihungthinh.vn/admin-at5</t>
        </is>
      </c>
      <c r="H3253" s="3" t="inlineStr">
        <is>
          <t>B2A20</t>
        </is>
      </c>
      <c r="I3253" s="4" t="inlineStr">
        <is>
          <t>Sạc pin B2A20</t>
        </is>
      </c>
      <c r="J3253" s="3" t="inlineStr">
        <is>
          <t>Cái</t>
        </is>
      </c>
      <c r="K3253" s="5" t="n">
        <v>270000</v>
      </c>
      <c r="L3253" s="5" t="n">
        <v>302000</v>
      </c>
      <c r="M3253" s="6" t="n">
        <v>351000</v>
      </c>
      <c r="N3253" s="5" t="n"/>
      <c r="O3253" s="5">
        <f>IF(AND(ISNUMBER(N3253),ISNUMBER(M3253)),N3253-M3253,"")</f>
        <v/>
      </c>
      <c r="P3253" s="7">
        <f>IF(AND(ISNUMBER(N3253),ISNUMBER(M3253),M3253&gt;0),(N3253-M3253)/M3253,"")</f>
        <v/>
      </c>
      <c r="Q3253" s="3">
        <f>IF(P3253="","",IF(P3253&lt;-0.02,"🔴 Bán phá giá sàn",IF(P3253&gt;0.05,"🔵 Bán cao hơn","🟢 Đúng giá sàn TMĐT")))</f>
        <v/>
      </c>
      <c r="R3253" s="3" t="n"/>
      <c r="S3253" s="4" t="n"/>
      <c r="T3253" s="4" t="n"/>
    </row>
    <row r="3254">
      <c r="A3254" s="3" t="n">
        <v>3253</v>
      </c>
      <c r="B3254" s="3" t="inlineStr">
        <is>
          <t>DL030</t>
        </is>
      </c>
      <c r="C3254" s="4" t="inlineStr">
        <is>
          <t>Siêu thị Hưng Thịnh</t>
        </is>
      </c>
      <c r="D3254" s="3" t="inlineStr">
        <is>
          <t>HN</t>
        </is>
      </c>
      <c r="E3254" s="3" t="inlineStr">
        <is>
          <t>Lan</t>
        </is>
      </c>
      <c r="F3254" s="3" t="inlineStr">
        <is>
          <t>Website bán hàng</t>
        </is>
      </c>
      <c r="G3254" s="4" t="inlineStr">
        <is>
          <t>SHOPEE: TIKTOK: LAZADA: WEBSITE BÁN HÀNG: https://sieuthikimkhihungthinh.vn/admin-at5</t>
        </is>
      </c>
      <c r="H3254" s="3" t="inlineStr">
        <is>
          <t>KNZ-100X</t>
        </is>
      </c>
      <c r="I3254" s="4" t="inlineStr">
        <is>
          <t>Thước đo khoảng cách laser KNZ-100X</t>
        </is>
      </c>
      <c r="J3254" s="3" t="inlineStr">
        <is>
          <t>Cái</t>
        </is>
      </c>
      <c r="K3254" s="5" t="n">
        <v>730000</v>
      </c>
      <c r="L3254" s="5" t="n">
        <v>810000</v>
      </c>
      <c r="M3254" s="6" t="n">
        <v>940000</v>
      </c>
      <c r="N3254" s="5" t="n"/>
      <c r="O3254" s="5">
        <f>IF(AND(ISNUMBER(N3254),ISNUMBER(M3254)),N3254-M3254,"")</f>
        <v/>
      </c>
      <c r="P3254" s="7">
        <f>IF(AND(ISNUMBER(N3254),ISNUMBER(M3254),M3254&gt;0),(N3254-M3254)/M3254,"")</f>
        <v/>
      </c>
      <c r="Q3254" s="3">
        <f>IF(P3254="","",IF(P3254&lt;-0.02,"🔴 Bán phá giá sàn",IF(P3254&gt;0.05,"🔵 Bán cao hơn","🟢 Đúng giá sàn TMĐT")))</f>
        <v/>
      </c>
      <c r="R3254" s="3" t="n"/>
      <c r="S3254" s="4" t="n"/>
      <c r="T3254" s="4" t="n"/>
    </row>
    <row r="3255">
      <c r="A3255" s="3" t="n">
        <v>3254</v>
      </c>
      <c r="B3255" s="3" t="inlineStr">
        <is>
          <t>DL030</t>
        </is>
      </c>
      <c r="C3255" s="4" t="inlineStr">
        <is>
          <t>Siêu thị Hưng Thịnh</t>
        </is>
      </c>
      <c r="D3255" s="3" t="inlineStr">
        <is>
          <t>HN</t>
        </is>
      </c>
      <c r="E3255" s="3" t="inlineStr">
        <is>
          <t>Lan</t>
        </is>
      </c>
      <c r="F3255" s="3" t="inlineStr">
        <is>
          <t>Website bán hàng</t>
        </is>
      </c>
      <c r="G3255" s="4" t="inlineStr">
        <is>
          <t>SHOPEE: TIKTOK: LAZADA: WEBSITE BÁN HÀNG: https://sieuthikimkhihungthinh.vn/admin-at5</t>
        </is>
      </c>
      <c r="H3255" s="3" t="inlineStr">
        <is>
          <t>TK-150</t>
        </is>
      </c>
      <c r="I3255" s="4" t="inlineStr">
        <is>
          <t>Thước kẹp cơ TK-150</t>
        </is>
      </c>
      <c r="J3255" s="3" t="inlineStr">
        <is>
          <t>Cái</t>
        </is>
      </c>
      <c r="K3255" s="5" t="n">
        <v>182000</v>
      </c>
      <c r="L3255" s="5" t="n">
        <v>215000</v>
      </c>
      <c r="M3255" s="6" t="n">
        <v>264000</v>
      </c>
      <c r="N3255" s="5" t="n"/>
      <c r="O3255" s="5">
        <f>IF(AND(ISNUMBER(N3255),ISNUMBER(M3255)),N3255-M3255,"")</f>
        <v/>
      </c>
      <c r="P3255" s="7">
        <f>IF(AND(ISNUMBER(N3255),ISNUMBER(M3255),M3255&gt;0),(N3255-M3255)/M3255,"")</f>
        <v/>
      </c>
      <c r="Q3255" s="3">
        <f>IF(P3255="","",IF(P3255&lt;-0.02,"🔴 Bán phá giá sàn",IF(P3255&gt;0.05,"🔵 Bán cao hơn","🟢 Đúng giá sàn TMĐT")))</f>
        <v/>
      </c>
      <c r="R3255" s="3" t="n"/>
      <c r="S3255" s="4" t="n"/>
      <c r="T3255" s="4" t="n"/>
    </row>
    <row r="3256">
      <c r="A3256" s="3" t="n">
        <v>3255</v>
      </c>
      <c r="B3256" s="3" t="inlineStr">
        <is>
          <t>DL030</t>
        </is>
      </c>
      <c r="C3256" s="4" t="inlineStr">
        <is>
          <t>Siêu thị Hưng Thịnh</t>
        </is>
      </c>
      <c r="D3256" s="3" t="inlineStr">
        <is>
          <t>HN</t>
        </is>
      </c>
      <c r="E3256" s="3" t="inlineStr">
        <is>
          <t>Lan</t>
        </is>
      </c>
      <c r="F3256" s="3" t="inlineStr">
        <is>
          <t>Website bán hàng</t>
        </is>
      </c>
      <c r="G3256" s="4" t="inlineStr">
        <is>
          <t>SHOPEE: TIKTOK: LAZADA: WEBSITE BÁN HÀNG: https://sieuthikimkhihungthinh.vn/admin-at5</t>
        </is>
      </c>
      <c r="H3256" s="3" t="inlineStr">
        <is>
          <t>TK-200</t>
        </is>
      </c>
      <c r="I3256" s="4" t="inlineStr">
        <is>
          <t>Thước kẹp cơ TK-200</t>
        </is>
      </c>
      <c r="J3256" s="3" t="inlineStr">
        <is>
          <t>Cái</t>
        </is>
      </c>
      <c r="K3256" s="5" t="n">
        <v>286000</v>
      </c>
      <c r="L3256" s="5" t="n">
        <v>338000</v>
      </c>
      <c r="M3256" s="6" t="n">
        <v>415000</v>
      </c>
      <c r="N3256" s="5" t="n"/>
      <c r="O3256" s="5">
        <f>IF(AND(ISNUMBER(N3256),ISNUMBER(M3256)),N3256-M3256,"")</f>
        <v/>
      </c>
      <c r="P3256" s="7">
        <f>IF(AND(ISNUMBER(N3256),ISNUMBER(M3256),M3256&gt;0),(N3256-M3256)/M3256,"")</f>
        <v/>
      </c>
      <c r="Q3256" s="3">
        <f>IF(P3256="","",IF(P3256&lt;-0.02,"🔴 Bán phá giá sàn",IF(P3256&gt;0.05,"🔵 Bán cao hơn","🟢 Đúng giá sàn TMĐT")))</f>
        <v/>
      </c>
      <c r="R3256" s="3" t="n"/>
      <c r="S3256" s="4" t="n"/>
      <c r="T3256" s="4" t="n"/>
    </row>
    <row r="3257">
      <c r="A3257" s="3" t="n">
        <v>3256</v>
      </c>
      <c r="B3257" s="3" t="inlineStr">
        <is>
          <t>DL030</t>
        </is>
      </c>
      <c r="C3257" s="4" t="inlineStr">
        <is>
          <t>Siêu thị Hưng Thịnh</t>
        </is>
      </c>
      <c r="D3257" s="3" t="inlineStr">
        <is>
          <t>HN</t>
        </is>
      </c>
      <c r="E3257" s="3" t="inlineStr">
        <is>
          <t>Lan</t>
        </is>
      </c>
      <c r="F3257" s="3" t="inlineStr">
        <is>
          <t>Website bán hàng</t>
        </is>
      </c>
      <c r="G3257" s="4" t="inlineStr">
        <is>
          <t>SHOPEE: TIKTOK: LAZADA: WEBSITE BÁN HÀNG: https://sieuthikimkhihungthinh.vn/admin-at5</t>
        </is>
      </c>
      <c r="H3257" s="3" t="inlineStr">
        <is>
          <t>KV6+6150</t>
        </is>
      </c>
      <c r="I3257" s="4" t="inlineStr">
        <is>
          <t>Tuốc nơ vít KV6+6*150</t>
        </is>
      </c>
      <c r="J3257" s="3" t="inlineStr">
        <is>
          <t>Cái</t>
        </is>
      </c>
      <c r="K3257" s="5" t="n">
        <v>29000</v>
      </c>
      <c r="L3257" s="5" t="n">
        <v>34000</v>
      </c>
      <c r="M3257" s="6" t="n">
        <v>42000</v>
      </c>
      <c r="N3257" s="5" t="n"/>
      <c r="O3257" s="5">
        <f>IF(AND(ISNUMBER(N3257),ISNUMBER(M3257)),N3257-M3257,"")</f>
        <v/>
      </c>
      <c r="P3257" s="7">
        <f>IF(AND(ISNUMBER(N3257),ISNUMBER(M3257),M3257&gt;0),(N3257-M3257)/M3257,"")</f>
        <v/>
      </c>
      <c r="Q3257" s="3">
        <f>IF(P3257="","",IF(P3257&lt;-0.02,"🔴 Bán phá giá sàn",IF(P3257&gt;0.05,"🔵 Bán cao hơn","🟢 Đúng giá sàn TMĐT")))</f>
        <v/>
      </c>
      <c r="R3257" s="3" t="n"/>
      <c r="S3257" s="4" t="n"/>
      <c r="T3257" s="4" t="n"/>
    </row>
    <row r="3258">
      <c r="A3258" s="3" t="n">
        <v>3257</v>
      </c>
      <c r="B3258" s="3" t="inlineStr">
        <is>
          <t>DL030</t>
        </is>
      </c>
      <c r="C3258" s="4" t="inlineStr">
        <is>
          <t>Siêu thị Hưng Thịnh</t>
        </is>
      </c>
      <c r="D3258" s="3" t="inlineStr">
        <is>
          <t>HN</t>
        </is>
      </c>
      <c r="E3258" s="3" t="inlineStr">
        <is>
          <t>Lan</t>
        </is>
      </c>
      <c r="F3258" s="3" t="inlineStr">
        <is>
          <t>Website bán hàng</t>
        </is>
      </c>
      <c r="G3258" s="4" t="inlineStr">
        <is>
          <t>SHOPEE: TIKTOK: LAZADA: WEBSITE BÁN HÀNG: https://sieuthikimkhihungthinh.vn/admin-at5</t>
        </is>
      </c>
      <c r="H3258" s="3" t="inlineStr">
        <is>
          <t>KV6+6200</t>
        </is>
      </c>
      <c r="I3258" s="4" t="inlineStr">
        <is>
          <t>Tuốc nơ vít KV6+6*200</t>
        </is>
      </c>
      <c r="J3258" s="3" t="inlineStr">
        <is>
          <t>Cái</t>
        </is>
      </c>
      <c r="K3258" s="5" t="n">
        <v>40000</v>
      </c>
      <c r="L3258" s="5" t="n">
        <v>47000</v>
      </c>
      <c r="M3258" s="6" t="n">
        <v>58000</v>
      </c>
      <c r="N3258" s="5" t="n"/>
      <c r="O3258" s="5">
        <f>IF(AND(ISNUMBER(N3258),ISNUMBER(M3258)),N3258-M3258,"")</f>
        <v/>
      </c>
      <c r="P3258" s="7">
        <f>IF(AND(ISNUMBER(N3258),ISNUMBER(M3258),M3258&gt;0),(N3258-M3258)/M3258,"")</f>
        <v/>
      </c>
      <c r="Q3258" s="3">
        <f>IF(P3258="","",IF(P3258&lt;-0.02,"🔴 Bán phá giá sàn",IF(P3258&gt;0.05,"🔵 Bán cao hơn","🟢 Đúng giá sàn TMĐT")))</f>
        <v/>
      </c>
      <c r="R3258" s="3" t="n"/>
      <c r="S3258" s="4" t="n"/>
      <c r="T3258" s="4" t="n"/>
    </row>
    <row r="3259">
      <c r="A3259" s="3" t="n">
        <v>3258</v>
      </c>
      <c r="B3259" s="3" t="inlineStr">
        <is>
          <t>DL030</t>
        </is>
      </c>
      <c r="C3259" s="4" t="inlineStr">
        <is>
          <t>Siêu thị Hưng Thịnh</t>
        </is>
      </c>
      <c r="D3259" s="3" t="inlineStr">
        <is>
          <t>HN</t>
        </is>
      </c>
      <c r="E3259" s="3" t="inlineStr">
        <is>
          <t>Lan</t>
        </is>
      </c>
      <c r="F3259" s="3" t="inlineStr">
        <is>
          <t>Website bán hàng</t>
        </is>
      </c>
      <c r="G3259" s="4" t="inlineStr">
        <is>
          <t>SHOPEE: TIKTOK: LAZADA: WEBSITE BÁN HÀNG: https://sieuthikimkhihungthinh.vn/admin-at5</t>
        </is>
      </c>
      <c r="H3259" s="3" t="inlineStr">
        <is>
          <t>KV6+8200</t>
        </is>
      </c>
      <c r="I3259" s="4" t="inlineStr">
        <is>
          <t>Tuốc nơ vít KV6+8*200</t>
        </is>
      </c>
      <c r="J3259" s="3" t="inlineStr">
        <is>
          <t>Cái</t>
        </is>
      </c>
      <c r="K3259" s="5" t="n">
        <v>46000</v>
      </c>
      <c r="L3259" s="5" t="n">
        <v>54000</v>
      </c>
      <c r="M3259" s="6" t="n">
        <v>67000</v>
      </c>
      <c r="N3259" s="5" t="n"/>
      <c r="O3259" s="5">
        <f>IF(AND(ISNUMBER(N3259),ISNUMBER(M3259)),N3259-M3259,"")</f>
        <v/>
      </c>
      <c r="P3259" s="7">
        <f>IF(AND(ISNUMBER(N3259),ISNUMBER(M3259),M3259&gt;0),(N3259-M3259)/M3259,"")</f>
        <v/>
      </c>
      <c r="Q3259" s="3">
        <f>IF(P3259="","",IF(P3259&lt;-0.02,"🔴 Bán phá giá sàn",IF(P3259&gt;0.05,"🔵 Bán cao hơn","🟢 Đúng giá sàn TMĐT")))</f>
        <v/>
      </c>
      <c r="R3259" s="3" t="n"/>
      <c r="S3259" s="4" t="n"/>
      <c r="T3259" s="4" t="n"/>
    </row>
    <row r="3260">
      <c r="A3260" s="3" t="n">
        <v>3259</v>
      </c>
      <c r="B3260" s="3" t="inlineStr">
        <is>
          <t>DL030</t>
        </is>
      </c>
      <c r="C3260" s="4" t="inlineStr">
        <is>
          <t>Siêu thị Hưng Thịnh</t>
        </is>
      </c>
      <c r="D3260" s="3" t="inlineStr">
        <is>
          <t>HN</t>
        </is>
      </c>
      <c r="E3260" s="3" t="inlineStr">
        <is>
          <t>Lan</t>
        </is>
      </c>
      <c r="F3260" s="3" t="inlineStr">
        <is>
          <t>Website bán hàng</t>
        </is>
      </c>
      <c r="G3260" s="4" t="inlineStr">
        <is>
          <t>SHOPEE: TIKTOK: LAZADA: WEBSITE BÁN HÀNG: https://sieuthikimkhihungthinh.vn/admin-at5</t>
        </is>
      </c>
      <c r="H3260" s="3" t="inlineStr">
        <is>
          <t>KV6-6150</t>
        </is>
      </c>
      <c r="I3260" s="4" t="inlineStr">
        <is>
          <t>Tuốc nơ vít KV6-6*150</t>
        </is>
      </c>
      <c r="J3260" s="3" t="inlineStr">
        <is>
          <t>Cái</t>
        </is>
      </c>
      <c r="K3260" s="5" t="n">
        <v>29000</v>
      </c>
      <c r="L3260" s="5" t="n">
        <v>34000</v>
      </c>
      <c r="M3260" s="6" t="n">
        <v>42000</v>
      </c>
      <c r="N3260" s="5" t="n"/>
      <c r="O3260" s="5">
        <f>IF(AND(ISNUMBER(N3260),ISNUMBER(M3260)),N3260-M3260,"")</f>
        <v/>
      </c>
      <c r="P3260" s="7">
        <f>IF(AND(ISNUMBER(N3260),ISNUMBER(M3260),M3260&gt;0),(N3260-M3260)/M3260,"")</f>
        <v/>
      </c>
      <c r="Q3260" s="3">
        <f>IF(P3260="","",IF(P3260&lt;-0.02,"🔴 Bán phá giá sàn",IF(P3260&gt;0.05,"🔵 Bán cao hơn","🟢 Đúng giá sàn TMĐT")))</f>
        <v/>
      </c>
      <c r="R3260" s="3" t="n"/>
      <c r="S3260" s="4" t="n"/>
      <c r="T3260" s="4" t="n"/>
    </row>
    <row r="3261">
      <c r="A3261" s="3" t="n">
        <v>3260</v>
      </c>
      <c r="B3261" s="3" t="inlineStr">
        <is>
          <t>DL030</t>
        </is>
      </c>
      <c r="C3261" s="4" t="inlineStr">
        <is>
          <t>Siêu thị Hưng Thịnh</t>
        </is>
      </c>
      <c r="D3261" s="3" t="inlineStr">
        <is>
          <t>HN</t>
        </is>
      </c>
      <c r="E3261" s="3" t="inlineStr">
        <is>
          <t>Lan</t>
        </is>
      </c>
      <c r="F3261" s="3" t="inlineStr">
        <is>
          <t>Website bán hàng</t>
        </is>
      </c>
      <c r="G3261" s="4" t="inlineStr">
        <is>
          <t>SHOPEE: TIKTOK: LAZADA: WEBSITE BÁN HÀNG: https://sieuthikimkhihungthinh.vn/admin-at5</t>
        </is>
      </c>
      <c r="H3261" s="3" t="inlineStr">
        <is>
          <t>KV6-6200</t>
        </is>
      </c>
      <c r="I3261" s="4" t="inlineStr">
        <is>
          <t>Tuốc nơ vít KV6-6*200</t>
        </is>
      </c>
      <c r="J3261" s="3" t="inlineStr">
        <is>
          <t>Cái</t>
        </is>
      </c>
      <c r="K3261" s="5" t="n">
        <v>40000</v>
      </c>
      <c r="L3261" s="5" t="n">
        <v>47000</v>
      </c>
      <c r="M3261" s="6" t="n">
        <v>58000</v>
      </c>
      <c r="N3261" s="5" t="n"/>
      <c r="O3261" s="5">
        <f>IF(AND(ISNUMBER(N3261),ISNUMBER(M3261)),N3261-M3261,"")</f>
        <v/>
      </c>
      <c r="P3261" s="7">
        <f>IF(AND(ISNUMBER(N3261),ISNUMBER(M3261),M3261&gt;0),(N3261-M3261)/M3261,"")</f>
        <v/>
      </c>
      <c r="Q3261" s="3">
        <f>IF(P3261="","",IF(P3261&lt;-0.02,"🔴 Bán phá giá sàn",IF(P3261&gt;0.05,"🔵 Bán cao hơn","🟢 Đúng giá sàn TMĐT")))</f>
        <v/>
      </c>
      <c r="R3261" s="3" t="n"/>
      <c r="S3261" s="4" t="n"/>
      <c r="T3261" s="4" t="n"/>
    </row>
    <row r="3262">
      <c r="A3262" s="3" t="n">
        <v>3261</v>
      </c>
      <c r="B3262" s="3" t="inlineStr">
        <is>
          <t>DL030</t>
        </is>
      </c>
      <c r="C3262" s="4" t="inlineStr">
        <is>
          <t>Siêu thị Hưng Thịnh</t>
        </is>
      </c>
      <c r="D3262" s="3" t="inlineStr">
        <is>
          <t>HN</t>
        </is>
      </c>
      <c r="E3262" s="3" t="inlineStr">
        <is>
          <t>Lan</t>
        </is>
      </c>
      <c r="F3262" s="3" t="inlineStr">
        <is>
          <t>Website bán hàng</t>
        </is>
      </c>
      <c r="G3262" s="4" t="inlineStr">
        <is>
          <t>SHOPEE: TIKTOK: LAZADA: WEBSITE BÁN HÀNG: https://sieuthikimkhihungthinh.vn/admin-at5</t>
        </is>
      </c>
      <c r="H3262" s="3" t="inlineStr">
        <is>
          <t>KV6-8200</t>
        </is>
      </c>
      <c r="I3262" s="4" t="inlineStr">
        <is>
          <t>Tuốc nơ vít KV6-8*200</t>
        </is>
      </c>
      <c r="J3262" s="3" t="inlineStr">
        <is>
          <t>Cái</t>
        </is>
      </c>
      <c r="K3262" s="5" t="n">
        <v>46000</v>
      </c>
      <c r="L3262" s="5" t="n">
        <v>54000</v>
      </c>
      <c r="M3262" s="6" t="n">
        <v>67000</v>
      </c>
      <c r="N3262" s="5" t="n"/>
      <c r="O3262" s="5">
        <f>IF(AND(ISNUMBER(N3262),ISNUMBER(M3262)),N3262-M3262,"")</f>
        <v/>
      </c>
      <c r="P3262" s="7">
        <f>IF(AND(ISNUMBER(N3262),ISNUMBER(M3262),M3262&gt;0),(N3262-M3262)/M3262,"")</f>
        <v/>
      </c>
      <c r="Q3262" s="3">
        <f>IF(P3262="","",IF(P3262&lt;-0.02,"🔴 Bán phá giá sàn",IF(P3262&gt;0.05,"🔵 Bán cao hơn","🟢 Đúng giá sàn TMĐT")))</f>
        <v/>
      </c>
      <c r="R3262" s="3" t="n"/>
      <c r="S3262" s="4" t="n"/>
      <c r="T3262" s="4" t="n"/>
    </row>
    <row r="3263">
      <c r="A3263" s="3" t="n">
        <v>3262</v>
      </c>
      <c r="B3263" s="3" t="inlineStr">
        <is>
          <t>DL031</t>
        </is>
      </c>
      <c r="C3263" s="4" t="inlineStr">
        <is>
          <t>Điện máy Official</t>
        </is>
      </c>
      <c r="D3263" s="3" t="inlineStr">
        <is>
          <t>HN</t>
        </is>
      </c>
      <c r="E3263" s="3" t="inlineStr">
        <is>
          <t>ĐIỆP</t>
        </is>
      </c>
      <c r="F3263" s="3" t="inlineStr">
        <is>
          <t>Tiktok</t>
        </is>
      </c>
      <c r="G3263" s="4" t="inlineStr">
        <is>
          <t>SHOPEE: TIKTOK: https://www.tiktok.com/@bancatgachmen https://www.tiktok.com/@bancatgachrubi LAZADA: WEBSITE BÁN HÀNG:</t>
        </is>
      </c>
      <c r="H3263" s="3" t="inlineStr">
        <is>
          <t>CGS-2400</t>
        </is>
      </c>
      <c r="I3263" s="4" t="inlineStr">
        <is>
          <t>Bàn cắt gạch cao cấp CGS-2400</t>
        </is>
      </c>
      <c r="J3263" s="3" t="inlineStr">
        <is>
          <t>Cái</t>
        </is>
      </c>
      <c r="K3263" s="5" t="n">
        <v>269000</v>
      </c>
      <c r="L3263" s="5" t="n">
        <v>317000</v>
      </c>
      <c r="M3263" s="6" t="n">
        <v>390000</v>
      </c>
      <c r="N3263" s="5" t="n"/>
      <c r="O3263" s="5">
        <f>IF(AND(ISNUMBER(N3263),ISNUMBER(M3263)),N3263-M3263,"")</f>
        <v/>
      </c>
      <c r="P3263" s="7">
        <f>IF(AND(ISNUMBER(N3263),ISNUMBER(M3263),M3263&gt;0),(N3263-M3263)/M3263,"")</f>
        <v/>
      </c>
      <c r="Q3263" s="3">
        <f>IF(P3263="","",IF(P3263&lt;-0.02,"🔴 Bán phá giá sàn",IF(P3263&gt;0.05,"🔵 Bán cao hơn","🟢 Đúng giá sàn TMĐT")))</f>
        <v/>
      </c>
      <c r="R3263" s="3" t="n"/>
      <c r="S3263" s="4" t="n"/>
      <c r="T3263" s="4" t="n"/>
    </row>
    <row r="3264">
      <c r="A3264" s="3" t="n">
        <v>3263</v>
      </c>
      <c r="B3264" s="3" t="inlineStr">
        <is>
          <t>DL031</t>
        </is>
      </c>
      <c r="C3264" s="4" t="inlineStr">
        <is>
          <t>Điện máy Official</t>
        </is>
      </c>
      <c r="D3264" s="3" t="inlineStr">
        <is>
          <t>HN</t>
        </is>
      </c>
      <c r="E3264" s="3" t="inlineStr">
        <is>
          <t>ĐIỆP</t>
        </is>
      </c>
      <c r="F3264" s="3" t="inlineStr">
        <is>
          <t>Tiktok</t>
        </is>
      </c>
      <c r="G3264" s="4" t="inlineStr">
        <is>
          <t>SHOPEE: TIKTOK: https://www.tiktok.com/@bancatgachmen https://www.tiktok.com/@bancatgachrubi LAZADA: WEBSITE BÁN HÀNG:</t>
        </is>
      </c>
      <c r="H3264" s="3" t="inlineStr">
        <is>
          <t>CG-1000</t>
        </is>
      </c>
      <c r="I3264" s="4" t="inlineStr">
        <is>
          <t>Bàn cắt gạch CG-1000</t>
        </is>
      </c>
      <c r="J3264" s="3" t="inlineStr">
        <is>
          <t>Cái</t>
        </is>
      </c>
      <c r="K3264" s="5" t="n">
        <v>2420000</v>
      </c>
      <c r="L3264" s="5" t="n">
        <v>2710000</v>
      </c>
      <c r="M3264" s="6" t="n">
        <v>3146000</v>
      </c>
      <c r="N3264" s="5" t="n"/>
      <c r="O3264" s="5">
        <f>IF(AND(ISNUMBER(N3264),ISNUMBER(M3264)),N3264-M3264,"")</f>
        <v/>
      </c>
      <c r="P3264" s="7">
        <f>IF(AND(ISNUMBER(N3264),ISNUMBER(M3264),M3264&gt;0),(N3264-M3264)/M3264,"")</f>
        <v/>
      </c>
      <c r="Q3264" s="3">
        <f>IF(P3264="","",IF(P3264&lt;-0.02,"🔴 Bán phá giá sàn",IF(P3264&gt;0.05,"🔵 Bán cao hơn","🟢 Đúng giá sàn TMĐT")))</f>
        <v/>
      </c>
      <c r="R3264" s="3" t="n"/>
      <c r="S3264" s="4" t="n"/>
      <c r="T3264" s="4" t="n"/>
    </row>
    <row r="3265">
      <c r="A3265" s="3" t="n">
        <v>3264</v>
      </c>
      <c r="B3265" s="3" t="inlineStr">
        <is>
          <t>DL031</t>
        </is>
      </c>
      <c r="C3265" s="4" t="inlineStr">
        <is>
          <t>Điện máy Official</t>
        </is>
      </c>
      <c r="D3265" s="3" t="inlineStr">
        <is>
          <t>HN</t>
        </is>
      </c>
      <c r="E3265" s="3" t="inlineStr">
        <is>
          <t>ĐIỆP</t>
        </is>
      </c>
      <c r="F3265" s="3" t="inlineStr">
        <is>
          <t>Tiktok</t>
        </is>
      </c>
      <c r="G3265" s="4" t="inlineStr">
        <is>
          <t>SHOPEE: TIKTOK: https://www.tiktok.com/@bancatgachmen https://www.tiktok.com/@bancatgachrubi LAZADA: WEBSITE BÁN HÀNG:</t>
        </is>
      </c>
      <c r="H3265" s="3" t="inlineStr">
        <is>
          <t>CG-1200</t>
        </is>
      </c>
      <c r="I3265" s="4" t="inlineStr">
        <is>
          <t>Bàn cắt gạch CG-1200</t>
        </is>
      </c>
      <c r="J3265" s="3" t="inlineStr">
        <is>
          <t>Cái</t>
        </is>
      </c>
      <c r="K3265" s="5" t="n">
        <v>269000</v>
      </c>
      <c r="L3265" s="5" t="n">
        <v>317000</v>
      </c>
      <c r="M3265" s="6" t="n">
        <v>390000</v>
      </c>
      <c r="N3265" s="5" t="n"/>
      <c r="O3265" s="5">
        <f>IF(AND(ISNUMBER(N3265),ISNUMBER(M3265)),N3265-M3265,"")</f>
        <v/>
      </c>
      <c r="P3265" s="7">
        <f>IF(AND(ISNUMBER(N3265),ISNUMBER(M3265),M3265&gt;0),(N3265-M3265)/M3265,"")</f>
        <v/>
      </c>
      <c r="Q3265" s="3">
        <f>IF(P3265="","",IF(P3265&lt;-0.02,"🔴 Bán phá giá sàn",IF(P3265&gt;0.05,"🔵 Bán cao hơn","🟢 Đúng giá sàn TMĐT")))</f>
        <v/>
      </c>
      <c r="R3265" s="3" t="n"/>
      <c r="S3265" s="4" t="n"/>
      <c r="T3265" s="4" t="n"/>
    </row>
    <row r="3266">
      <c r="A3266" s="3" t="n">
        <v>3265</v>
      </c>
      <c r="B3266" s="3" t="inlineStr">
        <is>
          <t>DL031</t>
        </is>
      </c>
      <c r="C3266" s="4" t="inlineStr">
        <is>
          <t>Điện máy Official</t>
        </is>
      </c>
      <c r="D3266" s="3" t="inlineStr">
        <is>
          <t>HN</t>
        </is>
      </c>
      <c r="E3266" s="3" t="inlineStr">
        <is>
          <t>ĐIỆP</t>
        </is>
      </c>
      <c r="F3266" s="3" t="inlineStr">
        <is>
          <t>Tiktok</t>
        </is>
      </c>
      <c r="G3266" s="4" t="inlineStr">
        <is>
          <t>SHOPEE: TIKTOK: https://www.tiktok.com/@bancatgachmen https://www.tiktok.com/@bancatgachrubi LAZADA: WEBSITE BÁN HÀNG:</t>
        </is>
      </c>
      <c r="H3266" s="3" t="inlineStr">
        <is>
          <t>KB20MG1</t>
        </is>
      </c>
      <c r="I3266" s="4" t="inlineStr">
        <is>
          <t>Bộ Máy Mài Góc 20V KB20MG1</t>
        </is>
      </c>
      <c r="J3266" s="3" t="inlineStr">
        <is>
          <t>Bộ</t>
        </is>
      </c>
      <c r="K3266" s="5" t="n">
        <v>2310000</v>
      </c>
      <c r="L3266" s="5" t="n">
        <v>2540000</v>
      </c>
      <c r="M3266" s="6" t="n">
        <v>2890000</v>
      </c>
      <c r="N3266" s="5" t="n"/>
      <c r="O3266" s="5">
        <f>IF(AND(ISNUMBER(N3266),ISNUMBER(M3266)),N3266-M3266,"")</f>
        <v/>
      </c>
      <c r="P3266" s="7">
        <f>IF(AND(ISNUMBER(N3266),ISNUMBER(M3266),M3266&gt;0),(N3266-M3266)/M3266,"")</f>
        <v/>
      </c>
      <c r="Q3266" s="3">
        <f>IF(P3266="","",IF(P3266&lt;-0.02,"🔴 Bán phá giá sàn",IF(P3266&gt;0.05,"🔵 Bán cao hơn","🟢 Đúng giá sàn TMĐT")))</f>
        <v/>
      </c>
      <c r="R3266" s="3" t="n"/>
      <c r="S3266" s="4" t="n"/>
      <c r="T3266" s="4" t="n"/>
    </row>
    <row r="3267">
      <c r="A3267" s="3" t="n">
        <v>3266</v>
      </c>
      <c r="B3267" s="3" t="inlineStr">
        <is>
          <t>DL031</t>
        </is>
      </c>
      <c r="C3267" s="4" t="inlineStr">
        <is>
          <t>Điện máy Official</t>
        </is>
      </c>
      <c r="D3267" s="3" t="inlineStr">
        <is>
          <t>HN</t>
        </is>
      </c>
      <c r="E3267" s="3" t="inlineStr">
        <is>
          <t>ĐIỆP</t>
        </is>
      </c>
      <c r="F3267" s="3" t="inlineStr">
        <is>
          <t>Tiktok</t>
        </is>
      </c>
      <c r="G3267" s="4" t="inlineStr">
        <is>
          <t>SHOPEE: TIKTOK: https://www.tiktok.com/@bancatgachmen https://www.tiktok.com/@bancatgachrubi LAZADA: WEBSITE BÁN HÀNG:</t>
        </is>
      </c>
      <c r="H3267" s="3" t="inlineStr">
        <is>
          <t>KB-05X</t>
        </is>
      </c>
      <c r="I3267" s="4" t="inlineStr">
        <is>
          <t>Chân máy laser KB-05X</t>
        </is>
      </c>
      <c r="J3267" s="3" t="inlineStr">
        <is>
          <t>Cái</t>
        </is>
      </c>
      <c r="K3267" s="5" t="n">
        <v>1350000</v>
      </c>
      <c r="L3267" s="5" t="n">
        <v>1510000</v>
      </c>
      <c r="M3267" s="6" t="n">
        <v>1760000</v>
      </c>
      <c r="N3267" s="5" t="n"/>
      <c r="O3267" s="5">
        <f>IF(AND(ISNUMBER(N3267),ISNUMBER(M3267)),N3267-M3267,"")</f>
        <v/>
      </c>
      <c r="P3267" s="7">
        <f>IF(AND(ISNUMBER(N3267),ISNUMBER(M3267),M3267&gt;0),(N3267-M3267)/M3267,"")</f>
        <v/>
      </c>
      <c r="Q3267" s="3">
        <f>IF(P3267="","",IF(P3267&lt;-0.02,"🔴 Bán phá giá sàn",IF(P3267&gt;0.05,"🔵 Bán cao hơn","🟢 Đúng giá sàn TMĐT")))</f>
        <v/>
      </c>
      <c r="R3267" s="3" t="n"/>
      <c r="S3267" s="4" t="n"/>
      <c r="T3267" s="4" t="n"/>
    </row>
    <row r="3268">
      <c r="A3268" s="3" t="n">
        <v>3267</v>
      </c>
      <c r="B3268" s="3" t="inlineStr">
        <is>
          <t>DL031</t>
        </is>
      </c>
      <c r="C3268" s="4" t="inlineStr">
        <is>
          <t>Điện máy Official</t>
        </is>
      </c>
      <c r="D3268" s="3" t="inlineStr">
        <is>
          <t>HN</t>
        </is>
      </c>
      <c r="E3268" s="3" t="inlineStr">
        <is>
          <t>ĐIỆP</t>
        </is>
      </c>
      <c r="F3268" s="3" t="inlineStr">
        <is>
          <t>Tiktok</t>
        </is>
      </c>
      <c r="G3268" s="4" t="inlineStr">
        <is>
          <t>SHOPEE: TIKTOK: https://www.tiktok.com/@bancatgachmen https://www.tiktok.com/@bancatgachrubi LAZADA: WEBSITE BÁN HÀNG:</t>
        </is>
      </c>
      <c r="H3268" s="3" t="inlineStr">
        <is>
          <t>HKE-924</t>
        </is>
      </c>
      <c r="I3268" s="4" t="inlineStr">
        <is>
          <t>Hít gạch điện tử HKE-924</t>
        </is>
      </c>
      <c r="J3268" s="3" t="inlineStr">
        <is>
          <t>Cái</t>
        </is>
      </c>
      <c r="K3268" s="5" t="n">
        <v>680000</v>
      </c>
      <c r="L3268" s="5" t="n">
        <v>789000</v>
      </c>
      <c r="M3268" s="6" t="n">
        <v>952000</v>
      </c>
      <c r="N3268" s="5" t="n"/>
      <c r="O3268" s="5">
        <f>IF(AND(ISNUMBER(N3268),ISNUMBER(M3268)),N3268-M3268,"")</f>
        <v/>
      </c>
      <c r="P3268" s="7">
        <f>IF(AND(ISNUMBER(N3268),ISNUMBER(M3268),M3268&gt;0),(N3268-M3268)/M3268,"")</f>
        <v/>
      </c>
      <c r="Q3268" s="3">
        <f>IF(P3268="","",IF(P3268&lt;-0.02,"🔴 Bán phá giá sàn",IF(P3268&gt;0.05,"🔵 Bán cao hơn","🟢 Đúng giá sàn TMĐT")))</f>
        <v/>
      </c>
      <c r="R3268" s="3" t="n"/>
      <c r="S3268" s="4" t="n"/>
      <c r="T3268" s="4" t="n"/>
    </row>
    <row r="3269">
      <c r="A3269" s="3" t="n">
        <v>3268</v>
      </c>
      <c r="B3269" s="3" t="inlineStr">
        <is>
          <t>DL031</t>
        </is>
      </c>
      <c r="C3269" s="4" t="inlineStr">
        <is>
          <t>Điện máy Official</t>
        </is>
      </c>
      <c r="D3269" s="3" t="inlineStr">
        <is>
          <t>HN</t>
        </is>
      </c>
      <c r="E3269" s="3" t="inlineStr">
        <is>
          <t>ĐIỆP</t>
        </is>
      </c>
      <c r="F3269" s="3" t="inlineStr">
        <is>
          <t>Tiktok</t>
        </is>
      </c>
      <c r="G3269" s="4" t="inlineStr">
        <is>
          <t>SHOPEE: TIKTOK: https://www.tiktok.com/@bancatgachmen https://www.tiktok.com/@bancatgachrubi LAZADA: WEBSITE BÁN HÀNG:</t>
        </is>
      </c>
      <c r="H3269" s="3" t="inlineStr">
        <is>
          <t>HKE-200</t>
        </is>
      </c>
      <c r="I3269" s="4" t="inlineStr">
        <is>
          <t>Hít kính điện tử HKE-200</t>
        </is>
      </c>
      <c r="J3269" s="3" t="inlineStr">
        <is>
          <t>Cái</t>
        </is>
      </c>
      <c r="K3269" s="5" t="n">
        <v>583000</v>
      </c>
      <c r="L3269" s="5" t="n">
        <v>676000</v>
      </c>
      <c r="M3269" s="6" t="n">
        <v>816000</v>
      </c>
      <c r="N3269" s="5" t="n"/>
      <c r="O3269" s="5">
        <f>IF(AND(ISNUMBER(N3269),ISNUMBER(M3269)),N3269-M3269,"")</f>
        <v/>
      </c>
      <c r="P3269" s="7">
        <f>IF(AND(ISNUMBER(N3269),ISNUMBER(M3269),M3269&gt;0),(N3269-M3269)/M3269,"")</f>
        <v/>
      </c>
      <c r="Q3269" s="3">
        <f>IF(P3269="","",IF(P3269&lt;-0.02,"🔴 Bán phá giá sàn",IF(P3269&gt;0.05,"🔵 Bán cao hơn","🟢 Đúng giá sàn TMĐT")))</f>
        <v/>
      </c>
      <c r="R3269" s="3" t="n"/>
      <c r="S3269" s="4" t="n"/>
      <c r="T3269" s="4" t="n"/>
    </row>
    <row r="3270">
      <c r="A3270" s="3" t="n">
        <v>3269</v>
      </c>
      <c r="B3270" s="3" t="inlineStr">
        <is>
          <t>DL031</t>
        </is>
      </c>
      <c r="C3270" s="4" t="inlineStr">
        <is>
          <t>Điện máy Official</t>
        </is>
      </c>
      <c r="D3270" s="3" t="inlineStr">
        <is>
          <t>HN</t>
        </is>
      </c>
      <c r="E3270" s="3" t="inlineStr">
        <is>
          <t>ĐIỆP</t>
        </is>
      </c>
      <c r="F3270" s="3" t="inlineStr">
        <is>
          <t>Tiktok</t>
        </is>
      </c>
      <c r="G3270" s="4" t="inlineStr">
        <is>
          <t>SHOPEE: TIKTOK: https://www.tiktok.com/@bancatgachmen https://www.tiktok.com/@bancatgachrubi LAZADA: WEBSITE BÁN HÀNG:</t>
        </is>
      </c>
      <c r="H3270" s="3" t="inlineStr">
        <is>
          <t>HK1-50</t>
        </is>
      </c>
      <c r="I3270" s="4" t="inlineStr">
        <is>
          <t>Hít kính HK1-50</t>
        </is>
      </c>
      <c r="J3270" s="3" t="inlineStr">
        <is>
          <t>Cái</t>
        </is>
      </c>
      <c r="K3270" s="5" t="n">
        <v>182000</v>
      </c>
      <c r="L3270" s="5" t="n">
        <v>215000</v>
      </c>
      <c r="M3270" s="6" t="n">
        <v>264000</v>
      </c>
      <c r="N3270" s="5" t="n"/>
      <c r="O3270" s="5">
        <f>IF(AND(ISNUMBER(N3270),ISNUMBER(M3270)),N3270-M3270,"")</f>
        <v/>
      </c>
      <c r="P3270" s="7">
        <f>IF(AND(ISNUMBER(N3270),ISNUMBER(M3270),M3270&gt;0),(N3270-M3270)/M3270,"")</f>
        <v/>
      </c>
      <c r="Q3270" s="3">
        <f>IF(P3270="","",IF(P3270&lt;-0.02,"🔴 Bán phá giá sàn",IF(P3270&gt;0.05,"🔵 Bán cao hơn","🟢 Đúng giá sàn TMĐT")))</f>
        <v/>
      </c>
      <c r="R3270" s="3" t="n"/>
      <c r="S3270" s="4" t="n"/>
      <c r="T3270" s="4" t="n"/>
    </row>
    <row r="3271">
      <c r="A3271" s="3" t="n">
        <v>3270</v>
      </c>
      <c r="B3271" s="3" t="inlineStr">
        <is>
          <t>DL031</t>
        </is>
      </c>
      <c r="C3271" s="4" t="inlineStr">
        <is>
          <t>Điện máy Official</t>
        </is>
      </c>
      <c r="D3271" s="3" t="inlineStr">
        <is>
          <t>HN</t>
        </is>
      </c>
      <c r="E3271" s="3" t="inlineStr">
        <is>
          <t>ĐIỆP</t>
        </is>
      </c>
      <c r="F3271" s="3" t="inlineStr">
        <is>
          <t>Tiktok</t>
        </is>
      </c>
      <c r="G3271" s="4" t="inlineStr">
        <is>
          <t>SHOPEE: TIKTOK: https://www.tiktok.com/@bancatgachmen https://www.tiktok.com/@bancatgachrubi LAZADA: WEBSITE BÁN HÀNG:</t>
        </is>
      </c>
      <c r="H3271" s="3" t="inlineStr">
        <is>
          <t>HK2-130</t>
        </is>
      </c>
      <c r="I3271" s="4" t="inlineStr">
        <is>
          <t>Hít kính HK2-130</t>
        </is>
      </c>
      <c r="J3271" s="3" t="inlineStr">
        <is>
          <t>Cái</t>
        </is>
      </c>
      <c r="K3271" s="5" t="n">
        <v>308000</v>
      </c>
      <c r="L3271" s="5" t="n">
        <v>364000</v>
      </c>
      <c r="M3271" s="6" t="n">
        <v>447000</v>
      </c>
      <c r="N3271" s="5" t="n"/>
      <c r="O3271" s="5">
        <f>IF(AND(ISNUMBER(N3271),ISNUMBER(M3271)),N3271-M3271,"")</f>
        <v/>
      </c>
      <c r="P3271" s="7">
        <f>IF(AND(ISNUMBER(N3271),ISNUMBER(M3271),M3271&gt;0),(N3271-M3271)/M3271,"")</f>
        <v/>
      </c>
      <c r="Q3271" s="3">
        <f>IF(P3271="","",IF(P3271&lt;-0.02,"🔴 Bán phá giá sàn",IF(P3271&gt;0.05,"🔵 Bán cao hơn","🟢 Đúng giá sàn TMĐT")))</f>
        <v/>
      </c>
      <c r="R3271" s="3" t="n"/>
      <c r="S3271" s="4" t="n"/>
      <c r="T3271" s="4" t="n"/>
    </row>
    <row r="3272">
      <c r="A3272" s="3" t="n">
        <v>3271</v>
      </c>
      <c r="B3272" s="3" t="inlineStr">
        <is>
          <t>DL031</t>
        </is>
      </c>
      <c r="C3272" s="4" t="inlineStr">
        <is>
          <t>Điện máy Official</t>
        </is>
      </c>
      <c r="D3272" s="3" t="inlineStr">
        <is>
          <t>HN</t>
        </is>
      </c>
      <c r="E3272" s="3" t="inlineStr">
        <is>
          <t>ĐIỆP</t>
        </is>
      </c>
      <c r="F3272" s="3" t="inlineStr">
        <is>
          <t>Tiktok</t>
        </is>
      </c>
      <c r="G3272" s="4" t="inlineStr">
        <is>
          <t>SHOPEE: TIKTOK: https://www.tiktok.com/@bancatgachmen https://www.tiktok.com/@bancatgachrubi LAZADA: WEBSITE BÁN HÀNG:</t>
        </is>
      </c>
      <c r="H3272" s="3" t="inlineStr">
        <is>
          <t>HK2-118</t>
        </is>
      </c>
      <c r="I3272" s="4" t="inlineStr">
        <is>
          <t>Hít kính-căn chỉnh mạch gạch HK2-118</t>
        </is>
      </c>
      <c r="J3272" s="3" t="inlineStr">
        <is>
          <t>Cái</t>
        </is>
      </c>
      <c r="K3272" s="5" t="n">
        <v>438000</v>
      </c>
      <c r="L3272" s="5" t="n">
        <v>517000</v>
      </c>
      <c r="M3272" s="6" t="n">
        <v>635000</v>
      </c>
      <c r="N3272" s="5" t="n"/>
      <c r="O3272" s="5">
        <f>IF(AND(ISNUMBER(N3272),ISNUMBER(M3272)),N3272-M3272,"")</f>
        <v/>
      </c>
      <c r="P3272" s="7">
        <f>IF(AND(ISNUMBER(N3272),ISNUMBER(M3272),M3272&gt;0),(N3272-M3272)/M3272,"")</f>
        <v/>
      </c>
      <c r="Q3272" s="3">
        <f>IF(P3272="","",IF(P3272&lt;-0.02,"🔴 Bán phá giá sàn",IF(P3272&gt;0.05,"🔵 Bán cao hơn","🟢 Đúng giá sàn TMĐT")))</f>
        <v/>
      </c>
      <c r="R3272" s="3" t="n"/>
      <c r="S3272" s="4" t="n"/>
      <c r="T3272" s="4" t="n"/>
    </row>
    <row r="3273">
      <c r="A3273" s="3" t="n">
        <v>3272</v>
      </c>
      <c r="B3273" s="3" t="inlineStr">
        <is>
          <t>DL031</t>
        </is>
      </c>
      <c r="C3273" s="4" t="inlineStr">
        <is>
          <t>Điện máy Official</t>
        </is>
      </c>
      <c r="D3273" s="3" t="inlineStr">
        <is>
          <t>HN</t>
        </is>
      </c>
      <c r="E3273" s="3" t="inlineStr">
        <is>
          <t>ĐIỆP</t>
        </is>
      </c>
      <c r="F3273" s="3" t="inlineStr">
        <is>
          <t>Tiktok</t>
        </is>
      </c>
      <c r="G3273" s="4" t="inlineStr">
        <is>
          <t>SHOPEE: TIKTOK: https://www.tiktok.com/@bancatgachmen https://www.tiktok.com/@bancatgachrubi LAZADA: WEBSITE BÁN HÀNG:</t>
        </is>
      </c>
      <c r="H3273" s="3" t="inlineStr"/>
      <c r="I3273" s="4" t="inlineStr">
        <is>
          <t>KỆ HÀNG</t>
        </is>
      </c>
      <c r="J3273" s="3" t="inlineStr">
        <is>
          <t>Cái</t>
        </is>
      </c>
      <c r="K3273" s="5" t="n">
        <v>269000</v>
      </c>
      <c r="L3273" s="5" t="n">
        <v>317000</v>
      </c>
      <c r="M3273" s="6" t="n">
        <v>390000</v>
      </c>
      <c r="N3273" s="5" t="n"/>
      <c r="O3273" s="5">
        <f>IF(AND(ISNUMBER(N3273),ISNUMBER(M3273)),N3273-M3273,"")</f>
        <v/>
      </c>
      <c r="P3273" s="7">
        <f>IF(AND(ISNUMBER(N3273),ISNUMBER(M3273),M3273&gt;0),(N3273-M3273)/M3273,"")</f>
        <v/>
      </c>
      <c r="Q3273" s="3">
        <f>IF(P3273="","",IF(P3273&lt;-0.02,"🔴 Bán phá giá sàn",IF(P3273&gt;0.05,"🔵 Bán cao hơn","🟢 Đúng giá sàn TMĐT")))</f>
        <v/>
      </c>
      <c r="R3273" s="3" t="n"/>
      <c r="S3273" s="4" t="n"/>
      <c r="T3273" s="4" t="n"/>
    </row>
    <row r="3274">
      <c r="A3274" s="3" t="n">
        <v>3273</v>
      </c>
      <c r="B3274" s="3" t="inlineStr">
        <is>
          <t>DL031</t>
        </is>
      </c>
      <c r="C3274" s="4" t="inlineStr">
        <is>
          <t>Điện máy Official</t>
        </is>
      </c>
      <c r="D3274" s="3" t="inlineStr">
        <is>
          <t>HN</t>
        </is>
      </c>
      <c r="E3274" s="3" t="inlineStr">
        <is>
          <t>ĐIỆP</t>
        </is>
      </c>
      <c r="F3274" s="3" t="inlineStr">
        <is>
          <t>Tiktok</t>
        </is>
      </c>
      <c r="G3274" s="4" t="inlineStr">
        <is>
          <t>SHOPEE: TIKTOK: https://www.tiktok.com/@bancatgachmen https://www.tiktok.com/@bancatgachrubi LAZADA: WEBSITE BÁN HÀNG:</t>
        </is>
      </c>
      <c r="H3274" s="3" t="inlineStr"/>
      <c r="I3274" s="4" t="inlineStr">
        <is>
          <t>Kệ trưng bày sản phẩm hình tròn xoay 360 độ KT 185x56x56cm</t>
        </is>
      </c>
      <c r="J3274" s="3" t="inlineStr">
        <is>
          <t>Cái</t>
        </is>
      </c>
      <c r="K3274" s="5" t="n">
        <v>269000</v>
      </c>
      <c r="L3274" s="5" t="n">
        <v>317000</v>
      </c>
      <c r="M3274" s="6" t="n">
        <v>390000</v>
      </c>
      <c r="N3274" s="5" t="n"/>
      <c r="O3274" s="5">
        <f>IF(AND(ISNUMBER(N3274),ISNUMBER(M3274)),N3274-M3274,"")</f>
        <v/>
      </c>
      <c r="P3274" s="7">
        <f>IF(AND(ISNUMBER(N3274),ISNUMBER(M3274),M3274&gt;0),(N3274-M3274)/M3274,"")</f>
        <v/>
      </c>
      <c r="Q3274" s="3">
        <f>IF(P3274="","",IF(P3274&lt;-0.02,"🔴 Bán phá giá sàn",IF(P3274&gt;0.05,"🔵 Bán cao hơn","🟢 Đúng giá sàn TMĐT")))</f>
        <v/>
      </c>
      <c r="R3274" s="3" t="n"/>
      <c r="S3274" s="4" t="n"/>
      <c r="T3274" s="4" t="n"/>
    </row>
    <row r="3275">
      <c r="A3275" s="3" t="n">
        <v>3274</v>
      </c>
      <c r="B3275" s="3" t="inlineStr">
        <is>
          <t>DL031</t>
        </is>
      </c>
      <c r="C3275" s="4" t="inlineStr">
        <is>
          <t>Điện máy Official</t>
        </is>
      </c>
      <c r="D3275" s="3" t="inlineStr">
        <is>
          <t>HN</t>
        </is>
      </c>
      <c r="E3275" s="3" t="inlineStr">
        <is>
          <t>ĐIỆP</t>
        </is>
      </c>
      <c r="F3275" s="3" t="inlineStr">
        <is>
          <t>Tiktok</t>
        </is>
      </c>
      <c r="G3275" s="4" t="inlineStr">
        <is>
          <t>SHOPEE: TIKTOK: https://www.tiktok.com/@bancatgachmen https://www.tiktok.com/@bancatgachrubi LAZADA: WEBSITE BÁN HÀNG:</t>
        </is>
      </c>
      <c r="H3275" s="3" t="inlineStr">
        <is>
          <t>KBB-90MM</t>
        </is>
      </c>
      <c r="I3275" s="4" t="inlineStr">
        <is>
          <t>Khoan Kính KingBlue KBB-90MM</t>
        </is>
      </c>
      <c r="J3275" s="3" t="inlineStr">
        <is>
          <t>Cái</t>
        </is>
      </c>
      <c r="K3275" s="5" t="n">
        <v>269000</v>
      </c>
      <c r="L3275" s="5" t="n">
        <v>317000</v>
      </c>
      <c r="M3275" s="6" t="n">
        <v>390000</v>
      </c>
      <c r="N3275" s="5" t="n"/>
      <c r="O3275" s="5">
        <f>IF(AND(ISNUMBER(N3275),ISNUMBER(M3275)),N3275-M3275,"")</f>
        <v/>
      </c>
      <c r="P3275" s="7">
        <f>IF(AND(ISNUMBER(N3275),ISNUMBER(M3275),M3275&gt;0),(N3275-M3275)/M3275,"")</f>
        <v/>
      </c>
      <c r="Q3275" s="3">
        <f>IF(P3275="","",IF(P3275&lt;-0.02,"🔴 Bán phá giá sàn",IF(P3275&gt;0.05,"🔵 Bán cao hơn","🟢 Đúng giá sàn TMĐT")))</f>
        <v/>
      </c>
      <c r="R3275" s="3" t="n"/>
      <c r="S3275" s="4" t="n"/>
      <c r="T3275" s="4" t="n"/>
    </row>
    <row r="3276">
      <c r="A3276" s="3" t="n">
        <v>3275</v>
      </c>
      <c r="B3276" s="3" t="inlineStr">
        <is>
          <t>DL031</t>
        </is>
      </c>
      <c r="C3276" s="4" t="inlineStr">
        <is>
          <t>Điện máy Official</t>
        </is>
      </c>
      <c r="D3276" s="3" t="inlineStr">
        <is>
          <t>HN</t>
        </is>
      </c>
      <c r="E3276" s="3" t="inlineStr">
        <is>
          <t>ĐIỆP</t>
        </is>
      </c>
      <c r="F3276" s="3" t="inlineStr">
        <is>
          <t>Tiktok</t>
        </is>
      </c>
      <c r="G3276" s="4" t="inlineStr">
        <is>
          <t>SHOPEE: TIKTOK: https://www.tiktok.com/@bancatgachmen https://www.tiktok.com/@bancatgachrubi LAZADA: WEBSITE BÁN HÀNG:</t>
        </is>
      </c>
      <c r="H3276" s="3" t="inlineStr">
        <is>
          <t>NG107</t>
        </is>
      </c>
      <c r="I3276" s="4" t="inlineStr">
        <is>
          <t>Kích nâng gạch NG107</t>
        </is>
      </c>
      <c r="J3276" s="3" t="inlineStr">
        <is>
          <t>Cái</t>
        </is>
      </c>
      <c r="K3276" s="5" t="n">
        <v>105000</v>
      </c>
      <c r="L3276" s="5" t="n">
        <v>124000</v>
      </c>
      <c r="M3276" s="6" t="n">
        <v>152000</v>
      </c>
      <c r="N3276" s="5" t="n"/>
      <c r="O3276" s="5">
        <f>IF(AND(ISNUMBER(N3276),ISNUMBER(M3276)),N3276-M3276,"")</f>
        <v/>
      </c>
      <c r="P3276" s="7">
        <f>IF(AND(ISNUMBER(N3276),ISNUMBER(M3276),M3276&gt;0),(N3276-M3276)/M3276,"")</f>
        <v/>
      </c>
      <c r="Q3276" s="3">
        <f>IF(P3276="","",IF(P3276&lt;-0.02,"🔴 Bán phá giá sàn",IF(P3276&gt;0.05,"🔵 Bán cao hơn","🟢 Đúng giá sàn TMĐT")))</f>
        <v/>
      </c>
      <c r="R3276" s="3" t="n"/>
      <c r="S3276" s="4" t="n"/>
      <c r="T3276" s="4" t="n"/>
    </row>
    <row r="3277">
      <c r="A3277" s="3" t="n">
        <v>3276</v>
      </c>
      <c r="B3277" s="3" t="inlineStr">
        <is>
          <t>DL031</t>
        </is>
      </c>
      <c r="C3277" s="4" t="inlineStr">
        <is>
          <t>Điện máy Official</t>
        </is>
      </c>
      <c r="D3277" s="3" t="inlineStr">
        <is>
          <t>HN</t>
        </is>
      </c>
      <c r="E3277" s="3" t="inlineStr">
        <is>
          <t>ĐIỆP</t>
        </is>
      </c>
      <c r="F3277" s="3" t="inlineStr">
        <is>
          <t>Tiktok</t>
        </is>
      </c>
      <c r="G3277" s="4" t="inlineStr">
        <is>
          <t>SHOPEE: TIKTOK: https://www.tiktok.com/@bancatgachmen https://www.tiktok.com/@bancatgachrubi LAZADA: WEBSITE BÁN HÀNG:</t>
        </is>
      </c>
      <c r="H3277" s="3" t="inlineStr">
        <is>
          <t>VJ01</t>
        </is>
      </c>
      <c r="I3277" s="4" t="inlineStr">
        <is>
          <t>Lưỡi cắt gạch bàn VJ01</t>
        </is>
      </c>
      <c r="J3277" s="3" t="inlineStr">
        <is>
          <t>Cái</t>
        </is>
      </c>
      <c r="K3277" s="5" t="n">
        <v>80000</v>
      </c>
      <c r="L3277" s="5" t="n">
        <v>94000</v>
      </c>
      <c r="M3277" s="6" t="n">
        <v>116000</v>
      </c>
      <c r="N3277" s="5" t="n"/>
      <c r="O3277" s="5">
        <f>IF(AND(ISNUMBER(N3277),ISNUMBER(M3277)),N3277-M3277,"")</f>
        <v/>
      </c>
      <c r="P3277" s="7">
        <f>IF(AND(ISNUMBER(N3277),ISNUMBER(M3277),M3277&gt;0),(N3277-M3277)/M3277,"")</f>
        <v/>
      </c>
      <c r="Q3277" s="3">
        <f>IF(P3277="","",IF(P3277&lt;-0.02,"🔴 Bán phá giá sàn",IF(P3277&gt;0.05,"🔵 Bán cao hơn","🟢 Đúng giá sàn TMĐT")))</f>
        <v/>
      </c>
      <c r="R3277" s="3" t="n"/>
      <c r="S3277" s="4" t="n"/>
      <c r="T3277" s="4" t="n"/>
    </row>
    <row r="3278">
      <c r="A3278" s="3" t="n">
        <v>3277</v>
      </c>
      <c r="B3278" s="3" t="inlineStr">
        <is>
          <t>DL031</t>
        </is>
      </c>
      <c r="C3278" s="4" t="inlineStr">
        <is>
          <t>Điện máy Official</t>
        </is>
      </c>
      <c r="D3278" s="3" t="inlineStr">
        <is>
          <t>HN</t>
        </is>
      </c>
      <c r="E3278" s="3" t="inlineStr">
        <is>
          <t>ĐIỆP</t>
        </is>
      </c>
      <c r="F3278" s="3" t="inlineStr">
        <is>
          <t>Tiktok</t>
        </is>
      </c>
      <c r="G3278" s="4" t="inlineStr">
        <is>
          <t>SHOPEE: TIKTOK: https://www.tiktok.com/@bancatgachmen https://www.tiktok.com/@bancatgachrubi LAZADA: WEBSITE BÁN HÀNG:</t>
        </is>
      </c>
      <c r="H3278" s="3" t="inlineStr">
        <is>
          <t>KB-12XV</t>
        </is>
      </c>
      <c r="I3278" s="4" t="inlineStr">
        <is>
          <t>Máy cân bằng 12 tia KB-12XV</t>
        </is>
      </c>
      <c r="J3278" s="3" t="inlineStr">
        <is>
          <t>Cái</t>
        </is>
      </c>
      <c r="K3278" s="5" t="n">
        <v>2300000</v>
      </c>
      <c r="L3278" s="5" t="n">
        <v>2580000</v>
      </c>
      <c r="M3278" s="6" t="n">
        <v>2990000</v>
      </c>
      <c r="N3278" s="5" t="n"/>
      <c r="O3278" s="5">
        <f>IF(AND(ISNUMBER(N3278),ISNUMBER(M3278)),N3278-M3278,"")</f>
        <v/>
      </c>
      <c r="P3278" s="7">
        <f>IF(AND(ISNUMBER(N3278),ISNUMBER(M3278),M3278&gt;0),(N3278-M3278)/M3278,"")</f>
        <v/>
      </c>
      <c r="Q3278" s="3">
        <f>IF(P3278="","",IF(P3278&lt;-0.02,"🔴 Bán phá giá sàn",IF(P3278&gt;0.05,"🔵 Bán cao hơn","🟢 Đúng giá sàn TMĐT")))</f>
        <v/>
      </c>
      <c r="R3278" s="3" t="n"/>
      <c r="S3278" s="4" t="n"/>
      <c r="T3278" s="4" t="n"/>
    </row>
    <row r="3279">
      <c r="A3279" s="3" t="n">
        <v>3278</v>
      </c>
      <c r="B3279" s="3" t="inlineStr">
        <is>
          <t>DL031</t>
        </is>
      </c>
      <c r="C3279" s="4" t="inlineStr">
        <is>
          <t>Điện máy Official</t>
        </is>
      </c>
      <c r="D3279" s="3" t="inlineStr">
        <is>
          <t>HN</t>
        </is>
      </c>
      <c r="E3279" s="3" t="inlineStr">
        <is>
          <t>ĐIỆP</t>
        </is>
      </c>
      <c r="F3279" s="3" t="inlineStr">
        <is>
          <t>Tiktok</t>
        </is>
      </c>
      <c r="G3279" s="4" t="inlineStr">
        <is>
          <t>SHOPEE: TIKTOK: https://www.tiktok.com/@bancatgachmen https://www.tiktok.com/@bancatgachrubi LAZADA: WEBSITE BÁN HÀNG:</t>
        </is>
      </c>
      <c r="H3279" s="3" t="inlineStr">
        <is>
          <t>KB-16XV</t>
        </is>
      </c>
      <c r="I3279" s="4" t="inlineStr">
        <is>
          <t>Máy cân bằng 16 tia KB-16XV</t>
        </is>
      </c>
      <c r="J3279" s="3" t="inlineStr">
        <is>
          <t>Cái</t>
        </is>
      </c>
      <c r="K3279" s="5" t="n">
        <v>2560000</v>
      </c>
      <c r="L3279" s="5" t="n">
        <v>2870000</v>
      </c>
      <c r="M3279" s="6" t="n">
        <v>3330000</v>
      </c>
      <c r="N3279" s="5" t="n"/>
      <c r="O3279" s="5">
        <f>IF(AND(ISNUMBER(N3279),ISNUMBER(M3279)),N3279-M3279,"")</f>
        <v/>
      </c>
      <c r="P3279" s="7">
        <f>IF(AND(ISNUMBER(N3279),ISNUMBER(M3279),M3279&gt;0),(N3279-M3279)/M3279,"")</f>
        <v/>
      </c>
      <c r="Q3279" s="3">
        <f>IF(P3279="","",IF(P3279&lt;-0.02,"🔴 Bán phá giá sàn",IF(P3279&gt;0.05,"🔵 Bán cao hơn","🟢 Đúng giá sàn TMĐT")))</f>
        <v/>
      </c>
      <c r="R3279" s="3" t="n"/>
      <c r="S3279" s="4" t="n"/>
      <c r="T3279" s="4" t="n"/>
    </row>
    <row r="3280">
      <c r="A3280" s="3" t="n">
        <v>3279</v>
      </c>
      <c r="B3280" s="3" t="inlineStr">
        <is>
          <t>DL031</t>
        </is>
      </c>
      <c r="C3280" s="4" t="inlineStr">
        <is>
          <t>Điện máy Official</t>
        </is>
      </c>
      <c r="D3280" s="3" t="inlineStr">
        <is>
          <t>HN</t>
        </is>
      </c>
      <c r="E3280" s="3" t="inlineStr">
        <is>
          <t>ĐIỆP</t>
        </is>
      </c>
      <c r="F3280" s="3" t="inlineStr">
        <is>
          <t>Tiktok</t>
        </is>
      </c>
      <c r="G3280" s="4" t="inlineStr">
        <is>
          <t>SHOPEE: TIKTOK: https://www.tiktok.com/@bancatgachmen https://www.tiktok.com/@bancatgachrubi LAZADA: WEBSITE BÁN HÀNG:</t>
        </is>
      </c>
      <c r="H3280" s="3" t="inlineStr">
        <is>
          <t>KB-05XS</t>
        </is>
      </c>
      <c r="I3280" s="4" t="inlineStr">
        <is>
          <t>Máy cân bằng KB-05XS</t>
        </is>
      </c>
      <c r="J3280" s="3" t="inlineStr">
        <is>
          <t>Cái</t>
        </is>
      </c>
      <c r="K3280" s="5" t="n">
        <v>2090000</v>
      </c>
      <c r="L3280" s="5" t="n">
        <v>2340000</v>
      </c>
      <c r="M3280" s="6" t="n">
        <v>2720000</v>
      </c>
      <c r="N3280" s="5" t="n"/>
      <c r="O3280" s="5">
        <f>IF(AND(ISNUMBER(N3280),ISNUMBER(M3280)),N3280-M3280,"")</f>
        <v/>
      </c>
      <c r="P3280" s="7">
        <f>IF(AND(ISNUMBER(N3280),ISNUMBER(M3280),M3280&gt;0),(N3280-M3280)/M3280,"")</f>
        <v/>
      </c>
      <c r="Q3280" s="3">
        <f>IF(P3280="","",IF(P3280&lt;-0.02,"🔴 Bán phá giá sàn",IF(P3280&gt;0.05,"🔵 Bán cao hơn","🟢 Đúng giá sàn TMĐT")))</f>
        <v/>
      </c>
      <c r="R3280" s="3" t="n"/>
      <c r="S3280" s="4" t="n"/>
      <c r="T3280" s="4" t="n"/>
    </row>
    <row r="3281">
      <c r="A3281" s="3" t="n">
        <v>3280</v>
      </c>
      <c r="B3281" s="3" t="inlineStr">
        <is>
          <t>DL031</t>
        </is>
      </c>
      <c r="C3281" s="4" t="inlineStr">
        <is>
          <t>Điện máy Official</t>
        </is>
      </c>
      <c r="D3281" s="3" t="inlineStr">
        <is>
          <t>HN</t>
        </is>
      </c>
      <c r="E3281" s="3" t="inlineStr">
        <is>
          <t>ĐIỆP</t>
        </is>
      </c>
      <c r="F3281" s="3" t="inlineStr">
        <is>
          <t>Tiktok</t>
        </is>
      </c>
      <c r="G3281" s="4" t="inlineStr">
        <is>
          <t>SHOPEE: TIKTOK: https://www.tiktok.com/@bancatgachmen https://www.tiktok.com/@bancatgachrubi LAZADA: WEBSITE BÁN HÀNG:</t>
        </is>
      </c>
      <c r="H3281" s="3" t="inlineStr">
        <is>
          <t>KM18-HR1</t>
        </is>
      </c>
      <c r="I3281" s="4" t="inlineStr">
        <is>
          <t>Máy rung ốp lát gạch KM18-HR1</t>
        </is>
      </c>
      <c r="J3281" s="3" t="inlineStr">
        <is>
          <t>Cái</t>
        </is>
      </c>
      <c r="K3281" s="5" t="n">
        <v>269000</v>
      </c>
      <c r="L3281" s="5" t="n">
        <v>317000</v>
      </c>
      <c r="M3281" s="6" t="n">
        <v>390000</v>
      </c>
      <c r="N3281" s="5" t="n"/>
      <c r="O3281" s="5">
        <f>IF(AND(ISNUMBER(N3281),ISNUMBER(M3281)),N3281-M3281,"")</f>
        <v/>
      </c>
      <c r="P3281" s="7">
        <f>IF(AND(ISNUMBER(N3281),ISNUMBER(M3281),M3281&gt;0),(N3281-M3281)/M3281,"")</f>
        <v/>
      </c>
      <c r="Q3281" s="3">
        <f>IF(P3281="","",IF(P3281&lt;-0.02,"🔴 Bán phá giá sàn",IF(P3281&gt;0.05,"🔵 Bán cao hơn","🟢 Đúng giá sàn TMĐT")))</f>
        <v/>
      </c>
      <c r="R3281" s="3" t="n"/>
      <c r="S3281" s="4" t="n"/>
      <c r="T3281" s="4" t="n"/>
    </row>
    <row r="3282">
      <c r="A3282" s="3" t="n">
        <v>3281</v>
      </c>
      <c r="B3282" s="3" t="inlineStr">
        <is>
          <t>DL031</t>
        </is>
      </c>
      <c r="C3282" s="4" t="inlineStr">
        <is>
          <t>Điện máy Official</t>
        </is>
      </c>
      <c r="D3282" s="3" t="inlineStr">
        <is>
          <t>HN</t>
        </is>
      </c>
      <c r="E3282" s="3" t="inlineStr">
        <is>
          <t>ĐIỆP</t>
        </is>
      </c>
      <c r="F3282" s="3" t="inlineStr">
        <is>
          <t>Tiktok</t>
        </is>
      </c>
      <c r="G3282" s="4" t="inlineStr">
        <is>
          <t>SHOPEE: TIKTOK: https://www.tiktok.com/@bancatgachmen https://www.tiktok.com/@bancatgachrubi LAZADA: WEBSITE BÁN HÀNG:</t>
        </is>
      </c>
      <c r="H3282" s="3" t="inlineStr"/>
      <c r="I3282" s="4" t="inlineStr">
        <is>
          <t>Pin máy rung gạch 2.0Ah</t>
        </is>
      </c>
      <c r="J3282" s="3" t="inlineStr">
        <is>
          <t>Cái</t>
        </is>
      </c>
      <c r="K3282" s="5" t="n">
        <v>269000</v>
      </c>
      <c r="L3282" s="5" t="n">
        <v>317000</v>
      </c>
      <c r="M3282" s="6" t="n">
        <v>390000</v>
      </c>
      <c r="N3282" s="5" t="n"/>
      <c r="O3282" s="5">
        <f>IF(AND(ISNUMBER(N3282),ISNUMBER(M3282)),N3282-M3282,"")</f>
        <v/>
      </c>
      <c r="P3282" s="7">
        <f>IF(AND(ISNUMBER(N3282),ISNUMBER(M3282),M3282&gt;0),(N3282-M3282)/M3282,"")</f>
        <v/>
      </c>
      <c r="Q3282" s="3">
        <f>IF(P3282="","",IF(P3282&lt;-0.02,"🔴 Bán phá giá sàn",IF(P3282&gt;0.05,"🔵 Bán cao hơn","🟢 Đúng giá sàn TMĐT")))</f>
        <v/>
      </c>
      <c r="R3282" s="3" t="n"/>
      <c r="S3282" s="4" t="n"/>
      <c r="T3282" s="4" t="n"/>
    </row>
    <row r="3283">
      <c r="A3283" s="3" t="n">
        <v>3282</v>
      </c>
      <c r="B3283" s="3" t="inlineStr">
        <is>
          <t>DL031</t>
        </is>
      </c>
      <c r="C3283" s="4" t="inlineStr">
        <is>
          <t>Điện máy Official</t>
        </is>
      </c>
      <c r="D3283" s="3" t="inlineStr">
        <is>
          <t>HN</t>
        </is>
      </c>
      <c r="E3283" s="3" t="inlineStr">
        <is>
          <t>ĐIỆP</t>
        </is>
      </c>
      <c r="F3283" s="3" t="inlineStr">
        <is>
          <t>Tiktok</t>
        </is>
      </c>
      <c r="G3283" s="4" t="inlineStr">
        <is>
          <t>SHOPEE: TIKTOK: https://www.tiktok.com/@bancatgachmen https://www.tiktok.com/@bancatgachrubi LAZADA: WEBSITE BÁN HÀNG:</t>
        </is>
      </c>
      <c r="H3283" s="3" t="inlineStr">
        <is>
          <t>KBO-ST64</t>
        </is>
      </c>
      <c r="I3283" s="4" t="inlineStr">
        <is>
          <t>Súng bắn đinh bê tông KBO-ST64</t>
        </is>
      </c>
      <c r="J3283" s="3" t="inlineStr">
        <is>
          <t>Cái</t>
        </is>
      </c>
      <c r="K3283" s="5" t="n">
        <v>946000</v>
      </c>
      <c r="L3283" s="5" t="n">
        <v>1097000</v>
      </c>
      <c r="M3283" s="6" t="n">
        <v>1324000</v>
      </c>
      <c r="N3283" s="5" t="n"/>
      <c r="O3283" s="5">
        <f>IF(AND(ISNUMBER(N3283),ISNUMBER(M3283)),N3283-M3283,"")</f>
        <v/>
      </c>
      <c r="P3283" s="7">
        <f>IF(AND(ISNUMBER(N3283),ISNUMBER(M3283),M3283&gt;0),(N3283-M3283)/M3283,"")</f>
        <v/>
      </c>
      <c r="Q3283" s="3">
        <f>IF(P3283="","",IF(P3283&lt;-0.02,"🔴 Bán phá giá sàn",IF(P3283&gt;0.05,"🔵 Bán cao hơn","🟢 Đúng giá sàn TMĐT")))</f>
        <v/>
      </c>
      <c r="R3283" s="3" t="n"/>
      <c r="S3283" s="4" t="n"/>
      <c r="T3283" s="4" t="n"/>
    </row>
    <row r="3284">
      <c r="A3284" s="3" t="n">
        <v>3283</v>
      </c>
      <c r="B3284" s="3" t="inlineStr">
        <is>
          <t>DL031</t>
        </is>
      </c>
      <c r="C3284" s="4" t="inlineStr">
        <is>
          <t>Điện máy Official</t>
        </is>
      </c>
      <c r="D3284" s="3" t="inlineStr">
        <is>
          <t>HN</t>
        </is>
      </c>
      <c r="E3284" s="3" t="inlineStr">
        <is>
          <t>ĐIỆP</t>
        </is>
      </c>
      <c r="F3284" s="3" t="inlineStr">
        <is>
          <t>Tiktok</t>
        </is>
      </c>
      <c r="G3284" s="4" t="inlineStr">
        <is>
          <t>SHOPEE: TIKTOK: https://www.tiktok.com/@bancatgachmen https://www.tiktok.com/@bancatgachrubi LAZADA: WEBSITE BÁN HÀNG:</t>
        </is>
      </c>
      <c r="H3284" s="3" t="inlineStr">
        <is>
          <t>KBO-FG30</t>
        </is>
      </c>
      <c r="I3284" s="4" t="inlineStr">
        <is>
          <t>Súng bắn đinh hơi KBO-FG30</t>
        </is>
      </c>
      <c r="J3284" s="3" t="inlineStr">
        <is>
          <t>Cái</t>
        </is>
      </c>
      <c r="K3284" s="5" t="n">
        <v>426000</v>
      </c>
      <c r="L3284" s="5" t="n">
        <v>494000</v>
      </c>
      <c r="M3284" s="6" t="n">
        <v>596000</v>
      </c>
      <c r="N3284" s="5" t="n"/>
      <c r="O3284" s="5">
        <f>IF(AND(ISNUMBER(N3284),ISNUMBER(M3284)),N3284-M3284,"")</f>
        <v/>
      </c>
      <c r="P3284" s="7">
        <f>IF(AND(ISNUMBER(N3284),ISNUMBER(M3284),M3284&gt;0),(N3284-M3284)/M3284,"")</f>
        <v/>
      </c>
      <c r="Q3284" s="3">
        <f>IF(P3284="","",IF(P3284&lt;-0.02,"🔴 Bán phá giá sàn",IF(P3284&gt;0.05,"🔵 Bán cao hơn","🟢 Đúng giá sàn TMĐT")))</f>
        <v/>
      </c>
      <c r="R3284" s="3" t="n"/>
      <c r="S3284" s="4" t="n"/>
      <c r="T3284" s="4" t="n"/>
    </row>
    <row r="3285">
      <c r="A3285" s="3" t="n">
        <v>3284</v>
      </c>
      <c r="B3285" s="3" t="inlineStr">
        <is>
          <t>DL031</t>
        </is>
      </c>
      <c r="C3285" s="4" t="inlineStr">
        <is>
          <t>Điện máy Official</t>
        </is>
      </c>
      <c r="D3285" s="3" t="inlineStr">
        <is>
          <t>HN</t>
        </is>
      </c>
      <c r="E3285" s="3" t="inlineStr">
        <is>
          <t>ĐIỆP</t>
        </is>
      </c>
      <c r="F3285" s="3" t="inlineStr">
        <is>
          <t>Tiktok</t>
        </is>
      </c>
      <c r="G3285" s="4" t="inlineStr">
        <is>
          <t>SHOPEE: TIKTOK: https://www.tiktok.com/@bancatgachmen https://www.tiktok.com/@bancatgachrubi LAZADA: WEBSITE BÁN HÀNG:</t>
        </is>
      </c>
      <c r="H3285" s="3" t="inlineStr">
        <is>
          <t>KBO-F3050</t>
        </is>
      </c>
      <c r="I3285" s="4" t="inlineStr">
        <is>
          <t>Súng Bắn Đinh KBO-F3050</t>
        </is>
      </c>
      <c r="J3285" s="3" t="inlineStr">
        <is>
          <t>Cái</t>
        </is>
      </c>
      <c r="K3285" s="5" t="n">
        <v>935000</v>
      </c>
      <c r="L3285" s="5" t="n">
        <v>1085000</v>
      </c>
      <c r="M3285" s="6" t="n">
        <v>1309000</v>
      </c>
      <c r="N3285" s="5" t="n"/>
      <c r="O3285" s="5">
        <f>IF(AND(ISNUMBER(N3285),ISNUMBER(M3285)),N3285-M3285,"")</f>
        <v/>
      </c>
      <c r="P3285" s="7">
        <f>IF(AND(ISNUMBER(N3285),ISNUMBER(M3285),M3285&gt;0),(N3285-M3285)/M3285,"")</f>
        <v/>
      </c>
      <c r="Q3285" s="3">
        <f>IF(P3285="","",IF(P3285&lt;-0.02,"🔴 Bán phá giá sàn",IF(P3285&gt;0.05,"🔵 Bán cao hơn","🟢 Đúng giá sàn TMĐT")))</f>
        <v/>
      </c>
      <c r="R3285" s="3" t="n"/>
      <c r="S3285" s="4" t="n"/>
      <c r="T3285" s="4" t="n"/>
    </row>
    <row r="3286">
      <c r="A3286" s="3" t="n">
        <v>3285</v>
      </c>
      <c r="B3286" s="3" t="inlineStr">
        <is>
          <t>DL032</t>
        </is>
      </c>
      <c r="C3286" s="4" t="inlineStr">
        <is>
          <t>Công ty Cổ phần Kinh doanh và Công nghệ CT</t>
        </is>
      </c>
      <c r="D3286" s="3" t="inlineStr">
        <is>
          <t>HN</t>
        </is>
      </c>
      <c r="E3286" s="3" t="inlineStr">
        <is>
          <t>Lan</t>
        </is>
      </c>
      <c r="F3286" s="3" t="inlineStr">
        <is>
          <t>Website bán hàng</t>
        </is>
      </c>
      <c r="G3286" s="4" t="inlineStr">
        <is>
          <t>SHOPEE: TIKTOK: LAZADA: WEBSITE BÁN HÀNG: https://cattools.vn/</t>
        </is>
      </c>
      <c r="H3286" s="3" t="inlineStr">
        <is>
          <t>KBYT6</t>
        </is>
      </c>
      <c r="I3286" s="4" t="inlineStr">
        <is>
          <t>Bộ lấy ốc gãy KingBlue KBYT6</t>
        </is>
      </c>
      <c r="J3286" s="3" t="inlineStr">
        <is>
          <t>Bộ</t>
        </is>
      </c>
      <c r="K3286" s="5" t="n">
        <v>68000</v>
      </c>
      <c r="L3286" s="5" t="n">
        <v>80000</v>
      </c>
      <c r="M3286" s="6" t="n">
        <v>99000</v>
      </c>
      <c r="N3286" s="5" t="n"/>
      <c r="O3286" s="5">
        <f>IF(AND(ISNUMBER(N3286),ISNUMBER(M3286)),N3286-M3286,"")</f>
        <v/>
      </c>
      <c r="P3286" s="7">
        <f>IF(AND(ISNUMBER(N3286),ISNUMBER(M3286),M3286&gt;0),(N3286-M3286)/M3286,"")</f>
        <v/>
      </c>
      <c r="Q3286" s="3">
        <f>IF(P3286="","",IF(P3286&lt;-0.02,"🔴 Bán phá giá sàn",IF(P3286&gt;0.05,"🔵 Bán cao hơn","🟢 Đúng giá sàn TMĐT")))</f>
        <v/>
      </c>
      <c r="R3286" s="3" t="n"/>
      <c r="S3286" s="4" t="n"/>
      <c r="T3286" s="4" t="n"/>
    </row>
    <row r="3287">
      <c r="A3287" s="3" t="n">
        <v>3286</v>
      </c>
      <c r="B3287" s="3" t="inlineStr">
        <is>
          <t>DL032</t>
        </is>
      </c>
      <c r="C3287" s="4" t="inlineStr">
        <is>
          <t>Công ty Cổ phần Kinh doanh và Công nghệ CT</t>
        </is>
      </c>
      <c r="D3287" s="3" t="inlineStr">
        <is>
          <t>HN</t>
        </is>
      </c>
      <c r="E3287" s="3" t="inlineStr">
        <is>
          <t>Lan</t>
        </is>
      </c>
      <c r="F3287" s="3" t="inlineStr">
        <is>
          <t>Website bán hàng</t>
        </is>
      </c>
      <c r="G3287" s="4" t="inlineStr">
        <is>
          <t>SHOPEE: TIKTOK: LAZADA: WEBSITE BÁN HÀNG: https://cattools.vn/</t>
        </is>
      </c>
      <c r="H3287" s="3" t="inlineStr">
        <is>
          <t>KL5-09</t>
        </is>
      </c>
      <c r="I3287" s="4" t="inlineStr">
        <is>
          <t>Bộ lục giác KL5-09 ( đầu bi)</t>
        </is>
      </c>
      <c r="J3287" s="3" t="inlineStr">
        <is>
          <t>Cái</t>
        </is>
      </c>
      <c r="K3287" s="5" t="n">
        <v>269000</v>
      </c>
      <c r="L3287" s="5" t="n">
        <v>317000</v>
      </c>
      <c r="M3287" s="6" t="n">
        <v>390000</v>
      </c>
      <c r="N3287" s="5" t="n"/>
      <c r="O3287" s="5">
        <f>IF(AND(ISNUMBER(N3287),ISNUMBER(M3287)),N3287-M3287,"")</f>
        <v/>
      </c>
      <c r="P3287" s="7">
        <f>IF(AND(ISNUMBER(N3287),ISNUMBER(M3287),M3287&gt;0),(N3287-M3287)/M3287,"")</f>
        <v/>
      </c>
      <c r="Q3287" s="3">
        <f>IF(P3287="","",IF(P3287&lt;-0.02,"🔴 Bán phá giá sàn",IF(P3287&gt;0.05,"🔵 Bán cao hơn","🟢 Đúng giá sàn TMĐT")))</f>
        <v/>
      </c>
      <c r="R3287" s="3" t="n"/>
      <c r="S3287" s="4" t="n"/>
      <c r="T3287" s="4" t="n"/>
    </row>
    <row r="3288">
      <c r="A3288" s="3" t="n">
        <v>3287</v>
      </c>
      <c r="B3288" s="3" t="inlineStr">
        <is>
          <t>DL032</t>
        </is>
      </c>
      <c r="C3288" s="4" t="inlineStr">
        <is>
          <t>Công ty Cổ phần Kinh doanh và Công nghệ CT</t>
        </is>
      </c>
      <c r="D3288" s="3" t="inlineStr">
        <is>
          <t>HN</t>
        </is>
      </c>
      <c r="E3288" s="3" t="inlineStr">
        <is>
          <t>Lan</t>
        </is>
      </c>
      <c r="F3288" s="3" t="inlineStr">
        <is>
          <t>Website bán hàng</t>
        </is>
      </c>
      <c r="G3288" s="4" t="inlineStr">
        <is>
          <t>SHOPEE: TIKTOK: LAZADA: WEBSITE BÁN HÀNG: https://cattools.vn/</t>
        </is>
      </c>
      <c r="H3288" s="3" t="inlineStr">
        <is>
          <t>KRL-44370</t>
        </is>
      </c>
      <c r="I3288" s="4" t="inlineStr">
        <is>
          <t>Khoan rút lõi bê tông nước KRL-44*370</t>
        </is>
      </c>
      <c r="J3288" s="3" t="inlineStr">
        <is>
          <t>Cái</t>
        </is>
      </c>
      <c r="K3288" s="5" t="n">
        <v>270000</v>
      </c>
      <c r="L3288" s="5" t="n">
        <v>324000</v>
      </c>
      <c r="M3288" s="6" t="n">
        <v>405000</v>
      </c>
      <c r="N3288" s="5" t="n"/>
      <c r="O3288" s="5">
        <f>IF(AND(ISNUMBER(N3288),ISNUMBER(M3288)),N3288-M3288,"")</f>
        <v/>
      </c>
      <c r="P3288" s="7">
        <f>IF(AND(ISNUMBER(N3288),ISNUMBER(M3288),M3288&gt;0),(N3288-M3288)/M3288,"")</f>
        <v/>
      </c>
      <c r="Q3288" s="3">
        <f>IF(P3288="","",IF(P3288&lt;-0.02,"🔴 Bán phá giá sàn",IF(P3288&gt;0.05,"🔵 Bán cao hơn","🟢 Đúng giá sàn TMĐT")))</f>
        <v/>
      </c>
      <c r="R3288" s="3" t="n"/>
      <c r="S3288" s="4" t="n"/>
      <c r="T3288" s="4" t="n"/>
    </row>
    <row r="3289">
      <c r="A3289" s="3" t="n">
        <v>3288</v>
      </c>
      <c r="B3289" s="3" t="inlineStr">
        <is>
          <t>DL032</t>
        </is>
      </c>
      <c r="C3289" s="4" t="inlineStr">
        <is>
          <t>Công ty Cổ phần Kinh doanh và Công nghệ CT</t>
        </is>
      </c>
      <c r="D3289" s="3" t="inlineStr">
        <is>
          <t>HN</t>
        </is>
      </c>
      <c r="E3289" s="3" t="inlineStr">
        <is>
          <t>Lan</t>
        </is>
      </c>
      <c r="F3289" s="3" t="inlineStr">
        <is>
          <t>Website bán hàng</t>
        </is>
      </c>
      <c r="G3289" s="4" t="inlineStr">
        <is>
          <t>SHOPEE: TIKTOK: LAZADA: WEBSITE BÁN HÀNG: https://cattools.vn/</t>
        </is>
      </c>
      <c r="H3289" s="3" t="inlineStr">
        <is>
          <t>KC2-09</t>
        </is>
      </c>
      <c r="I3289" s="4" t="inlineStr">
        <is>
          <t>Kìm mỏ nhọn đa năng KC2-09</t>
        </is>
      </c>
      <c r="J3289" s="3" t="inlineStr">
        <is>
          <t>Cái</t>
        </is>
      </c>
      <c r="K3289" s="5" t="n">
        <v>127000</v>
      </c>
      <c r="L3289" s="5" t="n">
        <v>150000</v>
      </c>
      <c r="M3289" s="6" t="n">
        <v>184000</v>
      </c>
      <c r="N3289" s="5" t="n"/>
      <c r="O3289" s="5">
        <f>IF(AND(ISNUMBER(N3289),ISNUMBER(M3289)),N3289-M3289,"")</f>
        <v/>
      </c>
      <c r="P3289" s="7">
        <f>IF(AND(ISNUMBER(N3289),ISNUMBER(M3289),M3289&gt;0),(N3289-M3289)/M3289,"")</f>
        <v/>
      </c>
      <c r="Q3289" s="3">
        <f>IF(P3289="","",IF(P3289&lt;-0.02,"🔴 Bán phá giá sàn",IF(P3289&gt;0.05,"🔵 Bán cao hơn","🟢 Đúng giá sàn TMĐT")))</f>
        <v/>
      </c>
      <c r="R3289" s="3" t="n"/>
      <c r="S3289" s="4" t="n"/>
      <c r="T3289" s="4" t="n"/>
    </row>
    <row r="3290">
      <c r="A3290" s="3" t="n">
        <v>3289</v>
      </c>
      <c r="B3290" s="3" t="inlineStr">
        <is>
          <t>DL032</t>
        </is>
      </c>
      <c r="C3290" s="4" t="inlineStr">
        <is>
          <t>Công ty Cổ phần Kinh doanh và Công nghệ CT</t>
        </is>
      </c>
      <c r="D3290" s="3" t="inlineStr">
        <is>
          <t>HN</t>
        </is>
      </c>
      <c r="E3290" s="3" t="inlineStr">
        <is>
          <t>Lan</t>
        </is>
      </c>
      <c r="F3290" s="3" t="inlineStr">
        <is>
          <t>Website bán hàng</t>
        </is>
      </c>
      <c r="G3290" s="4" t="inlineStr">
        <is>
          <t>SHOPEE: TIKTOK: LAZADA: WEBSITE BÁN HÀNG: https://cattools.vn/</t>
        </is>
      </c>
      <c r="H3290" s="3" t="inlineStr">
        <is>
          <t>KJ-230</t>
        </is>
      </c>
      <c r="I3290" s="4" t="inlineStr">
        <is>
          <t>Kìm rút đinh công nghiệp KJ-230</t>
        </is>
      </c>
      <c r="J3290" s="3" t="inlineStr">
        <is>
          <t>Cái</t>
        </is>
      </c>
      <c r="K3290" s="5" t="n">
        <v>249000</v>
      </c>
      <c r="L3290" s="5" t="n">
        <v>294000</v>
      </c>
      <c r="M3290" s="6" t="n">
        <v>361000</v>
      </c>
      <c r="N3290" s="5" t="n"/>
      <c r="O3290" s="5">
        <f>IF(AND(ISNUMBER(N3290),ISNUMBER(M3290)),N3290-M3290,"")</f>
        <v/>
      </c>
      <c r="P3290" s="7">
        <f>IF(AND(ISNUMBER(N3290),ISNUMBER(M3290),M3290&gt;0),(N3290-M3290)/M3290,"")</f>
        <v/>
      </c>
      <c r="Q3290" s="3">
        <f>IF(P3290="","",IF(P3290&lt;-0.02,"🔴 Bán phá giá sàn",IF(P3290&gt;0.05,"🔵 Bán cao hơn","🟢 Đúng giá sàn TMĐT")))</f>
        <v/>
      </c>
      <c r="R3290" s="3" t="n"/>
      <c r="S3290" s="4" t="n"/>
      <c r="T3290" s="4" t="n"/>
    </row>
    <row r="3291">
      <c r="A3291" s="3" t="n">
        <v>3290</v>
      </c>
      <c r="B3291" s="3" t="inlineStr">
        <is>
          <t>DL032</t>
        </is>
      </c>
      <c r="C3291" s="4" t="inlineStr">
        <is>
          <t>Công ty Cổ phần Kinh doanh và Công nghệ CT</t>
        </is>
      </c>
      <c r="D3291" s="3" t="inlineStr">
        <is>
          <t>HN</t>
        </is>
      </c>
      <c r="E3291" s="3" t="inlineStr">
        <is>
          <t>Lan</t>
        </is>
      </c>
      <c r="F3291" s="3" t="inlineStr">
        <is>
          <t>Website bán hàng</t>
        </is>
      </c>
      <c r="G3291" s="4" t="inlineStr">
        <is>
          <t>SHOPEE: TIKTOK: LAZADA: WEBSITE BÁN HÀNG: https://cattools.vn/</t>
        </is>
      </c>
      <c r="H3291" s="3" t="inlineStr">
        <is>
          <t>KFF-73</t>
        </is>
      </c>
      <c r="I3291" s="4" t="inlineStr">
        <is>
          <t>Súng bắn đinh bê tông KFF-73</t>
        </is>
      </c>
      <c r="J3291" s="3" t="inlineStr">
        <is>
          <t>Cái</t>
        </is>
      </c>
      <c r="K3291" s="5" t="n">
        <v>660000</v>
      </c>
      <c r="L3291" s="5" t="n">
        <v>739000</v>
      </c>
      <c r="M3291" s="6" t="n">
        <v>858000</v>
      </c>
      <c r="N3291" s="5" t="n"/>
      <c r="O3291" s="5">
        <f>IF(AND(ISNUMBER(N3291),ISNUMBER(M3291)),N3291-M3291,"")</f>
        <v/>
      </c>
      <c r="P3291" s="7">
        <f>IF(AND(ISNUMBER(N3291),ISNUMBER(M3291),M3291&gt;0),(N3291-M3291)/M3291,"")</f>
        <v/>
      </c>
      <c r="Q3291" s="3">
        <f>IF(P3291="","",IF(P3291&lt;-0.02,"🔴 Bán phá giá sàn",IF(P3291&gt;0.05,"🔵 Bán cao hơn","🟢 Đúng giá sàn TMĐT")))</f>
        <v/>
      </c>
      <c r="R3291" s="3" t="n"/>
      <c r="S3291" s="4" t="n"/>
      <c r="T3291" s="4" t="n"/>
    </row>
    <row r="3292">
      <c r="A3292" s="3" t="n">
        <v>3291</v>
      </c>
      <c r="B3292" s="3" t="inlineStr">
        <is>
          <t>DL032</t>
        </is>
      </c>
      <c r="C3292" s="4" t="inlineStr">
        <is>
          <t>Công ty Cổ phần Kinh doanh và Công nghệ CT</t>
        </is>
      </c>
      <c r="D3292" s="3" t="inlineStr">
        <is>
          <t>HN</t>
        </is>
      </c>
      <c r="E3292" s="3" t="inlineStr">
        <is>
          <t>Lan</t>
        </is>
      </c>
      <c r="F3292" s="3" t="inlineStr">
        <is>
          <t>Website bán hàng</t>
        </is>
      </c>
      <c r="G3292" s="4" t="inlineStr">
        <is>
          <t>SHOPEE: TIKTOK: LAZADA: WEBSITE BÁN HÀNG: https://cattools.vn/</t>
        </is>
      </c>
      <c r="H3292" s="3" t="inlineStr">
        <is>
          <t>KMC-30</t>
        </is>
      </c>
      <c r="I3292" s="4" t="inlineStr">
        <is>
          <t>Thước cuộn thép KMC-30</t>
        </is>
      </c>
      <c r="J3292" s="3" t="inlineStr">
        <is>
          <t>Cái</t>
        </is>
      </c>
      <c r="K3292" s="5" t="n">
        <v>193000</v>
      </c>
      <c r="L3292" s="5" t="n">
        <v>228000</v>
      </c>
      <c r="M3292" s="6" t="n">
        <v>280000</v>
      </c>
      <c r="N3292" s="5" t="n"/>
      <c r="O3292" s="5">
        <f>IF(AND(ISNUMBER(N3292),ISNUMBER(M3292)),N3292-M3292,"")</f>
        <v/>
      </c>
      <c r="P3292" s="7">
        <f>IF(AND(ISNUMBER(N3292),ISNUMBER(M3292),M3292&gt;0),(N3292-M3292)/M3292,"")</f>
        <v/>
      </c>
      <c r="Q3292" s="3">
        <f>IF(P3292="","",IF(P3292&lt;-0.02,"🔴 Bán phá giá sàn",IF(P3292&gt;0.05,"🔵 Bán cao hơn","🟢 Đúng giá sàn TMĐT")))</f>
        <v/>
      </c>
      <c r="R3292" s="3" t="n"/>
      <c r="S3292" s="4" t="n"/>
      <c r="T3292" s="4" t="n"/>
    </row>
    <row r="3293">
      <c r="A3293" s="3" t="n">
        <v>3292</v>
      </c>
      <c r="B3293" s="3" t="inlineStr">
        <is>
          <t>DL032</t>
        </is>
      </c>
      <c r="C3293" s="4" t="inlineStr">
        <is>
          <t>Công ty Cổ phần Kinh doanh và Công nghệ CT</t>
        </is>
      </c>
      <c r="D3293" s="3" t="inlineStr">
        <is>
          <t>HN</t>
        </is>
      </c>
      <c r="E3293" s="3" t="inlineStr">
        <is>
          <t>Lan</t>
        </is>
      </c>
      <c r="F3293" s="3" t="inlineStr">
        <is>
          <t>Website bán hàng</t>
        </is>
      </c>
      <c r="G3293" s="4" t="inlineStr">
        <is>
          <t>SHOPEE: TIKTOK: LAZADA: WEBSITE BÁN HÀNG: https://cattools.vn/</t>
        </is>
      </c>
      <c r="H3293" s="3" t="inlineStr">
        <is>
          <t>LC-75.25</t>
        </is>
      </c>
      <c r="I3293" s="4" t="inlineStr">
        <is>
          <t>Thước kéo LC-75.25</t>
        </is>
      </c>
      <c r="J3293" s="3" t="inlineStr">
        <is>
          <t>Cái</t>
        </is>
      </c>
      <c r="K3293" s="5" t="n">
        <v>90000</v>
      </c>
      <c r="L3293" s="5" t="n">
        <v>106000</v>
      </c>
      <c r="M3293" s="6" t="n">
        <v>131000</v>
      </c>
      <c r="N3293" s="5" t="n"/>
      <c r="O3293" s="5">
        <f>IF(AND(ISNUMBER(N3293),ISNUMBER(M3293)),N3293-M3293,"")</f>
        <v/>
      </c>
      <c r="P3293" s="7">
        <f>IF(AND(ISNUMBER(N3293),ISNUMBER(M3293),M3293&gt;0),(N3293-M3293)/M3293,"")</f>
        <v/>
      </c>
      <c r="Q3293" s="3">
        <f>IF(P3293="","",IF(P3293&lt;-0.02,"🔴 Bán phá giá sàn",IF(P3293&gt;0.05,"🔵 Bán cao hơn","🟢 Đúng giá sàn TMĐT")))</f>
        <v/>
      </c>
      <c r="R3293" s="3" t="n"/>
      <c r="S3293" s="4" t="n"/>
      <c r="T329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28" customWidth="1" min="4" max="4"/>
    <col width="22" customWidth="1" min="5" max="5"/>
    <col width="43" customWidth="1" min="6" max="6"/>
    <col width="48" customWidth="1" min="7" max="7"/>
    <col width="21" customWidth="1" min="8" max="8"/>
    <col width="33" customWidth="1" min="9" max="9"/>
  </cols>
  <sheetData>
    <row r="1">
      <c r="A1" s="8" t="inlineStr">
        <is>
          <t>STT</t>
        </is>
      </c>
      <c r="B1" s="8" t="inlineStr">
        <is>
          <t>Mã Đại Lý</t>
        </is>
      </c>
      <c r="C1" s="8" t="inlineStr">
        <is>
          <t>Tên Đại Lý / Nhà Phân Phối</t>
        </is>
      </c>
      <c r="D1" s="8" t="inlineStr">
        <is>
          <t>Tỉnh Thành</t>
        </is>
      </c>
      <c r="E1" s="8" t="inlineStr">
        <is>
          <t>Nhân Viên Phụ Trách</t>
        </is>
      </c>
      <c r="F1" s="8" t="inlineStr">
        <is>
          <t>Kênh / Sàn TMĐT</t>
        </is>
      </c>
      <c r="G1" s="8" t="inlineStr">
        <is>
          <t>Link Gian Hàng Thực Tế</t>
        </is>
      </c>
      <c r="H1" s="8" t="inlineStr">
        <is>
          <t>Số Mã Hàng Đã Nhập</t>
        </is>
      </c>
      <c r="I1" s="8" t="inlineStr">
        <is>
          <t>Trạng Thái Rà Soát</t>
        </is>
      </c>
    </row>
    <row r="2">
      <c r="A2" s="3" t="n">
        <v>1</v>
      </c>
      <c r="B2" s="3" t="inlineStr">
        <is>
          <t>DL001</t>
        </is>
      </c>
      <c r="C2" s="4" t="inlineStr">
        <is>
          <t>Điện nước Nhật (Shop) HCM</t>
        </is>
      </c>
      <c r="D2" s="3" t="inlineStr">
        <is>
          <t>HCM</t>
        </is>
      </c>
      <c r="E2" s="3" t="inlineStr">
        <is>
          <t>BẢO TRÂM</t>
        </is>
      </c>
      <c r="F2" s="3" t="inlineStr">
        <is>
          <t>Shopee</t>
        </is>
      </c>
      <c r="G2" s="4" t="inlineStr">
        <is>
          <t>SHOPEE: https://shopee.vn/shopdiennuoc.nhat?mmp_pid=an_17384650646&amp;share_channel_code=8&amp;uls_trackid=56slplq000lv&amp;utm_campaign=-&amp;utm_content=-&amp;utm_medium=affiliates&amp;utm_source=an_17384650646&amp;utm_term=fpa8y19chvf1 TIKTOK: LAZADA: WEBSITE BÁN HÀNG:</t>
        </is>
      </c>
      <c r="H2" s="9" t="n">
        <v>257</v>
      </c>
      <c r="I2" s="3" t="inlineStr">
        <is>
          <t>Sẵn sàng điền giá khảo sát sàn</t>
        </is>
      </c>
    </row>
    <row r="3">
      <c r="A3" s="3" t="n">
        <v>2</v>
      </c>
      <c r="B3" s="3" t="inlineStr">
        <is>
          <t>DL002</t>
        </is>
      </c>
      <c r="C3" s="4" t="inlineStr">
        <is>
          <t>Nguyễn Hoàng Phú</t>
        </is>
      </c>
      <c r="D3" s="3" t="inlineStr">
        <is>
          <t>HCM</t>
        </is>
      </c>
      <c r="E3" s="3" t="inlineStr">
        <is>
          <t>BẢO TRÂM</t>
        </is>
      </c>
      <c r="F3" s="3" t="inlineStr">
        <is>
          <t>Shopee</t>
        </is>
      </c>
      <c r="G3" s="4" t="inlineStr">
        <is>
          <t>SHOPEE: https://s.shopee.vn/3qNt1d78Ij TIKTOK: LAZADA: WEBSITE BÁN HÀNG:</t>
        </is>
      </c>
      <c r="H3" s="9" t="n">
        <v>261</v>
      </c>
      <c r="I3" s="3" t="inlineStr">
        <is>
          <t>Sẵn sàng điền giá khảo sát sàn</t>
        </is>
      </c>
    </row>
    <row r="4">
      <c r="A4" s="3" t="n">
        <v>3</v>
      </c>
      <c r="B4" s="3" t="inlineStr">
        <is>
          <t>DL003</t>
        </is>
      </c>
      <c r="C4" s="4" t="inlineStr">
        <is>
          <t>CÔNG TY TNHH ĐỒ NGHỀ CẦM TAY PHƯƠNG MY</t>
        </is>
      </c>
      <c r="D4" s="3" t="inlineStr">
        <is>
          <t>HCM</t>
        </is>
      </c>
      <c r="E4" s="3" t="inlineStr">
        <is>
          <t>BẢO TRÂM</t>
        </is>
      </c>
      <c r="F4" s="3" t="inlineStr">
        <is>
          <t>Youtube</t>
        </is>
      </c>
      <c r="G4" s="4" t="inlineStr">
        <is>
          <t>SHOPEE: TIKTOK: LAZADA: WEBSITE BÁN HÀNG: YOUTUBE : https://www.youtube.com/@nguyenchiam2706</t>
        </is>
      </c>
      <c r="H4" s="9" t="n">
        <v>165</v>
      </c>
      <c r="I4" s="3" t="inlineStr">
        <is>
          <t>Sẵn sàng điền giá khảo sát sàn</t>
        </is>
      </c>
    </row>
    <row r="5">
      <c r="A5" s="3" t="n">
        <v>4</v>
      </c>
      <c r="B5" s="3" t="inlineStr">
        <is>
          <t>DL004</t>
        </is>
      </c>
      <c r="C5" s="4" t="inlineStr">
        <is>
          <t>HCM-BIGSHOP</t>
        </is>
      </c>
      <c r="D5" s="3" t="inlineStr">
        <is>
          <t>HCM</t>
        </is>
      </c>
      <c r="E5" s="3" t="inlineStr">
        <is>
          <t>XUÂN TRANG</t>
        </is>
      </c>
      <c r="F5" s="3" t="inlineStr">
        <is>
          <t>Website bán hàng</t>
        </is>
      </c>
      <c r="G5" s="4" t="inlineStr">
        <is>
          <t>SHOPEE: TIKTOK: LAZADA: WEBSITE BÁN HÀNG: https://bigshop.vn/</t>
        </is>
      </c>
      <c r="H5" s="9" t="n">
        <v>87</v>
      </c>
      <c r="I5" s="3" t="inlineStr">
        <is>
          <t>Sẵn sàng điền giá khảo sát sàn</t>
        </is>
      </c>
    </row>
    <row r="6">
      <c r="A6" s="3" t="n">
        <v>5</v>
      </c>
      <c r="B6" s="3" t="inlineStr">
        <is>
          <t>DL005</t>
        </is>
      </c>
      <c r="C6" s="4" t="inlineStr">
        <is>
          <t>ThinkSafe HCM</t>
        </is>
      </c>
      <c r="D6" s="3" t="inlineStr">
        <is>
          <t>HCM</t>
        </is>
      </c>
      <c r="E6" s="3" t="inlineStr">
        <is>
          <t>XUÂN TRANG</t>
        </is>
      </c>
      <c r="F6" s="3" t="inlineStr">
        <is>
          <t>Shopee, Tiktok</t>
        </is>
      </c>
      <c r="G6" s="4" t="inlineStr">
        <is>
          <t>SHOPEE: https://shopee.vn/baohothinksafe?uls_trackid=56slrjbp02l6&amp;utm_content=3kGSyWceAz2CP3beojAsTsVsisVR TIKTOK: https://www.tiktok.com/@thinksafevn LAZADA: WEBSITE BÁN HÀNG:</t>
        </is>
      </c>
      <c r="H6" s="9" t="n">
        <v>285</v>
      </c>
      <c r="I6" s="3" t="inlineStr">
        <is>
          <t>Sẵn sàng điền giá khảo sát sàn</t>
        </is>
      </c>
    </row>
    <row r="7">
      <c r="A7" s="3" t="n">
        <v>6</v>
      </c>
      <c r="B7" s="3" t="inlineStr">
        <is>
          <t>DL006</t>
        </is>
      </c>
      <c r="C7" s="4" t="inlineStr">
        <is>
          <t>Cửa Hàng Bảo Lộc - An Giang</t>
        </is>
      </c>
      <c r="D7" s="3" t="inlineStr">
        <is>
          <t>An Giang</t>
        </is>
      </c>
      <c r="E7" s="3" t="inlineStr">
        <is>
          <t>XUÂN TRANG</t>
        </is>
      </c>
      <c r="F7" s="3" t="inlineStr">
        <is>
          <t>Shopee, Tiktok</t>
        </is>
      </c>
      <c r="G7" s="4" t="inlineStr">
        <is>
          <t>SHOPEE: TIKTOK: https://www.tiktok.com/@baolocmaypin LAZADA: WEBSITE BÁN HÀNG:</t>
        </is>
      </c>
      <c r="H7" s="9" t="n">
        <v>0</v>
      </c>
      <c r="I7" s="3" t="inlineStr">
        <is>
          <t>Sẵn sàng điền giá khảo sát sàn</t>
        </is>
      </c>
    </row>
    <row r="8">
      <c r="A8" s="3" t="n">
        <v>7</v>
      </c>
      <c r="B8" s="3" t="inlineStr">
        <is>
          <t>DL007</t>
        </is>
      </c>
      <c r="C8" s="4" t="inlineStr">
        <is>
          <t>CÔNG TY TNHH ĐHT VIỆT NAM - HCM</t>
        </is>
      </c>
      <c r="D8" s="3" t="inlineStr">
        <is>
          <t>HCM</t>
        </is>
      </c>
      <c r="E8" s="3" t="inlineStr">
        <is>
          <t>BẢO TRÂM</t>
        </is>
      </c>
      <c r="F8" s="3" t="inlineStr">
        <is>
          <t>Shopee</t>
        </is>
      </c>
      <c r="G8" s="4" t="inlineStr">
        <is>
          <t>SHOPEE: https://shopee.vn/lequang_shop?categoryId=100636&amp;entryPoint=ShopByPDP&amp;itemId=48503940317 TIKTOK: LAZADA: WEBSITE BÁN HÀNG:</t>
        </is>
      </c>
      <c r="H8" s="9" t="n">
        <v>32</v>
      </c>
      <c r="I8" s="3" t="inlineStr">
        <is>
          <t>Sẵn sàng điền giá khảo sát sàn</t>
        </is>
      </c>
    </row>
    <row r="9">
      <c r="A9" s="3" t="n">
        <v>8</v>
      </c>
      <c r="B9" s="3" t="inlineStr">
        <is>
          <t>DL008</t>
        </is>
      </c>
      <c r="C9" s="4" t="inlineStr">
        <is>
          <t>XSAFE</t>
        </is>
      </c>
      <c r="D9" s="3" t="inlineStr">
        <is>
          <t>HCM</t>
        </is>
      </c>
      <c r="E9" s="3" t="inlineStr">
        <is>
          <t>BẢO TRÂM</t>
        </is>
      </c>
      <c r="F9" s="3" t="inlineStr">
        <is>
          <t>Tiktok</t>
        </is>
      </c>
      <c r="G9" s="4" t="inlineStr">
        <is>
          <t>SHOPEE: TIKTOK: https://www.tiktok.com/@xsafevietnam LAZADA: WEBSITE BÁN HÀNG:</t>
        </is>
      </c>
      <c r="H9" s="9" t="n">
        <v>1</v>
      </c>
      <c r="I9" s="3" t="inlineStr">
        <is>
          <t>Sẵn sàng điền giá khảo sát sàn</t>
        </is>
      </c>
    </row>
    <row r="10">
      <c r="A10" s="3" t="n">
        <v>9</v>
      </c>
      <c r="B10" s="3" t="inlineStr">
        <is>
          <t>DL009</t>
        </is>
      </c>
      <c r="C10" s="4" t="inlineStr">
        <is>
          <t>META</t>
        </is>
      </c>
      <c r="D10" s="3" t="inlineStr">
        <is>
          <t>HN</t>
        </is>
      </c>
      <c r="E10" s="3" t="inlineStr">
        <is>
          <t>ĐIỆP</t>
        </is>
      </c>
      <c r="F10" s="3" t="inlineStr">
        <is>
          <t>Website bán hàng</t>
        </is>
      </c>
      <c r="G10" s="4" t="inlineStr">
        <is>
          <t>SHOPEE: TIKTOK: LAZADA: WEBSITE BÁN HÀNG: https://meta.vn/</t>
        </is>
      </c>
      <c r="H10" s="9" t="n">
        <v>47</v>
      </c>
      <c r="I10" s="3" t="inlineStr">
        <is>
          <t>Sẵn sàng điền giá khảo sát sàn</t>
        </is>
      </c>
    </row>
    <row r="11">
      <c r="A11" s="3" t="n">
        <v>10</v>
      </c>
      <c r="B11" s="3" t="inlineStr">
        <is>
          <t>DL010</t>
        </is>
      </c>
      <c r="C11" s="4" t="inlineStr">
        <is>
          <t>Trang Huề( CuBờm TV)</t>
        </is>
      </c>
      <c r="D11" s="3" t="inlineStr">
        <is>
          <t>HN</t>
        </is>
      </c>
      <c r="E11" s="3" t="inlineStr">
        <is>
          <t>ĐIỆP</t>
        </is>
      </c>
      <c r="F11" s="3" t="inlineStr">
        <is>
          <t>Tiktok, Shopee</t>
        </is>
      </c>
      <c r="G11" s="4" t="inlineStr">
        <is>
          <t>SHOPEE: https://vn.shp.ee/m4gdctc3?fromSource=copy_link&amp;smtt=0.0.9 TIKTOK: https://vt.tiktok.com/ZS9UMHDPyXN53-XKjnc/ LAZADA: WEBSITE BÁN HÀNG:</t>
        </is>
      </c>
      <c r="H11" s="9" t="n">
        <v>136</v>
      </c>
      <c r="I11" s="3" t="inlineStr">
        <is>
          <t>Sẵn sàng điền giá khảo sát sàn</t>
        </is>
      </c>
    </row>
    <row r="12">
      <c r="A12" s="3" t="n">
        <v>11</v>
      </c>
      <c r="B12" s="3" t="inlineStr">
        <is>
          <t>DL011</t>
        </is>
      </c>
      <c r="C12" s="4" t="inlineStr">
        <is>
          <t>Điện máy Tây Hồ</t>
        </is>
      </c>
      <c r="D12" s="3" t="inlineStr">
        <is>
          <t>HN</t>
        </is>
      </c>
      <c r="E12" s="3" t="inlineStr">
        <is>
          <t>Lan</t>
        </is>
      </c>
      <c r="F12" s="3" t="inlineStr">
        <is>
          <t>Tiktok, Shopee</t>
        </is>
      </c>
      <c r="G12" s="4" t="inlineStr">
        <is>
          <t>SHOPEE: https://s.shopee.vn/3g4ShzXApa TIKTOK: https://www.tiktok.com/@dienmaytayho?_r=1&amp;_t=ZS-9AUNOcUDXom LAZADA: WEBSITE BÁN HÀNG:</t>
        </is>
      </c>
      <c r="H12" s="9" t="n">
        <v>31</v>
      </c>
      <c r="I12" s="3" t="inlineStr">
        <is>
          <t>Sẵn sàng điền giá khảo sát sàn</t>
        </is>
      </c>
    </row>
    <row r="13">
      <c r="A13" s="3" t="n">
        <v>12</v>
      </c>
      <c r="B13" s="3" t="inlineStr">
        <is>
          <t>DL012</t>
        </is>
      </c>
      <c r="C13" s="4" t="inlineStr">
        <is>
          <t>Lâm  Quốc Trung</t>
        </is>
      </c>
      <c r="D13" s="3" t="inlineStr">
        <is>
          <t>Cần Thơ</t>
        </is>
      </c>
      <c r="E13" s="3" t="inlineStr">
        <is>
          <t>Tường Vi</t>
        </is>
      </c>
      <c r="F13" s="3" t="inlineStr">
        <is>
          <t>Tiktok</t>
        </is>
      </c>
      <c r="G13" s="4" t="inlineStr">
        <is>
          <t>SHOPEE: TIKTOK: https://www.tiktok.com/@lamquoctrung.ct/video/7696716078797360405 LAZADA: WEBSITE BÁN HÀNG:</t>
        </is>
      </c>
      <c r="H13" s="9" t="n">
        <v>42</v>
      </c>
      <c r="I13" s="3" t="inlineStr">
        <is>
          <t>Sẵn sàng điền giá khảo sát sàn</t>
        </is>
      </c>
    </row>
    <row r="14">
      <c r="A14" s="3" t="n">
        <v>13</v>
      </c>
      <c r="B14" s="3" t="inlineStr">
        <is>
          <t>DL013</t>
        </is>
      </c>
      <c r="C14" s="4" t="inlineStr">
        <is>
          <t>Đồ Nghề Tự Chọn</t>
        </is>
      </c>
      <c r="D14" s="3" t="inlineStr">
        <is>
          <t>Cần Thơ</t>
        </is>
      </c>
      <c r="E14" s="3" t="inlineStr">
        <is>
          <t>Tường Vi</t>
        </is>
      </c>
      <c r="F14" s="3" t="inlineStr">
        <is>
          <t>Tiktok</t>
        </is>
      </c>
      <c r="G14" s="4" t="inlineStr">
        <is>
          <t>SHOPEE: TIKTOK: https://www.tiktok.com/@donghetuchon/video/7690516415886970130 LAZADA: WEBSITE BÁN HÀNG:</t>
        </is>
      </c>
      <c r="H14" s="9" t="n">
        <v>82</v>
      </c>
      <c r="I14" s="3" t="inlineStr">
        <is>
          <t>Sẵn sàng điền giá khảo sát sàn</t>
        </is>
      </c>
    </row>
    <row r="15">
      <c r="A15" s="3" t="n">
        <v>14</v>
      </c>
      <c r="B15" s="3" t="inlineStr">
        <is>
          <t>DL014</t>
        </is>
      </c>
      <c r="C15" s="4" t="inlineStr">
        <is>
          <t>Điện máy Anh Anh</t>
        </is>
      </c>
      <c r="D15" s="3" t="inlineStr">
        <is>
          <t>HN</t>
        </is>
      </c>
      <c r="E15" s="3" t="inlineStr">
        <is>
          <t>ĐIỆP</t>
        </is>
      </c>
      <c r="F15" s="3" t="inlineStr">
        <is>
          <t>Tiktok</t>
        </is>
      </c>
      <c r="G15" s="4" t="inlineStr">
        <is>
          <t>SHOPEE: TIKTOK: https://vt.tiktok.com/ZS9UMxDj8orfa-HFRLE/ LAZADA: WEBSITE BÁN HÀNG:</t>
        </is>
      </c>
      <c r="H15" s="9" t="n">
        <v>225</v>
      </c>
      <c r="I15" s="3" t="inlineStr">
        <is>
          <t>Sẵn sàng điền giá khảo sát sàn</t>
        </is>
      </c>
    </row>
    <row r="16">
      <c r="A16" s="3" t="n">
        <v>15</v>
      </c>
      <c r="B16" s="3" t="inlineStr">
        <is>
          <t>DL015</t>
        </is>
      </c>
      <c r="C16" s="4" t="inlineStr">
        <is>
          <t>Điện máy Hùng Cường</t>
        </is>
      </c>
      <c r="D16" s="3" t="inlineStr">
        <is>
          <t>HN</t>
        </is>
      </c>
      <c r="E16" s="3" t="inlineStr">
        <is>
          <t>Lan</t>
        </is>
      </c>
      <c r="F16" s="3" t="inlineStr">
        <is>
          <t>Shopee</t>
        </is>
      </c>
      <c r="G16" s="4" t="inlineStr">
        <is>
          <t>SHOPEE: https://s.shopee.vn/3B8C7jVImf TIKTOK: LAZADA: WEBSITE BÁN HÀNG:</t>
        </is>
      </c>
      <c r="H16" s="9" t="n">
        <v>138</v>
      </c>
      <c r="I16" s="3" t="inlineStr">
        <is>
          <t>Sẵn sàng điền giá khảo sát sàn</t>
        </is>
      </c>
    </row>
    <row r="17">
      <c r="A17" s="3" t="n">
        <v>16</v>
      </c>
      <c r="B17" s="3" t="inlineStr">
        <is>
          <t>DL016</t>
        </is>
      </c>
      <c r="C17" s="4" t="inlineStr">
        <is>
          <t>Công ty Cổ Phần Kỹ Thuật và Công Nghệ Đức Phong</t>
        </is>
      </c>
      <c r="D17" s="3" t="inlineStr">
        <is>
          <t>HN</t>
        </is>
      </c>
      <c r="E17" s="3" t="inlineStr">
        <is>
          <t>Lan</t>
        </is>
      </c>
      <c r="F17" s="3" t="inlineStr">
        <is>
          <t>Website bán hàng</t>
        </is>
      </c>
      <c r="G17" s="4" t="inlineStr">
        <is>
          <t>SHOPEE: TIKTOK: LAZADA: WEBSITE BÁN HÀNG: https://ducphongstore.com/</t>
        </is>
      </c>
      <c r="H17" s="9" t="n">
        <v>29</v>
      </c>
      <c r="I17" s="3" t="inlineStr">
        <is>
          <t>Sẵn sàng điền giá khảo sát sàn</t>
        </is>
      </c>
    </row>
    <row r="18">
      <c r="A18" s="3" t="n">
        <v>17</v>
      </c>
      <c r="B18" s="3" t="inlineStr">
        <is>
          <t>DL017</t>
        </is>
      </c>
      <c r="C18" s="4" t="inlineStr">
        <is>
          <t>Điện máy Việt Nhật</t>
        </is>
      </c>
      <c r="D18" s="3" t="inlineStr">
        <is>
          <t>HN</t>
        </is>
      </c>
      <c r="E18" s="3" t="inlineStr">
        <is>
          <t>ĐIỆP</t>
        </is>
      </c>
      <c r="F18" s="3" t="inlineStr">
        <is>
          <t>Shopee, Tiktok, Lazada, Website bán hàng</t>
        </is>
      </c>
      <c r="G18" s="4" t="inlineStr">
        <is>
          <t>SHOPEE: https://www.shopee.vn/vietnhat3838 TIKTOK: dienmayvietnhat LAZADA: https://www.lazada.vn/shop/viet-nhat- WEBSITE BÁN HÀNG: https://dienmayvietnhat.vn/</t>
        </is>
      </c>
      <c r="H18" s="9" t="n">
        <v>173</v>
      </c>
      <c r="I18" s="3" t="inlineStr">
        <is>
          <t>Sẵn sàng điền giá khảo sát sàn</t>
        </is>
      </c>
    </row>
    <row r="19">
      <c r="A19" s="3" t="n">
        <v>18</v>
      </c>
      <c r="B19" s="3" t="inlineStr">
        <is>
          <t>DL018</t>
        </is>
      </c>
      <c r="C19" s="4" t="inlineStr">
        <is>
          <t>Điện máy Tâm Hường</t>
        </is>
      </c>
      <c r="D19" s="3" t="inlineStr">
        <is>
          <t>HN</t>
        </is>
      </c>
      <c r="E19" s="3" t="inlineStr">
        <is>
          <t>Lan</t>
        </is>
      </c>
      <c r="F19" s="3" t="inlineStr">
        <is>
          <t>Shopee</t>
        </is>
      </c>
      <c r="G19" s="4" t="inlineStr">
        <is>
          <t>SHOPEE: https://s.shopee.vn/20wElaG2Vc , https://s.shopee.vn/5fpX8CWOkJ TIKTOK: LAZADA: WEBSITE BÁN HÀNG:</t>
        </is>
      </c>
      <c r="H19" s="9" t="n">
        <v>35</v>
      </c>
      <c r="I19" s="3" t="inlineStr">
        <is>
          <t>Sẵn sàng điền giá khảo sát sàn</t>
        </is>
      </c>
    </row>
    <row r="20">
      <c r="A20" s="3" t="n">
        <v>19</v>
      </c>
      <c r="B20" s="3" t="inlineStr">
        <is>
          <t>DL019</t>
        </is>
      </c>
      <c r="C20" s="4" t="inlineStr">
        <is>
          <t>Quân- Khánh Hà</t>
        </is>
      </c>
      <c r="D20" s="3" t="inlineStr">
        <is>
          <t>HN</t>
        </is>
      </c>
      <c r="E20" s="3" t="inlineStr">
        <is>
          <t>ĐIỆP</t>
        </is>
      </c>
      <c r="F20" s="3" t="inlineStr">
        <is>
          <t>Tiktok, Shopee</t>
        </is>
      </c>
      <c r="G20" s="4" t="inlineStr">
        <is>
          <t>SHOPEE: https://s.shopee.vn/5q8xKd1rIl TIKTOK: https://www.tiktok.com/@quandao1212?_r=1&amp;_t=ZS-9AZ3SH7c2xZ LAZADA: WEBSITE BÁN HÀNG:</t>
        </is>
      </c>
      <c r="H20" s="9" t="n">
        <v>122</v>
      </c>
      <c r="I20" s="3" t="inlineStr">
        <is>
          <t>Sẵn sàng điền giá khảo sát sàn</t>
        </is>
      </c>
    </row>
    <row r="21">
      <c r="A21" s="3" t="n">
        <v>20</v>
      </c>
      <c r="B21" s="3" t="inlineStr">
        <is>
          <t>DL020</t>
        </is>
      </c>
      <c r="C21" s="4" t="inlineStr">
        <is>
          <t>Công ty TNHH Thiết bị Điện Ngũ Phúc</t>
        </is>
      </c>
      <c r="D21" s="3" t="inlineStr">
        <is>
          <t>HN</t>
        </is>
      </c>
      <c r="E21" s="3" t="inlineStr">
        <is>
          <t>Lan</t>
        </is>
      </c>
      <c r="F21" s="3" t="inlineStr">
        <is>
          <t>Website bán hàng</t>
        </is>
      </c>
      <c r="G21" s="4" t="inlineStr">
        <is>
          <t>SHOPEE: TIKTOK: LAZADA: WEBSITE BÁN HÀNG: https://www.nguphuc.com.vn/</t>
        </is>
      </c>
      <c r="H21" s="9" t="n">
        <v>17</v>
      </c>
      <c r="I21" s="3" t="inlineStr">
        <is>
          <t>Sẵn sàng điền giá khảo sát sàn</t>
        </is>
      </c>
    </row>
    <row r="22">
      <c r="A22" s="3" t="n">
        <v>21</v>
      </c>
      <c r="B22" s="3" t="inlineStr">
        <is>
          <t>DL021</t>
        </is>
      </c>
      <c r="C22" s="4" t="inlineStr">
        <is>
          <t>Điện Máy Châu Trưởng</t>
        </is>
      </c>
      <c r="D22" s="3" t="inlineStr">
        <is>
          <t>HN</t>
        </is>
      </c>
      <c r="E22" s="3" t="inlineStr">
        <is>
          <t>Lan</t>
        </is>
      </c>
      <c r="F22" s="3" t="inlineStr">
        <is>
          <t>Shopee</t>
        </is>
      </c>
      <c r="G22" s="4" t="inlineStr">
        <is>
          <t>SHOPEE: https://shopee.vn/dienmay_ct24h TIKTOK: LAZADA: WEBSITE BÁN HÀNG:</t>
        </is>
      </c>
      <c r="H22" s="9" t="n">
        <v>16</v>
      </c>
      <c r="I22" s="3" t="inlineStr">
        <is>
          <t>Sẵn sàng điền giá khảo sát sàn</t>
        </is>
      </c>
    </row>
    <row r="23">
      <c r="A23" s="3" t="n">
        <v>22</v>
      </c>
      <c r="B23" s="3" t="inlineStr">
        <is>
          <t>DL022</t>
        </is>
      </c>
      <c r="C23" s="4" t="inlineStr">
        <is>
          <t>ĐL Đà Nẵng - Phú Vinh</t>
        </is>
      </c>
      <c r="D23" s="3" t="inlineStr">
        <is>
          <t>Đà Nẵng</t>
        </is>
      </c>
      <c r="E23" s="3" t="inlineStr">
        <is>
          <t>THÙY TRANG</t>
        </is>
      </c>
      <c r="F23" s="3" t="inlineStr">
        <is>
          <t>Shopee, Tiktok</t>
        </is>
      </c>
      <c r="G23" s="4" t="inlineStr">
        <is>
          <t>SHOPEE: https://shopee.vn/chuyenkhoa_dungcukimkhi?mmp_pid=an_17398470331&amp;uls_trackid=56sljg7000lu&amp;utm_campaign=-&amp;utm_content=-&amp;utm_medium=affiliates&amp;utm_source=an_17398470331&amp;utm_term=fpa47fmkixn3 TIKTOK: https://www.tiktok.com/@vatdungcokhi?_r=1&amp;_t=ZS-93Uoi2DAmCf / LAZADA: WEBSITE BÁN HÀNG:</t>
        </is>
      </c>
      <c r="H23" s="9" t="n">
        <v>388</v>
      </c>
      <c r="I23" s="3" t="inlineStr">
        <is>
          <t>Sẵn sàng điền giá khảo sát sàn</t>
        </is>
      </c>
    </row>
    <row r="24">
      <c r="A24" s="3" t="n">
        <v>23</v>
      </c>
      <c r="B24" s="3" t="inlineStr">
        <is>
          <t>DL023</t>
        </is>
      </c>
      <c r="C24" s="4" t="inlineStr">
        <is>
          <t>Điện máy Quang Tâm</t>
        </is>
      </c>
      <c r="D24" s="3" t="inlineStr">
        <is>
          <t>HN</t>
        </is>
      </c>
      <c r="E24" s="3" t="inlineStr">
        <is>
          <t>ĐIỆP</t>
        </is>
      </c>
      <c r="F24" s="3" t="inlineStr">
        <is>
          <t>Shopee</t>
        </is>
      </c>
      <c r="G24" s="4" t="inlineStr">
        <is>
          <t>SHOPEE: https://shopee.vn/dienmaycokhi_quangtam TIKTOK: LAZADA: WEBSITE BÁN HÀNG:</t>
        </is>
      </c>
      <c r="H24" s="9" t="n">
        <v>27</v>
      </c>
      <c r="I24" s="3" t="inlineStr">
        <is>
          <t>Sẵn sàng điền giá khảo sát sàn</t>
        </is>
      </c>
    </row>
    <row r="25">
      <c r="A25" s="3" t="n">
        <v>24</v>
      </c>
      <c r="B25" s="3" t="inlineStr">
        <is>
          <t>DL024</t>
        </is>
      </c>
      <c r="C25" s="4" t="inlineStr">
        <is>
          <t>ĐL Đà Nẵng - Tân Cảng Decor</t>
        </is>
      </c>
      <c r="D25" s="3" t="inlineStr">
        <is>
          <t>Đà Nẵng</t>
        </is>
      </c>
      <c r="E25" s="3" t="inlineStr">
        <is>
          <t>THÙY TRANG</t>
        </is>
      </c>
      <c r="F25" s="3" t="inlineStr">
        <is>
          <t>Shopee, Tiktok, Website bán hàng</t>
        </is>
      </c>
      <c r="G25" s="4" t="inlineStr">
        <is>
          <t>SHOPEE: https://shopee.vn/tancangdecorshop TIKTOK: https://www.tiktok.com/@tancangdecor LAZADA: WEBSITE BÁN HÀNG: https://tancangdecor.com/</t>
        </is>
      </c>
      <c r="H25" s="9" t="n">
        <v>123</v>
      </c>
      <c r="I25" s="3" t="inlineStr">
        <is>
          <t>Sẵn sàng điền giá khảo sát sàn</t>
        </is>
      </c>
    </row>
    <row r="26">
      <c r="A26" s="3" t="n">
        <v>25</v>
      </c>
      <c r="B26" s="3" t="inlineStr">
        <is>
          <t>DL025</t>
        </is>
      </c>
      <c r="C26" s="4" t="inlineStr">
        <is>
          <t>Công ty cổ phần thiết bị kỹ thuật Tulex</t>
        </is>
      </c>
      <c r="D26" s="3" t="inlineStr">
        <is>
          <t>HN</t>
        </is>
      </c>
      <c r="E26" s="3" t="inlineStr">
        <is>
          <t>Lan</t>
        </is>
      </c>
      <c r="F26" s="3" t="inlineStr">
        <is>
          <t>Website bán hàng</t>
        </is>
      </c>
      <c r="G26" s="4" t="inlineStr">
        <is>
          <t>SHOPEE: TIKTOK: LAZADA: WEBSITE BÁN HÀNG: https://thietbitulex.com.vn/?srsltid=AU7gw4V3B543TL4FBNebsYEGpVie5EA6SPp6pgBovwWE13c7f_ty9e6R</t>
        </is>
      </c>
      <c r="H26" s="9" t="n">
        <v>79</v>
      </c>
      <c r="I26" s="3" t="inlineStr">
        <is>
          <t>Sẵn sàng điền giá khảo sát sàn</t>
        </is>
      </c>
    </row>
    <row r="27">
      <c r="A27" s="3" t="n">
        <v>26</v>
      </c>
      <c r="B27" s="3" t="inlineStr">
        <is>
          <t>DL026</t>
        </is>
      </c>
      <c r="C27" s="4" t="inlineStr">
        <is>
          <t>Anh Khắc Khang Hà Nội (Bigshop)</t>
        </is>
      </c>
      <c r="D27" s="3" t="inlineStr">
        <is>
          <t>HN</t>
        </is>
      </c>
      <c r="E27" s="3" t="inlineStr">
        <is>
          <t>Lan</t>
        </is>
      </c>
      <c r="F27" s="3" t="inlineStr">
        <is>
          <t>Website bán hàng, Shopee</t>
        </is>
      </c>
      <c r="G27" s="4" t="inlineStr">
        <is>
          <t>SHOPEE: https://shopee.vn/bigshop2014 TIKTOK: LAZADA: WEBSITE BÁN HÀNG: https://bigshop.vn/</t>
        </is>
      </c>
      <c r="H27" s="9" t="n">
        <v>28</v>
      </c>
      <c r="I27" s="3" t="inlineStr">
        <is>
          <t>Sẵn sàng điền giá khảo sát sàn</t>
        </is>
      </c>
    </row>
    <row r="28">
      <c r="A28" s="3" t="n">
        <v>27</v>
      </c>
      <c r="B28" s="3" t="inlineStr">
        <is>
          <t>DL027</t>
        </is>
      </c>
      <c r="C28" s="4" t="inlineStr">
        <is>
          <t>ĐL Bình Định - Khoan Pin 77</t>
        </is>
      </c>
      <c r="D28" s="3" t="inlineStr">
        <is>
          <t>GIA LAI 
(BÌNH ĐỊNH CŨ)</t>
        </is>
      </c>
      <c r="E28" s="3" t="inlineStr">
        <is>
          <t>THÙY TRANG</t>
        </is>
      </c>
      <c r="F28" s="3" t="inlineStr"/>
      <c r="G28" s="4" t="inlineStr">
        <is>
          <t>SHOPEE: TIKTOK: LAZADA: WEBSITE BÁN HÀNG: YOUTUBE: https://www.youtube.com/channel/UCowiJLhwAySOYT7OCDWOOYA</t>
        </is>
      </c>
      <c r="H28" s="9" t="n">
        <v>278</v>
      </c>
      <c r="I28" s="3" t="inlineStr">
        <is>
          <t>Sẵn sàng điền giá khảo sát sàn</t>
        </is>
      </c>
    </row>
    <row r="29">
      <c r="A29" s="3" t="n">
        <v>28</v>
      </c>
      <c r="B29" s="3" t="inlineStr">
        <is>
          <t>DL028</t>
        </is>
      </c>
      <c r="C29" s="4" t="inlineStr">
        <is>
          <t>ĐL Bình Thuận - Cửa hàng Đạo Vương</t>
        </is>
      </c>
      <c r="D29" s="3" t="inlineStr">
        <is>
          <t>LÂM ĐỒNG 
(BÌNH THUẬN CŨ)</t>
        </is>
      </c>
      <c r="E29" s="3" t="inlineStr">
        <is>
          <t>THÙY TRANG</t>
        </is>
      </c>
      <c r="F29" s="3" t="inlineStr"/>
      <c r="G29" s="4" t="inlineStr">
        <is>
          <t>SHOPEE: https://shopee.vn/search?keyword=store%20d%E1%BB%A5ng%20c%E1%BB%A5%20tpTIKTOK: LAZADA: WEBSITE BÁN HÀNG:</t>
        </is>
      </c>
      <c r="H29" s="9" t="n">
        <v>58</v>
      </c>
      <c r="I29" s="3" t="inlineStr">
        <is>
          <t>Sẵn sàng điền giá khảo sát sàn</t>
        </is>
      </c>
    </row>
    <row r="30">
      <c r="A30" s="3" t="n">
        <v>29</v>
      </c>
      <c r="B30" s="3" t="inlineStr">
        <is>
          <t>DL029</t>
        </is>
      </c>
      <c r="C30" s="4" t="inlineStr">
        <is>
          <t>Trung Linh</t>
        </is>
      </c>
      <c r="D30" s="3" t="inlineStr">
        <is>
          <t>HN</t>
        </is>
      </c>
      <c r="E30" s="3" t="inlineStr">
        <is>
          <t>ĐIỆP</t>
        </is>
      </c>
      <c r="F30" s="3" t="inlineStr">
        <is>
          <t>Website bán hàng</t>
        </is>
      </c>
      <c r="G30" s="4" t="inlineStr">
        <is>
          <t>SHOPEE: TIKTOK: LAZADA: WEBSITE BÁN HÀNG: https://trunglinh.com/</t>
        </is>
      </c>
      <c r="H30" s="9" t="n">
        <v>13</v>
      </c>
      <c r="I30" s="3" t="inlineStr">
        <is>
          <t>Sẵn sàng điền giá khảo sát sàn</t>
        </is>
      </c>
    </row>
    <row r="31">
      <c r="A31" s="3" t="n">
        <v>30</v>
      </c>
      <c r="B31" s="3" t="inlineStr">
        <is>
          <t>DL030</t>
        </is>
      </c>
      <c r="C31" s="4" t="inlineStr">
        <is>
          <t>Siêu thị Hưng Thịnh</t>
        </is>
      </c>
      <c r="D31" s="3" t="inlineStr">
        <is>
          <t>HN</t>
        </is>
      </c>
      <c r="E31" s="3" t="inlineStr">
        <is>
          <t>Lan</t>
        </is>
      </c>
      <c r="F31" s="3" t="inlineStr">
        <is>
          <t>Website bán hàng</t>
        </is>
      </c>
      <c r="G31" s="4" t="inlineStr">
        <is>
          <t>SHOPEE: TIKTOK: LAZADA: WEBSITE BÁN HÀNG: https://sieuthikimkhihungthinh.vn/admin-at5</t>
        </is>
      </c>
      <c r="H31" s="9" t="n">
        <v>86</v>
      </c>
      <c r="I31" s="3" t="inlineStr">
        <is>
          <t>Sẵn sàng điền giá khảo sát sàn</t>
        </is>
      </c>
    </row>
    <row r="32">
      <c r="A32" s="3" t="n">
        <v>31</v>
      </c>
      <c r="B32" s="3" t="inlineStr">
        <is>
          <t>DL031</t>
        </is>
      </c>
      <c r="C32" s="4" t="inlineStr">
        <is>
          <t>Điện máy Official</t>
        </is>
      </c>
      <c r="D32" s="3" t="inlineStr">
        <is>
          <t>HN</t>
        </is>
      </c>
      <c r="E32" s="3" t="inlineStr">
        <is>
          <t>ĐIỆP</t>
        </is>
      </c>
      <c r="F32" s="3" t="inlineStr">
        <is>
          <t>Tiktok</t>
        </is>
      </c>
      <c r="G32" s="4" t="inlineStr">
        <is>
          <t>SHOPEE: TIKTOK: https://www.tiktok.com/@bancatgachmen https://www.tiktok.com/@bancatgachrubi LAZADA: WEBSITE BÁN HÀNG:</t>
        </is>
      </c>
      <c r="H32" s="9" t="n">
        <v>23</v>
      </c>
      <c r="I32" s="3" t="inlineStr">
        <is>
          <t>Sẵn sàng điền giá khảo sát sàn</t>
        </is>
      </c>
    </row>
    <row r="33">
      <c r="A33" s="3" t="n">
        <v>32</v>
      </c>
      <c r="B33" s="3" t="inlineStr">
        <is>
          <t>DL032</t>
        </is>
      </c>
      <c r="C33" s="4" t="inlineStr">
        <is>
          <t>Công ty Cổ phần Kinh doanh và Công nghệ CT</t>
        </is>
      </c>
      <c r="D33" s="3" t="inlineStr">
        <is>
          <t>HN</t>
        </is>
      </c>
      <c r="E33" s="3" t="inlineStr">
        <is>
          <t>Lan</t>
        </is>
      </c>
      <c r="F33" s="3" t="inlineStr">
        <is>
          <t>Website bán hàng</t>
        </is>
      </c>
      <c r="G33" s="4" t="inlineStr">
        <is>
          <t>SHOPEE: TIKTOK: LAZADA: WEBSITE BÁN HÀNG: https://cattools.vn/</t>
        </is>
      </c>
      <c r="H33" s="9" t="n">
        <v>8</v>
      </c>
      <c r="I33" s="3" t="inlineStr">
        <is>
          <t>Sẵn sàng điền giá khảo sát sàn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" customWidth="1" min="4" max="4"/>
    <col width="15" customWidth="1" min="5" max="5"/>
    <col width="15" customWidth="1" min="6" max="6"/>
    <col width="30" customWidth="1" min="7" max="7"/>
    <col width="48" customWidth="1" min="8" max="8"/>
  </cols>
  <sheetData>
    <row r="1">
      <c r="A1" s="10" t="inlineStr">
        <is>
          <t>STT</t>
        </is>
      </c>
      <c r="B1" s="10" t="inlineStr">
        <is>
          <t>Trang PDF</t>
        </is>
      </c>
      <c r="C1" s="10" t="inlineStr">
        <is>
          <t>Tên / Mô Tả Sản Phẩm</t>
        </is>
      </c>
      <c r="D1" s="10" t="inlineStr">
        <is>
          <t>ĐVT</t>
        </is>
      </c>
      <c r="E1" s="10" t="inlineStr">
        <is>
          <t>GIÁ SỈ (VNĐ)</t>
        </is>
      </c>
      <c r="F1" s="10" t="inlineStr">
        <is>
          <t>GIÁ LẺ (VNĐ)</t>
        </is>
      </c>
      <c r="G1" s="2" t="inlineStr">
        <is>
          <t>GIÁ SÀN TMĐT QUY ĐỊNH (VNĐ)</t>
        </is>
      </c>
      <c r="H1" s="10" t="inlineStr">
        <is>
          <t>Ghi Chú</t>
        </is>
      </c>
    </row>
    <row r="2">
      <c r="A2" s="3" t="n">
        <v>1</v>
      </c>
      <c r="B2" s="3" t="n">
        <v>1</v>
      </c>
      <c r="C2" s="4" t="inlineStr">
        <is>
          <t>Đá cắt Sắt, inox KingBlue (Hộp sắt) D1-107x1.2 (hộp sắt) 107*1.2mmØlỗ 16mm</t>
        </is>
      </c>
      <c r="D2" s="3" t="inlineStr">
        <is>
          <t>Cái</t>
        </is>
      </c>
      <c r="E2" s="5" t="n">
        <v>4000</v>
      </c>
      <c r="F2" s="5" t="n">
        <v>5000</v>
      </c>
      <c r="G2" s="6" t="n">
        <v>6500</v>
      </c>
      <c r="H2" s="4" t="inlineStr">
        <is>
          <t>Cái  100v/H 800v/T Mua 8 thùng tặng 1 thùng cùng loại</t>
        </is>
      </c>
    </row>
    <row r="3">
      <c r="A3" s="3" t="n">
        <v>2</v>
      </c>
      <c r="B3" s="3" t="n">
        <v>1</v>
      </c>
      <c r="C3" s="4" t="inlineStr">
        <is>
          <t>Đá cắt Sắt, inox KingBlue (Hộp nhựa) D1-125x1.6 125*1.6mmØlỗ 22.23mm</t>
        </is>
      </c>
      <c r="D3" s="3" t="inlineStr">
        <is>
          <t>Cái</t>
        </is>
      </c>
      <c r="E3" s="5" t="n">
        <v>8300</v>
      </c>
      <c r="F3" s="5" t="n">
        <v>10400</v>
      </c>
      <c r="G3" s="6" t="n">
        <v>13500</v>
      </c>
      <c r="H3" s="4" t="inlineStr">
        <is>
          <t>Cái  50v/H 600v/T Mua 8 thùng tặng 1 thùng cùng loại</t>
        </is>
      </c>
    </row>
    <row r="4">
      <c r="A4" s="3" t="n">
        <v>3</v>
      </c>
      <c r="B4" s="3" t="n">
        <v>1</v>
      </c>
      <c r="C4" s="4" t="inlineStr">
        <is>
          <t>Đá cắt Sắt, inox KingBlue (Hộp sắt) D3-107x1.2 (hộp sắt) 107*1.2mmØlỗ 16mm</t>
        </is>
      </c>
      <c r="D4" s="3" t="inlineStr">
        <is>
          <t>Viên</t>
        </is>
      </c>
      <c r="E4" s="5" t="n">
        <v>4600</v>
      </c>
      <c r="F4" s="5" t="n">
        <v>5800</v>
      </c>
      <c r="G4" s="6" t="n">
        <v>7500</v>
      </c>
      <c r="H4" s="4" t="inlineStr">
        <is>
          <t>Viên  100v/H 800v/T Mua 8 thùng tặng 1 thùng cùng loại</t>
        </is>
      </c>
    </row>
    <row r="5">
      <c r="A5" s="3" t="n">
        <v>4</v>
      </c>
      <c r="B5" s="3" t="n">
        <v>1</v>
      </c>
      <c r="C5" s="4" t="inlineStr">
        <is>
          <t>Đá cắt sắt, inox KingBlue D3-125x1.8 125*1.8mmØlỗ 22.23mm</t>
        </is>
      </c>
      <c r="D5" s="3" t="inlineStr">
        <is>
          <t>Viên</t>
        </is>
      </c>
      <c r="E5" s="5" t="n">
        <v>9700</v>
      </c>
      <c r="F5" s="5" t="n">
        <v>12000</v>
      </c>
      <c r="G5" s="6" t="n">
        <v>15500</v>
      </c>
      <c r="H5" s="4" t="inlineStr">
        <is>
          <t>Viên  50v/H 600v/T Mua 8 thùng tặng 1 thùng cùng loại</t>
        </is>
      </c>
    </row>
    <row r="6">
      <c r="A6" s="3" t="n">
        <v>5</v>
      </c>
      <c r="B6" s="3" t="n">
        <v>1</v>
      </c>
      <c r="C6" s="4" t="inlineStr">
        <is>
          <t>D3-150x2.0 150*2.0mmØlỗ 22.23mm</t>
        </is>
      </c>
      <c r="D6" s="3" t="inlineStr">
        <is>
          <t>Viên</t>
        </is>
      </c>
      <c r="E6" s="5" t="n">
        <v>16500</v>
      </c>
      <c r="F6" s="5" t="n">
        <v>20000</v>
      </c>
      <c r="G6" s="6" t="n">
        <v>25000</v>
      </c>
      <c r="H6" s="4" t="inlineStr">
        <is>
          <t>Viên  25v/H 200v/T</t>
        </is>
      </c>
    </row>
    <row r="7">
      <c r="A7" s="3" t="n">
        <v>6</v>
      </c>
      <c r="B7" s="3" t="n">
        <v>1</v>
      </c>
      <c r="C7" s="4" t="inlineStr">
        <is>
          <t>D3-180x2.0 180*2.0mmØlỗ 22.23mm</t>
        </is>
      </c>
      <c r="D7" s="3" t="inlineStr">
        <is>
          <t>Viên</t>
        </is>
      </c>
      <c r="E7" s="5" t="n">
        <v>23000</v>
      </c>
      <c r="F7" s="5" t="n">
        <v>28000</v>
      </c>
      <c r="G7" s="6" t="n">
        <v>34500</v>
      </c>
      <c r="H7" s="4" t="inlineStr">
        <is>
          <t>Viên  25v/H 100v/T</t>
        </is>
      </c>
    </row>
    <row r="8">
      <c r="A8" s="3" t="n">
        <v>7</v>
      </c>
      <c r="B8" s="3" t="n">
        <v>1</v>
      </c>
      <c r="C8" s="4" t="inlineStr">
        <is>
          <t>D3-300x2.8S 300*2.8mmØlỗ 25.4mm</t>
        </is>
      </c>
      <c r="D8" s="3" t="inlineStr">
        <is>
          <t>Viên</t>
        </is>
      </c>
      <c r="E8" s="5" t="n">
        <v>38500</v>
      </c>
      <c r="F8" s="5" t="n">
        <v>46000</v>
      </c>
      <c r="G8" s="6" t="n">
        <v>56000</v>
      </c>
      <c r="H8" s="4" t="inlineStr">
        <is>
          <t>Viên 30v/T</t>
        </is>
      </c>
    </row>
    <row r="9">
      <c r="A9" s="3" t="n">
        <v>8</v>
      </c>
      <c r="B9" s="3" t="n">
        <v>1</v>
      </c>
      <c r="C9" s="4" t="inlineStr">
        <is>
          <t>D3-350x3.0S 350*3.0mmØlỗ 25.4mm</t>
        </is>
      </c>
      <c r="D9" s="3" t="inlineStr">
        <is>
          <t>Viên</t>
        </is>
      </c>
      <c r="E9" s="5" t="n">
        <v>45000</v>
      </c>
      <c r="F9" s="5" t="n">
        <v>53000</v>
      </c>
      <c r="G9" s="6" t="n">
        <v>65000</v>
      </c>
      <c r="H9" s="4" t="inlineStr">
        <is>
          <t>Viên 30v/T Mua 25 thùng tặng 1 thùng cùng loại</t>
        </is>
      </c>
    </row>
    <row r="10">
      <c r="A10" s="3" t="n">
        <v>9</v>
      </c>
      <c r="B10" s="3" t="n">
        <v>1</v>
      </c>
      <c r="C10" s="4" t="inlineStr">
        <is>
          <t>D3-400x3.0S 400*3.0mmØlỗ 25.4mm</t>
        </is>
      </c>
      <c r="D10" s="3" t="inlineStr">
        <is>
          <t>Cái</t>
        </is>
      </c>
      <c r="E10" s="5" t="n">
        <v>67000</v>
      </c>
      <c r="F10" s="5" t="n">
        <v>77000</v>
      </c>
      <c r="G10" s="6" t="n">
        <v>93000</v>
      </c>
      <c r="H10" s="4" t="inlineStr">
        <is>
          <t>Cái 25v/T</t>
        </is>
      </c>
    </row>
    <row r="11">
      <c r="A11" s="3" t="n">
        <v>10</v>
      </c>
      <c r="B11" s="3" t="n">
        <v>1</v>
      </c>
      <c r="C11" s="4" t="inlineStr">
        <is>
          <t>D4-107x1.2 107*1.2mmØlỗ 16mm</t>
        </is>
      </c>
      <c r="D11" s="3" t="inlineStr">
        <is>
          <t>Viên</t>
        </is>
      </c>
      <c r="E11" s="5" t="n">
        <v>4200</v>
      </c>
      <c r="F11" s="5" t="n">
        <v>5300</v>
      </c>
      <c r="G11" s="6" t="n">
        <v>6900</v>
      </c>
      <c r="H11" s="4" t="inlineStr">
        <is>
          <t>Viên  50v/H 800v/T Mua 8 thùng tặng 1 thùng cùng loại</t>
        </is>
      </c>
    </row>
    <row r="12">
      <c r="A12" s="3" t="n">
        <v>11</v>
      </c>
      <c r="B12" s="3" t="n">
        <v>1</v>
      </c>
      <c r="C12" s="4" t="inlineStr">
        <is>
          <t>D4-350x3.0 350*3.0mmØlỗ 25.4mm</t>
        </is>
      </c>
      <c r="D12" s="3" t="inlineStr">
        <is>
          <t>Viên</t>
        </is>
      </c>
      <c r="E12" s="5" t="n">
        <v>43000</v>
      </c>
      <c r="F12" s="5" t="n">
        <v>51000</v>
      </c>
      <c r="G12" s="6" t="n">
        <v>62000</v>
      </c>
      <c r="H12" s="4" t="inlineStr">
        <is>
          <t>Viên 30v/T Mua 25 thùng tặng 1 thùngcùng loại</t>
        </is>
      </c>
    </row>
    <row r="13">
      <c r="A13" s="3" t="n">
        <v>12</v>
      </c>
      <c r="B13" s="3" t="n">
        <v>2</v>
      </c>
      <c r="C13" s="4" t="inlineStr">
        <is>
          <t>Đá Mài inox King Blue D3-103x2.8 103*2.8mmØlỗ 16mm</t>
        </is>
      </c>
      <c r="D13" s="3" t="inlineStr">
        <is>
          <t>Cái</t>
        </is>
      </c>
      <c r="E13" s="5" t="n">
        <v>9100</v>
      </c>
      <c r="F13" s="5" t="n">
        <v>11300</v>
      </c>
      <c r="G13" s="6" t="n">
        <v>14500</v>
      </c>
      <c r="H13" s="4" t="inlineStr">
        <is>
          <t>Cái  50v/H 200v/T Mua 8 thùng tặng 1 thùng cùng loại</t>
        </is>
      </c>
    </row>
    <row r="14">
      <c r="A14" s="3" t="n">
        <v>13</v>
      </c>
      <c r="B14" s="3" t="n">
        <v>2</v>
      </c>
      <c r="C14" s="4" t="inlineStr">
        <is>
          <t>D3-100x6.0 100*6mmØlỗ 16mm</t>
        </is>
      </c>
      <c r="D14" s="3" t="inlineStr">
        <is>
          <t>Cái</t>
        </is>
      </c>
      <c r="E14" s="5" t="n">
        <v>11000</v>
      </c>
      <c r="F14" s="5" t="n">
        <v>13600</v>
      </c>
      <c r="G14" s="6" t="n">
        <v>17500</v>
      </c>
      <c r="H14" s="4" t="inlineStr">
        <is>
          <t>Cái  25v/H 200v/T Mua 8 thùng tặng 1 thùng cùng loại</t>
        </is>
      </c>
    </row>
    <row r="15">
      <c r="A15" s="3" t="n">
        <v>14</v>
      </c>
      <c r="B15" s="3" t="n">
        <v>2</v>
      </c>
      <c r="C15" s="4" t="inlineStr">
        <is>
          <t>D3-125x6.0 125*6mmØlỗ 22.23mm</t>
        </is>
      </c>
      <c r="D15" s="3" t="inlineStr">
        <is>
          <t>Cái</t>
        </is>
      </c>
      <c r="E15" s="5" t="n">
        <v>20000</v>
      </c>
      <c r="F15" s="5" t="n">
        <v>25000</v>
      </c>
      <c r="G15" s="6" t="n">
        <v>32000</v>
      </c>
      <c r="H15" s="4" t="inlineStr">
        <is>
          <t>Cái  25v/H 100v/T</t>
        </is>
      </c>
    </row>
    <row r="16">
      <c r="A16" s="3" t="n">
        <v>15</v>
      </c>
      <c r="B16" s="3" t="n">
        <v>2</v>
      </c>
      <c r="C16" s="4" t="inlineStr">
        <is>
          <t>BA-40 100*16mm</t>
        </is>
      </c>
      <c r="D16" s="3" t="inlineStr">
        <is>
          <t>Cái</t>
        </is>
      </c>
      <c r="E16" s="5" t="n">
        <v>9500</v>
      </c>
      <c r="F16" s="5" t="n">
        <v>11700</v>
      </c>
      <c r="G16" s="6" t="n">
        <v>15000</v>
      </c>
      <c r="H16" s="4" t="inlineStr">
        <is>
          <t>Cái 10c/Lốc 200c/T</t>
        </is>
      </c>
    </row>
    <row r="17">
      <c r="A17" s="3" t="n">
        <v>16</v>
      </c>
      <c r="B17" s="3" t="n">
        <v>2</v>
      </c>
      <c r="C17" s="4" t="inlineStr">
        <is>
          <t>BA-60 100*16mm</t>
        </is>
      </c>
      <c r="D17" s="3" t="inlineStr">
        <is>
          <t>Cái</t>
        </is>
      </c>
      <c r="E17" s="5" t="n">
        <v>9500</v>
      </c>
      <c r="F17" s="5" t="n">
        <v>11700</v>
      </c>
      <c r="G17" s="6" t="n">
        <v>15000</v>
      </c>
      <c r="H17" s="4" t="inlineStr">
        <is>
          <t>Cái 10c/Lốc 200c/T</t>
        </is>
      </c>
    </row>
    <row r="18">
      <c r="A18" s="3" t="n">
        <v>17</v>
      </c>
      <c r="B18" s="3" t="n">
        <v>2</v>
      </c>
      <c r="C18" s="4" t="inlineStr">
        <is>
          <t>BA-80 100*16mm</t>
        </is>
      </c>
      <c r="D18" s="3" t="inlineStr">
        <is>
          <t>Cái</t>
        </is>
      </c>
      <c r="E18" s="5" t="n">
        <v>9500</v>
      </c>
      <c r="F18" s="5" t="n">
        <v>11700</v>
      </c>
      <c r="G18" s="6" t="n">
        <v>15000</v>
      </c>
      <c r="H18" s="4" t="inlineStr">
        <is>
          <t>Cái 10c/Lốc 200c/T</t>
        </is>
      </c>
    </row>
    <row r="19">
      <c r="A19" s="3" t="n">
        <v>18</v>
      </c>
      <c r="B19" s="3" t="n">
        <v>2</v>
      </c>
      <c r="C19" s="4" t="inlineStr">
        <is>
          <t>BA-100 100*16mm</t>
        </is>
      </c>
      <c r="D19" s="3" t="inlineStr">
        <is>
          <t>Cái</t>
        </is>
      </c>
      <c r="E19" s="5" t="n">
        <v>9500</v>
      </c>
      <c r="F19" s="5" t="n">
        <v>11700</v>
      </c>
      <c r="G19" s="6" t="n">
        <v>15000</v>
      </c>
      <c r="H19" s="4" t="inlineStr">
        <is>
          <t>Cái 10c/Lốc 200c/T</t>
        </is>
      </c>
    </row>
    <row r="20">
      <c r="A20" s="3" t="n">
        <v>19</v>
      </c>
      <c r="B20" s="3" t="n">
        <v>2</v>
      </c>
      <c r="C20" s="4" t="inlineStr">
        <is>
          <t>BA-150 100*16mm</t>
        </is>
      </c>
      <c r="D20" s="3" t="inlineStr">
        <is>
          <t>Cái</t>
        </is>
      </c>
      <c r="E20" s="5" t="n">
        <v>9500</v>
      </c>
      <c r="F20" s="5" t="n">
        <v>11700</v>
      </c>
      <c r="G20" s="6" t="n">
        <v>15000</v>
      </c>
      <c r="H20" s="4" t="inlineStr">
        <is>
          <t>Cái 10c/Lốc 200c/T</t>
        </is>
      </c>
    </row>
    <row r="21">
      <c r="A21" s="3" t="n">
        <v>20</v>
      </c>
      <c r="B21" s="3" t="n">
        <v>2</v>
      </c>
      <c r="C21" s="4" t="inlineStr">
        <is>
          <t>BA-180 100*16mm</t>
        </is>
      </c>
      <c r="D21" s="3" t="inlineStr">
        <is>
          <t>Cái</t>
        </is>
      </c>
      <c r="E21" s="5" t="n">
        <v>9500</v>
      </c>
      <c r="F21" s="5" t="n">
        <v>11700</v>
      </c>
      <c r="G21" s="6" t="n">
        <v>15000</v>
      </c>
      <c r="H21" s="4" t="inlineStr">
        <is>
          <t>Cái 10c/Lốc 200c/T</t>
        </is>
      </c>
    </row>
    <row r="22">
      <c r="A22" s="3" t="n">
        <v>21</v>
      </c>
      <c r="B22" s="3" t="n">
        <v>2</v>
      </c>
      <c r="C22" s="4" t="inlineStr">
        <is>
          <t>BA-240 100*16mm</t>
        </is>
      </c>
      <c r="D22" s="3" t="inlineStr">
        <is>
          <t>Cái</t>
        </is>
      </c>
      <c r="E22" s="5" t="n">
        <v>9500</v>
      </c>
      <c r="F22" s="5" t="n">
        <v>11700</v>
      </c>
      <c r="G22" s="6" t="n">
        <v>15000</v>
      </c>
      <c r="H22" s="4" t="inlineStr">
        <is>
          <t>Cái 10c/Lốc 200c/T</t>
        </is>
      </c>
    </row>
    <row r="23">
      <c r="A23" s="3" t="n">
        <v>22</v>
      </c>
      <c r="B23" s="3" t="n">
        <v>2</v>
      </c>
      <c r="C23" s="4" t="inlineStr">
        <is>
          <t>BA-320 100*16mm</t>
        </is>
      </c>
      <c r="D23" s="3" t="inlineStr">
        <is>
          <t>Cái</t>
        </is>
      </c>
      <c r="E23" s="5" t="n">
        <v>9500</v>
      </c>
      <c r="F23" s="5" t="n">
        <v>11700</v>
      </c>
      <c r="G23" s="6" t="n">
        <v>15000</v>
      </c>
      <c r="H23" s="4" t="inlineStr">
        <is>
          <t>Cái 10c/Lốc 200c/T</t>
        </is>
      </c>
    </row>
    <row r="24">
      <c r="A24" s="3" t="n">
        <v>23</v>
      </c>
      <c r="B24" s="3" t="n">
        <v>2</v>
      </c>
      <c r="C24" s="4" t="inlineStr">
        <is>
          <t>KZ-040 NEW 100*16mm</t>
        </is>
      </c>
      <c r="D24" s="3" t="inlineStr">
        <is>
          <t>Cái</t>
        </is>
      </c>
      <c r="E24" s="5" t="n">
        <v>9500</v>
      </c>
      <c r="F24" s="5" t="n">
        <v>11700</v>
      </c>
      <c r="G24" s="6" t="n">
        <v>15000</v>
      </c>
      <c r="H24" s="4" t="inlineStr">
        <is>
          <t>Cái 10c/Lốc 200c/T</t>
        </is>
      </c>
    </row>
    <row r="25">
      <c r="A25" s="3" t="n">
        <v>24</v>
      </c>
      <c r="B25" s="3" t="n">
        <v>2</v>
      </c>
      <c r="C25" s="4" t="inlineStr">
        <is>
          <t>KZ-060 NEW 100*16mm</t>
        </is>
      </c>
      <c r="D25" s="3" t="inlineStr">
        <is>
          <t>Cái</t>
        </is>
      </c>
      <c r="E25" s="5" t="n">
        <v>9500</v>
      </c>
      <c r="F25" s="5" t="n">
        <v>11700</v>
      </c>
      <c r="G25" s="6" t="n">
        <v>15000</v>
      </c>
      <c r="H25" s="4" t="inlineStr">
        <is>
          <t>Cái 10c/Lốc 200c/T</t>
        </is>
      </c>
    </row>
    <row r="26">
      <c r="A26" s="3" t="n">
        <v>25</v>
      </c>
      <c r="B26" s="3" t="n">
        <v>2</v>
      </c>
      <c r="C26" s="4" t="inlineStr">
        <is>
          <t>KZ-080 NEW 100*16mm</t>
        </is>
      </c>
      <c r="D26" s="3" t="inlineStr">
        <is>
          <t>Cái</t>
        </is>
      </c>
      <c r="E26" s="5" t="n">
        <v>9500</v>
      </c>
      <c r="F26" s="5" t="n">
        <v>11700</v>
      </c>
      <c r="G26" s="6" t="n">
        <v>15000</v>
      </c>
      <c r="H26" s="4" t="inlineStr">
        <is>
          <t>Cái 10c/Lốc 200c/T</t>
        </is>
      </c>
    </row>
    <row r="27">
      <c r="A27" s="3" t="n">
        <v>26</v>
      </c>
      <c r="B27" s="3" t="n">
        <v>2</v>
      </c>
      <c r="C27" s="4" t="inlineStr">
        <is>
          <t>KZ-100 NEW 100*16mm</t>
        </is>
      </c>
      <c r="D27" s="3" t="inlineStr">
        <is>
          <t>Cái</t>
        </is>
      </c>
      <c r="E27" s="5" t="n">
        <v>9500</v>
      </c>
      <c r="F27" s="5" t="n">
        <v>11700</v>
      </c>
      <c r="G27" s="6" t="n">
        <v>15000</v>
      </c>
      <c r="H27" s="4" t="inlineStr">
        <is>
          <t>Cái 10c/Lốc 200c/T</t>
        </is>
      </c>
    </row>
    <row r="28">
      <c r="A28" s="3" t="n">
        <v>27</v>
      </c>
      <c r="B28" s="3" t="n">
        <v>2</v>
      </c>
      <c r="C28" s="4" t="inlineStr">
        <is>
          <t>KZ-120 NEW 100*16mm</t>
        </is>
      </c>
      <c r="D28" s="3" t="inlineStr">
        <is>
          <t>Cái</t>
        </is>
      </c>
      <c r="E28" s="5" t="n">
        <v>9500</v>
      </c>
      <c r="F28" s="5" t="n">
        <v>11700</v>
      </c>
      <c r="G28" s="6" t="n">
        <v>15000</v>
      </c>
      <c r="H28" s="4" t="inlineStr">
        <is>
          <t>Cái 10c/Lốc 200c/T</t>
        </is>
      </c>
    </row>
    <row r="29">
      <c r="A29" s="3" t="n">
        <v>28</v>
      </c>
      <c r="B29" s="3" t="n">
        <v>2</v>
      </c>
      <c r="C29" s="4" t="inlineStr">
        <is>
          <t>KZ-150 NEW 100*16mm</t>
        </is>
      </c>
      <c r="D29" s="3" t="inlineStr">
        <is>
          <t>Cái</t>
        </is>
      </c>
      <c r="E29" s="5" t="n">
        <v>9500</v>
      </c>
      <c r="F29" s="5" t="n">
        <v>11700</v>
      </c>
      <c r="G29" s="6" t="n">
        <v>15000</v>
      </c>
      <c r="H29" s="4" t="inlineStr">
        <is>
          <t>Cái 10c/Lốc 200c/T</t>
        </is>
      </c>
    </row>
    <row r="30">
      <c r="A30" s="3" t="n">
        <v>29</v>
      </c>
      <c r="B30" s="3" t="n">
        <v>3</v>
      </c>
      <c r="C30" s="4" t="inlineStr">
        <is>
          <t>E2-110X20 110*20mm</t>
        </is>
      </c>
      <c r="D30" s="3" t="inlineStr">
        <is>
          <t>Cái</t>
        </is>
      </c>
      <c r="E30" s="5" t="n">
        <v>48000</v>
      </c>
      <c r="F30" s="5" t="n">
        <v>57000</v>
      </c>
      <c r="G30" s="6" t="n">
        <v>70000</v>
      </c>
      <c r="H30" s="4" t="inlineStr">
        <is>
          <t>Cái 10c/H 200c/T</t>
        </is>
      </c>
    </row>
    <row r="31">
      <c r="A31" s="3" t="n">
        <v>30</v>
      </c>
      <c r="B31" s="3" t="n">
        <v>3</v>
      </c>
      <c r="C31" s="4" t="inlineStr">
        <is>
          <t>E3-105DN 105*20mm</t>
        </is>
      </c>
      <c r="D31" s="3" t="inlineStr">
        <is>
          <t>Cái</t>
        </is>
      </c>
      <c r="E31" s="5" t="n">
        <v>70000</v>
      </c>
      <c r="F31" s="5" t="n">
        <v>83000</v>
      </c>
      <c r="G31" s="6" t="n">
        <v>102000</v>
      </c>
      <c r="H31" s="4" t="inlineStr">
        <is>
          <t>Cái 10c/H 200c/T</t>
        </is>
      </c>
    </row>
    <row r="32">
      <c r="A32" s="3" t="n">
        <v>31</v>
      </c>
      <c r="B32" s="3" t="n">
        <v>3</v>
      </c>
      <c r="C32" s="4" t="inlineStr">
        <is>
          <t>Lưỡi cắt Kingblue E3-125DN E3-125DN 125*22.23mm</t>
        </is>
      </c>
      <c r="D32" s="3" t="inlineStr">
        <is>
          <t>Cái</t>
        </is>
      </c>
      <c r="E32" s="5" t="n">
        <v>88000</v>
      </c>
      <c r="F32" s="5" t="n">
        <v>104000</v>
      </c>
      <c r="G32" s="6" t="n">
        <v>128000</v>
      </c>
      <c r="H32" s="4" t="inlineStr">
        <is>
          <t>Cái 10c/H 200c/T</t>
        </is>
      </c>
    </row>
    <row r="33">
      <c r="A33" s="3" t="n">
        <v>32</v>
      </c>
      <c r="B33" s="3" t="n">
        <v>3</v>
      </c>
      <c r="C33" s="4" t="inlineStr">
        <is>
          <t>Lưỡi cắt KingBlueV1 110DN V1-110DN 105*10*1.3 mmØlỗ 20/16 mm</t>
        </is>
      </c>
      <c r="D33" s="3" t="inlineStr">
        <is>
          <t>Cái</t>
        </is>
      </c>
      <c r="E33" s="5" t="n">
        <v>59000</v>
      </c>
      <c r="F33" s="5" t="n">
        <v>70000</v>
      </c>
      <c r="G33" s="6" t="n">
        <v>86000</v>
      </c>
      <c r="H33" s="4" t="inlineStr">
        <is>
          <t>Cái 10c/H 200c/T</t>
        </is>
      </c>
    </row>
    <row r="34">
      <c r="A34" s="3" t="n">
        <v>33</v>
      </c>
      <c r="B34" s="3" t="n">
        <v>3</v>
      </c>
      <c r="C34" s="4" t="inlineStr">
        <is>
          <t>V2-110 NEW 110*10*1.3 mmØlỗ 20/16 mm</t>
        </is>
      </c>
      <c r="D34" s="3" t="inlineStr">
        <is>
          <t>Cái</t>
        </is>
      </c>
      <c r="E34" s="5" t="n">
        <v>85000</v>
      </c>
      <c r="F34" s="5" t="n">
        <v>100000</v>
      </c>
      <c r="G34" s="6" t="n">
        <v>123000</v>
      </c>
      <c r="H34" s="4" t="inlineStr">
        <is>
          <t>Cái 10c/H 200c/T</t>
        </is>
      </c>
    </row>
    <row r="35">
      <c r="A35" s="3" t="n">
        <v>34</v>
      </c>
      <c r="B35" s="3" t="n">
        <v>3</v>
      </c>
      <c r="C35" s="4" t="inlineStr">
        <is>
          <t>Ølỗ 20/16 mm</t>
        </is>
      </c>
      <c r="D35" s="3" t="inlineStr">
        <is>
          <t>Cái</t>
        </is>
      </c>
      <c r="E35" s="5" t="n">
        <v>110000</v>
      </c>
      <c r="F35" s="5" t="n">
        <v>130000</v>
      </c>
      <c r="G35" s="6" t="n">
        <v>160000</v>
      </c>
      <c r="H35" s="4" t="inlineStr">
        <is>
          <t>Cái 10c/H 200c/T Mua 100c tặng 10c</t>
        </is>
      </c>
    </row>
    <row r="36">
      <c r="A36" s="3" t="n">
        <v>35</v>
      </c>
      <c r="B36" s="3" t="n">
        <v>3</v>
      </c>
      <c r="C36" s="4" t="inlineStr">
        <is>
          <t>Lưỡi cắt KingBlueV3-125DN V3-125DN 125*10*1.8 mmØlỗ 22.2/20 mm</t>
        </is>
      </c>
      <c r="D36" s="3" t="inlineStr">
        <is>
          <t>Cái</t>
        </is>
      </c>
      <c r="E36" s="5" t="n">
        <v>128000</v>
      </c>
      <c r="F36" s="5" t="n">
        <v>151000</v>
      </c>
      <c r="G36" s="6" t="n">
        <v>186000</v>
      </c>
      <c r="H36" s="4" t="inlineStr">
        <is>
          <t>Cái 10c/H 200c/T Chuyên cắt đá Granite, Marble, đá trắng sứMua 100c tặng 10c</t>
        </is>
      </c>
    </row>
    <row r="37">
      <c r="A37" s="3" t="n">
        <v>36</v>
      </c>
      <c r="B37" s="3" t="n">
        <v>3</v>
      </c>
      <c r="C37" s="4" t="inlineStr">
        <is>
          <t>V3-150DN 150*10*2.0 mmØlỗ 22.2 mm</t>
        </is>
      </c>
      <c r="D37" s="3" t="inlineStr">
        <is>
          <t>Cái</t>
        </is>
      </c>
      <c r="E37" s="5" t="n">
        <v>164000</v>
      </c>
      <c r="F37" s="5" t="n">
        <v>194000</v>
      </c>
      <c r="G37" s="6" t="n">
        <v>238000</v>
      </c>
      <c r="H37" s="4" t="inlineStr">
        <is>
          <t>Cái 100c/T</t>
        </is>
      </c>
    </row>
    <row r="38">
      <c r="A38" s="3" t="n">
        <v>37</v>
      </c>
      <c r="B38" s="3" t="n">
        <v>3</v>
      </c>
      <c r="C38" s="4" t="inlineStr">
        <is>
          <t>V3-180DN 180*12*2.0 mmØlỗ 22.2 mm</t>
        </is>
      </c>
      <c r="D38" s="3" t="inlineStr">
        <is>
          <t>Cái</t>
        </is>
      </c>
      <c r="E38" s="5" t="n">
        <v>191000</v>
      </c>
      <c r="F38" s="5" t="n">
        <v>225000</v>
      </c>
      <c r="G38" s="6" t="n">
        <v>277000</v>
      </c>
      <c r="H38" s="4" t="inlineStr">
        <is>
          <t>Cái 50c/T</t>
        </is>
      </c>
    </row>
    <row r="39">
      <c r="A39" s="3" t="n">
        <v>38</v>
      </c>
      <c r="B39" s="3" t="n">
        <v>3</v>
      </c>
      <c r="C39" s="4" t="inlineStr"/>
      <c r="D39" s="3" t="inlineStr">
        <is>
          <t>Cái</t>
        </is>
      </c>
      <c r="E39" s="5" t="n">
        <v>269000</v>
      </c>
      <c r="F39" s="5" t="n">
        <v>317000</v>
      </c>
      <c r="G39" s="6" t="n">
        <v>390000</v>
      </c>
      <c r="H39" s="4" t="inlineStr">
        <is>
          <t>Cái 25c/T</t>
        </is>
      </c>
    </row>
    <row r="40">
      <c r="A40" s="3" t="n">
        <v>39</v>
      </c>
      <c r="B40" s="3" t="n">
        <v>3</v>
      </c>
      <c r="C40" s="4" t="inlineStr">
        <is>
          <t>S1-105DN 105*10*1.3 mmØlỗ 20/16 mm</t>
        </is>
      </c>
      <c r="D40" s="3" t="inlineStr">
        <is>
          <t>Cái</t>
        </is>
      </c>
      <c r="E40" s="5" t="n">
        <v>60000</v>
      </c>
      <c r="F40" s="5" t="n">
        <v>71000</v>
      </c>
      <c r="G40" s="6" t="n">
        <v>87000</v>
      </c>
      <c r="H40" s="4" t="inlineStr">
        <is>
          <t>Cái 10c/H 200c/T</t>
        </is>
      </c>
    </row>
    <row r="41">
      <c r="A41" s="3" t="n">
        <v>40</v>
      </c>
      <c r="B41" s="3" t="n">
        <v>3</v>
      </c>
      <c r="C41" s="4" t="inlineStr">
        <is>
          <t>S1-125DN 125*10*1.6 mmØlỗ 22.2/20 mm</t>
        </is>
      </c>
      <c r="D41" s="3" t="inlineStr">
        <is>
          <t>Cái</t>
        </is>
      </c>
      <c r="E41" s="5" t="n">
        <v>80000</v>
      </c>
      <c r="F41" s="5" t="n">
        <v>94000</v>
      </c>
      <c r="G41" s="6" t="n">
        <v>116000</v>
      </c>
      <c r="H41" s="4" t="inlineStr">
        <is>
          <t>Cái 10c/H 200c/T Chuyên cắt đá Granite,đá trắng sứ, MarbleMua 100c tặng 10c</t>
        </is>
      </c>
    </row>
    <row r="42">
      <c r="A42" s="3" t="n">
        <v>41</v>
      </c>
      <c r="B42" s="3" t="n">
        <v>4</v>
      </c>
      <c r="C42" s="4" t="inlineStr">
        <is>
          <t>S2-105DN 105*10*1.3 mmØlỗ 20/16 mm</t>
        </is>
      </c>
      <c r="D42" s="3" t="inlineStr">
        <is>
          <t>Cái</t>
        </is>
      </c>
      <c r="E42" s="5" t="n">
        <v>77000</v>
      </c>
      <c r="F42" s="5" t="n">
        <v>91000</v>
      </c>
      <c r="G42" s="6" t="n">
        <v>112000</v>
      </c>
      <c r="H42" s="4" t="inlineStr">
        <is>
          <t>Cái 10c/H 200c/T</t>
        </is>
      </c>
    </row>
    <row r="43">
      <c r="A43" s="3" t="n">
        <v>42</v>
      </c>
      <c r="B43" s="3" t="n">
        <v>4</v>
      </c>
      <c r="C43" s="4" t="inlineStr">
        <is>
          <t>Ølỗ 22.2/20 mm</t>
        </is>
      </c>
      <c r="D43" s="3" t="inlineStr">
        <is>
          <t>Cái</t>
        </is>
      </c>
      <c r="E43" s="5" t="n">
        <v>99000</v>
      </c>
      <c r="F43" s="5" t="n">
        <v>117000</v>
      </c>
      <c r="G43" s="6" t="n">
        <v>144000</v>
      </c>
      <c r="H43" s="4" t="inlineStr">
        <is>
          <t>Cái 10c/H 200c/T</t>
        </is>
      </c>
    </row>
    <row r="44">
      <c r="A44" s="3" t="n">
        <v>43</v>
      </c>
      <c r="B44" s="3" t="n">
        <v>4</v>
      </c>
      <c r="C44" s="4" t="inlineStr">
        <is>
          <t>Ølỗ 20/16 mm</t>
        </is>
      </c>
      <c r="D44" s="3" t="inlineStr">
        <is>
          <t>Cái</t>
        </is>
      </c>
      <c r="E44" s="5" t="n">
        <v>99000</v>
      </c>
      <c r="F44" s="5" t="n">
        <v>117000</v>
      </c>
      <c r="G44" s="6" t="n">
        <v>144000</v>
      </c>
      <c r="H44" s="4" t="inlineStr">
        <is>
          <t>Cái 10c/H 200c/T</t>
        </is>
      </c>
    </row>
    <row r="45">
      <c r="A45" s="3" t="n">
        <v>44</v>
      </c>
      <c r="B45" s="3" t="n">
        <v>4</v>
      </c>
      <c r="C45" s="4" t="inlineStr">
        <is>
          <t>S4-105DN 105*10*1.3 mmØlỗ 20/16 mm</t>
        </is>
      </c>
      <c r="D45" s="3" t="inlineStr">
        <is>
          <t>Cái</t>
        </is>
      </c>
      <c r="E45" s="5" t="n">
        <v>125000</v>
      </c>
      <c r="F45" s="5" t="n">
        <v>147000</v>
      </c>
      <c r="G45" s="6" t="n">
        <v>181000</v>
      </c>
      <c r="H45" s="4" t="inlineStr">
        <is>
          <t>Cái 10c/H 200c/T</t>
        </is>
      </c>
    </row>
    <row r="46">
      <c r="A46" s="3" t="n">
        <v>45</v>
      </c>
      <c r="B46" s="3" t="n">
        <v>4</v>
      </c>
      <c r="C46" s="4" t="inlineStr">
        <is>
          <t>S4-125DN 125*10*1.8 mmØlỗ 22.2/20 mm</t>
        </is>
      </c>
      <c r="D46" s="3" t="inlineStr">
        <is>
          <t>Cái</t>
        </is>
      </c>
      <c r="E46" s="5" t="n">
        <v>150000</v>
      </c>
      <c r="F46" s="5" t="n">
        <v>177000</v>
      </c>
      <c r="G46" s="6" t="n">
        <v>218000</v>
      </c>
      <c r="H46" s="4" t="inlineStr">
        <is>
          <t>Cái 10c/Lốc 200c/T</t>
        </is>
      </c>
    </row>
    <row r="47">
      <c r="A47" s="3" t="n">
        <v>46</v>
      </c>
      <c r="B47" s="3" t="n">
        <v>4</v>
      </c>
      <c r="C47" s="4" t="inlineStr">
        <is>
          <t>S4-150DN 150*10*2.0 mmØlỗ 22.2 mm</t>
        </is>
      </c>
      <c r="D47" s="3" t="inlineStr">
        <is>
          <t>Cái</t>
        </is>
      </c>
      <c r="E47" s="5" t="n">
        <v>180000</v>
      </c>
      <c r="F47" s="5" t="n">
        <v>212000</v>
      </c>
      <c r="G47" s="6" t="n">
        <v>261000</v>
      </c>
      <c r="H47" s="4" t="inlineStr">
        <is>
          <t>Cái 10c/Lốc 200c/T Mua 50c tặng 5c</t>
        </is>
      </c>
    </row>
    <row r="48">
      <c r="A48" s="3" t="n">
        <v>47</v>
      </c>
      <c r="B48" s="3" t="n">
        <v>4</v>
      </c>
      <c r="C48" s="4" t="inlineStr">
        <is>
          <t>F1-110DN 110*10*1.4 mmØlỗ 20/16 mm</t>
        </is>
      </c>
      <c r="D48" s="3" t="inlineStr">
        <is>
          <t>Cái</t>
        </is>
      </c>
      <c r="E48" s="5" t="n">
        <v>92000</v>
      </c>
      <c r="F48" s="5" t="n">
        <v>108000</v>
      </c>
      <c r="G48" s="6" t="n">
        <v>133000</v>
      </c>
      <c r="H48" s="4" t="inlineStr">
        <is>
          <t>Cái 10c/Lốc 200c/T</t>
        </is>
      </c>
    </row>
    <row r="49">
      <c r="A49" s="3" t="n">
        <v>48</v>
      </c>
      <c r="B49" s="3" t="n">
        <v>4</v>
      </c>
      <c r="C49" s="4" t="inlineStr">
        <is>
          <t>F1-125DN 125*10*1.8 mmØlỗ 22.2/20 mm</t>
        </is>
      </c>
      <c r="D49" s="3" t="inlineStr">
        <is>
          <t>Cái</t>
        </is>
      </c>
      <c r="E49" s="5" t="n">
        <v>107000</v>
      </c>
      <c r="F49" s="5" t="n">
        <v>126000</v>
      </c>
      <c r="G49" s="6" t="n">
        <v>155000</v>
      </c>
      <c r="H49" s="4" t="inlineStr">
        <is>
          <t>Cái 10c/H 200c/T</t>
        </is>
      </c>
    </row>
    <row r="50">
      <c r="A50" s="3" t="n">
        <v>49</v>
      </c>
      <c r="B50" s="3" t="n">
        <v>4</v>
      </c>
      <c r="C50" s="4" t="inlineStr">
        <is>
          <t>F1-150DN 150*10*2.0 mmØlỗ 22.2 mm</t>
        </is>
      </c>
      <c r="D50" s="3" t="inlineStr">
        <is>
          <t>Cái</t>
        </is>
      </c>
      <c r="E50" s="5" t="n">
        <v>141000</v>
      </c>
      <c r="F50" s="5" t="n">
        <v>167000</v>
      </c>
      <c r="G50" s="6" t="n">
        <v>205000</v>
      </c>
      <c r="H50" s="4" t="inlineStr">
        <is>
          <t>Cái 100c/T</t>
        </is>
      </c>
    </row>
    <row r="51">
      <c r="A51" s="3" t="n">
        <v>50</v>
      </c>
      <c r="B51" s="3" t="n">
        <v>4</v>
      </c>
      <c r="C51" s="4" t="inlineStr">
        <is>
          <t>F1-180DN 180*12*2.0 mmØlỗ 22.2 mm</t>
        </is>
      </c>
      <c r="D51" s="3" t="inlineStr">
        <is>
          <t>Cái</t>
        </is>
      </c>
      <c r="E51" s="5" t="n">
        <v>169000</v>
      </c>
      <c r="F51" s="5" t="n">
        <v>199000</v>
      </c>
      <c r="G51" s="6" t="n">
        <v>245000</v>
      </c>
      <c r="H51" s="4" t="inlineStr">
        <is>
          <t>Cái 50c/T</t>
        </is>
      </c>
    </row>
    <row r="52">
      <c r="A52" s="3" t="n">
        <v>51</v>
      </c>
      <c r="B52" s="3" t="n">
        <v>4</v>
      </c>
      <c r="C52" s="4" t="inlineStr">
        <is>
          <t>G1-156R 156*15*2.5mmØlỗ 22.2mm</t>
        </is>
      </c>
      <c r="D52" s="3" t="inlineStr">
        <is>
          <t>Cái</t>
        </is>
      </c>
      <c r="E52" s="5" t="n">
        <v>125000</v>
      </c>
      <c r="F52" s="5" t="n">
        <v>147000</v>
      </c>
      <c r="G52" s="6" t="n">
        <v>181000</v>
      </c>
      <c r="H52" s="4" t="inlineStr">
        <is>
          <t>Cái 100c/T</t>
        </is>
      </c>
    </row>
    <row r="53">
      <c r="A53" s="3" t="n">
        <v>52</v>
      </c>
      <c r="B53" s="3" t="n">
        <v>4</v>
      </c>
      <c r="C53" s="4" t="inlineStr">
        <is>
          <t>G1-133R 133*15*2.4mmØlỗ 22.2/20 mm</t>
        </is>
      </c>
      <c r="D53" s="3" t="inlineStr">
        <is>
          <t>Cái</t>
        </is>
      </c>
      <c r="E53" s="5" t="n">
        <v>92000</v>
      </c>
      <c r="F53" s="5" t="n">
        <v>108000</v>
      </c>
      <c r="G53" s="6" t="n">
        <v>133000</v>
      </c>
      <c r="H53" s="4" t="inlineStr">
        <is>
          <t>Cái 100c/T Chuyên cắt tường, bê tông.Mua 100c tặng 10c</t>
        </is>
      </c>
    </row>
    <row r="54">
      <c r="A54" s="3" t="n">
        <v>53</v>
      </c>
      <c r="B54" s="3" t="n">
        <v>4</v>
      </c>
      <c r="C54" s="4" t="inlineStr">
        <is>
          <t>G1-125R 125*15*2.4mmØlỗ 22.2/20 mm</t>
        </is>
      </c>
      <c r="D54" s="3" t="inlineStr">
        <is>
          <t>Cái</t>
        </is>
      </c>
      <c r="E54" s="5" t="n">
        <v>83000</v>
      </c>
      <c r="F54" s="5" t="n">
        <v>98000</v>
      </c>
      <c r="G54" s="6" t="n">
        <v>120000</v>
      </c>
      <c r="H54" s="4" t="inlineStr">
        <is>
          <t>Cái 200c/T Chuyên cắt tường, bê tông.</t>
        </is>
      </c>
    </row>
    <row r="55">
      <c r="A55" s="3" t="n">
        <v>54</v>
      </c>
      <c r="B55" s="3" t="n">
        <v>4</v>
      </c>
      <c r="C55" s="4" t="inlineStr">
        <is>
          <t>G1-350R 14 inch (350*12*3.2*50)</t>
        </is>
      </c>
      <c r="D55" s="3" t="inlineStr">
        <is>
          <t>Cái</t>
        </is>
      </c>
      <c r="E55" s="5" t="n">
        <v>551000</v>
      </c>
      <c r="F55" s="5" t="n">
        <v>650000</v>
      </c>
      <c r="G55" s="6" t="n">
        <v>799000</v>
      </c>
      <c r="H55" s="4" t="inlineStr">
        <is>
          <t>Cái 10c/T Chuyên cắt tường, bê tông</t>
        </is>
      </c>
    </row>
    <row r="56">
      <c r="A56" s="3" t="n">
        <v>55</v>
      </c>
      <c r="B56" s="3" t="n">
        <v>5</v>
      </c>
      <c r="C56" s="4" t="inlineStr">
        <is>
          <t>Lưỡi cắt KingblueG1 G1-400R 16 inch (400*12*3.6*50)</t>
        </is>
      </c>
      <c r="D56" s="3" t="inlineStr">
        <is>
          <t>Cái</t>
        </is>
      </c>
      <c r="E56" s="5" t="n">
        <v>796000</v>
      </c>
      <c r="F56" s="5" t="n">
        <v>939000</v>
      </c>
      <c r="G56" s="6" t="n">
        <v>1154000</v>
      </c>
      <c r="H56" s="4" t="inlineStr">
        <is>
          <t>Cái 10c/T Chuyên cắt tường, bê tông</t>
        </is>
      </c>
    </row>
    <row r="57">
      <c r="A57" s="3" t="n">
        <v>56</v>
      </c>
      <c r="B57" s="3" t="n">
        <v>5</v>
      </c>
      <c r="C57" s="4" t="inlineStr">
        <is>
          <t>G3-300R 300*12*3.2mmØlỗ 25.4mm</t>
        </is>
      </c>
      <c r="D57" s="3" t="inlineStr">
        <is>
          <t>Cái</t>
        </is>
      </c>
      <c r="E57" s="5" t="n">
        <v>943000</v>
      </c>
      <c r="F57" s="5" t="n">
        <v>1113000</v>
      </c>
      <c r="G57" s="6" t="n">
        <v>1367000</v>
      </c>
      <c r="H57" s="4" t="inlineStr">
        <is>
          <t>Cái 10c/T</t>
        </is>
      </c>
    </row>
    <row r="58">
      <c r="A58" s="3" t="n">
        <v>57</v>
      </c>
      <c r="B58" s="3" t="n">
        <v>5</v>
      </c>
      <c r="C58" s="4" t="inlineStr">
        <is>
          <t>G3-300RX50 300*12*3.2mmØlỗ 50mm</t>
        </is>
      </c>
      <c r="D58" s="3" t="inlineStr">
        <is>
          <t>Cái</t>
        </is>
      </c>
      <c r="E58" s="5" t="n">
        <v>943000</v>
      </c>
      <c r="F58" s="5" t="n">
        <v>1113000</v>
      </c>
      <c r="G58" s="6" t="n">
        <v>1367000</v>
      </c>
      <c r="H58" s="4" t="inlineStr">
        <is>
          <t>Cái 10c/T</t>
        </is>
      </c>
    </row>
    <row r="59">
      <c r="A59" s="3" t="n">
        <v>58</v>
      </c>
      <c r="B59" s="3" t="n">
        <v>5</v>
      </c>
      <c r="C59" s="4" t="inlineStr">
        <is>
          <t>G3-450R 450*12*4.0mmØlỗ 50mm</t>
        </is>
      </c>
      <c r="D59" s="3" t="inlineStr">
        <is>
          <t>Cái</t>
        </is>
      </c>
      <c r="E59" s="5" t="n">
        <v>2014000</v>
      </c>
      <c r="F59" s="5" t="n">
        <v>2376000</v>
      </c>
      <c r="G59" s="6" t="n">
        <v>2920000</v>
      </c>
      <c r="H59" s="4" t="inlineStr">
        <is>
          <t>Cái 5c/T</t>
        </is>
      </c>
    </row>
    <row r="60">
      <c r="A60" s="3" t="n">
        <v>59</v>
      </c>
      <c r="B60" s="3" t="n">
        <v>5</v>
      </c>
      <c r="C60" s="4" t="inlineStr">
        <is>
          <t>G3-500R 500*12*4.0mmØlỗ 25.4mm</t>
        </is>
      </c>
      <c r="D60" s="3" t="inlineStr">
        <is>
          <t>Cái</t>
        </is>
      </c>
      <c r="E60" s="5" t="n">
        <v>2468000</v>
      </c>
      <c r="F60" s="5" t="n">
        <v>2912000</v>
      </c>
      <c r="G60" s="6" t="n">
        <v>3579000</v>
      </c>
      <c r="H60" s="4" t="inlineStr">
        <is>
          <t>Cái 5c/T</t>
        </is>
      </c>
    </row>
    <row r="61">
      <c r="A61" s="3" t="n">
        <v>60</v>
      </c>
      <c r="B61" s="3" t="n">
        <v>5</v>
      </c>
      <c r="C61" s="4" t="inlineStr">
        <is>
          <t>G3-600R 600*12*4.6mmØlỗ 50mm</t>
        </is>
      </c>
      <c r="D61" s="3" t="inlineStr">
        <is>
          <t>Cái</t>
        </is>
      </c>
      <c r="E61" s="5" t="n">
        <v>3061000</v>
      </c>
      <c r="F61" s="5" t="n">
        <v>3612000</v>
      </c>
      <c r="G61" s="6" t="n">
        <v>4439000</v>
      </c>
      <c r="H61" s="4" t="inlineStr">
        <is>
          <t>Cái 5c/T</t>
        </is>
      </c>
    </row>
    <row r="62">
      <c r="A62" s="3" t="n">
        <v>61</v>
      </c>
      <c r="B62" s="3" t="n">
        <v>5</v>
      </c>
      <c r="C62" s="4" t="inlineStr">
        <is>
          <t>Ølỗ 20/16mm</t>
        </is>
      </c>
      <c r="D62" s="3" t="inlineStr">
        <is>
          <t>Cái</t>
        </is>
      </c>
      <c r="E62" s="5" t="n">
        <v>83000</v>
      </c>
      <c r="F62" s="5" t="n">
        <v>98000</v>
      </c>
      <c r="G62" s="6" t="n">
        <v>120000</v>
      </c>
      <c r="H62" s="4" t="inlineStr">
        <is>
          <t>Cái 10c/H 200c/T Chuyên cắt gạch bóng kính , đá marble</t>
        </is>
      </c>
    </row>
    <row r="63">
      <c r="A63" s="3" t="n">
        <v>62</v>
      </c>
      <c r="B63" s="3" t="n">
        <v>5</v>
      </c>
      <c r="C63" s="4" t="inlineStr">
        <is>
          <t>Ølỗ 20/16mm</t>
        </is>
      </c>
      <c r="D63" s="3" t="inlineStr">
        <is>
          <t>Cái</t>
        </is>
      </c>
      <c r="E63" s="5" t="n">
        <v>90000</v>
      </c>
      <c r="F63" s="5" t="n">
        <v>106000</v>
      </c>
      <c r="G63" s="6" t="n">
        <v>131000</v>
      </c>
      <c r="H63" s="4" t="inlineStr">
        <is>
          <t>Cái 10c/H 200c/T</t>
        </is>
      </c>
    </row>
    <row r="64">
      <c r="A64" s="3" t="n">
        <v>63</v>
      </c>
      <c r="B64" s="3" t="n">
        <v>5</v>
      </c>
      <c r="C64" s="4" t="inlineStr">
        <is>
          <t>C2-305R 305*8*2.4mmØlỗ 50mm</t>
        </is>
      </c>
      <c r="D64" s="3" t="inlineStr">
        <is>
          <t>Cái</t>
        </is>
      </c>
      <c r="E64" s="5" t="n">
        <v>973000</v>
      </c>
      <c r="F64" s="5" t="n">
        <v>1148000</v>
      </c>
      <c r="G64" s="6" t="n">
        <v>1411000</v>
      </c>
      <c r="H64" s="4" t="inlineStr">
        <is>
          <t>Cái 1c/H 10c/T Chuyên cắt đá Marble,trắng sứMua 20c tặng 2c</t>
        </is>
      </c>
    </row>
    <row r="65">
      <c r="A65" s="3" t="n">
        <v>64</v>
      </c>
      <c r="B65" s="3" t="n">
        <v>5</v>
      </c>
      <c r="C65" s="4" t="inlineStr">
        <is>
          <t>C2-350R-NEW 350*8*3.0mmØlỗ 50mm</t>
        </is>
      </c>
      <c r="D65" s="3" t="inlineStr">
        <is>
          <t>Cái</t>
        </is>
      </c>
      <c r="E65" s="5" t="n">
        <v>1233000</v>
      </c>
      <c r="F65" s="5" t="n">
        <v>1455000</v>
      </c>
      <c r="G65" s="6" t="n">
        <v>1788000</v>
      </c>
      <c r="H65" s="4" t="inlineStr">
        <is>
          <t>Cái 1c/H 10c/T</t>
        </is>
      </c>
    </row>
    <row r="66">
      <c r="A66" s="3" t="n">
        <v>65</v>
      </c>
      <c r="B66" s="3" t="n">
        <v>5</v>
      </c>
      <c r="C66" s="4" t="inlineStr">
        <is>
          <t>C2-400R 400*8*3.0mmØlỗ 50mm</t>
        </is>
      </c>
      <c r="D66" s="3" t="inlineStr">
        <is>
          <t>Cái</t>
        </is>
      </c>
      <c r="E66" s="5" t="n">
        <v>1623000</v>
      </c>
      <c r="F66" s="5" t="n">
        <v>1915000</v>
      </c>
      <c r="G66" s="6" t="n">
        <v>2353000</v>
      </c>
      <c r="H66" s="4" t="inlineStr">
        <is>
          <t>Cái 10c/T</t>
        </is>
      </c>
    </row>
    <row r="67">
      <c r="A67" s="3" t="n">
        <v>66</v>
      </c>
      <c r="B67" s="3" t="n">
        <v>5</v>
      </c>
      <c r="C67" s="4" t="inlineStr">
        <is>
          <t>C3-120R 120*12*1.8mmØlỗ 20mm</t>
        </is>
      </c>
      <c r="D67" s="3" t="inlineStr">
        <is>
          <t>Cái</t>
        </is>
      </c>
      <c r="E67" s="5" t="n">
        <v>99000</v>
      </c>
      <c r="F67" s="5" t="n">
        <v>117000</v>
      </c>
      <c r="G67" s="6" t="n">
        <v>144000</v>
      </c>
      <c r="H67" s="4" t="inlineStr">
        <is>
          <t>Cái 200c/T</t>
        </is>
      </c>
    </row>
    <row r="68">
      <c r="A68" s="3" t="n">
        <v>67</v>
      </c>
      <c r="B68" s="3" t="n">
        <v>5</v>
      </c>
      <c r="C68" s="4" t="inlineStr">
        <is>
          <t>C3-130R 130*12*1.8mmØlỗ 20mm</t>
        </is>
      </c>
      <c r="D68" s="3" t="inlineStr">
        <is>
          <t>Cái</t>
        </is>
      </c>
      <c r="E68" s="5" t="n">
        <v>102000</v>
      </c>
      <c r="F68" s="5" t="n">
        <v>120000</v>
      </c>
      <c r="G68" s="6" t="n">
        <v>148000</v>
      </c>
      <c r="H68" s="4" t="inlineStr">
        <is>
          <t>Cái 200c/T</t>
        </is>
      </c>
    </row>
    <row r="69">
      <c r="A69" s="3" t="n">
        <v>68</v>
      </c>
      <c r="B69" s="3" t="n">
        <v>5</v>
      </c>
      <c r="C69" s="4" t="inlineStr">
        <is>
          <t>C3-150R 150*12*1.8mmØlỗ 20mm</t>
        </is>
      </c>
      <c r="D69" s="3" t="inlineStr">
        <is>
          <t>Cái</t>
        </is>
      </c>
      <c r="E69" s="5" t="n">
        <v>139000</v>
      </c>
      <c r="F69" s="5" t="n">
        <v>164000</v>
      </c>
      <c r="G69" s="6" t="n">
        <v>202000</v>
      </c>
      <c r="H69" s="4" t="inlineStr">
        <is>
          <t>Cái 100c/T</t>
        </is>
      </c>
    </row>
    <row r="70">
      <c r="A70" s="3" t="n">
        <v>69</v>
      </c>
      <c r="B70" s="3" t="n">
        <v>5</v>
      </c>
      <c r="C70" s="4" t="inlineStr">
        <is>
          <t>C3-180Rx25.4 180*12*1.8mmØlỗ 25.4mm</t>
        </is>
      </c>
      <c r="D70" s="3" t="inlineStr">
        <is>
          <t>Cái</t>
        </is>
      </c>
      <c r="E70" s="5" t="n">
        <v>265000</v>
      </c>
      <c r="F70" s="5" t="n">
        <v>313000</v>
      </c>
      <c r="G70" s="6" t="n">
        <v>384000</v>
      </c>
      <c r="H70" s="4" t="inlineStr">
        <is>
          <t>Cái 50c/T</t>
        </is>
      </c>
    </row>
    <row r="71">
      <c r="A71" s="3" t="n">
        <v>70</v>
      </c>
      <c r="B71" s="3" t="n">
        <v>5</v>
      </c>
      <c r="C71" s="4" t="inlineStr">
        <is>
          <t>C3-180Rx60 180*12*1.8mmØlỗ 60mm</t>
        </is>
      </c>
      <c r="D71" s="3" t="inlineStr">
        <is>
          <t>Cái</t>
        </is>
      </c>
      <c r="E71" s="5" t="n">
        <v>265000</v>
      </c>
      <c r="F71" s="5" t="n">
        <v>313000</v>
      </c>
      <c r="G71" s="6" t="n">
        <v>384000</v>
      </c>
      <c r="H71" s="4" t="inlineStr">
        <is>
          <t>Cái 50c/T</t>
        </is>
      </c>
    </row>
    <row r="72">
      <c r="A72" s="3" t="n">
        <v>71</v>
      </c>
      <c r="B72" s="3" t="n">
        <v>5</v>
      </c>
      <c r="C72" s="4" t="inlineStr">
        <is>
          <t>C3-200R 120*12*1.8mmØlỗ 20mm</t>
        </is>
      </c>
      <c r="D72" s="3" t="inlineStr">
        <is>
          <t>Cái</t>
        </is>
      </c>
      <c r="E72" s="5" t="n">
        <v>578000</v>
      </c>
      <c r="F72" s="5" t="n">
        <v>682000</v>
      </c>
      <c r="G72" s="6" t="n">
        <v>838000</v>
      </c>
      <c r="H72" s="4" t="inlineStr">
        <is>
          <t>Cái 40c/T Mua 20c tặng 2c</t>
        </is>
      </c>
    </row>
    <row r="73">
      <c r="A73" s="3" t="n">
        <v>72</v>
      </c>
      <c r="B73" s="3" t="n">
        <v>5</v>
      </c>
      <c r="C73" s="4" t="inlineStr">
        <is>
          <t>C3-230R 230*10*1.8mmØlỗ 25.4mm</t>
        </is>
      </c>
      <c r="D73" s="3" t="inlineStr">
        <is>
          <t>Cái</t>
        </is>
      </c>
      <c r="E73" s="5" t="n">
        <v>679000</v>
      </c>
      <c r="F73" s="5" t="n">
        <v>801000</v>
      </c>
      <c r="G73" s="6" t="n">
        <v>985000</v>
      </c>
      <c r="H73" s="4" t="inlineStr">
        <is>
          <t>Cái 25c/T</t>
        </is>
      </c>
    </row>
    <row r="74">
      <c r="A74" s="3" t="n">
        <v>73</v>
      </c>
      <c r="B74" s="3" t="n">
        <v>5</v>
      </c>
      <c r="C74" s="4" t="inlineStr">
        <is>
          <t>C3-250R 250*10*2.0mmØlỗ 60mm</t>
        </is>
      </c>
      <c r="D74" s="3" t="inlineStr">
        <is>
          <t>Cái</t>
        </is>
      </c>
      <c r="E74" s="5" t="n">
        <v>902000</v>
      </c>
      <c r="F74" s="5" t="n">
        <v>1064000</v>
      </c>
      <c r="G74" s="6" t="n">
        <v>1308000</v>
      </c>
      <c r="H74" s="4" t="inlineStr">
        <is>
          <t>Cái 40c/T</t>
        </is>
      </c>
    </row>
    <row r="75">
      <c r="A75" s="3" t="n">
        <v>74</v>
      </c>
      <c r="B75" s="3" t="n">
        <v>5</v>
      </c>
      <c r="C75" s="4" t="inlineStr">
        <is>
          <t>C3-300R 300*10*2.2mmØlỗ 60mm</t>
        </is>
      </c>
      <c r="D75" s="3" t="inlineStr">
        <is>
          <t>Cái</t>
        </is>
      </c>
      <c r="E75" s="5" t="n">
        <v>1233000</v>
      </c>
      <c r="F75" s="5" t="n">
        <v>1455000</v>
      </c>
      <c r="G75" s="6" t="n">
        <v>1788000</v>
      </c>
      <c r="H75" s="4" t="inlineStr">
        <is>
          <t>Cái 20c/T</t>
        </is>
      </c>
    </row>
    <row r="76">
      <c r="A76" s="3" t="n">
        <v>75</v>
      </c>
      <c r="B76" s="3" t="n">
        <v>6</v>
      </c>
      <c r="C76" s="4" t="inlineStr">
        <is>
          <t>GT-110R 110*12*1.9mmØlỗ 20/16mm</t>
        </is>
      </c>
      <c r="D76" s="3" t="inlineStr">
        <is>
          <t>Cái</t>
        </is>
      </c>
      <c r="E76" s="5" t="n">
        <v>68000</v>
      </c>
      <c r="F76" s="5" t="n">
        <v>80000</v>
      </c>
      <c r="G76" s="6" t="n">
        <v>99000</v>
      </c>
      <c r="H76" s="4" t="inlineStr">
        <is>
          <t>Cái 10c/H 200c/T Chuyên cắt đá Granite, bê tôngMua 100c tặng 10c</t>
        </is>
      </c>
    </row>
    <row r="77">
      <c r="A77" s="3" t="n">
        <v>76</v>
      </c>
      <c r="B77" s="3" t="n">
        <v>6</v>
      </c>
      <c r="C77" s="4" t="inlineStr">
        <is>
          <t>GT-110L 110*12*1.9mmØlỗ 20/16mm</t>
        </is>
      </c>
      <c r="D77" s="3" t="inlineStr">
        <is>
          <t>Cái</t>
        </is>
      </c>
      <c r="E77" s="5" t="n">
        <v>68000</v>
      </c>
      <c r="F77" s="5" t="n">
        <v>80000</v>
      </c>
      <c r="G77" s="6" t="n">
        <v>99000</v>
      </c>
      <c r="H77" s="4" t="inlineStr">
        <is>
          <t>Cái 10c/H 200c/T Chuyên cắt đá Granite, bê tôngMua 100c tặng 10c</t>
        </is>
      </c>
    </row>
    <row r="78">
      <c r="A78" s="3" t="n">
        <v>77</v>
      </c>
      <c r="B78" s="3" t="n">
        <v>6</v>
      </c>
      <c r="C78" s="4" t="inlineStr">
        <is>
          <t>TS-110L 110*12*2.0mmØlỗ 20/16mm</t>
        </is>
      </c>
      <c r="D78" s="3" t="inlineStr">
        <is>
          <t>Cái</t>
        </is>
      </c>
      <c r="E78" s="5" t="n">
        <v>53000</v>
      </c>
      <c r="F78" s="5" t="n">
        <v>63000</v>
      </c>
      <c r="G78" s="6" t="n">
        <v>77000</v>
      </c>
      <c r="H78" s="4" t="inlineStr">
        <is>
          <t>Cái 10c/H 200c/T</t>
        </is>
      </c>
    </row>
    <row r="79">
      <c r="A79" s="3" t="n">
        <v>78</v>
      </c>
      <c r="B79" s="3" t="n">
        <v>6</v>
      </c>
      <c r="C79" s="4" t="inlineStr">
        <is>
          <t>TS-114R 114*12*2.0mmØlỗ 20/16mm</t>
        </is>
      </c>
      <c r="D79" s="3" t="inlineStr">
        <is>
          <t>Cái</t>
        </is>
      </c>
      <c r="E79" s="5" t="n">
        <v>53000</v>
      </c>
      <c r="F79" s="5" t="n">
        <v>63000</v>
      </c>
      <c r="G79" s="6" t="n">
        <v>77000</v>
      </c>
      <c r="H79" s="4" t="inlineStr">
        <is>
          <t>Cái 10c/H 200c/T Chuyên cắt đá Granite, bê tôngMua 100c tặng 10c</t>
        </is>
      </c>
    </row>
    <row r="80">
      <c r="A80" s="3" t="n">
        <v>79</v>
      </c>
      <c r="B80" s="3" t="n">
        <v>6</v>
      </c>
      <c r="C80" s="4" t="inlineStr">
        <is>
          <t>TS-114L 114*12*2.0mmØlỗ 20/16mm</t>
        </is>
      </c>
      <c r="D80" s="3" t="inlineStr">
        <is>
          <t>Cái</t>
        </is>
      </c>
      <c r="E80" s="5" t="n">
        <v>53000</v>
      </c>
      <c r="F80" s="5" t="n">
        <v>63000</v>
      </c>
      <c r="G80" s="6" t="n">
        <v>77000</v>
      </c>
      <c r="H80" s="4" t="inlineStr">
        <is>
          <t>Cái 10c/H 200c/T Chuyên cắt đá Granite, bê tôngMua 100c tặng 10c</t>
        </is>
      </c>
    </row>
    <row r="81">
      <c r="A81" s="3" t="n">
        <v>80</v>
      </c>
      <c r="B81" s="3" t="n">
        <v>6</v>
      </c>
      <c r="C81" s="4" t="inlineStr">
        <is>
          <t>TS-125R (KB) 125*12*2.0mmØlỗ 22.2/20mm</t>
        </is>
      </c>
      <c r="D81" s="3" t="inlineStr">
        <is>
          <t>Cái</t>
        </is>
      </c>
      <c r="E81" s="5" t="n">
        <v>74000</v>
      </c>
      <c r="F81" s="5" t="n">
        <v>87000</v>
      </c>
      <c r="G81" s="6" t="n">
        <v>107000</v>
      </c>
      <c r="H81" s="4" t="inlineStr">
        <is>
          <t>Cái 10c/H 200c/T</t>
        </is>
      </c>
    </row>
    <row r="82">
      <c r="A82" s="3" t="n">
        <v>81</v>
      </c>
      <c r="B82" s="3" t="n">
        <v>6</v>
      </c>
      <c r="C82" s="4" t="inlineStr">
        <is>
          <t>TS-125L 125*12*2.0mmØlỗ 22.2/20mm</t>
        </is>
      </c>
      <c r="D82" s="3" t="inlineStr">
        <is>
          <t>Cái</t>
        </is>
      </c>
      <c r="E82" s="5" t="n">
        <v>74000</v>
      </c>
      <c r="F82" s="5" t="n">
        <v>87000</v>
      </c>
      <c r="G82" s="6" t="n">
        <v>107000</v>
      </c>
      <c r="H82" s="4" t="inlineStr">
        <is>
          <t>Cái 10c/H 200c/T</t>
        </is>
      </c>
    </row>
    <row r="83">
      <c r="A83" s="3" t="n">
        <v>82</v>
      </c>
      <c r="B83" s="3" t="n">
        <v>6</v>
      </c>
      <c r="C83" s="4" t="inlineStr">
        <is>
          <t>TS-150R 150*12*2.2mmØlỗ 22.2mm</t>
        </is>
      </c>
      <c r="D83" s="3" t="inlineStr">
        <is>
          <t>Cái</t>
        </is>
      </c>
      <c r="E83" s="5" t="n">
        <v>96000</v>
      </c>
      <c r="F83" s="5" t="n">
        <v>113000</v>
      </c>
      <c r="G83" s="6" t="n">
        <v>139000</v>
      </c>
      <c r="H83" s="4" t="inlineStr">
        <is>
          <t>Cái 10c/H 100c/T</t>
        </is>
      </c>
    </row>
    <row r="84">
      <c r="A84" s="3" t="n">
        <v>83</v>
      </c>
      <c r="B84" s="3" t="n">
        <v>6</v>
      </c>
      <c r="C84" s="4" t="inlineStr">
        <is>
          <t>TS-150L 150*12*2.2mmØlỗ 22.2mm</t>
        </is>
      </c>
      <c r="D84" s="3" t="inlineStr">
        <is>
          <t>Cái</t>
        </is>
      </c>
      <c r="E84" s="5" t="n">
        <v>96000</v>
      </c>
      <c r="F84" s="5" t="n">
        <v>113000</v>
      </c>
      <c r="G84" s="6" t="n">
        <v>139000</v>
      </c>
      <c r="H84" s="4" t="inlineStr">
        <is>
          <t>Cái 10c/H 100c/T</t>
        </is>
      </c>
    </row>
    <row r="85">
      <c r="A85" s="3" t="n">
        <v>84</v>
      </c>
      <c r="B85" s="3" t="n">
        <v>6</v>
      </c>
      <c r="C85" s="4" t="inlineStr">
        <is>
          <t>TS-180R 180*12*2.2mmØlỗ 22.2mm</t>
        </is>
      </c>
      <c r="D85" s="3" t="inlineStr">
        <is>
          <t>Cái</t>
        </is>
      </c>
      <c r="E85" s="5" t="n">
        <v>110000</v>
      </c>
      <c r="F85" s="5" t="n">
        <v>130000</v>
      </c>
      <c r="G85" s="6" t="n">
        <v>160000</v>
      </c>
      <c r="H85" s="4" t="inlineStr">
        <is>
          <t>Cái 10c/H 50c/T</t>
        </is>
      </c>
    </row>
    <row r="86">
      <c r="A86" s="3" t="n">
        <v>85</v>
      </c>
      <c r="B86" s="3" t="n">
        <v>6</v>
      </c>
      <c r="C86" s="4" t="inlineStr">
        <is>
          <t>TS-180L 180*12*2.2mmØlỗ 22.2mm</t>
        </is>
      </c>
      <c r="D86" s="3" t="inlineStr">
        <is>
          <t>Cái</t>
        </is>
      </c>
      <c r="E86" s="5" t="n">
        <v>110000</v>
      </c>
      <c r="F86" s="5" t="n">
        <v>130000</v>
      </c>
      <c r="G86" s="6" t="n">
        <v>160000</v>
      </c>
      <c r="H86" s="4" t="inlineStr">
        <is>
          <t>Cái 10c/H 50c/T</t>
        </is>
      </c>
    </row>
    <row r="87">
      <c r="A87" s="3" t="n">
        <v>86</v>
      </c>
      <c r="B87" s="3" t="n">
        <v>6</v>
      </c>
      <c r="C87" s="4" t="inlineStr">
        <is>
          <t>T1-114R 114*12*2.0mmØlỗ 20/16mm</t>
        </is>
      </c>
      <c r="D87" s="3" t="inlineStr">
        <is>
          <t>Cái</t>
        </is>
      </c>
      <c r="E87" s="5" t="n">
        <v>61000</v>
      </c>
      <c r="F87" s="5" t="n">
        <v>72000</v>
      </c>
      <c r="G87" s="6" t="n">
        <v>89000</v>
      </c>
      <c r="H87" s="4" t="inlineStr">
        <is>
          <t>Cái 10c/H 200c/T</t>
        </is>
      </c>
    </row>
    <row r="88">
      <c r="A88" s="3" t="n">
        <v>87</v>
      </c>
      <c r="B88" s="3" t="n">
        <v>6</v>
      </c>
      <c r="C88" s="4" t="inlineStr">
        <is>
          <t>T1-114L 114*12*2.0mmØlỗ 20/16mm</t>
        </is>
      </c>
      <c r="D88" s="3" t="inlineStr">
        <is>
          <t>Cái</t>
        </is>
      </c>
      <c r="E88" s="5" t="n">
        <v>61000</v>
      </c>
      <c r="F88" s="5" t="n">
        <v>72000</v>
      </c>
      <c r="G88" s="6" t="n">
        <v>89000</v>
      </c>
      <c r="H88" s="4" t="inlineStr">
        <is>
          <t>Cái 10c/H 200c/T</t>
        </is>
      </c>
    </row>
    <row r="89">
      <c r="A89" s="3" t="n">
        <v>88</v>
      </c>
      <c r="B89" s="3" t="n">
        <v>6</v>
      </c>
      <c r="C89" s="4" t="inlineStr">
        <is>
          <t>T1-125R 125*12*2.0mmØlỗ 22.2/20mm</t>
        </is>
      </c>
      <c r="D89" s="3" t="inlineStr">
        <is>
          <t>Cái</t>
        </is>
      </c>
      <c r="E89" s="5" t="n">
        <v>83000</v>
      </c>
      <c r="F89" s="5" t="n">
        <v>98000</v>
      </c>
      <c r="G89" s="6" t="n">
        <v>120000</v>
      </c>
      <c r="H89" s="4" t="inlineStr">
        <is>
          <t>Cái 10c/H 200c/T</t>
        </is>
      </c>
    </row>
    <row r="90">
      <c r="A90" s="3" t="n">
        <v>89</v>
      </c>
      <c r="B90" s="3" t="n">
        <v>6</v>
      </c>
      <c r="C90" s="4" t="inlineStr">
        <is>
          <t>T1-125L 125*12*2.0mmØlỗ 22.2/20mm</t>
        </is>
      </c>
      <c r="D90" s="3" t="inlineStr">
        <is>
          <t>Cái</t>
        </is>
      </c>
      <c r="E90" s="5" t="n">
        <v>83000</v>
      </c>
      <c r="F90" s="5" t="n">
        <v>98000</v>
      </c>
      <c r="G90" s="6" t="n">
        <v>120000</v>
      </c>
      <c r="H90" s="4" t="inlineStr">
        <is>
          <t>Cái 10c/H 200c/T</t>
        </is>
      </c>
    </row>
    <row r="91">
      <c r="A91" s="3" t="n">
        <v>90</v>
      </c>
      <c r="B91" s="3" t="n">
        <v>6</v>
      </c>
      <c r="C91" s="4" t="inlineStr">
        <is>
          <t>T1-150R 150*12*2.2mmØlỗ 22.2mm</t>
        </is>
      </c>
      <c r="D91" s="3" t="inlineStr">
        <is>
          <t>Cái</t>
        </is>
      </c>
      <c r="E91" s="5" t="n">
        <v>117000</v>
      </c>
      <c r="F91" s="5" t="n">
        <v>138000</v>
      </c>
      <c r="G91" s="6" t="n">
        <v>170000</v>
      </c>
      <c r="H91" s="4" t="inlineStr">
        <is>
          <t>Cái 10c/H 200c/T</t>
        </is>
      </c>
    </row>
    <row r="92">
      <c r="A92" s="3" t="n">
        <v>91</v>
      </c>
      <c r="B92" s="3" t="n">
        <v>6</v>
      </c>
      <c r="C92" s="4" t="inlineStr">
        <is>
          <t>T1-150L 150*12*2.2mmØlỗ 22.2mm</t>
        </is>
      </c>
      <c r="D92" s="3" t="inlineStr">
        <is>
          <t>Cái</t>
        </is>
      </c>
      <c r="E92" s="5" t="n">
        <v>117000</v>
      </c>
      <c r="F92" s="5" t="n">
        <v>138000</v>
      </c>
      <c r="G92" s="6" t="n">
        <v>170000</v>
      </c>
      <c r="H92" s="4" t="inlineStr">
        <is>
          <t>Cái 10c/H 200c/T</t>
        </is>
      </c>
    </row>
    <row r="93">
      <c r="A93" s="3" t="n">
        <v>92</v>
      </c>
      <c r="B93" s="3" t="n">
        <v>6</v>
      </c>
      <c r="C93" s="4" t="inlineStr">
        <is>
          <t>T1-180R 150*12*2.2mmØlỗ 22.2mm</t>
        </is>
      </c>
      <c r="D93" s="3" t="inlineStr">
        <is>
          <t>Cái</t>
        </is>
      </c>
      <c r="E93" s="5" t="n">
        <v>141000</v>
      </c>
      <c r="F93" s="5" t="n">
        <v>167000</v>
      </c>
      <c r="G93" s="6" t="n">
        <v>205000</v>
      </c>
      <c r="H93" s="4" t="inlineStr">
        <is>
          <t>Cái 10c/H 200c/T</t>
        </is>
      </c>
    </row>
    <row r="94">
      <c r="A94" s="3" t="n">
        <v>93</v>
      </c>
      <c r="B94" s="3" t="n">
        <v>6</v>
      </c>
      <c r="C94" s="4" t="inlineStr">
        <is>
          <t>T1-180L 180*12*2.2mmØlỗ 22.2mm</t>
        </is>
      </c>
      <c r="D94" s="3" t="inlineStr">
        <is>
          <t>Cái</t>
        </is>
      </c>
      <c r="E94" s="5" t="n">
        <v>141000</v>
      </c>
      <c r="F94" s="5" t="n">
        <v>167000</v>
      </c>
      <c r="G94" s="6" t="n">
        <v>205000</v>
      </c>
      <c r="H94" s="4" t="inlineStr">
        <is>
          <t>Cái 10c/H 50c/T</t>
        </is>
      </c>
    </row>
    <row r="95">
      <c r="A95" s="3" t="n">
        <v>94</v>
      </c>
      <c r="B95" s="3" t="n">
        <v>7</v>
      </c>
      <c r="C95" s="4" t="inlineStr"/>
      <c r="D95" s="3" t="inlineStr">
        <is>
          <t>Cái</t>
        </is>
      </c>
      <c r="E95" s="5" t="n">
        <v>239000</v>
      </c>
      <c r="F95" s="5" t="n">
        <v>282000</v>
      </c>
      <c r="G95" s="6" t="n">
        <v>347000</v>
      </c>
      <c r="H95" s="4" t="inlineStr">
        <is>
          <t>Cái 25c/T</t>
        </is>
      </c>
    </row>
    <row r="96">
      <c r="A96" s="3" t="n">
        <v>95</v>
      </c>
      <c r="B96" s="3" t="n">
        <v>7</v>
      </c>
      <c r="C96" s="4" t="inlineStr"/>
      <c r="D96" s="3" t="inlineStr">
        <is>
          <t>Cái</t>
        </is>
      </c>
      <c r="E96" s="5" t="n">
        <v>239000</v>
      </c>
      <c r="F96" s="5" t="n">
        <v>282000</v>
      </c>
      <c r="G96" s="6" t="n">
        <v>347000</v>
      </c>
      <c r="H96" s="4" t="inlineStr">
        <is>
          <t>Cái 25c/T</t>
        </is>
      </c>
    </row>
    <row r="97">
      <c r="A97" s="3" t="n">
        <v>96</v>
      </c>
      <c r="B97" s="3" t="n">
        <v>7</v>
      </c>
      <c r="C97" s="4" t="inlineStr"/>
      <c r="D97" s="3" t="inlineStr">
        <is>
          <t>Cái</t>
        </is>
      </c>
      <c r="E97" s="5" t="n">
        <v>269000</v>
      </c>
      <c r="F97" s="5" t="n">
        <v>317000</v>
      </c>
      <c r="G97" s="6" t="n">
        <v>390000</v>
      </c>
      <c r="H97" s="4" t="inlineStr">
        <is>
          <t>Cái 25c/T</t>
        </is>
      </c>
    </row>
    <row r="98">
      <c r="A98" s="3" t="n">
        <v>97</v>
      </c>
      <c r="B98" s="3" t="n">
        <v>7</v>
      </c>
      <c r="C98" s="4" t="inlineStr"/>
      <c r="D98" s="3" t="inlineStr">
        <is>
          <t>Cái</t>
        </is>
      </c>
      <c r="E98" s="5" t="n">
        <v>269000</v>
      </c>
      <c r="F98" s="5" t="n">
        <v>317000</v>
      </c>
      <c r="G98" s="6" t="n">
        <v>390000</v>
      </c>
      <c r="H98" s="4" t="inlineStr">
        <is>
          <t>Cái 25c/T</t>
        </is>
      </c>
    </row>
    <row r="99">
      <c r="A99" s="3" t="n">
        <v>98</v>
      </c>
      <c r="B99" s="3" t="n">
        <v>7</v>
      </c>
      <c r="C99" s="4" t="inlineStr">
        <is>
          <t>T1-300R 300*12*3.0mmØlỗ 32/25.4mm</t>
        </is>
      </c>
      <c r="D99" s="3" t="inlineStr">
        <is>
          <t>Cái</t>
        </is>
      </c>
      <c r="E99" s="5" t="n">
        <v>428000</v>
      </c>
      <c r="F99" s="5" t="n">
        <v>505000</v>
      </c>
      <c r="G99" s="6" t="n">
        <v>621000</v>
      </c>
      <c r="H99" s="4" t="inlineStr">
        <is>
          <t>Cái 25/T</t>
        </is>
      </c>
    </row>
    <row r="100">
      <c r="A100" s="3" t="n">
        <v>99</v>
      </c>
      <c r="B100" s="3" t="n">
        <v>7</v>
      </c>
      <c r="C100" s="4" t="inlineStr">
        <is>
          <t>T1-300L 300*12*3.0mmØlỗ 32/25.4mm</t>
        </is>
      </c>
      <c r="D100" s="3" t="inlineStr">
        <is>
          <t>Cái</t>
        </is>
      </c>
      <c r="E100" s="5" t="n">
        <v>428000</v>
      </c>
      <c r="F100" s="5" t="n">
        <v>505000</v>
      </c>
      <c r="G100" s="6" t="n">
        <v>621000</v>
      </c>
      <c r="H100" s="4" t="inlineStr">
        <is>
          <t>Cái 25/T</t>
        </is>
      </c>
    </row>
    <row r="101">
      <c r="A101" s="3" t="n">
        <v>100</v>
      </c>
      <c r="B101" s="3" t="n">
        <v>7</v>
      </c>
      <c r="C101" s="4" t="inlineStr">
        <is>
          <t>T1-350R 350*15*3.2mmØlỗ 50mm</t>
        </is>
      </c>
      <c r="D101" s="3" t="inlineStr">
        <is>
          <t>Cái</t>
        </is>
      </c>
      <c r="E101" s="5" t="n">
        <v>649000</v>
      </c>
      <c r="F101" s="5" t="n">
        <v>766000</v>
      </c>
      <c r="G101" s="6" t="n">
        <v>941000</v>
      </c>
      <c r="H101" s="4" t="inlineStr">
        <is>
          <t>Cái 10c/T</t>
        </is>
      </c>
    </row>
    <row r="102">
      <c r="A102" s="3" t="n">
        <v>101</v>
      </c>
      <c r="B102" s="3" t="n">
        <v>7</v>
      </c>
      <c r="C102" s="4" t="inlineStr">
        <is>
          <t>T1-400R 400*15*3.3mmØlỗ 50mm</t>
        </is>
      </c>
      <c r="D102" s="3" t="inlineStr">
        <is>
          <t>Cái</t>
        </is>
      </c>
      <c r="E102" s="5" t="n">
        <v>857000</v>
      </c>
      <c r="F102" s="5" t="n">
        <v>1011000</v>
      </c>
      <c r="G102" s="6" t="n">
        <v>1243000</v>
      </c>
      <c r="H102" s="4" t="inlineStr">
        <is>
          <t>Cái 10c/T</t>
        </is>
      </c>
    </row>
    <row r="103">
      <c r="A103" s="3" t="n">
        <v>102</v>
      </c>
      <c r="B103" s="3" t="n">
        <v>7</v>
      </c>
      <c r="C103" s="4" t="inlineStr">
        <is>
          <t>T2-114R 114*14*2.0mmØlỗ 20/16mm</t>
        </is>
      </c>
      <c r="D103" s="3" t="inlineStr">
        <is>
          <t>Cái</t>
        </is>
      </c>
      <c r="E103" s="5" t="n">
        <v>81000</v>
      </c>
      <c r="F103" s="5" t="n">
        <v>96000</v>
      </c>
      <c r="G103" s="6" t="n">
        <v>118000</v>
      </c>
      <c r="H103" s="4" t="inlineStr">
        <is>
          <t>Cái 10c/H 200c/T</t>
        </is>
      </c>
    </row>
    <row r="104">
      <c r="A104" s="3" t="n">
        <v>103</v>
      </c>
      <c r="B104" s="3" t="n">
        <v>7</v>
      </c>
      <c r="C104" s="4" t="inlineStr">
        <is>
          <t>T2-114L 114*14*2.0mmØlỗ 20/16mm</t>
        </is>
      </c>
      <c r="D104" s="3" t="inlineStr">
        <is>
          <t>Cái</t>
        </is>
      </c>
      <c r="E104" s="5" t="n">
        <v>81000</v>
      </c>
      <c r="F104" s="5" t="n">
        <v>96000</v>
      </c>
      <c r="G104" s="6" t="n">
        <v>118000</v>
      </c>
      <c r="H104" s="4" t="inlineStr">
        <is>
          <t>Cái 10c/H 200c/T</t>
        </is>
      </c>
    </row>
    <row r="105">
      <c r="A105" s="3" t="n">
        <v>104</v>
      </c>
      <c r="B105" s="3" t="n">
        <v>7</v>
      </c>
      <c r="C105" s="4" t="inlineStr">
        <is>
          <t>T2-125R 125*14*2.0mmØlỗ 22.2/20mm</t>
        </is>
      </c>
      <c r="D105" s="3" t="inlineStr">
        <is>
          <t>Cái</t>
        </is>
      </c>
      <c r="E105" s="5" t="n">
        <v>93000</v>
      </c>
      <c r="F105" s="5" t="n">
        <v>110000</v>
      </c>
      <c r="G105" s="6" t="n">
        <v>135000</v>
      </c>
      <c r="H105" s="4" t="inlineStr">
        <is>
          <t>Cái 10c/H 200c/T</t>
        </is>
      </c>
    </row>
    <row r="106">
      <c r="A106" s="3" t="n">
        <v>105</v>
      </c>
      <c r="B106" s="3" t="n">
        <v>7</v>
      </c>
      <c r="C106" s="4" t="inlineStr">
        <is>
          <t>T2-125L 125*14*2.0mmØlỗ 22.2/20mm</t>
        </is>
      </c>
      <c r="D106" s="3" t="inlineStr">
        <is>
          <t>Cái</t>
        </is>
      </c>
      <c r="E106" s="5" t="n">
        <v>93000</v>
      </c>
      <c r="F106" s="5" t="n">
        <v>110000</v>
      </c>
      <c r="G106" s="6" t="n">
        <v>135000</v>
      </c>
      <c r="H106" s="4" t="inlineStr">
        <is>
          <t>Cái 10c/H 200c/T</t>
        </is>
      </c>
    </row>
    <row r="107">
      <c r="A107" s="3" t="n">
        <v>106</v>
      </c>
      <c r="B107" s="3" t="n">
        <v>7</v>
      </c>
      <c r="C107" s="4" t="inlineStr"/>
      <c r="D107" s="3" t="inlineStr">
        <is>
          <t>Cái</t>
        </is>
      </c>
      <c r="E107" s="5" t="n">
        <v>260000</v>
      </c>
      <c r="F107" s="5" t="n">
        <v>307000</v>
      </c>
      <c r="G107" s="6" t="n">
        <v>377000</v>
      </c>
      <c r="H107" s="4" t="inlineStr">
        <is>
          <t>Cái 25c/T</t>
        </is>
      </c>
    </row>
    <row r="108">
      <c r="A108" s="3" t="n">
        <v>107</v>
      </c>
      <c r="B108" s="3" t="n">
        <v>7</v>
      </c>
      <c r="C108" s="4" t="inlineStr">
        <is>
          <t>V2-230R 230*12*2.6mmØlỗ 25.4mm</t>
        </is>
      </c>
      <c r="D108" s="3" t="inlineStr">
        <is>
          <t>Cái</t>
        </is>
      </c>
      <c r="E108" s="5" t="n">
        <v>269000</v>
      </c>
      <c r="F108" s="5" t="n">
        <v>317000</v>
      </c>
      <c r="G108" s="6" t="n">
        <v>390000</v>
      </c>
      <c r="H108" s="4" t="inlineStr">
        <is>
          <t>Cái 25c/T</t>
        </is>
      </c>
    </row>
    <row r="109">
      <c r="A109" s="3" t="n">
        <v>108</v>
      </c>
      <c r="B109" s="3" t="n">
        <v>7</v>
      </c>
      <c r="C109" s="4" t="inlineStr">
        <is>
          <t>V2-250R 250*14*2.6mmØlỗ 25.4mm</t>
        </is>
      </c>
      <c r="D109" s="3" t="inlineStr">
        <is>
          <t>Cái</t>
        </is>
      </c>
      <c r="E109" s="5" t="n">
        <v>373000</v>
      </c>
      <c r="F109" s="5" t="n">
        <v>440000</v>
      </c>
      <c r="G109" s="6" t="n">
        <v>541000</v>
      </c>
      <c r="H109" s="4" t="inlineStr">
        <is>
          <t>Cái 40c/T</t>
        </is>
      </c>
    </row>
    <row r="110">
      <c r="A110" s="3" t="n">
        <v>109</v>
      </c>
      <c r="B110" s="3" t="n">
        <v>7</v>
      </c>
      <c r="C110" s="4" t="inlineStr">
        <is>
          <t>V2-300R 300*12*3.2mmØlỗ 32mm</t>
        </is>
      </c>
      <c r="D110" s="3" t="inlineStr">
        <is>
          <t>Cái</t>
        </is>
      </c>
      <c r="E110" s="5" t="n">
        <v>597000</v>
      </c>
      <c r="F110" s="5" t="n">
        <v>705000</v>
      </c>
      <c r="G110" s="6" t="n">
        <v>866000</v>
      </c>
      <c r="H110" s="4" t="inlineStr">
        <is>
          <t>Cái 40c/T</t>
        </is>
      </c>
    </row>
    <row r="111">
      <c r="A111" s="3" t="n">
        <v>110</v>
      </c>
      <c r="B111" s="3" t="n">
        <v>7</v>
      </c>
      <c r="C111" s="4" t="inlineStr">
        <is>
          <t>V2-350RX50 350*12*3.2mmØlỗ 50mm</t>
        </is>
      </c>
      <c r="D111" s="3" t="inlineStr">
        <is>
          <t>Cái</t>
        </is>
      </c>
      <c r="E111" s="5" t="n">
        <v>728000</v>
      </c>
      <c r="F111" s="5" t="n">
        <v>859000</v>
      </c>
      <c r="G111" s="6" t="n">
        <v>1056000</v>
      </c>
      <c r="H111" s="4" t="inlineStr">
        <is>
          <t>Cái 10c/T</t>
        </is>
      </c>
    </row>
    <row r="112">
      <c r="A112" s="3" t="n">
        <v>111</v>
      </c>
      <c r="B112" s="3" t="n">
        <v>7</v>
      </c>
      <c r="C112" s="4" t="inlineStr">
        <is>
          <t>V2-350RX70 350*12*3.2mmØlỗ 70mm</t>
        </is>
      </c>
      <c r="D112" s="3" t="inlineStr">
        <is>
          <t>Cái</t>
        </is>
      </c>
      <c r="E112" s="5" t="n">
        <v>728000</v>
      </c>
      <c r="F112" s="5" t="n">
        <v>859000</v>
      </c>
      <c r="G112" s="6" t="n">
        <v>1056000</v>
      </c>
      <c r="H112" s="4" t="inlineStr">
        <is>
          <t>Cái 10c/T</t>
        </is>
      </c>
    </row>
    <row r="113">
      <c r="A113" s="3" t="n">
        <v>112</v>
      </c>
      <c r="B113" s="3" t="n">
        <v>7</v>
      </c>
      <c r="C113" s="4" t="inlineStr">
        <is>
          <t>V2-400RX50 400*12*3.2mmØlỗ 50mm</t>
        </is>
      </c>
      <c r="D113" s="3" t="inlineStr">
        <is>
          <t>Cái</t>
        </is>
      </c>
      <c r="E113" s="5" t="n">
        <v>947000</v>
      </c>
      <c r="F113" s="5" t="n">
        <v>1117000</v>
      </c>
      <c r="G113" s="6" t="n">
        <v>1373000</v>
      </c>
      <c r="H113" s="4" t="inlineStr">
        <is>
          <t>Cái 10c/T</t>
        </is>
      </c>
    </row>
    <row r="114">
      <c r="A114" s="3" t="n">
        <v>113</v>
      </c>
      <c r="B114" s="3" t="n">
        <v>7</v>
      </c>
      <c r="C114" s="4" t="inlineStr">
        <is>
          <t>Lưỡi cắt KingBlueV3 V3-600R 600*12*4.6mmØlỗ 50mm</t>
        </is>
      </c>
      <c r="D114" s="3" t="inlineStr">
        <is>
          <t>Cái</t>
        </is>
      </c>
      <c r="E114" s="5" t="n">
        <v>2751000</v>
      </c>
      <c r="F114" s="5" t="n">
        <v>3246000</v>
      </c>
      <c r="G114" s="6" t="n">
        <v>3989000</v>
      </c>
      <c r="H114" s="4" t="inlineStr">
        <is>
          <t>Cái 10c/T</t>
        </is>
      </c>
    </row>
    <row r="115">
      <c r="A115" s="3" t="n">
        <v>114</v>
      </c>
      <c r="B115" s="3" t="n">
        <v>8</v>
      </c>
      <c r="C115" s="4" t="inlineStr">
        <is>
          <t>VJ01 22*6*6mm</t>
        </is>
      </c>
      <c r="D115" s="3" t="inlineStr">
        <is>
          <t>Cái</t>
        </is>
      </c>
      <c r="E115" s="5" t="n">
        <v>80000</v>
      </c>
      <c r="F115" s="5" t="n">
        <v>94000</v>
      </c>
      <c r="G115" s="6" t="n">
        <v>116000</v>
      </c>
      <c r="H115" s="4" t="inlineStr">
        <is>
          <t>Cái 25c/H 400c/T</t>
        </is>
      </c>
    </row>
    <row r="116">
      <c r="A116" s="3" t="n">
        <v>115</v>
      </c>
      <c r="B116" s="3" t="n">
        <v>8</v>
      </c>
      <c r="C116" s="4" t="inlineStr">
        <is>
          <t>VJ02 23*6*6mm</t>
        </is>
      </c>
      <c r="D116" s="3" t="inlineStr">
        <is>
          <t>Cái</t>
        </is>
      </c>
      <c r="E116" s="5" t="n">
        <v>101000</v>
      </c>
      <c r="F116" s="5" t="n">
        <v>119000</v>
      </c>
      <c r="G116" s="6" t="n">
        <v>147000</v>
      </c>
      <c r="H116" s="4" t="inlineStr">
        <is>
          <t>Cái 25c/H 400c/T</t>
        </is>
      </c>
    </row>
    <row r="117">
      <c r="A117" s="3" t="n">
        <v>116</v>
      </c>
      <c r="B117" s="3" t="n">
        <v>8</v>
      </c>
      <c r="C117" s="4" t="inlineStr">
        <is>
          <t>MS-110x4R 110*4mmØlỗ 20/16mm</t>
        </is>
      </c>
      <c r="D117" s="3" t="inlineStr">
        <is>
          <t>Cái</t>
        </is>
      </c>
      <c r="E117" s="5" t="n">
        <v>60000</v>
      </c>
      <c r="F117" s="5" t="n">
        <v>71000</v>
      </c>
      <c r="G117" s="6" t="n">
        <v>87000</v>
      </c>
      <c r="H117" s="4" t="inlineStr">
        <is>
          <t>Cái 100c/T</t>
        </is>
      </c>
    </row>
    <row r="118">
      <c r="A118" s="3" t="n">
        <v>117</v>
      </c>
      <c r="B118" s="3" t="n">
        <v>8</v>
      </c>
      <c r="C118" s="4" t="inlineStr">
        <is>
          <t>MS-125x4R 125*4mmØlỗ 22.2/20mm</t>
        </is>
      </c>
      <c r="D118" s="3" t="inlineStr">
        <is>
          <t>Cái</t>
        </is>
      </c>
      <c r="E118" s="5" t="n">
        <v>93000</v>
      </c>
      <c r="F118" s="5" t="n">
        <v>110000</v>
      </c>
      <c r="G118" s="6" t="n">
        <v>135000</v>
      </c>
      <c r="H118" s="4" t="inlineStr">
        <is>
          <t>Cái 50c/T</t>
        </is>
      </c>
    </row>
    <row r="119">
      <c r="A119" s="3" t="n">
        <v>118</v>
      </c>
      <c r="B119" s="3" t="n">
        <v>8</v>
      </c>
      <c r="C119" s="4" t="inlineStr">
        <is>
          <t>Chén mài KingBlueMS - Mài Nước MS-110x4L 110*4mmØlỗ 20/16mm</t>
        </is>
      </c>
      <c r="D119" s="3" t="inlineStr">
        <is>
          <t>Cái</t>
        </is>
      </c>
      <c r="E119" s="5" t="n">
        <v>60000</v>
      </c>
      <c r="F119" s="5" t="n">
        <v>71000</v>
      </c>
      <c r="G119" s="6" t="n">
        <v>87000</v>
      </c>
      <c r="H119" s="4" t="inlineStr">
        <is>
          <t>Cái 100c/T Mài đá hoa cương, bê tông</t>
        </is>
      </c>
    </row>
    <row r="120">
      <c r="A120" s="3" t="n">
        <v>119</v>
      </c>
      <c r="B120" s="3" t="n">
        <v>8</v>
      </c>
      <c r="C120" s="4" t="inlineStr">
        <is>
          <t>Chén mài KingBlueM1 - Mài Nước M1-110x5L 110*5mmØlỗ 20/16mm</t>
        </is>
      </c>
      <c r="D120" s="3" t="inlineStr">
        <is>
          <t>Cái</t>
        </is>
      </c>
      <c r="E120" s="5" t="n">
        <v>77000</v>
      </c>
      <c r="F120" s="5" t="n">
        <v>91000</v>
      </c>
      <c r="G120" s="6" t="n">
        <v>112000</v>
      </c>
      <c r="H120" s="4" t="inlineStr">
        <is>
          <t>Cái 100c/T Mài đá hoa cương.</t>
        </is>
      </c>
    </row>
    <row r="121">
      <c r="A121" s="3" t="n">
        <v>120</v>
      </c>
      <c r="B121" s="3" t="n">
        <v>8</v>
      </c>
      <c r="C121" s="4" t="inlineStr">
        <is>
          <t>M1-110x5R 110*5mmØlỗ 20/16mm</t>
        </is>
      </c>
      <c r="D121" s="3" t="inlineStr">
        <is>
          <t>Cái</t>
        </is>
      </c>
      <c r="E121" s="5" t="n">
        <v>77000</v>
      </c>
      <c r="F121" s="5" t="n">
        <v>91000</v>
      </c>
      <c r="G121" s="6" t="n">
        <v>112000</v>
      </c>
      <c r="H121" s="4" t="inlineStr">
        <is>
          <t>Cái 100c/T</t>
        </is>
      </c>
    </row>
    <row r="122">
      <c r="A122" s="3" t="n">
        <v>121</v>
      </c>
      <c r="B122" s="3" t="n">
        <v>8</v>
      </c>
      <c r="C122" s="4" t="inlineStr">
        <is>
          <t>M1-125x5R 125*5mmØlỗ 22.2/20mm</t>
        </is>
      </c>
      <c r="D122" s="3" t="inlineStr">
        <is>
          <t>Cái</t>
        </is>
      </c>
      <c r="E122" s="5" t="n">
        <v>110000</v>
      </c>
      <c r="F122" s="5" t="n">
        <v>130000</v>
      </c>
      <c r="G122" s="6" t="n">
        <v>160000</v>
      </c>
      <c r="H122" s="4" t="inlineStr">
        <is>
          <t>Cái 50c/T</t>
        </is>
      </c>
    </row>
    <row r="123">
      <c r="A123" s="3" t="n">
        <v>122</v>
      </c>
      <c r="B123" s="3" t="n">
        <v>8</v>
      </c>
      <c r="C123" s="4" t="inlineStr">
        <is>
          <t>Chén mài KingBlueM2 - Mài Nước    M2-110x5L 110*5mmØlỗ 20/16mm</t>
        </is>
      </c>
      <c r="D123" s="3" t="inlineStr">
        <is>
          <t>Cái</t>
        </is>
      </c>
      <c r="E123" s="5" t="n">
        <v>92000</v>
      </c>
      <c r="F123" s="5" t="n">
        <v>108000</v>
      </c>
      <c r="G123" s="6" t="n">
        <v>133000</v>
      </c>
      <c r="H123" s="4" t="inlineStr">
        <is>
          <t>Cái 100c/T Mài đá hoa cương</t>
        </is>
      </c>
    </row>
    <row r="124">
      <c r="A124" s="3" t="n">
        <v>123</v>
      </c>
      <c r="B124" s="3" t="n">
        <v>8</v>
      </c>
      <c r="C124" s="4" t="inlineStr">
        <is>
          <t>M2-110x5R 110*5mmØlỗ 20/16mm</t>
        </is>
      </c>
      <c r="D124" s="3" t="inlineStr">
        <is>
          <t>Cái</t>
        </is>
      </c>
      <c r="E124" s="5" t="n">
        <v>92000</v>
      </c>
      <c r="F124" s="5" t="n">
        <v>108000</v>
      </c>
      <c r="G124" s="6" t="n">
        <v>133000</v>
      </c>
      <c r="H124" s="4" t="inlineStr">
        <is>
          <t>Cái 100c/T Mài đá hoa cương,bê tông Mua 100c tặng 10c</t>
        </is>
      </c>
    </row>
    <row r="125">
      <c r="A125" s="3" t="n">
        <v>124</v>
      </c>
      <c r="B125" s="3" t="n">
        <v>8</v>
      </c>
      <c r="C125" s="4" t="inlineStr">
        <is>
          <t>M2-125x5R 125*5mmØlỗ 22.2/20mm</t>
        </is>
      </c>
      <c r="D125" s="3" t="inlineStr">
        <is>
          <t>Cái</t>
        </is>
      </c>
      <c r="E125" s="5" t="n">
        <v>125000</v>
      </c>
      <c r="F125" s="5" t="n">
        <v>147000</v>
      </c>
      <c r="G125" s="6" t="n">
        <v>181000</v>
      </c>
      <c r="H125" s="4" t="inlineStr">
        <is>
          <t>Cái 50c/T</t>
        </is>
      </c>
    </row>
    <row r="126">
      <c r="A126" s="3" t="n">
        <v>125</v>
      </c>
      <c r="B126" s="3" t="n">
        <v>8</v>
      </c>
      <c r="C126" s="4" t="inlineStr">
        <is>
          <t>M2-150x5R 150*5mmØlỗ 22.2mm</t>
        </is>
      </c>
      <c r="D126" s="3" t="inlineStr">
        <is>
          <t>Cái</t>
        </is>
      </c>
      <c r="E126" s="5" t="n">
        <v>380000</v>
      </c>
      <c r="F126" s="5" t="n">
        <v>448000</v>
      </c>
      <c r="G126" s="6" t="n">
        <v>551000</v>
      </c>
      <c r="H126" s="4" t="inlineStr">
        <is>
          <t>Cái 25c/T</t>
        </is>
      </c>
    </row>
    <row r="127">
      <c r="A127" s="3" t="n">
        <v>126</v>
      </c>
      <c r="B127" s="3" t="n">
        <v>8</v>
      </c>
      <c r="C127" s="4" t="inlineStr">
        <is>
          <t>M2-180x5R 180*5mmØlỗ 22.2mm</t>
        </is>
      </c>
      <c r="D127" s="3" t="inlineStr">
        <is>
          <t>Cái</t>
        </is>
      </c>
      <c r="E127" s="5" t="n">
        <v>477000</v>
      </c>
      <c r="F127" s="5" t="n">
        <v>563000</v>
      </c>
      <c r="G127" s="6" t="n">
        <v>692000</v>
      </c>
      <c r="H127" s="4" t="inlineStr">
        <is>
          <t>Cái 25c/T</t>
        </is>
      </c>
    </row>
    <row r="128">
      <c r="A128" s="3" t="n">
        <v>127</v>
      </c>
      <c r="B128" s="3" t="n">
        <v>9</v>
      </c>
      <c r="C128" s="4" t="inlineStr">
        <is>
          <t>K2-110X30T 110*20mm30T</t>
        </is>
      </c>
      <c r="D128" s="3" t="inlineStr">
        <is>
          <t>Cái</t>
        </is>
      </c>
      <c r="E128" s="5" t="n">
        <v>124000</v>
      </c>
      <c r="F128" s="5" t="n">
        <v>146000</v>
      </c>
      <c r="G128" s="6" t="n">
        <v>180000</v>
      </c>
      <c r="H128" s="4" t="inlineStr">
        <is>
          <t>Cái 10c/H 100c/T</t>
        </is>
      </c>
    </row>
    <row r="129">
      <c r="A129" s="3" t="n">
        <v>128</v>
      </c>
      <c r="B129" s="3" t="n">
        <v>9</v>
      </c>
      <c r="C129" s="4" t="inlineStr">
        <is>
          <t>K2-110X40T 110*20mm40T</t>
        </is>
      </c>
      <c r="D129" s="3" t="inlineStr">
        <is>
          <t>Cái</t>
        </is>
      </c>
      <c r="E129" s="5" t="n">
        <v>132000</v>
      </c>
      <c r="F129" s="5" t="n">
        <v>156000</v>
      </c>
      <c r="G129" s="6" t="n">
        <v>191000</v>
      </c>
      <c r="H129" s="4" t="inlineStr">
        <is>
          <t>Cái 10c/H 100c/T</t>
        </is>
      </c>
    </row>
    <row r="130">
      <c r="A130" s="3" t="n">
        <v>129</v>
      </c>
      <c r="B130" s="3" t="n">
        <v>9</v>
      </c>
      <c r="C130" s="4" t="inlineStr">
        <is>
          <t>XS-110X30T-NEW 110*20mm30T</t>
        </is>
      </c>
      <c r="D130" s="3" t="inlineStr">
        <is>
          <t>Cái</t>
        </is>
      </c>
      <c r="E130" s="5" t="n">
        <v>72000</v>
      </c>
      <c r="F130" s="5" t="n">
        <v>85000</v>
      </c>
      <c r="G130" s="6" t="n">
        <v>104000</v>
      </c>
      <c r="H130" s="4" t="inlineStr">
        <is>
          <t>Cái 10c/H 100c/T</t>
        </is>
      </c>
    </row>
    <row r="131">
      <c r="A131" s="3" t="n">
        <v>130</v>
      </c>
      <c r="B131" s="3" t="n">
        <v>9</v>
      </c>
      <c r="C131" s="4" t="inlineStr">
        <is>
          <t>XS-125x40T 125*20mm40T</t>
        </is>
      </c>
      <c r="D131" s="3" t="inlineStr">
        <is>
          <t>Cái</t>
        </is>
      </c>
      <c r="E131" s="5" t="n">
        <v>77000</v>
      </c>
      <c r="F131" s="5" t="n">
        <v>91000</v>
      </c>
      <c r="G131" s="6" t="n">
        <v>112000</v>
      </c>
      <c r="H131" s="4" t="inlineStr">
        <is>
          <t>Cái 10c/H 100c/T</t>
        </is>
      </c>
    </row>
    <row r="132">
      <c r="A132" s="3" t="n">
        <v>131</v>
      </c>
      <c r="B132" s="3" t="n">
        <v>9</v>
      </c>
      <c r="C132" s="4" t="inlineStr">
        <is>
          <t>X1-150x40T 150*25.4*2.0mm40T</t>
        </is>
      </c>
      <c r="D132" s="3" t="inlineStr">
        <is>
          <t>Cái</t>
        </is>
      </c>
      <c r="E132" s="5" t="n">
        <v>135000</v>
      </c>
      <c r="F132" s="5" t="n">
        <v>159000</v>
      </c>
      <c r="G132" s="6" t="n">
        <v>196000</v>
      </c>
      <c r="H132" s="4" t="inlineStr">
        <is>
          <t>Cái 100c/T</t>
        </is>
      </c>
    </row>
    <row r="133">
      <c r="A133" s="3" t="n">
        <v>132</v>
      </c>
      <c r="B133" s="3" t="n">
        <v>9</v>
      </c>
      <c r="C133" s="4" t="inlineStr">
        <is>
          <t>X1-150x60T 150*25.4*2.0mm60T</t>
        </is>
      </c>
      <c r="D133" s="3" t="inlineStr">
        <is>
          <t>Cái</t>
        </is>
      </c>
      <c r="E133" s="5" t="n">
        <v>149000</v>
      </c>
      <c r="F133" s="5" t="n">
        <v>176000</v>
      </c>
      <c r="G133" s="6" t="n">
        <v>216000</v>
      </c>
      <c r="H133" s="4" t="inlineStr">
        <is>
          <t>Cái 100c/T</t>
        </is>
      </c>
    </row>
    <row r="134">
      <c r="A134" s="3" t="n">
        <v>133</v>
      </c>
      <c r="B134" s="3" t="n">
        <v>9</v>
      </c>
      <c r="C134" s="4" t="inlineStr">
        <is>
          <t>X1-110x30T-NEW 110*20*1.5mm30T</t>
        </is>
      </c>
      <c r="D134" s="3" t="inlineStr">
        <is>
          <t>Cái</t>
        </is>
      </c>
      <c r="E134" s="5" t="n">
        <v>88000</v>
      </c>
      <c r="F134" s="5" t="n">
        <v>104000</v>
      </c>
      <c r="G134" s="6" t="n">
        <v>128000</v>
      </c>
      <c r="H134" s="4" t="inlineStr">
        <is>
          <t>Cái 10c/H 200c/T</t>
        </is>
      </c>
    </row>
    <row r="135">
      <c r="A135" s="3" t="n">
        <v>134</v>
      </c>
      <c r="B135" s="3" t="n">
        <v>9</v>
      </c>
      <c r="C135" s="4" t="inlineStr">
        <is>
          <t>X1-110x40T 110*20*1.8mm40T</t>
        </is>
      </c>
      <c r="D135" s="3" t="inlineStr">
        <is>
          <t>Cái</t>
        </is>
      </c>
      <c r="E135" s="5" t="n">
        <v>91000</v>
      </c>
      <c r="F135" s="5" t="n">
        <v>107000</v>
      </c>
      <c r="G135" s="6" t="n">
        <v>132000</v>
      </c>
      <c r="H135" s="4" t="inlineStr">
        <is>
          <t>Cái 300c/T</t>
        </is>
      </c>
    </row>
    <row r="136">
      <c r="A136" s="3" t="n">
        <v>135</v>
      </c>
      <c r="B136" s="3" t="n">
        <v>9</v>
      </c>
      <c r="C136" s="4" t="inlineStr">
        <is>
          <t>X1-125x40T-NEW 125*20mm40T</t>
        </is>
      </c>
      <c r="D136" s="3" t="inlineStr">
        <is>
          <t>Cái</t>
        </is>
      </c>
      <c r="E136" s="5" t="n">
        <v>95000</v>
      </c>
      <c r="F136" s="5" t="n">
        <v>112000</v>
      </c>
      <c r="G136" s="6" t="n">
        <v>138000</v>
      </c>
      <c r="H136" s="4" t="inlineStr">
        <is>
          <t>Cái 100c/T</t>
        </is>
      </c>
    </row>
    <row r="137">
      <c r="A137" s="3" t="n">
        <v>136</v>
      </c>
      <c r="B137" s="3" t="n">
        <v>9</v>
      </c>
      <c r="C137" s="4" t="inlineStr">
        <is>
          <t>X1-150x40T-NEW 150*25.4*2.0mm40T</t>
        </is>
      </c>
      <c r="D137" s="3" t="inlineStr">
        <is>
          <t>Cái</t>
        </is>
      </c>
      <c r="E137" s="5" t="n">
        <v>135000</v>
      </c>
      <c r="F137" s="5" t="n">
        <v>159000</v>
      </c>
      <c r="G137" s="6" t="n">
        <v>196000</v>
      </c>
      <c r="H137" s="4" t="inlineStr">
        <is>
          <t>Cái 40c/T</t>
        </is>
      </c>
    </row>
    <row r="138">
      <c r="A138" s="3" t="n">
        <v>137</v>
      </c>
      <c r="B138" s="3" t="n">
        <v>9</v>
      </c>
      <c r="C138" s="4" t="inlineStr">
        <is>
          <t>X1-180x40T-NEW 180*25.4*2.0mm40T</t>
        </is>
      </c>
      <c r="D138" s="3" t="inlineStr">
        <is>
          <t>Cái</t>
        </is>
      </c>
      <c r="E138" s="5" t="n">
        <v>190000</v>
      </c>
      <c r="F138" s="5" t="n">
        <v>224000</v>
      </c>
      <c r="G138" s="6" t="n">
        <v>276000</v>
      </c>
      <c r="H138" s="4" t="inlineStr">
        <is>
          <t>Cái 40c/T</t>
        </is>
      </c>
    </row>
    <row r="139">
      <c r="A139" s="3" t="n">
        <v>138</v>
      </c>
      <c r="B139" s="3" t="n">
        <v>9</v>
      </c>
      <c r="C139" s="4" t="inlineStr">
        <is>
          <t>X1-230x40T-NEW 230*25.4*2.0mm40T</t>
        </is>
      </c>
      <c r="D139" s="3" t="inlineStr">
        <is>
          <t>Cái</t>
        </is>
      </c>
      <c r="E139" s="5" t="n">
        <v>319000</v>
      </c>
      <c r="F139" s="5" t="n">
        <v>377000</v>
      </c>
      <c r="G139" s="6" t="n">
        <v>463000</v>
      </c>
      <c r="H139" s="4" t="inlineStr">
        <is>
          <t>Cái 30c/T</t>
        </is>
      </c>
    </row>
    <row r="140">
      <c r="A140" s="3" t="n">
        <v>139</v>
      </c>
      <c r="B140" s="3" t="n">
        <v>9</v>
      </c>
      <c r="C140" s="4" t="inlineStr">
        <is>
          <t>X1-250x40T-NEW 250*25.4*2.5mm40T</t>
        </is>
      </c>
      <c r="D140" s="3" t="inlineStr">
        <is>
          <t>Cái</t>
        </is>
      </c>
      <c r="E140" s="5" t="n">
        <v>407000</v>
      </c>
      <c r="F140" s="5" t="n">
        <v>480000</v>
      </c>
      <c r="G140" s="6" t="n">
        <v>590000</v>
      </c>
      <c r="H140" s="4" t="inlineStr">
        <is>
          <t>Cái 30c/T</t>
        </is>
      </c>
    </row>
    <row r="141">
      <c r="A141" s="3" t="n">
        <v>140</v>
      </c>
      <c r="B141" s="3" t="n">
        <v>9</v>
      </c>
      <c r="C141" s="4" t="inlineStr">
        <is>
          <t>X1-300x40T-NEW 300*30*3.0mm40T</t>
        </is>
      </c>
      <c r="D141" s="3" t="inlineStr">
        <is>
          <t>Cái</t>
        </is>
      </c>
      <c r="E141" s="5" t="n">
        <v>557000</v>
      </c>
      <c r="F141" s="5" t="n">
        <v>657000</v>
      </c>
      <c r="G141" s="6" t="n">
        <v>808000</v>
      </c>
      <c r="H141" s="4" t="inlineStr">
        <is>
          <t>Cái 10c/T</t>
        </is>
      </c>
    </row>
    <row r="142">
      <c r="A142" s="3" t="n">
        <v>141</v>
      </c>
      <c r="B142" s="3" t="n">
        <v>9</v>
      </c>
      <c r="C142" s="4" t="inlineStr">
        <is>
          <t>X1-350X40T-NEW 350*30mm40T</t>
        </is>
      </c>
      <c r="D142" s="3" t="inlineStr">
        <is>
          <t>Cái</t>
        </is>
      </c>
      <c r="E142" s="5" t="n">
        <v>627000</v>
      </c>
      <c r="F142" s="5" t="n">
        <v>740000</v>
      </c>
      <c r="G142" s="6" t="n">
        <v>909000</v>
      </c>
      <c r="H142" s="4" t="inlineStr">
        <is>
          <t>Cái 10c/T</t>
        </is>
      </c>
    </row>
    <row r="143">
      <c r="A143" s="3" t="n">
        <v>142</v>
      </c>
      <c r="B143" s="3" t="n">
        <v>9</v>
      </c>
      <c r="C143" s="4" t="inlineStr">
        <is>
          <t>X1-350X60T-NEW 350*30mm60T</t>
        </is>
      </c>
      <c r="D143" s="3" t="inlineStr">
        <is>
          <t>Cái</t>
        </is>
      </c>
      <c r="E143" s="5" t="n">
        <v>668000</v>
      </c>
      <c r="F143" s="5" t="n">
        <v>788000</v>
      </c>
      <c r="G143" s="6" t="n">
        <v>969000</v>
      </c>
      <c r="H143" s="4" t="inlineStr">
        <is>
          <t>Cái 10c/T</t>
        </is>
      </c>
    </row>
    <row r="144">
      <c r="A144" s="3" t="n">
        <v>143</v>
      </c>
      <c r="B144" s="3" t="n">
        <v>9</v>
      </c>
      <c r="C144" s="4" t="inlineStr">
        <is>
          <t>X2-125x40T 125*20mm40T</t>
        </is>
      </c>
      <c r="D144" s="3" t="inlineStr">
        <is>
          <t>Cái</t>
        </is>
      </c>
      <c r="E144" s="5" t="n">
        <v>111000</v>
      </c>
      <c r="F144" s="5" t="n">
        <v>131000</v>
      </c>
      <c r="G144" s="6" t="n">
        <v>161000</v>
      </c>
      <c r="H144" s="4" t="inlineStr">
        <is>
          <t>Cái 10c/H 200c/T</t>
        </is>
      </c>
    </row>
    <row r="145">
      <c r="A145" s="3" t="n">
        <v>144</v>
      </c>
      <c r="B145" s="3" t="n">
        <v>9</v>
      </c>
      <c r="C145" s="4" t="inlineStr">
        <is>
          <t>X2-150x40T 150*25.4*2.0mm40T</t>
        </is>
      </c>
      <c r="D145" s="3" t="inlineStr">
        <is>
          <t>Cái</t>
        </is>
      </c>
      <c r="E145" s="5" t="n">
        <v>136000</v>
      </c>
      <c r="F145" s="5" t="n">
        <v>160000</v>
      </c>
      <c r="G145" s="6" t="n">
        <v>197000</v>
      </c>
      <c r="H145" s="4" t="inlineStr">
        <is>
          <t>Cái 10c/H 100c/T</t>
        </is>
      </c>
    </row>
    <row r="146">
      <c r="A146" s="3" t="n">
        <v>145</v>
      </c>
      <c r="B146" s="3" t="n">
        <v>9</v>
      </c>
      <c r="C146" s="4" t="inlineStr">
        <is>
          <t>X2-150x60T 150*25.4*2.0mm60T</t>
        </is>
      </c>
      <c r="D146" s="3" t="inlineStr">
        <is>
          <t>Cái</t>
        </is>
      </c>
      <c r="E146" s="5" t="n">
        <v>164000</v>
      </c>
      <c r="F146" s="5" t="n">
        <v>194000</v>
      </c>
      <c r="G146" s="6" t="n">
        <v>238000</v>
      </c>
      <c r="H146" s="4" t="inlineStr">
        <is>
          <t>Cái 10c/H 100c/T</t>
        </is>
      </c>
    </row>
    <row r="147">
      <c r="A147" s="3" t="n">
        <v>146</v>
      </c>
      <c r="B147" s="3" t="n">
        <v>9</v>
      </c>
      <c r="C147" s="4" t="inlineStr">
        <is>
          <t>X2-230x40T 230*25.4mm40T</t>
        </is>
      </c>
      <c r="D147" s="3" t="inlineStr">
        <is>
          <t>Cái</t>
        </is>
      </c>
      <c r="E147" s="5" t="n">
        <v>278000</v>
      </c>
      <c r="F147" s="5" t="n">
        <v>328000</v>
      </c>
      <c r="G147" s="6" t="n">
        <v>403000</v>
      </c>
      <c r="H147" s="4" t="inlineStr">
        <is>
          <t>Cái 10c/H 50c/T</t>
        </is>
      </c>
    </row>
    <row r="148">
      <c r="A148" s="3" t="n">
        <v>147</v>
      </c>
      <c r="B148" s="3" t="n">
        <v>9</v>
      </c>
      <c r="C148" s="4" t="inlineStr">
        <is>
          <t>X2-350x60T 350*30*3.4mm60T</t>
        </is>
      </c>
      <c r="D148" s="3" t="inlineStr">
        <is>
          <t>Cái</t>
        </is>
      </c>
      <c r="E148" s="5" t="n">
        <v>787000</v>
      </c>
      <c r="F148" s="5" t="n">
        <v>929000</v>
      </c>
      <c r="G148" s="6" t="n">
        <v>1141000</v>
      </c>
      <c r="H148" s="4" t="inlineStr">
        <is>
          <t>Cái 10c/T</t>
        </is>
      </c>
    </row>
    <row r="149">
      <c r="A149" s="3" t="n">
        <v>148</v>
      </c>
      <c r="B149" s="3" t="n">
        <v>9</v>
      </c>
      <c r="C149" s="4" t="inlineStr">
        <is>
          <t>Lưỡi cưa KingBlueX2 X2-305x96T 305*30mm96T</t>
        </is>
      </c>
      <c r="D149" s="3" t="inlineStr">
        <is>
          <t>Cái</t>
        </is>
      </c>
      <c r="E149" s="5" t="n">
        <v>1029000</v>
      </c>
      <c r="F149" s="5" t="n">
        <v>1214000</v>
      </c>
      <c r="G149" s="6" t="n">
        <v>1492000</v>
      </c>
      <c r="H149" s="4" t="inlineStr">
        <is>
          <t>Cái 10c/T</t>
        </is>
      </c>
    </row>
    <row r="150">
      <c r="A150" s="3" t="n">
        <v>149</v>
      </c>
      <c r="B150" s="3" t="n">
        <v>10</v>
      </c>
      <c r="C150" s="4" t="inlineStr">
        <is>
          <t>Y1-254x120T-NEW 254*25.4mm120T</t>
        </is>
      </c>
      <c r="D150" s="3" t="inlineStr">
        <is>
          <t>Cái</t>
        </is>
      </c>
      <c r="E150" s="5" t="n">
        <v>699000</v>
      </c>
      <c r="F150" s="5" t="n">
        <v>825000</v>
      </c>
      <c r="G150" s="6" t="n">
        <v>1014000</v>
      </c>
      <c r="H150" s="4" t="inlineStr">
        <is>
          <t>Cái 30c/T  Cắt nhôm</t>
        </is>
      </c>
    </row>
    <row r="151">
      <c r="A151" s="3" t="n">
        <v>150</v>
      </c>
      <c r="B151" s="3" t="n">
        <v>10</v>
      </c>
      <c r="C151" s="4" t="inlineStr">
        <is>
          <t>Y1-305X120T-NEW 305*30*3.0mm120T</t>
        </is>
      </c>
      <c r="D151" s="3" t="inlineStr">
        <is>
          <t>Cái</t>
        </is>
      </c>
      <c r="E151" s="5" t="n">
        <v>1080000</v>
      </c>
      <c r="F151" s="5" t="n">
        <v>1274000</v>
      </c>
      <c r="G151" s="6" t="n">
        <v>1566000</v>
      </c>
      <c r="H151" s="4" t="inlineStr">
        <is>
          <t>Cái 10c/T</t>
        </is>
      </c>
    </row>
    <row r="152">
      <c r="A152" s="3" t="n">
        <v>151</v>
      </c>
      <c r="B152" s="3" t="n">
        <v>10</v>
      </c>
      <c r="C152" s="4" t="inlineStr">
        <is>
          <t>Y1-355X120T-NEW 355*30*3.0mm120T</t>
        </is>
      </c>
      <c r="D152" s="3" t="inlineStr">
        <is>
          <t>Cái</t>
        </is>
      </c>
      <c r="E152" s="5" t="n">
        <v>1392000</v>
      </c>
      <c r="F152" s="5" t="n">
        <v>1642000</v>
      </c>
      <c r="G152" s="6" t="n">
        <v>2018000</v>
      </c>
      <c r="H152" s="4" t="inlineStr">
        <is>
          <t>Cái 10c/T</t>
        </is>
      </c>
    </row>
    <row r="153">
      <c r="A153" s="3" t="n">
        <v>152</v>
      </c>
      <c r="B153" s="3" t="n">
        <v>10</v>
      </c>
      <c r="C153" s="4" t="inlineStr">
        <is>
          <t>Y1-405x120T 405*30*3.6mm120T</t>
        </is>
      </c>
      <c r="D153" s="3" t="inlineStr">
        <is>
          <t>Cái</t>
        </is>
      </c>
      <c r="E153" s="5" t="n">
        <v>2118000</v>
      </c>
      <c r="F153" s="5" t="n">
        <v>2499000</v>
      </c>
      <c r="G153" s="6" t="n">
        <v>3071000</v>
      </c>
      <c r="H153" s="4" t="inlineStr">
        <is>
          <t>Cái 5c/T</t>
        </is>
      </c>
    </row>
    <row r="154">
      <c r="A154" s="3" t="n">
        <v>153</v>
      </c>
      <c r="B154" s="3" t="n">
        <v>10</v>
      </c>
      <c r="C154" s="4" t="inlineStr">
        <is>
          <t>Y1-450x120T 450*30*4.0mm120T</t>
        </is>
      </c>
      <c r="D154" s="3" t="inlineStr">
        <is>
          <t>Cái</t>
        </is>
      </c>
      <c r="E154" s="5" t="n">
        <v>2662000</v>
      </c>
      <c r="F154" s="5" t="n">
        <v>3141000</v>
      </c>
      <c r="G154" s="6" t="n">
        <v>3860000</v>
      </c>
      <c r="H154" s="4" t="inlineStr">
        <is>
          <t>Cái 5c/T</t>
        </is>
      </c>
    </row>
    <row r="155">
      <c r="A155" s="3" t="n">
        <v>154</v>
      </c>
      <c r="B155" s="3" t="n">
        <v>10</v>
      </c>
      <c r="C155" s="4" t="inlineStr">
        <is>
          <t>YZ-254X120T 254*25.4mm120T</t>
        </is>
      </c>
      <c r="D155" s="3" t="inlineStr">
        <is>
          <t>Cái</t>
        </is>
      </c>
      <c r="E155" s="5" t="n">
        <v>508000</v>
      </c>
      <c r="F155" s="5" t="n">
        <v>600000</v>
      </c>
      <c r="G155" s="6" t="n">
        <v>737000</v>
      </c>
      <c r="H155" s="4" t="inlineStr">
        <is>
          <t>Cái 30c/T</t>
        </is>
      </c>
    </row>
    <row r="156">
      <c r="A156" s="3" t="n">
        <v>155</v>
      </c>
      <c r="B156" s="3" t="n">
        <v>10</v>
      </c>
      <c r="C156" s="4" t="inlineStr">
        <is>
          <t>K1-110x24T 110*20*1.8mm24T</t>
        </is>
      </c>
      <c r="D156" s="3" t="inlineStr">
        <is>
          <t>Cái</t>
        </is>
      </c>
      <c r="E156" s="5" t="n">
        <v>193000</v>
      </c>
      <c r="F156" s="5" t="n">
        <v>228000</v>
      </c>
      <c r="G156" s="6" t="n">
        <v>280000</v>
      </c>
      <c r="H156" s="4" t="inlineStr">
        <is>
          <t>Cái 200c/T</t>
        </is>
      </c>
    </row>
    <row r="157">
      <c r="A157" s="3" t="n">
        <v>156</v>
      </c>
      <c r="B157" s="3" t="n">
        <v>10</v>
      </c>
      <c r="C157" s="4" t="inlineStr">
        <is>
          <t>K1-305x80T 305*25.4*2.5mm80T</t>
        </is>
      </c>
      <c r="D157" s="3" t="inlineStr">
        <is>
          <t>Cái</t>
        </is>
      </c>
      <c r="E157" s="5" t="n">
        <v>1411000</v>
      </c>
      <c r="F157" s="5" t="n">
        <v>1665000</v>
      </c>
      <c r="G157" s="6" t="n">
        <v>2046000</v>
      </c>
      <c r="H157" s="4" t="inlineStr">
        <is>
          <t>Cái 25c/T</t>
        </is>
      </c>
    </row>
    <row r="158">
      <c r="A158" s="3" t="n">
        <v>157</v>
      </c>
      <c r="B158" s="3" t="n">
        <v>10</v>
      </c>
      <c r="C158" s="4" t="inlineStr">
        <is>
          <t>K1-305x80T-NEW 305*25.4*2.5mm80T</t>
        </is>
      </c>
      <c r="D158" s="3" t="inlineStr">
        <is>
          <t>Cái</t>
        </is>
      </c>
      <c r="E158" s="5" t="n">
        <v>1634000</v>
      </c>
      <c r="F158" s="5" t="n">
        <v>1928000</v>
      </c>
      <c r="G158" s="6" t="n">
        <v>2369000</v>
      </c>
      <c r="H158" s="4" t="inlineStr">
        <is>
          <t>Cái 10c/T Cắt kim loại (tua chậm)MAX 1500R.P.M</t>
        </is>
      </c>
    </row>
    <row r="159">
      <c r="A159" s="3" t="n">
        <v>158</v>
      </c>
      <c r="B159" s="3" t="n">
        <v>10</v>
      </c>
      <c r="C159" s="4" t="inlineStr">
        <is>
          <t>K1-355x80T 355*25.4*2.5mm80T</t>
        </is>
      </c>
      <c r="D159" s="3" t="inlineStr">
        <is>
          <t>Cái</t>
        </is>
      </c>
      <c r="E159" s="5" t="n">
        <v>1682000</v>
      </c>
      <c r="F159" s="5" t="n">
        <v>1985000</v>
      </c>
      <c r="G159" s="6" t="n">
        <v>2439000</v>
      </c>
      <c r="H159" s="4" t="inlineStr">
        <is>
          <t>Cái 10c/T Cắt kim loại (tua chậm)MAX 1500R.P.M</t>
        </is>
      </c>
    </row>
    <row r="160">
      <c r="A160" s="3" t="n">
        <v>159</v>
      </c>
      <c r="B160" s="3" t="n">
        <v>10</v>
      </c>
      <c r="C160" s="4" t="inlineStr">
        <is>
          <t>K1-355x80T-NEW 355*25.4*2.5mm80T</t>
        </is>
      </c>
      <c r="D160" s="3" t="inlineStr">
        <is>
          <t>Cái</t>
        </is>
      </c>
      <c r="E160" s="5" t="n">
        <v>1936000</v>
      </c>
      <c r="F160" s="5" t="n">
        <v>2284000</v>
      </c>
      <c r="G160" s="6" t="n">
        <v>2807000</v>
      </c>
      <c r="H160" s="4" t="inlineStr">
        <is>
          <t>Cái 10c/T Cắt kim loại (tua chậm)MAX 1500R.P.M</t>
        </is>
      </c>
    </row>
    <row r="161">
      <c r="A161" s="3" t="n">
        <v>160</v>
      </c>
      <c r="B161" s="3" t="n">
        <v>10</v>
      </c>
      <c r="C161" s="4" t="inlineStr">
        <is>
          <t>K1-405x100T 405*25.4*2.5mm100T</t>
        </is>
      </c>
      <c r="D161" s="3" t="inlineStr">
        <is>
          <t>Cái</t>
        </is>
      </c>
      <c r="E161" s="5" t="n">
        <v>1997000</v>
      </c>
      <c r="F161" s="5" t="n">
        <v>2357000</v>
      </c>
      <c r="G161" s="6" t="n">
        <v>2896000</v>
      </c>
      <c r="H161" s="4" t="inlineStr">
        <is>
          <t>Cái 10c/T</t>
        </is>
      </c>
    </row>
    <row r="162">
      <c r="A162" s="3" t="n">
        <v>161</v>
      </c>
      <c r="B162" s="3" t="n">
        <v>10</v>
      </c>
      <c r="C162" s="4" t="inlineStr">
        <is>
          <t>K1-455x100T 150*20mm100T</t>
        </is>
      </c>
      <c r="D162" s="3" t="inlineStr">
        <is>
          <t>Cái</t>
        </is>
      </c>
      <c r="E162" s="5" t="n">
        <v>2904000</v>
      </c>
      <c r="F162" s="5" t="n">
        <v>3427000</v>
      </c>
      <c r="G162" s="6" t="n">
        <v>4211000</v>
      </c>
      <c r="H162" s="4" t="inlineStr">
        <is>
          <t>Cái 10c/T</t>
        </is>
      </c>
    </row>
    <row r="163">
      <c r="A163" s="3" t="n">
        <v>162</v>
      </c>
      <c r="B163" s="3" t="n">
        <v>10</v>
      </c>
      <c r="C163" s="4" t="inlineStr">
        <is>
          <t>K1-150*20*32T 150*20mm32T</t>
        </is>
      </c>
      <c r="D163" s="3" t="inlineStr">
        <is>
          <t>Cái</t>
        </is>
      </c>
      <c r="E163" s="5" t="n">
        <v>273000</v>
      </c>
      <c r="F163" s="5" t="n">
        <v>322000</v>
      </c>
      <c r="G163" s="6" t="n">
        <v>396000</v>
      </c>
      <c r="H163" s="4" t="inlineStr">
        <is>
          <t>Cái 1c/H 50c/T</t>
        </is>
      </c>
    </row>
    <row r="164">
      <c r="A164" s="3" t="n">
        <v>163</v>
      </c>
      <c r="B164" s="3" t="n">
        <v>10</v>
      </c>
      <c r="C164" s="4" t="inlineStr">
        <is>
          <t>K1-185X32T 185*20mm32T</t>
        </is>
      </c>
      <c r="D164" s="3" t="inlineStr">
        <is>
          <t>Cái</t>
        </is>
      </c>
      <c r="E164" s="5" t="n">
        <v>273000</v>
      </c>
      <c r="F164" s="5" t="n">
        <v>322000</v>
      </c>
      <c r="G164" s="6" t="n">
        <v>396000</v>
      </c>
      <c r="H164" s="4" t="inlineStr">
        <is>
          <t>Cái 1c/H 50c/T</t>
        </is>
      </c>
    </row>
    <row r="165">
      <c r="A165" s="3" t="n">
        <v>164</v>
      </c>
      <c r="B165" s="3" t="n">
        <v>10</v>
      </c>
      <c r="C165" s="4" t="inlineStr">
        <is>
          <t>Lưỡi cưa KingBlueM2 HSS-M2-275x2.0 275*32*2mm220T</t>
        </is>
      </c>
      <c r="D165" s="3" t="inlineStr">
        <is>
          <t>Cái</t>
        </is>
      </c>
      <c r="E165" s="5" t="n">
        <v>1089000</v>
      </c>
      <c r="F165" s="5" t="n">
        <v>1285000</v>
      </c>
      <c r="G165" s="6" t="n">
        <v>1579000</v>
      </c>
      <c r="H165" s="4" t="inlineStr">
        <is>
          <t>Cái 1c/H Cắt kim loại (tua chậm)</t>
        </is>
      </c>
    </row>
    <row r="166">
      <c r="A166" s="3" t="n">
        <v>165</v>
      </c>
      <c r="B166" s="3" t="n">
        <v>11</v>
      </c>
      <c r="C166" s="4" t="inlineStr">
        <is>
          <t>HSS-M42A-275x1.6 275*32*1.6mm220T</t>
        </is>
      </c>
      <c r="D166" s="3" t="inlineStr">
        <is>
          <t>Cái</t>
        </is>
      </c>
      <c r="E166" s="5" t="n">
        <v>1452000</v>
      </c>
      <c r="F166" s="5" t="n">
        <v>1713000</v>
      </c>
      <c r="G166" s="6" t="n">
        <v>2105000</v>
      </c>
      <c r="H166" s="4" t="inlineStr">
        <is>
          <t>Cái 1c/H</t>
        </is>
      </c>
    </row>
    <row r="167">
      <c r="A167" s="3" t="n">
        <v>166</v>
      </c>
      <c r="B167" s="3" t="n">
        <v>11</v>
      </c>
      <c r="C167" s="4" t="inlineStr">
        <is>
          <t>HSS-M42A-300x1.6 300*32*1.6mm260T</t>
        </is>
      </c>
      <c r="D167" s="3" t="inlineStr">
        <is>
          <t>Cái</t>
        </is>
      </c>
      <c r="E167" s="5" t="n">
        <v>1634000</v>
      </c>
      <c r="F167" s="5" t="n">
        <v>1928000</v>
      </c>
      <c r="G167" s="6" t="n">
        <v>2369000</v>
      </c>
      <c r="H167" s="4" t="inlineStr">
        <is>
          <t>Cái 1c/H</t>
        </is>
      </c>
    </row>
    <row r="168">
      <c r="A168" s="3" t="n">
        <v>167</v>
      </c>
      <c r="B168" s="3" t="n">
        <v>11</v>
      </c>
      <c r="C168" s="4" t="inlineStr">
        <is>
          <t>HSS-M42A-350x2.0 350*32*2.0mm220T</t>
        </is>
      </c>
      <c r="D168" s="3" t="inlineStr">
        <is>
          <t>Cái</t>
        </is>
      </c>
      <c r="E168" s="5" t="n">
        <v>2844000</v>
      </c>
      <c r="F168" s="5" t="n">
        <v>3356000</v>
      </c>
      <c r="G168" s="6" t="n">
        <v>4124000</v>
      </c>
      <c r="H168" s="4" t="inlineStr">
        <is>
          <t>Cái 1c/H</t>
        </is>
      </c>
    </row>
    <row r="169">
      <c r="A169" s="3" t="n">
        <v>168</v>
      </c>
      <c r="B169" s="3" t="n">
        <v>11</v>
      </c>
      <c r="C169" s="4" t="inlineStr">
        <is>
          <t>HSS-M42A-400x2.0 400*32*2.0mm320T</t>
        </is>
      </c>
      <c r="D169" s="3" t="inlineStr">
        <is>
          <t>Cái</t>
        </is>
      </c>
      <c r="E169" s="5" t="n">
        <v>4054000</v>
      </c>
      <c r="F169" s="5" t="n">
        <v>4784000</v>
      </c>
      <c r="G169" s="6" t="n">
        <v>5878000</v>
      </c>
      <c r="H169" s="4" t="inlineStr">
        <is>
          <t>Cái 1c/H</t>
        </is>
      </c>
    </row>
    <row r="170">
      <c r="A170" s="3" t="n">
        <v>169</v>
      </c>
      <c r="B170" s="3" t="n">
        <v>11</v>
      </c>
      <c r="C170" s="4" t="inlineStr">
        <is>
          <t>HSS-M42A-400x2.5 400*32*2.5mm320T</t>
        </is>
      </c>
      <c r="D170" s="3" t="inlineStr">
        <is>
          <t>Cái</t>
        </is>
      </c>
      <c r="E170" s="5" t="n">
        <v>4429000</v>
      </c>
      <c r="F170" s="5" t="n">
        <v>5226000</v>
      </c>
      <c r="G170" s="6" t="n">
        <v>6422000</v>
      </c>
      <c r="H170" s="4" t="inlineStr">
        <is>
          <t>Cái 1c/H</t>
        </is>
      </c>
    </row>
    <row r="171">
      <c r="A171" s="3" t="n">
        <v>170</v>
      </c>
      <c r="B171" s="3" t="n">
        <v>11</v>
      </c>
      <c r="C171" s="4" t="inlineStr">
        <is>
          <t>HSS-M42A-450x2.5 450*32*2.5mm320T</t>
        </is>
      </c>
      <c r="D171" s="3" t="inlineStr">
        <is>
          <t>Cái</t>
        </is>
      </c>
      <c r="E171" s="5" t="n">
        <v>6534000</v>
      </c>
      <c r="F171" s="5" t="n">
        <v>7710000</v>
      </c>
      <c r="G171" s="6" t="n">
        <v>9474000</v>
      </c>
      <c r="H171" s="4" t="inlineStr">
        <is>
          <t>Cái 1c/H</t>
        </is>
      </c>
    </row>
    <row r="172">
      <c r="A172" s="3" t="n">
        <v>171</v>
      </c>
      <c r="B172" s="3" t="n">
        <v>11</v>
      </c>
      <c r="C172" s="4" t="inlineStr">
        <is>
          <t>HSS-M42A-500x3.0 500*32*3.0mm320T</t>
        </is>
      </c>
      <c r="D172" s="3" t="inlineStr">
        <is>
          <t>Cái</t>
        </is>
      </c>
      <c r="E172" s="5" t="n">
        <v>11495000</v>
      </c>
      <c r="F172" s="5" t="n">
        <v>13564000</v>
      </c>
      <c r="G172" s="6" t="n">
        <v>16668000</v>
      </c>
      <c r="H172" s="4" t="inlineStr">
        <is>
          <t>Cái 1c/H</t>
        </is>
      </c>
    </row>
    <row r="173">
      <c r="A173" s="3" t="n">
        <v>172</v>
      </c>
      <c r="B173" s="3" t="n">
        <v>12</v>
      </c>
      <c r="C173" s="4" t="inlineStr">
        <is>
          <t>Lưỡi cắt OMG ĐN AA OMG-110AA 110*1.4mm</t>
        </is>
      </c>
      <c r="D173" s="3" t="inlineStr">
        <is>
          <t>Cái</t>
        </is>
      </c>
      <c r="E173" s="5" t="n">
        <v>94000</v>
      </c>
      <c r="F173" s="5" t="n">
        <v>136000</v>
      </c>
      <c r="G173" s="6" t="n"/>
      <c r="H173" s="4" t="inlineStr">
        <is>
          <t>Cái 10v/H 200v/T</t>
        </is>
      </c>
    </row>
    <row r="174">
      <c r="A174" s="3" t="n">
        <v>173</v>
      </c>
      <c r="B174" s="3" t="n">
        <v>12</v>
      </c>
      <c r="C174" s="4" t="inlineStr">
        <is>
          <t>Lưỡi cắt OMG ĐN A OMG-110A 110*1.4mm</t>
        </is>
      </c>
      <c r="D174" s="3" t="inlineStr">
        <is>
          <t>Cái</t>
        </is>
      </c>
      <c r="E174" s="5" t="n">
        <v>83000</v>
      </c>
      <c r="F174" s="5" t="n">
        <v>120000</v>
      </c>
      <c r="G174" s="6" t="n"/>
      <c r="H174" s="4" t="inlineStr">
        <is>
          <t>Cái 10v/H 200v/T</t>
        </is>
      </c>
    </row>
    <row r="175">
      <c r="A175" s="3" t="n">
        <v>174</v>
      </c>
      <c r="B175" s="3" t="n">
        <v>12</v>
      </c>
      <c r="C175" s="4" t="inlineStr">
        <is>
          <t>Lưỡi cắt OMG ĐN B OMG-110B 110*1.4mm</t>
        </is>
      </c>
      <c r="D175" s="3" t="inlineStr">
        <is>
          <t>Cái</t>
        </is>
      </c>
      <c r="E175" s="5" t="n">
        <v>68000</v>
      </c>
      <c r="F175" s="5" t="n">
        <v>99000</v>
      </c>
      <c r="G175" s="6" t="n"/>
      <c r="H175" s="4" t="inlineStr">
        <is>
          <t>Cái 10v/H 200v/T</t>
        </is>
      </c>
    </row>
    <row r="176">
      <c r="A176" s="3" t="n">
        <v>175</v>
      </c>
      <c r="B176" s="3" t="n">
        <v>12</v>
      </c>
      <c r="C176" s="4" t="inlineStr">
        <is>
          <t>Lưỡi cắt OMG ĐN A OMG-125A 125*1.5mm</t>
        </is>
      </c>
      <c r="D176" s="3" t="inlineStr">
        <is>
          <t>Cái</t>
        </is>
      </c>
      <c r="E176" s="5" t="n">
        <v>99000</v>
      </c>
      <c r="F176" s="5" t="n">
        <v>144000</v>
      </c>
      <c r="G176" s="6" t="n"/>
      <c r="H176" s="4" t="inlineStr">
        <is>
          <t>Cái 10v/H 200v/T</t>
        </is>
      </c>
    </row>
    <row r="177">
      <c r="A177" s="3" t="n">
        <v>176</v>
      </c>
      <c r="B177" s="3" t="n">
        <v>12</v>
      </c>
      <c r="C177" s="4" t="inlineStr">
        <is>
          <t>Lưỡi cắt OMG ĐN B OMG-125B 125*1.5mm</t>
        </is>
      </c>
      <c r="D177" s="3" t="inlineStr">
        <is>
          <t>Cái</t>
        </is>
      </c>
      <c r="E177" s="5" t="n">
        <v>79000</v>
      </c>
      <c r="F177" s="5" t="n">
        <v>115000</v>
      </c>
      <c r="G177" s="6" t="n"/>
      <c r="H177" s="4" t="inlineStr">
        <is>
          <t>Cái 10v/H 200v/T</t>
        </is>
      </c>
    </row>
    <row r="178">
      <c r="A178" s="3" t="n">
        <v>177</v>
      </c>
      <c r="B178" s="3" t="n">
        <v>12</v>
      </c>
      <c r="C178" s="4" t="inlineStr">
        <is>
          <t>Lưỡi cắt Rồng ĐN AA LCR DN AA105 105*1.4mm</t>
        </is>
      </c>
      <c r="D178" s="3" t="inlineStr">
        <is>
          <t>Cái</t>
        </is>
      </c>
      <c r="E178" s="5" t="n">
        <v>91000</v>
      </c>
      <c r="F178" s="5" t="n">
        <v>132000</v>
      </c>
      <c r="G178" s="6" t="n"/>
      <c r="H178" s="4" t="inlineStr">
        <is>
          <t>Cái 10v/H 200v/T</t>
        </is>
      </c>
    </row>
    <row r="179">
      <c r="A179" s="3" t="n">
        <v>178</v>
      </c>
      <c r="B179" s="3" t="n">
        <v>12</v>
      </c>
      <c r="C179" s="4" t="inlineStr">
        <is>
          <t>Lưỡi cắt Rồng ĐN A LCR DN A 105 105*1.4mm</t>
        </is>
      </c>
      <c r="D179" s="3" t="inlineStr">
        <is>
          <t>Cái</t>
        </is>
      </c>
      <c r="E179" s="5" t="n">
        <v>69000</v>
      </c>
      <c r="F179" s="5" t="n">
        <v>100000</v>
      </c>
      <c r="G179" s="6" t="n"/>
      <c r="H179" s="4" t="inlineStr">
        <is>
          <t>Cái 10v/H 200v/T</t>
        </is>
      </c>
    </row>
    <row r="180">
      <c r="A180" s="3" t="n">
        <v>179</v>
      </c>
      <c r="B180" s="3" t="n">
        <v>12</v>
      </c>
      <c r="C180" s="4" t="inlineStr">
        <is>
          <t>Lưỡi cắt Rồng ĐN B LCR DN B 105 105*1.4mm</t>
        </is>
      </c>
      <c r="D180" s="3" t="inlineStr">
        <is>
          <t>Cái</t>
        </is>
      </c>
      <c r="E180" s="5" t="n">
        <v>55000</v>
      </c>
      <c r="F180" s="5" t="n">
        <v>80000</v>
      </c>
      <c r="G180" s="6" t="n"/>
      <c r="H180" s="4" t="inlineStr">
        <is>
          <t>Cái 10v/H 200v/T</t>
        </is>
      </c>
    </row>
    <row r="181">
      <c r="A181" s="3" t="n">
        <v>180</v>
      </c>
      <c r="B181" s="3" t="n">
        <v>12</v>
      </c>
      <c r="C181" s="4" t="inlineStr">
        <is>
          <t>Lưỡi cắt Rồng ĐN A LCR DN A 125 125*1.5mm</t>
        </is>
      </c>
      <c r="D181" s="3" t="inlineStr">
        <is>
          <t>Cái</t>
        </is>
      </c>
      <c r="E181" s="5" t="n">
        <v>99000</v>
      </c>
      <c r="F181" s="5" t="n">
        <v>144000</v>
      </c>
      <c r="G181" s="6" t="n"/>
      <c r="H181" s="4" t="inlineStr">
        <is>
          <t>Cái 10v/H 200v/T</t>
        </is>
      </c>
    </row>
    <row r="182">
      <c r="A182" s="3" t="n">
        <v>181</v>
      </c>
      <c r="B182" s="3" t="n">
        <v>12</v>
      </c>
      <c r="C182" s="4" t="inlineStr">
        <is>
          <t>Lưỡi cắt Rồng ĐN B LCR DN B 125 125*1.5mm</t>
        </is>
      </c>
      <c r="D182" s="3" t="inlineStr">
        <is>
          <t>Cái</t>
        </is>
      </c>
      <c r="E182" s="5" t="n">
        <v>79000</v>
      </c>
      <c r="F182" s="5" t="n">
        <v>115000</v>
      </c>
      <c r="G182" s="6" t="n"/>
      <c r="H182" s="4" t="inlineStr">
        <is>
          <t>Cái 10v/H 200v/T</t>
        </is>
      </c>
    </row>
    <row r="183">
      <c r="A183" s="3" t="n">
        <v>182</v>
      </c>
      <c r="B183" s="3" t="n">
        <v>12</v>
      </c>
      <c r="C183" s="4" t="inlineStr">
        <is>
          <t>Lưỡi cắt Rồng AA LCRXAA114R/L 114*2.0mm</t>
        </is>
      </c>
      <c r="D183" s="3" t="inlineStr">
        <is>
          <t>Cái</t>
        </is>
      </c>
      <c r="E183" s="5" t="n">
        <v>75000</v>
      </c>
      <c r="F183" s="5" t="n">
        <v>109000</v>
      </c>
      <c r="G183" s="6" t="n"/>
      <c r="H183" s="4" t="inlineStr">
        <is>
          <t>Cái 10v/H 200v/T</t>
        </is>
      </c>
    </row>
    <row r="184">
      <c r="A184" s="3" t="n">
        <v>183</v>
      </c>
      <c r="B184" s="3" t="n">
        <v>12</v>
      </c>
      <c r="C184" s="4" t="inlineStr">
        <is>
          <t>Lưỡi cắt Rồng A LCRX A114R/L 114*2.0mm</t>
        </is>
      </c>
      <c r="D184" s="3" t="inlineStr">
        <is>
          <t>Cái</t>
        </is>
      </c>
      <c r="E184" s="5" t="n">
        <v>62000</v>
      </c>
      <c r="F184" s="5" t="n">
        <v>90000</v>
      </c>
      <c r="G184" s="6" t="n"/>
      <c r="H184" s="4" t="inlineStr">
        <is>
          <t>Cái 10v/H 200v/T</t>
        </is>
      </c>
    </row>
    <row r="185">
      <c r="A185" s="3" t="n">
        <v>184</v>
      </c>
      <c r="B185" s="3" t="n">
        <v>12</v>
      </c>
      <c r="C185" s="4" t="inlineStr">
        <is>
          <t>Lưỡi cắt Rồng B LCRX B 114R/L 114*2.0mm</t>
        </is>
      </c>
      <c r="D185" s="3" t="inlineStr">
        <is>
          <t>Cái</t>
        </is>
      </c>
      <c r="E185" s="5" t="n">
        <v>48000</v>
      </c>
      <c r="F185" s="5" t="n">
        <v>70000</v>
      </c>
      <c r="G185" s="6" t="n"/>
      <c r="H185" s="4" t="inlineStr">
        <is>
          <t>Cái 10v/H 200v/T</t>
        </is>
      </c>
    </row>
    <row r="186">
      <c r="A186" s="3" t="n">
        <v>185</v>
      </c>
      <c r="B186" s="3" t="n">
        <v>12</v>
      </c>
      <c r="C186" s="4" t="inlineStr">
        <is>
          <t>Lưỡi cắt Rồng AA LCR AA 125 x 2 R/L 125*2.0mm</t>
        </is>
      </c>
      <c r="D186" s="3" t="inlineStr">
        <is>
          <t>Cái</t>
        </is>
      </c>
      <c r="E186" s="5" t="n">
        <v>89000</v>
      </c>
      <c r="F186" s="5" t="n">
        <v>129000</v>
      </c>
      <c r="G186" s="6" t="n"/>
      <c r="H186" s="4" t="inlineStr">
        <is>
          <t>Cái 10v/H 200v/T</t>
        </is>
      </c>
    </row>
    <row r="187">
      <c r="A187" s="3" t="n">
        <v>186</v>
      </c>
      <c r="B187" s="3" t="n">
        <v>12</v>
      </c>
      <c r="C187" s="4" t="inlineStr">
        <is>
          <t>Lưỡi cắt Rồng A LCRX A 125R/L 125*2.0mm</t>
        </is>
      </c>
      <c r="D187" s="3" t="inlineStr">
        <is>
          <t>Cái</t>
        </is>
      </c>
      <c r="E187" s="5" t="n">
        <v>77000</v>
      </c>
      <c r="F187" s="5" t="n">
        <v>112000</v>
      </c>
      <c r="G187" s="6" t="n"/>
      <c r="H187" s="4" t="inlineStr">
        <is>
          <t>Cái 10v/H 200v/T</t>
        </is>
      </c>
    </row>
    <row r="188">
      <c r="A188" s="3" t="n">
        <v>187</v>
      </c>
      <c r="B188" s="3" t="n">
        <v>12</v>
      </c>
      <c r="C188" s="4" t="inlineStr">
        <is>
          <t>Lưỡi cắt Rồng B LCRX B 125R/L 125*2.0mm</t>
        </is>
      </c>
      <c r="D188" s="3" t="inlineStr">
        <is>
          <t>Cái</t>
        </is>
      </c>
      <c r="E188" s="5" t="n">
        <v>62000</v>
      </c>
      <c r="F188" s="5" t="n">
        <v>90000</v>
      </c>
      <c r="G188" s="6" t="n"/>
      <c r="H188" s="4" t="inlineStr">
        <is>
          <t>Cái 10v/H 200v/T</t>
        </is>
      </c>
    </row>
    <row r="189">
      <c r="A189" s="3" t="n">
        <v>188</v>
      </c>
      <c r="B189" s="3" t="n">
        <v>12</v>
      </c>
      <c r="C189" s="4" t="inlineStr">
        <is>
          <t>Lưỡi cắt Rồng A LCRX A 150R/L 150*2.2mm</t>
        </is>
      </c>
      <c r="D189" s="3" t="inlineStr">
        <is>
          <t>Cái</t>
        </is>
      </c>
      <c r="E189" s="5" t="n">
        <v>100000</v>
      </c>
      <c r="F189" s="5" t="n">
        <v>145000</v>
      </c>
      <c r="G189" s="6" t="n"/>
      <c r="H189" s="4" t="inlineStr">
        <is>
          <t>Cái 10v/H 100v/T</t>
        </is>
      </c>
    </row>
    <row r="190">
      <c r="A190" s="3" t="n">
        <v>189</v>
      </c>
      <c r="B190" s="3" t="n">
        <v>12</v>
      </c>
      <c r="C190" s="4" t="inlineStr">
        <is>
          <t>Lưỡi cắt Rồng A LCRX A 180R/L 180*2.2mm</t>
        </is>
      </c>
      <c r="D190" s="3" t="inlineStr">
        <is>
          <t>Cái</t>
        </is>
      </c>
      <c r="E190" s="5" t="n">
        <v>117000</v>
      </c>
      <c r="F190" s="5" t="n">
        <v>170000</v>
      </c>
      <c r="G190" s="6" t="n"/>
      <c r="H190" s="4" t="inlineStr">
        <is>
          <t>Cái 10v/H 50v/T</t>
        </is>
      </c>
    </row>
    <row r="191">
      <c r="A191" s="3" t="n">
        <v>190</v>
      </c>
      <c r="B191" s="3" t="n">
        <v>13</v>
      </c>
      <c r="C191" s="4" t="inlineStr">
        <is>
          <t>Cưa Kingblue KB-E350 350mm</t>
        </is>
      </c>
      <c r="D191" s="3" t="inlineStr">
        <is>
          <t>Cái</t>
        </is>
      </c>
      <c r="E191" s="5" t="n">
        <v>242000</v>
      </c>
      <c r="F191" s="5" t="n">
        <v>286000</v>
      </c>
      <c r="G191" s="6" t="n">
        <v>351000</v>
      </c>
      <c r="H191" s="4" t="inlineStr">
        <is>
          <t>Cái  12c/H 48c/T Thép SK5 JAPAN</t>
        </is>
      </c>
    </row>
    <row r="192">
      <c r="A192" s="3" t="n">
        <v>191</v>
      </c>
      <c r="B192" s="3" t="n">
        <v>13</v>
      </c>
      <c r="C192" s="4" t="inlineStr">
        <is>
          <t>Cưa Kingblue KB-S330 330mm</t>
        </is>
      </c>
      <c r="D192" s="3" t="inlineStr">
        <is>
          <t>Cái</t>
        </is>
      </c>
      <c r="E192" s="5" t="n">
        <v>263000</v>
      </c>
      <c r="F192" s="5" t="n">
        <v>310000</v>
      </c>
      <c r="G192" s="6" t="n">
        <v>381000</v>
      </c>
      <c r="H192" s="4" t="inlineStr">
        <is>
          <t>Cái  12c/H 48c/T Thép SK5 JAPAN</t>
        </is>
      </c>
    </row>
    <row r="193">
      <c r="A193" s="3" t="n">
        <v>192</v>
      </c>
      <c r="B193" s="3" t="n">
        <v>13</v>
      </c>
      <c r="C193" s="4" t="inlineStr">
        <is>
          <t>Lưỡi Cưa Kingblue KB-LE350 350mm</t>
        </is>
      </c>
      <c r="D193" s="3" t="inlineStr">
        <is>
          <t>Cái</t>
        </is>
      </c>
      <c r="E193" s="5" t="n">
        <v>158000</v>
      </c>
      <c r="F193" s="5" t="n">
        <v>186000</v>
      </c>
      <c r="G193" s="6" t="n">
        <v>229000</v>
      </c>
      <c r="H193" s="4" t="inlineStr">
        <is>
          <t>Cái  50c/H 200c/T Thép SK5 JAP AN</t>
        </is>
      </c>
    </row>
    <row r="194">
      <c r="A194" s="3" t="n">
        <v>193</v>
      </c>
      <c r="B194" s="3" t="n">
        <v>13</v>
      </c>
      <c r="C194" s="4" t="inlineStr">
        <is>
          <t>Lưỡi Cưa Kingblue KB-LS330 330mm</t>
        </is>
      </c>
      <c r="D194" s="3" t="inlineStr">
        <is>
          <t>Cái</t>
        </is>
      </c>
      <c r="E194" s="5" t="n">
        <v>184000</v>
      </c>
      <c r="F194" s="5" t="n">
        <v>217000</v>
      </c>
      <c r="G194" s="6" t="n">
        <v>267000</v>
      </c>
      <c r="H194" s="4" t="inlineStr">
        <is>
          <t>Cái  50c/H 200c/T Thép SK5 JAP AN</t>
        </is>
      </c>
    </row>
    <row r="195">
      <c r="A195" s="3" t="n">
        <v>194</v>
      </c>
      <c r="B195" s="3" t="n">
        <v>13</v>
      </c>
      <c r="C195" s="4" t="inlineStr">
        <is>
          <t>Cưa gấp Kingblue ES180i 180mm</t>
        </is>
      </c>
      <c r="D195" s="3" t="inlineStr">
        <is>
          <t>Cái</t>
        </is>
      </c>
      <c r="E195" s="5" t="n">
        <v>139000</v>
      </c>
      <c r="F195" s="5" t="n">
        <v>164000</v>
      </c>
      <c r="G195" s="6" t="n">
        <v>202000</v>
      </c>
      <c r="H195" s="4" t="inlineStr">
        <is>
          <t>Cái  12c/H 72c/T Thép SK5 JAP AN</t>
        </is>
      </c>
    </row>
    <row r="196">
      <c r="A196" s="3" t="n">
        <v>195</v>
      </c>
      <c r="B196" s="3" t="n">
        <v>13</v>
      </c>
      <c r="C196" s="4" t="inlineStr">
        <is>
          <t>Cưa gấp Kingblue ES250 250mm</t>
        </is>
      </c>
      <c r="D196" s="3" t="inlineStr">
        <is>
          <t>Cái</t>
        </is>
      </c>
      <c r="E196" s="5" t="n">
        <v>185000</v>
      </c>
      <c r="F196" s="5" t="n">
        <v>218000</v>
      </c>
      <c r="G196" s="6" t="n">
        <v>268000</v>
      </c>
      <c r="H196" s="4" t="inlineStr">
        <is>
          <t>Cái  12c/H 72c/T Thép SK5 JAP AN</t>
        </is>
      </c>
    </row>
    <row r="197">
      <c r="A197" s="3" t="n">
        <v>196</v>
      </c>
      <c r="B197" s="3" t="n">
        <v>13</v>
      </c>
      <c r="C197" s="4" t="inlineStr">
        <is>
          <t>Cưa Kingblue KB-D300 300mm</t>
        </is>
      </c>
      <c r="D197" s="3" t="inlineStr">
        <is>
          <t>Cái</t>
        </is>
      </c>
      <c r="E197" s="5" t="n">
        <v>208000</v>
      </c>
      <c r="F197" s="5" t="n">
        <v>246000</v>
      </c>
      <c r="G197" s="6" t="n">
        <v>302000</v>
      </c>
      <c r="H197" s="4" t="inlineStr">
        <is>
          <t>Cái 20c/H 80c/T Thép SK5 JAPAN</t>
        </is>
      </c>
    </row>
    <row r="198">
      <c r="A198" s="3" t="n">
        <v>197</v>
      </c>
      <c r="B198" s="3" t="n">
        <v>13</v>
      </c>
      <c r="C198" s="4" t="inlineStr">
        <is>
          <t>Lưỡi cưa Kingblue QLE300 300mm</t>
        </is>
      </c>
      <c r="D198" s="3" t="inlineStr">
        <is>
          <t>Cái</t>
        </is>
      </c>
      <c r="E198" s="5" t="n">
        <v>110000</v>
      </c>
      <c r="F198" s="5" t="n">
        <v>130000</v>
      </c>
      <c r="G198" s="6" t="n">
        <v>160000</v>
      </c>
      <c r="H198" s="4" t="inlineStr">
        <is>
          <t>Cái  40c/H 320c/T Thép SK5 JAPAN Lắp bổ sung cho kéo QE</t>
        </is>
      </c>
    </row>
    <row r="199">
      <c r="A199" s="3" t="n">
        <v>198</v>
      </c>
      <c r="B199" s="3" t="n">
        <v>13</v>
      </c>
      <c r="C199" s="4" t="inlineStr">
        <is>
          <t>Lưỡi cưa Kingblue CLE-300 300mm</t>
        </is>
      </c>
      <c r="D199" s="3" t="inlineStr">
        <is>
          <t>Cái</t>
        </is>
      </c>
      <c r="E199" s="5" t="n">
        <v>98000</v>
      </c>
      <c r="F199" s="5" t="n">
        <v>116000</v>
      </c>
      <c r="G199" s="6" t="n">
        <v>142000</v>
      </c>
      <c r="H199" s="4" t="inlineStr">
        <is>
          <t>Cái  40c/H 320c/T Thép SK5 JAPANThay cho cưa CE</t>
        </is>
      </c>
    </row>
    <row r="200">
      <c r="A200" s="3" t="n">
        <v>199</v>
      </c>
      <c r="B200" s="3" t="n">
        <v>13</v>
      </c>
      <c r="C200" s="4" t="inlineStr">
        <is>
          <t>Cưa cànhtrên cao CE215 2,1m</t>
        </is>
      </c>
      <c r="D200" s="3" t="inlineStr">
        <is>
          <t>Cái</t>
        </is>
      </c>
      <c r="E200" s="5" t="n">
        <v>466000</v>
      </c>
      <c r="F200" s="5" t="n">
        <v>550000</v>
      </c>
      <c r="G200" s="6" t="n">
        <v>676000</v>
      </c>
      <c r="H200" s="4" t="inlineStr">
        <is>
          <t>Cái  1c/H 24c/T</t>
        </is>
      </c>
    </row>
    <row r="201">
      <c r="A201" s="3" t="n">
        <v>200</v>
      </c>
      <c r="B201" s="3" t="n">
        <v>13</v>
      </c>
      <c r="C201" s="4" t="inlineStr">
        <is>
          <t>Cưa cànhtrên cao CE280 2,8m</t>
        </is>
      </c>
      <c r="D201" s="3" t="inlineStr">
        <is>
          <t>Cái</t>
        </is>
      </c>
      <c r="E201" s="5" t="n">
        <v>490000</v>
      </c>
      <c r="F201" s="5" t="n">
        <v>578000</v>
      </c>
      <c r="G201" s="6" t="n">
        <v>711000</v>
      </c>
      <c r="H201" s="4" t="inlineStr">
        <is>
          <t>Cái  1c/H 24c/T</t>
        </is>
      </c>
    </row>
    <row r="202">
      <c r="A202" s="3" t="n">
        <v>201</v>
      </c>
      <c r="B202" s="3" t="n">
        <v>13</v>
      </c>
      <c r="C202" s="4" t="inlineStr"/>
      <c r="D202" s="3" t="inlineStr">
        <is>
          <t>Cái</t>
        </is>
      </c>
      <c r="E202" s="5" t="n">
        <v>102000</v>
      </c>
      <c r="F202" s="5" t="n">
        <v>120000</v>
      </c>
      <c r="G202" s="6" t="n">
        <v>148000</v>
      </c>
      <c r="H202" s="4" t="inlineStr">
        <is>
          <t>Cái  6c/H 36c/T</t>
        </is>
      </c>
    </row>
    <row r="203">
      <c r="A203" s="3" t="n">
        <v>202</v>
      </c>
      <c r="B203" s="3" t="n">
        <v>13</v>
      </c>
      <c r="C203" s="4" t="inlineStr">
        <is>
          <t>KB001-B7 7"</t>
        </is>
      </c>
      <c r="D203" s="3" t="inlineStr">
        <is>
          <t>Cái</t>
        </is>
      </c>
      <c r="E203" s="5" t="n">
        <v>98000</v>
      </c>
      <c r="F203" s="5" t="n">
        <v>116000</v>
      </c>
      <c r="G203" s="6" t="n">
        <v>142000</v>
      </c>
      <c r="H203" s="4" t="inlineStr">
        <is>
          <t>Cái  12c/H 72c/T Thép SK5 JAPAN Lưỡi made in Taiwan</t>
        </is>
      </c>
    </row>
    <row r="204">
      <c r="A204" s="3" t="n">
        <v>203</v>
      </c>
      <c r="B204" s="3" t="n">
        <v>13</v>
      </c>
      <c r="C204" s="4" t="inlineStr">
        <is>
          <t>KB002-E7 8"</t>
        </is>
      </c>
      <c r="D204" s="3" t="inlineStr">
        <is>
          <t>Cái</t>
        </is>
      </c>
      <c r="E204" s="5" t="n">
        <v>145000</v>
      </c>
      <c r="F204" s="5" t="n">
        <v>171000</v>
      </c>
      <c r="G204" s="6" t="n">
        <v>210000</v>
      </c>
      <c r="H204" s="4" t="inlineStr">
        <is>
          <t>Cái  12c/H 72c/T Thép SK5 Japan</t>
        </is>
      </c>
    </row>
    <row r="205">
      <c r="A205" s="3" t="n">
        <v>204</v>
      </c>
      <c r="B205" s="3" t="n">
        <v>13</v>
      </c>
      <c r="C205" s="4" t="inlineStr">
        <is>
          <t>KB002-E8 8"</t>
        </is>
      </c>
      <c r="D205" s="3" t="inlineStr">
        <is>
          <t>Cái</t>
        </is>
      </c>
      <c r="E205" s="5" t="n">
        <v>142000</v>
      </c>
      <c r="F205" s="5" t="n">
        <v>168000</v>
      </c>
      <c r="G205" s="6" t="n">
        <v>206000</v>
      </c>
      <c r="H205" s="4" t="inlineStr">
        <is>
          <t>Cái  12c/H 72c/T Thép SK5 JAPAN Lưỡi made in Taiwan</t>
        </is>
      </c>
    </row>
    <row r="206">
      <c r="A206" s="3" t="n">
        <v>205</v>
      </c>
      <c r="B206" s="3" t="n">
        <v>13</v>
      </c>
      <c r="C206" s="4" t="inlineStr">
        <is>
          <t>KB004-S8 8"</t>
        </is>
      </c>
      <c r="D206" s="3" t="inlineStr">
        <is>
          <t>Cái</t>
        </is>
      </c>
      <c r="E206" s="5" t="n">
        <v>244000</v>
      </c>
      <c r="F206" s="5" t="n">
        <v>288000</v>
      </c>
      <c r="G206" s="6" t="n">
        <v>354000</v>
      </c>
      <c r="H206" s="4" t="inlineStr">
        <is>
          <t>Cái  12c/H 72c/T Thép SK5 JAPAN</t>
        </is>
      </c>
    </row>
    <row r="207">
      <c r="A207" s="3" t="n">
        <v>206</v>
      </c>
      <c r="B207" s="3" t="n">
        <v>14</v>
      </c>
      <c r="C207" s="4" t="inlineStr">
        <is>
          <t>Kéo cắt cành cây màu đỏ S8-PA đỏ</t>
        </is>
      </c>
      <c r="D207" s="3" t="inlineStr">
        <is>
          <t>Cái</t>
        </is>
      </c>
      <c r="E207" s="5" t="n">
        <v>617000</v>
      </c>
      <c r="F207" s="5" t="n">
        <v>728000</v>
      </c>
      <c r="G207" s="6" t="n">
        <v>895000</v>
      </c>
      <c r="H207" s="4" t="inlineStr">
        <is>
          <t>Cái  10c/H 60c/T</t>
        </is>
      </c>
    </row>
    <row r="208">
      <c r="A208" s="3" t="n">
        <v>207</v>
      </c>
      <c r="B208" s="3" t="n">
        <v>14</v>
      </c>
      <c r="C208" s="4" t="inlineStr">
        <is>
          <t>Kéo cắt cành cây màu xanh S8-PA xanh</t>
        </is>
      </c>
      <c r="D208" s="3" t="inlineStr">
        <is>
          <t>Cái</t>
        </is>
      </c>
      <c r="E208" s="5" t="n">
        <v>617000</v>
      </c>
      <c r="F208" s="5" t="n">
        <v>728000</v>
      </c>
      <c r="G208" s="6" t="n">
        <v>895000</v>
      </c>
      <c r="H208" s="4" t="inlineStr">
        <is>
          <t>Cái  10c/H 60c/T</t>
        </is>
      </c>
    </row>
    <row r="209">
      <c r="A209" s="3" t="n">
        <v>208</v>
      </c>
      <c r="B209" s="3" t="n">
        <v>14</v>
      </c>
      <c r="C209" s="4" t="inlineStr">
        <is>
          <t>KB001-Q1 8"</t>
        </is>
      </c>
      <c r="D209" s="3" t="inlineStr">
        <is>
          <t>Cái</t>
        </is>
      </c>
      <c r="E209" s="5" t="n">
        <v>79000</v>
      </c>
      <c r="F209" s="5" t="n">
        <v>93000</v>
      </c>
      <c r="G209" s="6" t="n">
        <v>115000</v>
      </c>
      <c r="H209" s="4" t="inlineStr">
        <is>
          <t>Cái  12c/H 72c/T</t>
        </is>
      </c>
    </row>
    <row r="210">
      <c r="A210" s="3" t="n">
        <v>209</v>
      </c>
      <c r="B210" s="3" t="n">
        <v>14</v>
      </c>
      <c r="C210" s="4" t="inlineStr">
        <is>
          <t>KB003-Q2 7"</t>
        </is>
      </c>
      <c r="D210" s="3" t="inlineStr">
        <is>
          <t>Cái</t>
        </is>
      </c>
      <c r="E210" s="5" t="n">
        <v>98000</v>
      </c>
      <c r="F210" s="5" t="n">
        <v>116000</v>
      </c>
      <c r="G210" s="6" t="n">
        <v>142000</v>
      </c>
      <c r="H210" s="4" t="inlineStr">
        <is>
          <t>Cái  12c/H 72c/T</t>
        </is>
      </c>
    </row>
    <row r="211">
      <c r="A211" s="3" t="n">
        <v>210</v>
      </c>
      <c r="B211" s="3" t="n">
        <v>14</v>
      </c>
      <c r="C211" s="4" t="inlineStr">
        <is>
          <t>KB004-Q3 8"</t>
        </is>
      </c>
      <c r="D211" s="3" t="inlineStr">
        <is>
          <t>Cái</t>
        </is>
      </c>
      <c r="E211" s="5" t="n">
        <v>103000</v>
      </c>
      <c r="F211" s="5" t="n">
        <v>121000</v>
      </c>
      <c r="G211" s="6" t="n">
        <v>149000</v>
      </c>
      <c r="H211" s="4" t="inlineStr">
        <is>
          <t>Cái  12c/H 72c/T</t>
        </is>
      </c>
    </row>
    <row r="212">
      <c r="A212" s="3" t="n">
        <v>211</v>
      </c>
      <c r="B212" s="3" t="n">
        <v>14</v>
      </c>
      <c r="C212" s="4" t="inlineStr">
        <is>
          <t>KB006-Q5 8"</t>
        </is>
      </c>
      <c r="D212" s="3" t="inlineStr">
        <is>
          <t>Cái</t>
        </is>
      </c>
      <c r="E212" s="5" t="n">
        <v>128000</v>
      </c>
      <c r="F212" s="5" t="n">
        <v>151000</v>
      </c>
      <c r="G212" s="6" t="n">
        <v>186000</v>
      </c>
      <c r="H212" s="4" t="inlineStr">
        <is>
          <t>Cái  12c/H 72c/T</t>
        </is>
      </c>
    </row>
    <row r="213">
      <c r="A213" s="3" t="n">
        <v>212</v>
      </c>
      <c r="B213" s="3" t="n">
        <v>14</v>
      </c>
      <c r="C213" s="4" t="inlineStr">
        <is>
          <t>KB006-Q6 8"</t>
        </is>
      </c>
      <c r="D213" s="3" t="inlineStr">
        <is>
          <t>Cái</t>
        </is>
      </c>
      <c r="E213" s="5" t="n">
        <v>141000</v>
      </c>
      <c r="F213" s="5" t="n">
        <v>167000</v>
      </c>
      <c r="G213" s="6" t="n">
        <v>205000</v>
      </c>
      <c r="H213" s="4" t="inlineStr">
        <is>
          <t>Cái  12c/H 72c/T</t>
        </is>
      </c>
    </row>
    <row r="214">
      <c r="A214" s="3" t="n">
        <v>213</v>
      </c>
      <c r="B214" s="3" t="n">
        <v>14</v>
      </c>
      <c r="C214" s="4" t="inlineStr">
        <is>
          <t>Kéo Kingblue Q8 8"</t>
        </is>
      </c>
      <c r="D214" s="3" t="inlineStr">
        <is>
          <t>Cái</t>
        </is>
      </c>
      <c r="E214" s="5" t="n">
        <v>145000</v>
      </c>
      <c r="F214" s="5" t="n">
        <v>171000</v>
      </c>
      <c r="G214" s="6" t="n">
        <v>210000</v>
      </c>
      <c r="H214" s="4" t="inlineStr">
        <is>
          <t>Cái  12c/H 72c/T Thép SK5 JAPAN</t>
        </is>
      </c>
    </row>
    <row r="215">
      <c r="A215" s="3" t="n">
        <v>214</v>
      </c>
      <c r="B215" s="3" t="n">
        <v>14</v>
      </c>
      <c r="C215" s="4" t="inlineStr">
        <is>
          <t>Kéo cắt cành Kingblue Q9 8"</t>
        </is>
      </c>
      <c r="D215" s="3" t="inlineStr">
        <is>
          <t>Cái</t>
        </is>
      </c>
      <c r="E215" s="5" t="n">
        <v>185000</v>
      </c>
      <c r="F215" s="5" t="n">
        <v>218000</v>
      </c>
      <c r="G215" s="6" t="n">
        <v>268000</v>
      </c>
      <c r="H215" s="4" t="inlineStr">
        <is>
          <t>Cái  12c/H 72c/T Thép SK5 Japan</t>
        </is>
      </c>
    </row>
    <row r="216">
      <c r="A216" s="3" t="n">
        <v>215</v>
      </c>
      <c r="B216" s="3" t="n">
        <v>14</v>
      </c>
      <c r="C216" s="4" t="inlineStr">
        <is>
          <t>QC1 8"</t>
        </is>
      </c>
      <c r="D216" s="3" t="inlineStr">
        <is>
          <t>Cái</t>
        </is>
      </c>
      <c r="E216" s="5" t="n">
        <v>38000</v>
      </c>
      <c r="F216" s="5" t="n">
        <v>45000</v>
      </c>
      <c r="G216" s="6" t="n">
        <v>55000</v>
      </c>
      <c r="H216" s="4" t="inlineStr">
        <is>
          <t>Cái  20c/H 160c/T Thép carbon</t>
        </is>
      </c>
    </row>
    <row r="217">
      <c r="A217" s="3" t="n">
        <v>216</v>
      </c>
      <c r="B217" s="3" t="n">
        <v>14</v>
      </c>
      <c r="C217" s="4" t="inlineStr">
        <is>
          <t>QC2 8"</t>
        </is>
      </c>
      <c r="D217" s="3" t="inlineStr">
        <is>
          <t>Cái</t>
        </is>
      </c>
      <c r="E217" s="5" t="n">
        <v>65000</v>
      </c>
      <c r="F217" s="5" t="n">
        <v>77000</v>
      </c>
      <c r="G217" s="6" t="n">
        <v>94000</v>
      </c>
      <c r="H217" s="4" t="inlineStr">
        <is>
          <t>Cái  20c/H 160c/T Thép carbon</t>
        </is>
      </c>
    </row>
    <row r="218">
      <c r="A218" s="3" t="n">
        <v>217</v>
      </c>
      <c r="B218" s="3" t="n">
        <v>14</v>
      </c>
      <c r="C218" s="4" t="inlineStr">
        <is>
          <t>QC3 8"</t>
        </is>
      </c>
      <c r="D218" s="3" t="inlineStr">
        <is>
          <t>Cái</t>
        </is>
      </c>
      <c r="E218" s="5" t="n">
        <v>80000</v>
      </c>
      <c r="F218" s="5" t="n">
        <v>94000</v>
      </c>
      <c r="G218" s="6" t="n">
        <v>116000</v>
      </c>
      <c r="H218" s="4" t="inlineStr">
        <is>
          <t>Cái 12c/H 96c/T Thép Carbon</t>
        </is>
      </c>
    </row>
    <row r="219">
      <c r="A219" s="3" t="n">
        <v>218</v>
      </c>
      <c r="B219" s="3" t="n">
        <v>14</v>
      </c>
      <c r="C219" s="4" t="inlineStr">
        <is>
          <t>QC4 7.5"</t>
        </is>
      </c>
      <c r="D219" s="3" t="inlineStr">
        <is>
          <t>Cái</t>
        </is>
      </c>
      <c r="E219" s="5" t="n">
        <v>103000</v>
      </c>
      <c r="F219" s="5" t="n">
        <v>121000</v>
      </c>
      <c r="G219" s="6" t="n">
        <v>149000</v>
      </c>
      <c r="H219" s="4" t="inlineStr">
        <is>
          <t>Cái 12c/H 72c/T Thép Carbon</t>
        </is>
      </c>
    </row>
    <row r="220">
      <c r="A220" s="3" t="n">
        <v>219</v>
      </c>
      <c r="B220" s="3" t="n">
        <v>14</v>
      </c>
      <c r="C220" s="4" t="inlineStr">
        <is>
          <t>QE320 3m</t>
        </is>
      </c>
      <c r="D220" s="3" t="inlineStr">
        <is>
          <t>Cái</t>
        </is>
      </c>
      <c r="E220" s="5" t="n">
        <v>712000</v>
      </c>
      <c r="F220" s="5" t="n">
        <v>840000</v>
      </c>
      <c r="G220" s="6" t="n">
        <v>1032000</v>
      </c>
      <c r="H220" s="4" t="inlineStr">
        <is>
          <t>Cái  6c/T</t>
        </is>
      </c>
    </row>
    <row r="221">
      <c r="A221" s="3" t="n">
        <v>220</v>
      </c>
      <c r="B221" s="3" t="n">
        <v>14</v>
      </c>
      <c r="C221" s="4" t="inlineStr">
        <is>
          <t>QE420 4m</t>
        </is>
      </c>
      <c r="D221" s="3" t="inlineStr">
        <is>
          <t>Cái</t>
        </is>
      </c>
      <c r="E221" s="5" t="n">
        <v>797000</v>
      </c>
      <c r="F221" s="5" t="n">
        <v>941000</v>
      </c>
      <c r="G221" s="6" t="n">
        <v>1156000</v>
      </c>
      <c r="H221" s="4" t="inlineStr">
        <is>
          <t>Cái  6c/T</t>
        </is>
      </c>
    </row>
    <row r="222">
      <c r="A222" s="3" t="n">
        <v>221</v>
      </c>
      <c r="B222" s="3" t="n">
        <v>14</v>
      </c>
      <c r="C222" s="4" t="inlineStr">
        <is>
          <t>Mài kéo MK-150</t>
        </is>
      </c>
      <c r="D222" s="3" t="inlineStr">
        <is>
          <t>Cái</t>
        </is>
      </c>
      <c r="E222" s="5" t="n">
        <v>100000</v>
      </c>
      <c r="F222" s="5" t="n">
        <v>118000</v>
      </c>
      <c r="G222" s="6" t="n">
        <v>145000</v>
      </c>
      <c r="H222" s="4" t="inlineStr">
        <is>
          <t>Cái 12c/H 144c/T Lưỡi mài hợp kim cứng, độ bền cao</t>
        </is>
      </c>
    </row>
    <row r="223">
      <c r="A223" s="3" t="n">
        <v>222</v>
      </c>
      <c r="B223" s="3" t="n">
        <v>15</v>
      </c>
      <c r="C223" s="4" t="inlineStr">
        <is>
          <t>Siết tôn KingBlue KB8*48G KB8x48G 8*48mm</t>
        </is>
      </c>
      <c r="D223" s="3" t="inlineStr">
        <is>
          <t>Cái</t>
        </is>
      </c>
      <c r="E223" s="5" t="n">
        <v>7500</v>
      </c>
      <c r="F223" s="5" t="n">
        <v>10000</v>
      </c>
      <c r="G223" s="6" t="n">
        <v>13000</v>
      </c>
      <c r="H223" s="4" t="inlineStr">
        <is>
          <t>Cái  10C/V 1000c/T100c/H     Thép S2 Taiwan, Chống rớt lõi từ</t>
        </is>
      </c>
    </row>
    <row r="224">
      <c r="A224" s="3" t="n">
        <v>223</v>
      </c>
      <c r="B224" s="3" t="n">
        <v>15</v>
      </c>
      <c r="C224" s="4" t="inlineStr">
        <is>
          <t>Siết tôn King Blue ST08x42V ST08x42V 8*42mm</t>
        </is>
      </c>
      <c r="D224" s="3" t="inlineStr">
        <is>
          <t>Vỉ</t>
        </is>
      </c>
      <c r="E224" s="5" t="n">
        <v>22000</v>
      </c>
      <c r="F224" s="5" t="n">
        <v>28000</v>
      </c>
      <c r="G224" s="6" t="n">
        <v>36000</v>
      </c>
      <c r="H224" s="4" t="inlineStr">
        <is>
          <t>Vỉ  2C/V 100c/H1000c/T</t>
        </is>
      </c>
    </row>
    <row r="225">
      <c r="A225" s="3" t="n">
        <v>224</v>
      </c>
      <c r="B225" s="3" t="n">
        <v>15</v>
      </c>
      <c r="C225" s="4" t="inlineStr">
        <is>
          <t>ST08x65G 8*65mm</t>
        </is>
      </c>
      <c r="D225" s="3" t="inlineStr">
        <is>
          <t>Cái</t>
        </is>
      </c>
      <c r="E225" s="5" t="n">
        <v>8500</v>
      </c>
      <c r="F225" s="5" t="n">
        <v>11000</v>
      </c>
      <c r="G225" s="6" t="n">
        <v>14000</v>
      </c>
      <c r="H225" s="4" t="inlineStr">
        <is>
          <t>Cái 5C/V 500c/T50c/H</t>
        </is>
      </c>
    </row>
    <row r="226">
      <c r="A226" s="3" t="n">
        <v>225</v>
      </c>
      <c r="B226" s="3" t="n">
        <v>15</v>
      </c>
      <c r="C226" s="4" t="inlineStr">
        <is>
          <t>ST10x65G 10*65mm</t>
        </is>
      </c>
      <c r="D226" s="3" t="inlineStr">
        <is>
          <t>Cái</t>
        </is>
      </c>
      <c r="E226" s="5" t="n">
        <v>9000</v>
      </c>
      <c r="F226" s="5" t="n">
        <v>11000</v>
      </c>
      <c r="G226" s="6" t="n">
        <v>15000</v>
      </c>
      <c r="H226" s="4" t="inlineStr">
        <is>
          <t>Cái 5C/V 500c/T50c/H</t>
        </is>
      </c>
    </row>
    <row r="227">
      <c r="A227" s="3" t="n">
        <v>226</v>
      </c>
      <c r="B227" s="3" t="n">
        <v>15</v>
      </c>
      <c r="C227" s="4" t="inlineStr">
        <is>
          <t>ST12x65G 12*65mm</t>
        </is>
      </c>
      <c r="D227" s="3" t="inlineStr">
        <is>
          <t>Cái</t>
        </is>
      </c>
      <c r="E227" s="5" t="n">
        <v>11000</v>
      </c>
      <c r="F227" s="5" t="n">
        <v>14000</v>
      </c>
      <c r="G227" s="6" t="n">
        <v>18000</v>
      </c>
      <c r="H227" s="4" t="inlineStr">
        <is>
          <t>Cái 5C/V 400c/T40c/H</t>
        </is>
      </c>
    </row>
    <row r="228">
      <c r="A228" s="3" t="n">
        <v>227</v>
      </c>
      <c r="B228" s="3" t="n">
        <v>15</v>
      </c>
      <c r="C228" s="4" t="inlineStr">
        <is>
          <t>ST13x65G 13*65mm</t>
        </is>
      </c>
      <c r="D228" s="3" t="inlineStr">
        <is>
          <t>Cái</t>
        </is>
      </c>
      <c r="E228" s="5" t="n">
        <v>13500</v>
      </c>
      <c r="F228" s="5" t="n">
        <v>17000</v>
      </c>
      <c r="G228" s="6" t="n">
        <v>22000</v>
      </c>
      <c r="H228" s="4" t="inlineStr">
        <is>
          <t>Cái 5C/V 400c/T40c/H</t>
        </is>
      </c>
    </row>
    <row r="229">
      <c r="A229" s="3" t="n">
        <v>228</v>
      </c>
      <c r="B229" s="3" t="n">
        <v>15</v>
      </c>
      <c r="C229" s="4" t="inlineStr">
        <is>
          <t>ST14x65G 14*65mm</t>
        </is>
      </c>
      <c r="D229" s="3" t="inlineStr">
        <is>
          <t>Cái</t>
        </is>
      </c>
      <c r="E229" s="5" t="n">
        <v>13500</v>
      </c>
      <c r="F229" s="5" t="n">
        <v>17000</v>
      </c>
      <c r="G229" s="6" t="n">
        <v>22000</v>
      </c>
      <c r="H229" s="4" t="inlineStr">
        <is>
          <t>Cái 5C/V 400c/T40c/H</t>
        </is>
      </c>
    </row>
    <row r="230">
      <c r="A230" s="3" t="n">
        <v>229</v>
      </c>
      <c r="B230" s="3" t="n">
        <v>15</v>
      </c>
      <c r="C230" s="4" t="inlineStr">
        <is>
          <t>ST17x65G 17*65mm</t>
        </is>
      </c>
      <c r="D230" s="3" t="inlineStr">
        <is>
          <t>Cái</t>
        </is>
      </c>
      <c r="E230" s="5" t="n">
        <v>21500</v>
      </c>
      <c r="F230" s="5" t="n">
        <v>27000</v>
      </c>
      <c r="G230" s="6" t="n">
        <v>36000</v>
      </c>
      <c r="H230" s="4" t="inlineStr">
        <is>
          <t>Cái 3C/V18C/H 180c/T</t>
        </is>
      </c>
    </row>
    <row r="231">
      <c r="A231" s="3" t="n">
        <v>230</v>
      </c>
      <c r="B231" s="3" t="n">
        <v>16</v>
      </c>
      <c r="C231" s="4" t="inlineStr">
        <is>
          <t>Vít KingBlue KB4x65 KB4*65 65mm</t>
        </is>
      </c>
      <c r="D231" s="3" t="inlineStr">
        <is>
          <t>Cái</t>
        </is>
      </c>
      <c r="E231" s="5" t="n">
        <v>7500</v>
      </c>
      <c r="F231" s="5" t="n">
        <v>10000</v>
      </c>
      <c r="G231" s="6" t="n">
        <v>12500</v>
      </c>
      <c r="H231" s="4" t="inlineStr">
        <is>
          <t>Cái  10C/V 1000c/T</t>
        </is>
      </c>
    </row>
    <row r="232">
      <c r="A232" s="3" t="n">
        <v>231</v>
      </c>
      <c r="B232" s="3" t="n">
        <v>16</v>
      </c>
      <c r="C232" s="4" t="inlineStr">
        <is>
          <t>Vít KingBlue KB4x100 KB4*100 100mm</t>
        </is>
      </c>
      <c r="D232" s="3" t="inlineStr">
        <is>
          <t>Cái</t>
        </is>
      </c>
      <c r="E232" s="5" t="n">
        <v>11000</v>
      </c>
      <c r="F232" s="5" t="n">
        <v>14000</v>
      </c>
      <c r="G232" s="6" t="n">
        <v>18000</v>
      </c>
      <c r="H232" s="4" t="inlineStr">
        <is>
          <t>Cái  5C/V 500c/T</t>
        </is>
      </c>
    </row>
    <row r="233">
      <c r="A233" s="3" t="n">
        <v>232</v>
      </c>
      <c r="B233" s="3" t="n">
        <v>16</v>
      </c>
      <c r="C233" s="4" t="inlineStr">
        <is>
          <t>KB4x65T 65mm</t>
        </is>
      </c>
      <c r="D233" s="3" t="inlineStr">
        <is>
          <t>Cái</t>
        </is>
      </c>
      <c r="E233" s="5" t="n">
        <v>7000</v>
      </c>
      <c r="F233" s="5" t="n">
        <v>9000</v>
      </c>
      <c r="G233" s="6" t="n">
        <v>12500</v>
      </c>
      <c r="H233" s="4" t="inlineStr">
        <is>
          <t>Cái  10C/V 1000c/T</t>
        </is>
      </c>
    </row>
    <row r="234">
      <c r="A234" s="3" t="n">
        <v>233</v>
      </c>
      <c r="B234" s="3" t="n">
        <v>16</v>
      </c>
      <c r="C234" s="4" t="inlineStr">
        <is>
          <t>Vít KingBlue KB4x100T KB4*100T 100mm</t>
        </is>
      </c>
      <c r="D234" s="3" t="inlineStr">
        <is>
          <t>Cái</t>
        </is>
      </c>
      <c r="E234" s="5" t="n">
        <v>10000</v>
      </c>
      <c r="F234" s="5" t="n">
        <v>13000</v>
      </c>
      <c r="G234" s="6" t="n">
        <v>17000</v>
      </c>
      <c r="H234" s="4" t="inlineStr">
        <is>
          <t>Cái  5C/V 500c/T</t>
        </is>
      </c>
    </row>
    <row r="235">
      <c r="A235" s="3" t="n">
        <v>234</v>
      </c>
      <c r="B235" s="3" t="n">
        <v>16</v>
      </c>
      <c r="C235" s="4" t="inlineStr">
        <is>
          <t>Vít KingBlue KB4x65S KB4*65S 65mm</t>
        </is>
      </c>
      <c r="D235" s="3" t="inlineStr">
        <is>
          <t>Cái</t>
        </is>
      </c>
      <c r="E235" s="5" t="n">
        <v>11000</v>
      </c>
      <c r="F235" s="5" t="n">
        <v>14000</v>
      </c>
      <c r="G235" s="6" t="n">
        <v>18000</v>
      </c>
      <c r="H235" s="4" t="inlineStr">
        <is>
          <t>Cái  10C/V 1000c/T</t>
        </is>
      </c>
    </row>
    <row r="236">
      <c r="A236" s="3" t="n">
        <v>235</v>
      </c>
      <c r="B236" s="3" t="n">
        <v>16</v>
      </c>
      <c r="C236" s="4" t="inlineStr">
        <is>
          <t>Vít KingBlue KB4x100S KB4*100S 100mm</t>
        </is>
      </c>
      <c r="D236" s="3" t="inlineStr">
        <is>
          <t>Cái</t>
        </is>
      </c>
      <c r="E236" s="5" t="n">
        <v>15000</v>
      </c>
      <c r="F236" s="5" t="n">
        <v>19000</v>
      </c>
      <c r="G236" s="6" t="n">
        <v>25000</v>
      </c>
      <c r="H236" s="4" t="inlineStr">
        <is>
          <t>Cái  10C/V</t>
        </is>
      </c>
    </row>
    <row r="237">
      <c r="A237" s="3" t="n">
        <v>236</v>
      </c>
      <c r="B237" s="3" t="n">
        <v>16</v>
      </c>
      <c r="C237" s="4" t="inlineStr">
        <is>
          <t>V65E 65mm</t>
        </is>
      </c>
      <c r="D237" s="3" t="inlineStr">
        <is>
          <t>Cái</t>
        </is>
      </c>
      <c r="E237" s="5" t="n">
        <v>8000</v>
      </c>
      <c r="F237" s="5" t="n">
        <v>10000</v>
      </c>
      <c r="G237" s="6" t="n">
        <v>14000</v>
      </c>
      <c r="H237" s="4" t="inlineStr">
        <is>
          <t>Cái  10C/V 1000c/T100c/H</t>
        </is>
      </c>
    </row>
    <row r="238">
      <c r="A238" s="3" t="n">
        <v>237</v>
      </c>
      <c r="B238" s="3" t="n">
        <v>16</v>
      </c>
      <c r="C238" s="4" t="inlineStr">
        <is>
          <t>V100E 100mm</t>
        </is>
      </c>
      <c r="D238" s="3" t="inlineStr">
        <is>
          <t>Cái</t>
        </is>
      </c>
      <c r="E238" s="5" t="n">
        <v>11000</v>
      </c>
      <c r="F238" s="5" t="n">
        <v>14000</v>
      </c>
      <c r="G238" s="6" t="n">
        <v>18000</v>
      </c>
      <c r="H238" s="4" t="inlineStr">
        <is>
          <t>Cái 5C/V 500c/T50c/H</t>
        </is>
      </c>
    </row>
    <row r="239">
      <c r="A239" s="3" t="n">
        <v>238</v>
      </c>
      <c r="B239" s="3" t="n">
        <v>16</v>
      </c>
      <c r="C239" s="4" t="inlineStr">
        <is>
          <t>V50S 1/4 inch, 50mm</t>
        </is>
      </c>
      <c r="D239" s="3" t="inlineStr">
        <is>
          <t>Vỉ</t>
        </is>
      </c>
      <c r="E239" s="5" t="n">
        <v>28000</v>
      </c>
      <c r="F239" s="5" t="n">
        <v>36000</v>
      </c>
      <c r="G239" s="6" t="n">
        <v>48000</v>
      </c>
      <c r="H239" s="4" t="inlineStr">
        <is>
          <t>Vỉ 2C/VGiá tính theo Vỉ 100c/H1000c/T Chất liệu: Thép S2 - Taiwan, đầu vít phủ kim cương siêu cứng ,siêu hít</t>
        </is>
      </c>
    </row>
    <row r="240">
      <c r="A240" s="3" t="n">
        <v>239</v>
      </c>
      <c r="B240" s="3" t="n">
        <v>16</v>
      </c>
      <c r="C240" s="4" t="inlineStr">
        <is>
          <t>V65S 1/4 inch, 65mm</t>
        </is>
      </c>
      <c r="D240" s="3" t="inlineStr">
        <is>
          <t>Vỉ</t>
        </is>
      </c>
      <c r="E240" s="5" t="n">
        <v>30000</v>
      </c>
      <c r="F240" s="5" t="n">
        <v>38000</v>
      </c>
      <c r="G240" s="6" t="n">
        <v>50000</v>
      </c>
      <c r="H240" s="4" t="inlineStr">
        <is>
          <t>Vỉ 2C/VGiá tính theo Vỉ 100c/H1000c/T</t>
        </is>
      </c>
    </row>
    <row r="241">
      <c r="A241" s="3" t="n">
        <v>240</v>
      </c>
      <c r="B241" s="3" t="n">
        <v>16</v>
      </c>
      <c r="C241" s="4" t="inlineStr">
        <is>
          <t>V100S 1/4 inch, 100mm</t>
        </is>
      </c>
      <c r="D241" s="3" t="inlineStr">
        <is>
          <t>Vỉ</t>
        </is>
      </c>
      <c r="E241" s="5" t="n">
        <v>44000</v>
      </c>
      <c r="F241" s="5" t="n">
        <v>56000</v>
      </c>
      <c r="G241" s="6" t="n">
        <v>73000</v>
      </c>
      <c r="H241" s="4" t="inlineStr">
        <is>
          <t>Vỉ 2C/VGiá tính theo Vỉ 100c/H1000c/T Chất liệu: Thép S2 - Taiwan, đầu vít phủ kim cương siêu cứng ,siêu hít</t>
        </is>
      </c>
    </row>
    <row r="242">
      <c r="A242" s="3" t="n">
        <v>241</v>
      </c>
      <c r="B242" s="3" t="n">
        <v>16</v>
      </c>
      <c r="C242" s="4" t="inlineStr">
        <is>
          <t>V150S 1/4 inch, 150mm</t>
        </is>
      </c>
      <c r="D242" s="3" t="inlineStr">
        <is>
          <t>Vỉ</t>
        </is>
      </c>
      <c r="E242" s="5" t="n">
        <v>54000</v>
      </c>
      <c r="F242" s="5" t="n">
        <v>68000</v>
      </c>
      <c r="G242" s="6" t="n">
        <v>89000</v>
      </c>
      <c r="H242" s="4" t="inlineStr">
        <is>
          <t>Vỉ 2C/VGiá tính theo Vỉ 40c/H400c/T</t>
        </is>
      </c>
    </row>
    <row r="243">
      <c r="A243" s="3" t="n">
        <v>242</v>
      </c>
      <c r="B243" s="3" t="n">
        <v>17</v>
      </c>
      <c r="C243" s="4" t="inlineStr">
        <is>
          <t>V65R 1/4 inch, 65mm</t>
        </is>
      </c>
      <c r="D243" s="3" t="inlineStr">
        <is>
          <t>Vỉ</t>
        </is>
      </c>
      <c r="E243" s="5" t="n">
        <v>20000</v>
      </c>
      <c r="F243" s="5" t="n">
        <v>25000</v>
      </c>
      <c r="G243" s="6" t="n">
        <v>33000</v>
      </c>
      <c r="H243" s="4" t="inlineStr">
        <is>
          <t>Vỉ 2C/VGiá tính theo Vỉ 100c/H1000c/T</t>
        </is>
      </c>
    </row>
    <row r="244">
      <c r="A244" s="3" t="n">
        <v>243</v>
      </c>
      <c r="B244" s="3" t="n">
        <v>17</v>
      </c>
      <c r="C244" s="4" t="inlineStr">
        <is>
          <t>V100R 1/4 inch, 100mm</t>
        </is>
      </c>
      <c r="D244" s="3" t="inlineStr">
        <is>
          <t>Vỉ</t>
        </is>
      </c>
      <c r="E244" s="5" t="n">
        <v>29000</v>
      </c>
      <c r="F244" s="5" t="n">
        <v>37000</v>
      </c>
      <c r="G244" s="6" t="n">
        <v>48000</v>
      </c>
      <c r="H244" s="4" t="inlineStr">
        <is>
          <t>Vỉ 2C/VỉGiá tính theo Vỉ 50c/H500c/T</t>
        </is>
      </c>
    </row>
    <row r="245">
      <c r="A245" s="3" t="n">
        <v>244</v>
      </c>
      <c r="B245" s="3" t="n">
        <v>17</v>
      </c>
      <c r="C245" s="4" t="inlineStr">
        <is>
          <t>V150R 1/4 inch, 150mm</t>
        </is>
      </c>
      <c r="D245" s="3" t="inlineStr">
        <is>
          <t>Vỉ</t>
        </is>
      </c>
      <c r="E245" s="5" t="n">
        <v>40000</v>
      </c>
      <c r="F245" s="5" t="n">
        <v>50000</v>
      </c>
      <c r="G245" s="6" t="n">
        <v>66000</v>
      </c>
      <c r="H245" s="4" t="inlineStr">
        <is>
          <t>Vỉ 2C/VGiá tính theo Vỉ 50c/H500c/T</t>
        </is>
      </c>
    </row>
    <row r="246">
      <c r="A246" s="3" t="n">
        <v>245</v>
      </c>
      <c r="B246" s="3" t="n">
        <v>17</v>
      </c>
      <c r="C246" s="4" t="inlineStr">
        <is>
          <t>Bộ đầu hoa thị T9100E T9100E</t>
        </is>
      </c>
      <c r="D246" s="3" t="inlineStr">
        <is>
          <t>Bộ</t>
        </is>
      </c>
      <c r="E246" s="5" t="n">
        <v>86000</v>
      </c>
      <c r="F246" s="5" t="n">
        <v>108000</v>
      </c>
      <c r="G246" s="6" t="n">
        <v>142000</v>
      </c>
      <c r="H246" s="4" t="inlineStr">
        <is>
          <t>Bộ 10B/H 100B/T</t>
        </is>
      </c>
    </row>
    <row r="247">
      <c r="A247" s="3" t="n">
        <v>246</v>
      </c>
      <c r="B247" s="3" t="n">
        <v>17</v>
      </c>
      <c r="C247" s="4" t="inlineStr">
        <is>
          <t>Bộ đầu lục giác L8100E L8100E</t>
        </is>
      </c>
      <c r="D247" s="3" t="inlineStr">
        <is>
          <t>Bộ</t>
        </is>
      </c>
      <c r="E247" s="5" t="n">
        <v>86000</v>
      </c>
      <c r="F247" s="5" t="n">
        <v>108000</v>
      </c>
      <c r="G247" s="6" t="n">
        <v>142000</v>
      </c>
      <c r="H247" s="4" t="inlineStr">
        <is>
          <t>Bộ 10B/H 100B/T</t>
        </is>
      </c>
    </row>
    <row r="248">
      <c r="A248" s="3" t="n">
        <v>247</v>
      </c>
      <c r="B248" s="3" t="n">
        <v>17</v>
      </c>
      <c r="C248" s="4" t="inlineStr">
        <is>
          <t>T265E-T10 T10*65mm</t>
        </is>
      </c>
      <c r="D248" s="3" t="inlineStr">
        <is>
          <t>Vỉ</t>
        </is>
      </c>
      <c r="E248" s="5" t="n">
        <v>17000</v>
      </c>
      <c r="F248" s="5" t="n">
        <v>22000</v>
      </c>
      <c r="G248" s="6" t="n">
        <v>29000</v>
      </c>
      <c r="H248" s="4" t="inlineStr">
        <is>
          <t>Vỉ 2C/V16C/dây 160c/H960c/T</t>
        </is>
      </c>
    </row>
    <row r="249">
      <c r="A249" s="3" t="n">
        <v>248</v>
      </c>
      <c r="B249" s="3" t="n">
        <v>17</v>
      </c>
      <c r="C249" s="4" t="inlineStr">
        <is>
          <t>T265E-T15 T15*65mm</t>
        </is>
      </c>
      <c r="D249" s="3" t="inlineStr">
        <is>
          <t>Vỉ</t>
        </is>
      </c>
      <c r="E249" s="5" t="n">
        <v>17000</v>
      </c>
      <c r="F249" s="5" t="n">
        <v>22000</v>
      </c>
      <c r="G249" s="6" t="n">
        <v>29000</v>
      </c>
      <c r="H249" s="4" t="inlineStr">
        <is>
          <t>Vỉ 2C/V16C/dây 160c/H960c/T</t>
        </is>
      </c>
    </row>
    <row r="250">
      <c r="A250" s="3" t="n">
        <v>249</v>
      </c>
      <c r="B250" s="3" t="n">
        <v>17</v>
      </c>
      <c r="C250" s="4" t="inlineStr">
        <is>
          <t>T265E-T20 T20*65mm</t>
        </is>
      </c>
      <c r="D250" s="3" t="inlineStr">
        <is>
          <t>Vỉ</t>
        </is>
      </c>
      <c r="E250" s="5" t="n">
        <v>17000</v>
      </c>
      <c r="F250" s="5" t="n">
        <v>22000</v>
      </c>
      <c r="G250" s="6" t="n">
        <v>29000</v>
      </c>
      <c r="H250" s="4" t="inlineStr">
        <is>
          <t>Vỉ 2C/V16C/dây 160c/H960c/T</t>
        </is>
      </c>
    </row>
    <row r="251">
      <c r="A251" s="3" t="n">
        <v>250</v>
      </c>
      <c r="B251" s="3" t="n">
        <v>17</v>
      </c>
      <c r="C251" s="4" t="inlineStr">
        <is>
          <t>T265E-T25 T25*65mm</t>
        </is>
      </c>
      <c r="D251" s="3" t="inlineStr">
        <is>
          <t>Vỉ</t>
        </is>
      </c>
      <c r="E251" s="5" t="n">
        <v>17000</v>
      </c>
      <c r="F251" s="5" t="n">
        <v>22000</v>
      </c>
      <c r="G251" s="6" t="n">
        <v>29000</v>
      </c>
      <c r="H251" s="4" t="inlineStr">
        <is>
          <t>Vỉ 2C/V16C/dây 160c/H960c/T</t>
        </is>
      </c>
    </row>
    <row r="252">
      <c r="A252" s="3" t="n">
        <v>251</v>
      </c>
      <c r="B252" s="3" t="n">
        <v>17</v>
      </c>
      <c r="C252" s="4" t="inlineStr">
        <is>
          <t>T265E-T27 T27*65mm</t>
        </is>
      </c>
      <c r="D252" s="3" t="inlineStr">
        <is>
          <t>Vỉ</t>
        </is>
      </c>
      <c r="E252" s="5" t="n">
        <v>17000</v>
      </c>
      <c r="F252" s="5" t="n">
        <v>22000</v>
      </c>
      <c r="G252" s="6" t="n">
        <v>29000</v>
      </c>
      <c r="H252" s="4" t="inlineStr">
        <is>
          <t>Vỉ 2C/V16C/dây 160c/H960c/T</t>
        </is>
      </c>
    </row>
    <row r="253">
      <c r="A253" s="3" t="n">
        <v>252</v>
      </c>
      <c r="B253" s="3" t="n">
        <v>17</v>
      </c>
      <c r="C253" s="4" t="inlineStr">
        <is>
          <t>T265E-T30 T30*65mm</t>
        </is>
      </c>
      <c r="D253" s="3" t="inlineStr">
        <is>
          <t>Vỉ</t>
        </is>
      </c>
      <c r="E253" s="5" t="n">
        <v>17000</v>
      </c>
      <c r="F253" s="5" t="n">
        <v>22000</v>
      </c>
      <c r="G253" s="6" t="n">
        <v>29000</v>
      </c>
      <c r="H253" s="4" t="inlineStr">
        <is>
          <t>Vỉ 2C/V16C/dây 160c/H960c/T</t>
        </is>
      </c>
    </row>
    <row r="254">
      <c r="A254" s="3" t="n">
        <v>253</v>
      </c>
      <c r="B254" s="3" t="n">
        <v>17</v>
      </c>
      <c r="C254" s="4" t="inlineStr">
        <is>
          <t>T265E-T40 T40*65mm</t>
        </is>
      </c>
      <c r="D254" s="3" t="inlineStr">
        <is>
          <t>Vỉ</t>
        </is>
      </c>
      <c r="E254" s="5" t="n">
        <v>17000</v>
      </c>
      <c r="F254" s="5" t="n">
        <v>22000</v>
      </c>
      <c r="G254" s="6" t="n">
        <v>29000</v>
      </c>
      <c r="H254" s="4" t="inlineStr">
        <is>
          <t>Vỉ 2C/V16C/dây 160c/H960c/T</t>
        </is>
      </c>
    </row>
    <row r="255">
      <c r="A255" s="3" t="n">
        <v>254</v>
      </c>
      <c r="B255" s="3" t="n">
        <v>17</v>
      </c>
      <c r="C255" s="4" t="inlineStr">
        <is>
          <t>T265E-T50 T50*65mm</t>
        </is>
      </c>
      <c r="D255" s="3" t="inlineStr">
        <is>
          <t>Vỉ</t>
        </is>
      </c>
      <c r="E255" s="5" t="n">
        <v>41000</v>
      </c>
      <c r="F255" s="5" t="n">
        <v>53000</v>
      </c>
      <c r="G255" s="6" t="n">
        <v>70000</v>
      </c>
      <c r="H255" s="4" t="inlineStr">
        <is>
          <t>Vỉ 5C/V 60c/H360c/T</t>
        </is>
      </c>
    </row>
    <row r="256">
      <c r="A256" s="3" t="n">
        <v>255</v>
      </c>
      <c r="B256" s="3" t="n">
        <v>17</v>
      </c>
      <c r="C256" s="4" t="inlineStr">
        <is>
          <t>L265E-H3 H3*65mm</t>
        </is>
      </c>
      <c r="D256" s="3" t="inlineStr">
        <is>
          <t>Vỉ</t>
        </is>
      </c>
      <c r="E256" s="5" t="n">
        <v>17000</v>
      </c>
      <c r="F256" s="5" t="n">
        <v>22000</v>
      </c>
      <c r="G256" s="6" t="n">
        <v>29000</v>
      </c>
      <c r="H256" s="4" t="inlineStr">
        <is>
          <t>Vỉ 2C/V16C/dây 160c/H960c/T</t>
        </is>
      </c>
    </row>
    <row r="257">
      <c r="A257" s="3" t="n">
        <v>256</v>
      </c>
      <c r="B257" s="3" t="n">
        <v>17</v>
      </c>
      <c r="C257" s="4" t="inlineStr">
        <is>
          <t>L265E-H4 H4*65mm</t>
        </is>
      </c>
      <c r="D257" s="3" t="inlineStr">
        <is>
          <t>Vỉ</t>
        </is>
      </c>
      <c r="E257" s="5" t="n">
        <v>17000</v>
      </c>
      <c r="F257" s="5" t="n">
        <v>22000</v>
      </c>
      <c r="G257" s="6" t="n">
        <v>29000</v>
      </c>
      <c r="H257" s="4" t="inlineStr">
        <is>
          <t>Vỉ 2C/V16C/dây 160c/H960c/T</t>
        </is>
      </c>
    </row>
    <row r="258">
      <c r="A258" s="3" t="n">
        <v>257</v>
      </c>
      <c r="B258" s="3" t="n">
        <v>17</v>
      </c>
      <c r="C258" s="4" t="inlineStr">
        <is>
          <t>L265E-H5 H5*65mm</t>
        </is>
      </c>
      <c r="D258" s="3" t="inlineStr">
        <is>
          <t>Vỉ</t>
        </is>
      </c>
      <c r="E258" s="5" t="n">
        <v>17000</v>
      </c>
      <c r="F258" s="5" t="n">
        <v>22000</v>
      </c>
      <c r="G258" s="6" t="n">
        <v>29000</v>
      </c>
      <c r="H258" s="4" t="inlineStr">
        <is>
          <t>Vỉ 2C/V16C/dây 160c/H960c/T</t>
        </is>
      </c>
    </row>
    <row r="259">
      <c r="A259" s="3" t="n">
        <v>258</v>
      </c>
      <c r="B259" s="3" t="n">
        <v>17</v>
      </c>
      <c r="C259" s="4" t="inlineStr">
        <is>
          <t>L265E-H6 H6*65mm</t>
        </is>
      </c>
      <c r="D259" s="3" t="inlineStr">
        <is>
          <t>Vỉ</t>
        </is>
      </c>
      <c r="E259" s="5" t="n">
        <v>17000</v>
      </c>
      <c r="F259" s="5" t="n">
        <v>22000</v>
      </c>
      <c r="G259" s="6" t="n">
        <v>29000</v>
      </c>
      <c r="H259" s="4" t="inlineStr">
        <is>
          <t>Vỉ 2C/V16C/dây 160c/H960c/T</t>
        </is>
      </c>
    </row>
    <row r="260">
      <c r="A260" s="3" t="n">
        <v>259</v>
      </c>
      <c r="B260" s="3" t="n">
        <v>17</v>
      </c>
      <c r="C260" s="4" t="inlineStr">
        <is>
          <t>L265E-H8 H8*65mm</t>
        </is>
      </c>
      <c r="D260" s="3" t="inlineStr">
        <is>
          <t>Vỉ</t>
        </is>
      </c>
      <c r="E260" s="5" t="n">
        <v>41000</v>
      </c>
      <c r="F260" s="5" t="n">
        <v>53000</v>
      </c>
      <c r="G260" s="6" t="n">
        <v>70000</v>
      </c>
      <c r="H260" s="4" t="inlineStr">
        <is>
          <t>Vỉ 5C/V 60c/H360c/T</t>
        </is>
      </c>
    </row>
    <row r="261">
      <c r="A261" s="3" t="n">
        <v>260</v>
      </c>
      <c r="B261" s="3" t="n">
        <v>18</v>
      </c>
      <c r="C261" s="4" t="inlineStr">
        <is>
          <t>CM07 08mm</t>
        </is>
      </c>
      <c r="D261" s="3" t="inlineStr">
        <is>
          <t>Hộp</t>
        </is>
      </c>
      <c r="E261" s="5" t="n">
        <v>143000</v>
      </c>
      <c r="F261" s="5" t="n">
        <v>180000</v>
      </c>
      <c r="G261" s="6" t="n">
        <v>236000</v>
      </c>
      <c r="H261" s="4" t="inlineStr">
        <is>
          <t>Hộp 10C/H nhỏ 100c/H lớn500c/T</t>
        </is>
      </c>
    </row>
    <row r="262">
      <c r="A262" s="3" t="n">
        <v>261</v>
      </c>
      <c r="B262" s="3" t="n">
        <v>18</v>
      </c>
      <c r="C262" s="4" t="inlineStr">
        <is>
          <t>CM08 08mm</t>
        </is>
      </c>
      <c r="D262" s="3" t="inlineStr">
        <is>
          <t>Hộp</t>
        </is>
      </c>
      <c r="E262" s="5" t="n">
        <v>154000</v>
      </c>
      <c r="F262" s="5" t="n">
        <v>194000</v>
      </c>
      <c r="G262" s="6" t="n">
        <v>254000</v>
      </c>
      <c r="H262" s="4" t="inlineStr">
        <is>
          <t>Hộp 10C/H nhỏ 100c/H lớn500c/T</t>
        </is>
      </c>
    </row>
    <row r="263">
      <c r="A263" s="3" t="n">
        <v>262</v>
      </c>
      <c r="B263" s="3" t="n">
        <v>18</v>
      </c>
      <c r="C263" s="4" t="inlineStr">
        <is>
          <t>CM10 10mm</t>
        </is>
      </c>
      <c r="D263" s="3" t="inlineStr">
        <is>
          <t>Hộp</t>
        </is>
      </c>
      <c r="E263" s="5" t="n">
        <v>176000</v>
      </c>
      <c r="F263" s="5" t="n">
        <v>222000</v>
      </c>
      <c r="G263" s="6" t="n">
        <v>290000</v>
      </c>
      <c r="H263" s="4" t="inlineStr">
        <is>
          <t>Hộp 10C/H nhỏ 100c/H lớn500c/T</t>
        </is>
      </c>
    </row>
    <row r="264">
      <c r="A264" s="3" t="n">
        <v>263</v>
      </c>
      <c r="B264" s="3" t="n">
        <v>18</v>
      </c>
      <c r="C264" s="4" t="inlineStr">
        <is>
          <t>CM12 12mm</t>
        </is>
      </c>
      <c r="D264" s="3" t="inlineStr">
        <is>
          <t>Hộp</t>
        </is>
      </c>
      <c r="E264" s="5" t="n">
        <v>99000</v>
      </c>
      <c r="F264" s="5" t="n">
        <v>125000</v>
      </c>
      <c r="G264" s="6" t="n">
        <v>163000</v>
      </c>
      <c r="H264" s="4" t="inlineStr">
        <is>
          <t>Hộp 5C/H nhỏ 50c/H lớn250c/T</t>
        </is>
      </c>
    </row>
    <row r="265">
      <c r="A265" s="3" t="n">
        <v>264</v>
      </c>
      <c r="B265" s="3" t="n">
        <v>18</v>
      </c>
      <c r="C265" s="4" t="inlineStr">
        <is>
          <t>CM13 13mm</t>
        </is>
      </c>
      <c r="D265" s="3" t="inlineStr">
        <is>
          <t>Hộp</t>
        </is>
      </c>
      <c r="E265" s="5" t="n">
        <v>105000</v>
      </c>
      <c r="F265" s="5" t="n">
        <v>132000</v>
      </c>
      <c r="G265" s="6" t="n">
        <v>173000</v>
      </c>
      <c r="H265" s="4" t="inlineStr">
        <is>
          <t>Hộp 5C/H nhỏ 50c/H lớn250c/T</t>
        </is>
      </c>
    </row>
    <row r="266">
      <c r="A266" s="3" t="n">
        <v>265</v>
      </c>
      <c r="B266" s="3" t="n">
        <v>18</v>
      </c>
      <c r="C266" s="4" t="inlineStr">
        <is>
          <t>CM14 14mm</t>
        </is>
      </c>
      <c r="D266" s="3" t="inlineStr">
        <is>
          <t>Hộp</t>
        </is>
      </c>
      <c r="E266" s="5" t="n">
        <v>105000</v>
      </c>
      <c r="F266" s="5" t="n">
        <v>132000</v>
      </c>
      <c r="G266" s="6" t="n">
        <v>173000</v>
      </c>
      <c r="H266" s="4" t="inlineStr">
        <is>
          <t>Hộp 5C/H nhỏ 50c/H lớn250c/T</t>
        </is>
      </c>
    </row>
    <row r="267">
      <c r="A267" s="3" t="n">
        <v>266</v>
      </c>
      <c r="B267" s="3" t="n">
        <v>18</v>
      </c>
      <c r="C267" s="4" t="inlineStr">
        <is>
          <t>CM17 17mm</t>
        </is>
      </c>
      <c r="D267" s="3" t="inlineStr">
        <is>
          <t>Hộp</t>
        </is>
      </c>
      <c r="E267" s="5" t="n">
        <v>110000</v>
      </c>
      <c r="F267" s="5" t="n">
        <v>139000</v>
      </c>
      <c r="G267" s="6" t="n">
        <v>182000</v>
      </c>
      <c r="H267" s="4" t="inlineStr">
        <is>
          <t>Hộp 4C/H nhỏ 40c/H lớn200c/T</t>
        </is>
      </c>
    </row>
    <row r="268">
      <c r="A268" s="3" t="n">
        <v>267</v>
      </c>
      <c r="B268" s="3" t="n">
        <v>18</v>
      </c>
      <c r="C268" s="4" t="inlineStr">
        <is>
          <t>CM19 19mm</t>
        </is>
      </c>
      <c r="D268" s="3" t="inlineStr">
        <is>
          <t>Hộp</t>
        </is>
      </c>
      <c r="E268" s="5" t="n">
        <v>86000</v>
      </c>
      <c r="F268" s="5" t="n">
        <v>108000</v>
      </c>
      <c r="G268" s="6" t="n">
        <v>142000</v>
      </c>
      <c r="H268" s="4" t="inlineStr">
        <is>
          <t>Hộp 3C/H nhỏ 30c/H lớn150c/T</t>
        </is>
      </c>
    </row>
    <row r="269">
      <c r="A269" s="3" t="n">
        <v>268</v>
      </c>
      <c r="B269" s="3" t="n">
        <v>19</v>
      </c>
      <c r="C269" s="4" t="inlineStr">
        <is>
          <t>KBG2-06*100 Ø6*100</t>
        </is>
      </c>
      <c r="D269" s="3" t="inlineStr">
        <is>
          <t>Cái</t>
        </is>
      </c>
      <c r="E269" s="5" t="n">
        <v>13000</v>
      </c>
      <c r="F269" s="5" t="n">
        <v>16000</v>
      </c>
      <c r="G269" s="6" t="n">
        <v>21000</v>
      </c>
      <c r="H269" s="4" t="inlineStr">
        <is>
          <t>Cái 10C/V 1000C/T</t>
        </is>
      </c>
    </row>
    <row r="270">
      <c r="A270" s="3" t="n">
        <v>269</v>
      </c>
      <c r="B270" s="3" t="n">
        <v>19</v>
      </c>
      <c r="C270" s="4" t="inlineStr">
        <is>
          <t>KBG2-08*100 Ø8*100</t>
        </is>
      </c>
      <c r="D270" s="3" t="inlineStr">
        <is>
          <t>Cái</t>
        </is>
      </c>
      <c r="E270" s="5" t="n">
        <v>18000</v>
      </c>
      <c r="F270" s="5" t="n">
        <v>22000</v>
      </c>
      <c r="G270" s="6" t="n">
        <v>29000</v>
      </c>
      <c r="H270" s="4" t="inlineStr">
        <is>
          <t>Cái 10C/V 1000C/T</t>
        </is>
      </c>
    </row>
    <row r="271">
      <c r="A271" s="3" t="n">
        <v>270</v>
      </c>
      <c r="B271" s="3" t="n">
        <v>19</v>
      </c>
      <c r="C271" s="4" t="inlineStr">
        <is>
          <t>KBG2-10*120 Ø10*120</t>
        </is>
      </c>
      <c r="D271" s="3" t="inlineStr">
        <is>
          <t>Cái</t>
        </is>
      </c>
      <c r="E271" s="5" t="n">
        <v>21000</v>
      </c>
      <c r="F271" s="5" t="n">
        <v>26000</v>
      </c>
      <c r="G271" s="6" t="n">
        <v>34000</v>
      </c>
      <c r="H271" s="4" t="inlineStr">
        <is>
          <t>Cái 5C/V 1000C/T</t>
        </is>
      </c>
    </row>
    <row r="272">
      <c r="A272" s="3" t="n">
        <v>271</v>
      </c>
      <c r="B272" s="3" t="n">
        <v>19</v>
      </c>
      <c r="C272" s="4" t="inlineStr">
        <is>
          <t>KBG2-12*120 Ø12*120</t>
        </is>
      </c>
      <c r="D272" s="3" t="inlineStr">
        <is>
          <t>Cái</t>
        </is>
      </c>
      <c r="E272" s="5" t="n">
        <v>26000</v>
      </c>
      <c r="F272" s="5" t="n">
        <v>32000</v>
      </c>
      <c r="G272" s="6" t="n">
        <v>42000</v>
      </c>
      <c r="H272" s="4" t="inlineStr">
        <is>
          <t>Cái 5C/V 1000C/T</t>
        </is>
      </c>
    </row>
    <row r="273">
      <c r="A273" s="3" t="n">
        <v>272</v>
      </c>
      <c r="B273" s="3" t="n">
        <v>19</v>
      </c>
      <c r="C273" s="4" t="inlineStr">
        <is>
          <t>KBG2S-06*100 Ø6*100</t>
        </is>
      </c>
      <c r="D273" s="3" t="inlineStr">
        <is>
          <t>Cái</t>
        </is>
      </c>
      <c r="E273" s="5" t="n">
        <v>17000</v>
      </c>
      <c r="F273" s="5" t="n">
        <v>21000</v>
      </c>
      <c r="G273" s="6" t="n">
        <v>27000</v>
      </c>
      <c r="H273" s="4" t="inlineStr">
        <is>
          <t>Cái 10C/V 1000C/T</t>
        </is>
      </c>
    </row>
    <row r="274">
      <c r="A274" s="3" t="n">
        <v>273</v>
      </c>
      <c r="B274" s="3" t="n">
        <v>19</v>
      </c>
      <c r="C274" s="4" t="inlineStr">
        <is>
          <t>KBG2S-08*100 Ø8*100</t>
        </is>
      </c>
      <c r="D274" s="3" t="inlineStr">
        <is>
          <t>Cái</t>
        </is>
      </c>
      <c r="E274" s="5" t="n">
        <v>21000</v>
      </c>
      <c r="F274" s="5" t="n">
        <v>26000</v>
      </c>
      <c r="G274" s="6" t="n">
        <v>34000</v>
      </c>
      <c r="H274" s="4" t="inlineStr">
        <is>
          <t>Cái 10C/V 1000C/T</t>
        </is>
      </c>
    </row>
    <row r="275">
      <c r="A275" s="3" t="n">
        <v>274</v>
      </c>
      <c r="B275" s="3" t="n">
        <v>19</v>
      </c>
      <c r="C275" s="4" t="inlineStr">
        <is>
          <t>KBG2S-10*120 Ø10*120</t>
        </is>
      </c>
      <c r="D275" s="3" t="inlineStr">
        <is>
          <t>Cái</t>
        </is>
      </c>
      <c r="E275" s="5" t="n">
        <v>26000</v>
      </c>
      <c r="F275" s="5" t="n">
        <v>32000</v>
      </c>
      <c r="G275" s="6" t="n">
        <v>42000</v>
      </c>
      <c r="H275" s="4" t="inlineStr">
        <is>
          <t>Cái 5C/V 1000C/T</t>
        </is>
      </c>
    </row>
    <row r="276">
      <c r="A276" s="3" t="n">
        <v>275</v>
      </c>
      <c r="B276" s="3" t="n">
        <v>19</v>
      </c>
      <c r="C276" s="4" t="inlineStr">
        <is>
          <t>KBG2S-12*120 Ø12*120</t>
        </is>
      </c>
      <c r="D276" s="3" t="inlineStr">
        <is>
          <t>Cái</t>
        </is>
      </c>
      <c r="E276" s="5" t="n">
        <v>32000</v>
      </c>
      <c r="F276" s="5" t="n">
        <v>40000</v>
      </c>
      <c r="G276" s="6" t="n">
        <v>51000</v>
      </c>
      <c r="H276" s="4" t="inlineStr">
        <is>
          <t>Cái 5C/V 1000C/T</t>
        </is>
      </c>
    </row>
    <row r="277">
      <c r="A277" s="3" t="n">
        <v>276</v>
      </c>
      <c r="B277" s="3" t="n">
        <v>19</v>
      </c>
      <c r="C277" s="4" t="inlineStr">
        <is>
          <t>KBH2-06*100 Ø6*100</t>
        </is>
      </c>
      <c r="D277" s="3" t="inlineStr">
        <is>
          <t>Cái</t>
        </is>
      </c>
      <c r="E277" s="5" t="n">
        <v>18000</v>
      </c>
      <c r="F277" s="5" t="n">
        <v>22000</v>
      </c>
      <c r="G277" s="6" t="n">
        <v>29000</v>
      </c>
      <c r="H277" s="4" t="inlineStr">
        <is>
          <t>Cái 10C/V 1000C/T</t>
        </is>
      </c>
    </row>
    <row r="278">
      <c r="A278" s="3" t="n">
        <v>277</v>
      </c>
      <c r="B278" s="3" t="n">
        <v>19</v>
      </c>
      <c r="C278" s="4" t="inlineStr">
        <is>
          <t>KBH2-08*100 Ø8*100</t>
        </is>
      </c>
      <c r="D278" s="3" t="inlineStr">
        <is>
          <t>Cái</t>
        </is>
      </c>
      <c r="E278" s="5" t="n">
        <v>23000</v>
      </c>
      <c r="F278" s="5" t="n">
        <v>29000</v>
      </c>
      <c r="G278" s="6" t="n">
        <v>37000</v>
      </c>
      <c r="H278" s="4" t="inlineStr">
        <is>
          <t>Cái 10C/V 1000C/T</t>
        </is>
      </c>
    </row>
    <row r="279">
      <c r="A279" s="3" t="n">
        <v>278</v>
      </c>
      <c r="B279" s="3" t="n">
        <v>19</v>
      </c>
      <c r="C279" s="4" t="inlineStr">
        <is>
          <t>KBH2-10*120 Ø10*120</t>
        </is>
      </c>
      <c r="D279" s="3" t="inlineStr">
        <is>
          <t>Cái</t>
        </is>
      </c>
      <c r="E279" s="5" t="n">
        <v>28000</v>
      </c>
      <c r="F279" s="5" t="n">
        <v>35000</v>
      </c>
      <c r="G279" s="6" t="n">
        <v>45000</v>
      </c>
      <c r="H279" s="4" t="inlineStr">
        <is>
          <t>Cái 10C/V 1000C/T</t>
        </is>
      </c>
    </row>
    <row r="280">
      <c r="A280" s="3" t="n">
        <v>279</v>
      </c>
      <c r="B280" s="3" t="n">
        <v>19</v>
      </c>
      <c r="C280" s="4" t="inlineStr">
        <is>
          <t>KBH2-12*120 Ø12*120</t>
        </is>
      </c>
      <c r="D280" s="3" t="inlineStr">
        <is>
          <t>Cái</t>
        </is>
      </c>
      <c r="E280" s="5" t="n">
        <v>34000</v>
      </c>
      <c r="F280" s="5" t="n">
        <v>42000</v>
      </c>
      <c r="G280" s="6" t="n">
        <v>54000</v>
      </c>
      <c r="H280" s="4" t="inlineStr">
        <is>
          <t>Cái 5C/V 1000C/T</t>
        </is>
      </c>
    </row>
    <row r="281">
      <c r="A281" s="3" t="n">
        <v>280</v>
      </c>
      <c r="B281" s="3" t="n">
        <v>19</v>
      </c>
      <c r="C281" s="4" t="inlineStr">
        <is>
          <t>KBH2E-03*120 Ø3*120</t>
        </is>
      </c>
      <c r="D281" s="3" t="inlineStr">
        <is>
          <t>Cái</t>
        </is>
      </c>
      <c r="E281" s="5" t="n">
        <v>28000</v>
      </c>
      <c r="F281" s="5" t="n">
        <v>35000</v>
      </c>
      <c r="G281" s="6" t="n">
        <v>45000</v>
      </c>
      <c r="H281" s="4" t="inlineStr">
        <is>
          <t>Cái 1C/V100C/H 500C/T</t>
        </is>
      </c>
    </row>
    <row r="282">
      <c r="A282" s="3" t="n">
        <v>281</v>
      </c>
      <c r="B282" s="3" t="n">
        <v>19</v>
      </c>
      <c r="C282" s="4" t="inlineStr">
        <is>
          <t>KBH2E-3.2*120 Ø3.2*120</t>
        </is>
      </c>
      <c r="D282" s="3" t="inlineStr">
        <is>
          <t>Cái</t>
        </is>
      </c>
      <c r="E282" s="5" t="n">
        <v>28000</v>
      </c>
      <c r="F282" s="5" t="n">
        <v>35000</v>
      </c>
      <c r="G282" s="6" t="n">
        <v>45000</v>
      </c>
      <c r="H282" s="4" t="inlineStr">
        <is>
          <t>Cái 1C/V100C/H 500C/T</t>
        </is>
      </c>
    </row>
    <row r="283">
      <c r="A283" s="3" t="n">
        <v>282</v>
      </c>
      <c r="B283" s="3" t="n">
        <v>19</v>
      </c>
      <c r="C283" s="4" t="inlineStr">
        <is>
          <t>KBH2E-04*150 Ø4*150</t>
        </is>
      </c>
      <c r="D283" s="3" t="inlineStr">
        <is>
          <t>Cái</t>
        </is>
      </c>
      <c r="E283" s="5" t="n">
        <v>28000</v>
      </c>
      <c r="F283" s="5" t="n">
        <v>35000</v>
      </c>
      <c r="G283" s="6" t="n">
        <v>45000</v>
      </c>
      <c r="H283" s="4" t="inlineStr">
        <is>
          <t>Cái 1C/V100C/H 500C/T</t>
        </is>
      </c>
    </row>
    <row r="284">
      <c r="A284" s="3" t="n">
        <v>283</v>
      </c>
      <c r="B284" s="3" t="n">
        <v>19</v>
      </c>
      <c r="C284" s="4" t="inlineStr">
        <is>
          <t>KBH2E-06*150 Ø6*150</t>
        </is>
      </c>
      <c r="D284" s="3" t="inlineStr">
        <is>
          <t>Cái</t>
        </is>
      </c>
      <c r="E284" s="5" t="n">
        <v>31000</v>
      </c>
      <c r="F284" s="5" t="n">
        <v>39000</v>
      </c>
      <c r="G284" s="6" t="n">
        <v>50000</v>
      </c>
      <c r="H284" s="4" t="inlineStr">
        <is>
          <t>Cái 1C/V100C/H 500C/T</t>
        </is>
      </c>
    </row>
    <row r="285">
      <c r="A285" s="3" t="n">
        <v>284</v>
      </c>
      <c r="B285" s="3" t="n">
        <v>19</v>
      </c>
      <c r="C285" s="4" t="inlineStr">
        <is>
          <t>KBH2E-08*150 Ø8*150</t>
        </is>
      </c>
      <c r="D285" s="3" t="inlineStr">
        <is>
          <t>Cái</t>
        </is>
      </c>
      <c r="E285" s="5" t="n">
        <v>41000</v>
      </c>
      <c r="F285" s="5" t="n">
        <v>51000</v>
      </c>
      <c r="G285" s="6" t="n">
        <v>66000</v>
      </c>
      <c r="H285" s="4" t="inlineStr">
        <is>
          <t>Cái 1C/V100C/H 500C/T</t>
        </is>
      </c>
    </row>
    <row r="286">
      <c r="A286" s="3" t="n">
        <v>285</v>
      </c>
      <c r="B286" s="3" t="n">
        <v>19</v>
      </c>
      <c r="C286" s="4" t="inlineStr">
        <is>
          <t>KBH2E-10*150 Ø10*150</t>
        </is>
      </c>
      <c r="D286" s="3" t="inlineStr">
        <is>
          <t>Cái</t>
        </is>
      </c>
      <c r="E286" s="5" t="n">
        <v>48000</v>
      </c>
      <c r="F286" s="5" t="n">
        <v>60000</v>
      </c>
      <c r="G286" s="6" t="n">
        <v>77000</v>
      </c>
      <c r="H286" s="4" t="inlineStr">
        <is>
          <t>Cái 1C/V25C/H 300C/T</t>
        </is>
      </c>
    </row>
    <row r="287">
      <c r="A287" s="3" t="n">
        <v>286</v>
      </c>
      <c r="B287" s="3" t="n">
        <v>19</v>
      </c>
      <c r="C287" s="4" t="inlineStr">
        <is>
          <t>KBH2E-12*150 Ø12*150</t>
        </is>
      </c>
      <c r="D287" s="3" t="inlineStr">
        <is>
          <t>Cái</t>
        </is>
      </c>
      <c r="E287" s="5" t="n">
        <v>63000</v>
      </c>
      <c r="F287" s="5" t="n">
        <v>78000</v>
      </c>
      <c r="G287" s="6" t="n">
        <v>101000</v>
      </c>
      <c r="H287" s="4" t="inlineStr">
        <is>
          <t>Cái 1C/V25C/H 300C/T</t>
        </is>
      </c>
    </row>
    <row r="288">
      <c r="A288" s="3" t="n">
        <v>287</v>
      </c>
      <c r="B288" s="3" t="n">
        <v>19</v>
      </c>
      <c r="C288" s="4" t="inlineStr">
        <is>
          <t>KBH2F-03*95 Ø3*95</t>
        </is>
      </c>
      <c r="D288" s="3" t="inlineStr">
        <is>
          <t>Cái</t>
        </is>
      </c>
      <c r="E288" s="5" t="n">
        <v>26000</v>
      </c>
      <c r="F288" s="5" t="n">
        <v>32000</v>
      </c>
      <c r="G288" s="6" t="n">
        <v>42000</v>
      </c>
      <c r="H288" s="4" t="inlineStr">
        <is>
          <t>Cái 1C/V100C/H 600C/T</t>
        </is>
      </c>
    </row>
    <row r="289">
      <c r="A289" s="3" t="n">
        <v>288</v>
      </c>
      <c r="B289" s="3" t="n">
        <v>19</v>
      </c>
      <c r="C289" s="4" t="inlineStr">
        <is>
          <t>KBH2F-04*95 Ø4*95</t>
        </is>
      </c>
      <c r="D289" s="3" t="inlineStr">
        <is>
          <t>Cái</t>
        </is>
      </c>
      <c r="E289" s="5" t="n">
        <v>26000</v>
      </c>
      <c r="F289" s="5" t="n">
        <v>32000</v>
      </c>
      <c r="G289" s="6" t="n">
        <v>42000</v>
      </c>
      <c r="H289" s="4" t="inlineStr">
        <is>
          <t>Cái 1C/V100C/H 600C/T</t>
        </is>
      </c>
    </row>
    <row r="290">
      <c r="A290" s="3" t="n">
        <v>289</v>
      </c>
      <c r="B290" s="3" t="n">
        <v>19</v>
      </c>
      <c r="C290" s="4" t="inlineStr">
        <is>
          <t>KBH2F-05*95 Ø5*95</t>
        </is>
      </c>
      <c r="D290" s="3" t="inlineStr">
        <is>
          <t>Cái</t>
        </is>
      </c>
      <c r="E290" s="5" t="n">
        <v>26000</v>
      </c>
      <c r="F290" s="5" t="n">
        <v>32000</v>
      </c>
      <c r="G290" s="6" t="n">
        <v>42000</v>
      </c>
      <c r="H290" s="4" t="inlineStr">
        <is>
          <t>Cái 1C/V100C/H 600C/T</t>
        </is>
      </c>
    </row>
    <row r="291">
      <c r="A291" s="3" t="n">
        <v>290</v>
      </c>
      <c r="B291" s="3" t="n">
        <v>19</v>
      </c>
      <c r="C291" s="4" t="inlineStr">
        <is>
          <t>KBH2F-06*95 Ø6*95</t>
        </is>
      </c>
      <c r="D291" s="3" t="inlineStr">
        <is>
          <t>Cái</t>
        </is>
      </c>
      <c r="E291" s="5" t="n">
        <v>26000</v>
      </c>
      <c r="F291" s="5" t="n">
        <v>32000</v>
      </c>
      <c r="G291" s="6" t="n">
        <v>42000</v>
      </c>
      <c r="H291" s="4" t="inlineStr">
        <is>
          <t>Cái 1C/V100C/H 500C/T</t>
        </is>
      </c>
    </row>
    <row r="292">
      <c r="A292" s="3" t="n">
        <v>291</v>
      </c>
      <c r="B292" s="3" t="n">
        <v>19</v>
      </c>
      <c r="C292" s="4" t="inlineStr">
        <is>
          <t>KBH2F-08*95 Ø8*95</t>
        </is>
      </c>
      <c r="D292" s="3" t="inlineStr">
        <is>
          <t>Cái</t>
        </is>
      </c>
      <c r="E292" s="5" t="n">
        <v>33000</v>
      </c>
      <c r="F292" s="5" t="n">
        <v>41000</v>
      </c>
      <c r="G292" s="6" t="n">
        <v>53000</v>
      </c>
      <c r="H292" s="4" t="inlineStr">
        <is>
          <t>Cái 1C/V100C/H 500C/T</t>
        </is>
      </c>
    </row>
    <row r="293">
      <c r="A293" s="3" t="n">
        <v>292</v>
      </c>
      <c r="B293" s="3" t="n">
        <v>19</v>
      </c>
      <c r="C293" s="4" t="inlineStr">
        <is>
          <t>KBH2F-10*95 Ø10*95</t>
        </is>
      </c>
      <c r="D293" s="3" t="inlineStr">
        <is>
          <t>Cái</t>
        </is>
      </c>
      <c r="E293" s="5" t="n">
        <v>42000</v>
      </c>
      <c r="F293" s="5" t="n">
        <v>52000</v>
      </c>
      <c r="G293" s="6" t="n">
        <v>67000</v>
      </c>
      <c r="H293" s="4" t="inlineStr">
        <is>
          <t>Cái 1C/V50C/H 500C/T</t>
        </is>
      </c>
    </row>
    <row r="294">
      <c r="A294" s="3" t="n">
        <v>293</v>
      </c>
      <c r="B294" s="3" t="n">
        <v>19</v>
      </c>
      <c r="C294" s="4" t="inlineStr">
        <is>
          <t>KBH2F-12*95 Ø12*95</t>
        </is>
      </c>
      <c r="D294" s="3" t="inlineStr">
        <is>
          <t>Cái</t>
        </is>
      </c>
      <c r="E294" s="5" t="n">
        <v>53000</v>
      </c>
      <c r="F294" s="5" t="n">
        <v>66000</v>
      </c>
      <c r="G294" s="6" t="n">
        <v>85000</v>
      </c>
      <c r="H294" s="4" t="inlineStr">
        <is>
          <t>Cái 1C/V50C/H 500C/T</t>
        </is>
      </c>
    </row>
    <row r="295">
      <c r="A295" s="3" t="n">
        <v>294</v>
      </c>
      <c r="B295" s="3" t="n">
        <v>20</v>
      </c>
      <c r="C295" s="4" t="inlineStr">
        <is>
          <t>KBL2S-06*160 Ø6*160</t>
        </is>
      </c>
      <c r="D295" s="3" t="inlineStr">
        <is>
          <t>Cái</t>
        </is>
      </c>
      <c r="E295" s="5" t="n">
        <v>24000</v>
      </c>
      <c r="F295" s="5" t="n">
        <v>30000</v>
      </c>
      <c r="G295" s="6" t="n">
        <v>38000</v>
      </c>
      <c r="H295" s="4" t="inlineStr">
        <is>
          <t>Cái 10C/H 300C/T</t>
        </is>
      </c>
    </row>
    <row r="296">
      <c r="A296" s="3" t="n">
        <v>295</v>
      </c>
      <c r="B296" s="3" t="n">
        <v>20</v>
      </c>
      <c r="C296" s="4" t="inlineStr">
        <is>
          <t>KBL2S-08*160 Ø8*160</t>
        </is>
      </c>
      <c r="D296" s="3" t="inlineStr">
        <is>
          <t>Cái</t>
        </is>
      </c>
      <c r="E296" s="5" t="n">
        <v>28000</v>
      </c>
      <c r="F296" s="5" t="n">
        <v>35000</v>
      </c>
      <c r="G296" s="6" t="n">
        <v>45000</v>
      </c>
      <c r="H296" s="4" t="inlineStr">
        <is>
          <t>Cái 10C/H 300C/T</t>
        </is>
      </c>
    </row>
    <row r="297">
      <c r="A297" s="3" t="n">
        <v>296</v>
      </c>
      <c r="B297" s="3" t="n">
        <v>20</v>
      </c>
      <c r="C297" s="4" t="inlineStr">
        <is>
          <t>KBL2S-10*160 Ø10*160</t>
        </is>
      </c>
      <c r="D297" s="3" t="inlineStr">
        <is>
          <t>Cái</t>
        </is>
      </c>
      <c r="E297" s="5" t="n">
        <v>34000</v>
      </c>
      <c r="F297" s="5" t="n">
        <v>42000</v>
      </c>
      <c r="G297" s="6" t="n">
        <v>54000</v>
      </c>
      <c r="H297" s="4" t="inlineStr">
        <is>
          <t>Cái 10C/H 200C/T</t>
        </is>
      </c>
    </row>
    <row r="298">
      <c r="A298" s="3" t="n">
        <v>297</v>
      </c>
      <c r="B298" s="3" t="n">
        <v>20</v>
      </c>
      <c r="C298" s="4" t="inlineStr">
        <is>
          <t>KBL2S-12*160 Ø12*160</t>
        </is>
      </c>
      <c r="D298" s="3" t="inlineStr">
        <is>
          <t>Cái</t>
        </is>
      </c>
      <c r="E298" s="5" t="n">
        <v>39000</v>
      </c>
      <c r="F298" s="5" t="n">
        <v>48000</v>
      </c>
      <c r="G298" s="6" t="n">
        <v>62000</v>
      </c>
      <c r="H298" s="4" t="inlineStr">
        <is>
          <t>Cái 10C/H 200C/T</t>
        </is>
      </c>
    </row>
    <row r="299">
      <c r="A299" s="3" t="n">
        <v>298</v>
      </c>
      <c r="B299" s="3" t="n">
        <v>20</v>
      </c>
      <c r="C299" s="4" t="inlineStr">
        <is>
          <t>KBH4S-3*92 Ø03*92</t>
        </is>
      </c>
      <c r="D299" s="3" t="inlineStr">
        <is>
          <t>Cái</t>
        </is>
      </c>
      <c r="E299" s="5" t="n">
        <v>23000</v>
      </c>
      <c r="F299" s="5" t="n">
        <v>29000</v>
      </c>
      <c r="G299" s="6" t="n">
        <v>37000</v>
      </c>
      <c r="H299" s="4" t="inlineStr">
        <is>
          <t>Cái 10C/V100C/H 500C/T</t>
        </is>
      </c>
    </row>
    <row r="300">
      <c r="A300" s="3" t="n">
        <v>299</v>
      </c>
      <c r="B300" s="3" t="n">
        <v>20</v>
      </c>
      <c r="C300" s="4" t="inlineStr">
        <is>
          <t>KBH4S-3.5*92 Ø03.5*92</t>
        </is>
      </c>
      <c r="D300" s="3" t="inlineStr">
        <is>
          <t>Cái</t>
        </is>
      </c>
      <c r="E300" s="5" t="n">
        <v>23000</v>
      </c>
      <c r="F300" s="5" t="n">
        <v>29000</v>
      </c>
      <c r="G300" s="6" t="n">
        <v>37000</v>
      </c>
      <c r="H300" s="4" t="inlineStr">
        <is>
          <t>Cái 1C/V100C/H 500C/T</t>
        </is>
      </c>
    </row>
    <row r="301">
      <c r="A301" s="3" t="n">
        <v>300</v>
      </c>
      <c r="B301" s="3" t="n">
        <v>20</v>
      </c>
      <c r="C301" s="4" t="inlineStr">
        <is>
          <t>KBH4S-06*100 Ø06*100</t>
        </is>
      </c>
      <c r="D301" s="3" t="inlineStr">
        <is>
          <t>Cái</t>
        </is>
      </c>
      <c r="E301" s="5" t="n">
        <v>41000</v>
      </c>
      <c r="F301" s="5" t="n">
        <v>51000</v>
      </c>
      <c r="G301" s="6" t="n">
        <v>65000</v>
      </c>
      <c r="H301" s="4" t="inlineStr">
        <is>
          <t>Cái 1C/V100C/H 500C/T</t>
        </is>
      </c>
    </row>
    <row r="302">
      <c r="A302" s="3" t="n">
        <v>301</v>
      </c>
      <c r="B302" s="3" t="n">
        <v>20</v>
      </c>
      <c r="C302" s="4" t="inlineStr">
        <is>
          <t>KBH4S-08*117 Ø08*117</t>
        </is>
      </c>
      <c r="D302" s="3" t="inlineStr">
        <is>
          <t>Cái</t>
        </is>
      </c>
      <c r="E302" s="5" t="n">
        <v>32000</v>
      </c>
      <c r="F302" s="5" t="n">
        <v>40000</v>
      </c>
      <c r="G302" s="6" t="n">
        <v>51000</v>
      </c>
      <c r="H302" s="4" t="inlineStr">
        <is>
          <t>Cái 1C/V100C/H 500C/T</t>
        </is>
      </c>
    </row>
    <row r="303">
      <c r="A303" s="3" t="n">
        <v>302</v>
      </c>
      <c r="B303" s="3" t="n">
        <v>20</v>
      </c>
      <c r="C303" s="4" t="inlineStr">
        <is>
          <t>KBH4S-10*123 Ø10*122</t>
        </is>
      </c>
      <c r="D303" s="3" t="inlineStr">
        <is>
          <t>Cái</t>
        </is>
      </c>
      <c r="E303" s="5" t="n">
        <v>40000</v>
      </c>
      <c r="F303" s="5" t="n">
        <v>50000</v>
      </c>
      <c r="G303" s="6" t="n">
        <v>64000</v>
      </c>
      <c r="H303" s="4" t="inlineStr">
        <is>
          <t>Cái 1C/V100C/H 500C/T</t>
        </is>
      </c>
    </row>
    <row r="304">
      <c r="A304" s="3" t="n">
        <v>303</v>
      </c>
      <c r="B304" s="3" t="n">
        <v>20</v>
      </c>
      <c r="C304" s="4" t="inlineStr">
        <is>
          <t>KBH4S-12*123 Ø12*123</t>
        </is>
      </c>
      <c r="D304" s="3" t="inlineStr">
        <is>
          <t>Cái</t>
        </is>
      </c>
      <c r="E304" s="5" t="n">
        <v>48000</v>
      </c>
      <c r="F304" s="5" t="n">
        <v>60000</v>
      </c>
      <c r="G304" s="6" t="n">
        <v>77000</v>
      </c>
      <c r="H304" s="4" t="inlineStr">
        <is>
          <t>Cái 1C/V50C/H 500C/T</t>
        </is>
      </c>
    </row>
    <row r="305">
      <c r="A305" s="3" t="n">
        <v>304</v>
      </c>
      <c r="B305" s="3" t="n">
        <v>20</v>
      </c>
      <c r="C305" s="4" t="inlineStr">
        <is>
          <t>KBH4-05 Ø6,Ø6,Ø8, Ø10,Ø12</t>
        </is>
      </c>
      <c r="D305" s="3" t="inlineStr">
        <is>
          <t>Bộ</t>
        </is>
      </c>
      <c r="E305" s="5" t="n">
        <v>153000</v>
      </c>
      <c r="F305" s="5" t="n">
        <v>190000</v>
      </c>
      <c r="G305" s="6" t="n">
        <v>245000</v>
      </c>
      <c r="H305" s="4" t="inlineStr">
        <is>
          <t>Bộ 7C/H 126C/T</t>
        </is>
      </c>
    </row>
    <row r="306">
      <c r="A306" s="3" t="n">
        <v>305</v>
      </c>
      <c r="B306" s="3" t="n">
        <v>20</v>
      </c>
      <c r="C306" s="4" t="inlineStr"/>
      <c r="D306" s="3" t="inlineStr">
        <is>
          <t>Bộ</t>
        </is>
      </c>
      <c r="E306" s="5" t="n">
        <v>326000</v>
      </c>
      <c r="F306" s="5" t="n">
        <v>404000</v>
      </c>
      <c r="G306" s="6" t="n">
        <v>522000</v>
      </c>
      <c r="H306" s="4" t="inlineStr">
        <is>
          <t>Bộ 10b/H nhỏ 40B/T Dành cho lĩnh vực điện lạnhChất liệu: Thép S2 cao cấp</t>
        </is>
      </c>
    </row>
    <row r="307">
      <c r="A307" s="3" t="n">
        <v>306</v>
      </c>
      <c r="B307" s="3" t="n">
        <v>20</v>
      </c>
      <c r="C307" s="4" t="inlineStr"/>
      <c r="D307" s="3" t="inlineStr">
        <is>
          <t>Bộ</t>
        </is>
      </c>
      <c r="E307" s="5" t="n">
        <v>305000</v>
      </c>
      <c r="F307" s="5" t="n">
        <v>378000</v>
      </c>
      <c r="G307" s="6" t="n">
        <v>488000</v>
      </c>
      <c r="H307" s="4" t="inlineStr">
        <is>
          <t>Bộ 10b/H nhỏ 40B/T</t>
        </is>
      </c>
    </row>
    <row r="308">
      <c r="A308" s="3" t="n">
        <v>307</v>
      </c>
      <c r="B308" s="3" t="n">
        <v>21</v>
      </c>
      <c r="C308" s="4" t="inlineStr">
        <is>
          <t>KBLJ-03*100 03*100</t>
        </is>
      </c>
      <c r="D308" s="3" t="inlineStr">
        <is>
          <t>Cái</t>
        </is>
      </c>
      <c r="E308" s="5" t="n">
        <v>30000</v>
      </c>
      <c r="F308" s="5" t="n">
        <v>37000</v>
      </c>
      <c r="G308" s="6" t="n">
        <v>48000</v>
      </c>
      <c r="H308" s="4" t="inlineStr">
        <is>
          <t>Cái 10C/H 500C/T</t>
        </is>
      </c>
    </row>
    <row r="309">
      <c r="A309" s="3" t="n">
        <v>308</v>
      </c>
      <c r="B309" s="3" t="n">
        <v>21</v>
      </c>
      <c r="C309" s="4" t="inlineStr">
        <is>
          <t>KBLJ-03.2*100 3.2*100</t>
        </is>
      </c>
      <c r="D309" s="3" t="inlineStr">
        <is>
          <t>Cái</t>
        </is>
      </c>
      <c r="E309" s="5" t="n">
        <v>30000</v>
      </c>
      <c r="F309" s="5" t="n">
        <v>37000</v>
      </c>
      <c r="G309" s="6" t="n">
        <v>48000</v>
      </c>
      <c r="H309" s="4" t="inlineStr">
        <is>
          <t>Cái 10C/H 500C/T</t>
        </is>
      </c>
    </row>
    <row r="310">
      <c r="A310" s="3" t="n">
        <v>309</v>
      </c>
      <c r="B310" s="3" t="n">
        <v>21</v>
      </c>
      <c r="C310" s="4" t="inlineStr">
        <is>
          <t>KBLJ-03.5*100 3.5*100</t>
        </is>
      </c>
      <c r="D310" s="3" t="inlineStr">
        <is>
          <t>Cái</t>
        </is>
      </c>
      <c r="E310" s="5" t="n">
        <v>30000</v>
      </c>
      <c r="F310" s="5" t="n">
        <v>37000</v>
      </c>
      <c r="G310" s="6" t="n">
        <v>48000</v>
      </c>
      <c r="H310" s="4" t="inlineStr">
        <is>
          <t>Cái 10C/H 500C/T</t>
        </is>
      </c>
    </row>
    <row r="311">
      <c r="A311" s="3" t="n">
        <v>310</v>
      </c>
      <c r="B311" s="3" t="n">
        <v>21</v>
      </c>
      <c r="C311" s="4" t="inlineStr">
        <is>
          <t>KBLJ-04*100 04*100</t>
        </is>
      </c>
      <c r="D311" s="3" t="inlineStr">
        <is>
          <t>Cái</t>
        </is>
      </c>
      <c r="E311" s="5" t="n">
        <v>30000</v>
      </c>
      <c r="F311" s="5" t="n">
        <v>37000</v>
      </c>
      <c r="G311" s="6" t="n">
        <v>48000</v>
      </c>
      <c r="H311" s="4" t="inlineStr">
        <is>
          <t>Cái 10C/H 500C/T</t>
        </is>
      </c>
    </row>
    <row r="312">
      <c r="A312" s="3" t="n">
        <v>311</v>
      </c>
      <c r="B312" s="3" t="n">
        <v>21</v>
      </c>
      <c r="C312" s="4" t="inlineStr">
        <is>
          <t>KBLJ-04.2*100 4.2*100</t>
        </is>
      </c>
      <c r="D312" s="3" t="inlineStr">
        <is>
          <t>Cái</t>
        </is>
      </c>
      <c r="E312" s="5" t="n">
        <v>30000</v>
      </c>
      <c r="F312" s="5" t="n">
        <v>37000</v>
      </c>
      <c r="G312" s="6" t="n">
        <v>48000</v>
      </c>
      <c r="H312" s="4" t="inlineStr">
        <is>
          <t>Cái 10C/H 500C/T</t>
        </is>
      </c>
    </row>
    <row r="313">
      <c r="A313" s="3" t="n">
        <v>312</v>
      </c>
      <c r="B313" s="3" t="n">
        <v>21</v>
      </c>
      <c r="C313" s="4" t="inlineStr">
        <is>
          <t>KBLJ-04.5*100 4.5*100</t>
        </is>
      </c>
      <c r="D313" s="3" t="inlineStr">
        <is>
          <t>Cái</t>
        </is>
      </c>
      <c r="E313" s="5" t="n">
        <v>30000</v>
      </c>
      <c r="F313" s="5" t="n">
        <v>37000</v>
      </c>
      <c r="G313" s="6" t="n">
        <v>48000</v>
      </c>
      <c r="H313" s="4" t="inlineStr">
        <is>
          <t>Cái 10C/H 500C/T</t>
        </is>
      </c>
    </row>
    <row r="314">
      <c r="A314" s="3" t="n">
        <v>313</v>
      </c>
      <c r="B314" s="3" t="n">
        <v>21</v>
      </c>
      <c r="C314" s="4" t="inlineStr">
        <is>
          <t>KBLJ-05*100 05*100</t>
        </is>
      </c>
      <c r="D314" s="3" t="inlineStr">
        <is>
          <t>Cái</t>
        </is>
      </c>
      <c r="E314" s="5" t="n">
        <v>30000</v>
      </c>
      <c r="F314" s="5" t="n">
        <v>37000</v>
      </c>
      <c r="G314" s="6" t="n">
        <v>48000</v>
      </c>
      <c r="H314" s="4" t="inlineStr">
        <is>
          <t>Cái 10C/H 500C/T</t>
        </is>
      </c>
    </row>
    <row r="315">
      <c r="A315" s="3" t="n">
        <v>314</v>
      </c>
      <c r="B315" s="3" t="n">
        <v>21</v>
      </c>
      <c r="C315" s="4" t="inlineStr">
        <is>
          <t>KBLJ-05.5*100 5.5*100</t>
        </is>
      </c>
      <c r="D315" s="3" t="inlineStr">
        <is>
          <t>Cái</t>
        </is>
      </c>
      <c r="E315" s="5" t="n">
        <v>30000</v>
      </c>
      <c r="F315" s="5" t="n">
        <v>37000</v>
      </c>
      <c r="G315" s="6" t="n">
        <v>48000</v>
      </c>
      <c r="H315" s="4" t="inlineStr">
        <is>
          <t>Cái 10c/H nhỏ100c/H lớn 500c/T nhỏ600c/T lớn</t>
        </is>
      </c>
    </row>
    <row r="316">
      <c r="A316" s="3" t="n">
        <v>315</v>
      </c>
      <c r="B316" s="3" t="n">
        <v>21</v>
      </c>
      <c r="C316" s="4" t="inlineStr">
        <is>
          <t>KBLJ-06*125 06*125</t>
        </is>
      </c>
      <c r="D316" s="3" t="inlineStr">
        <is>
          <t>Cái</t>
        </is>
      </c>
      <c r="E316" s="5" t="n">
        <v>36000</v>
      </c>
      <c r="F316" s="5" t="n">
        <v>45000</v>
      </c>
      <c r="G316" s="6" t="n">
        <v>58000</v>
      </c>
      <c r="H316" s="4" t="inlineStr">
        <is>
          <t>Cái 10C/H 500C/T</t>
        </is>
      </c>
    </row>
    <row r="317">
      <c r="A317" s="3" t="n">
        <v>316</v>
      </c>
      <c r="B317" s="3" t="n">
        <v>21</v>
      </c>
      <c r="C317" s="4" t="inlineStr">
        <is>
          <t>KBLJ-06.5*125 6.5*125</t>
        </is>
      </c>
      <c r="D317" s="3" t="inlineStr">
        <is>
          <t>Cái</t>
        </is>
      </c>
      <c r="E317" s="5" t="n">
        <v>40000</v>
      </c>
      <c r="F317" s="5" t="n">
        <v>50000</v>
      </c>
      <c r="G317" s="6" t="n">
        <v>64000</v>
      </c>
      <c r="H317" s="4" t="inlineStr">
        <is>
          <t>Cái 10C/H 500C/T</t>
        </is>
      </c>
    </row>
    <row r="318">
      <c r="A318" s="3" t="n">
        <v>317</v>
      </c>
      <c r="B318" s="3" t="n">
        <v>21</v>
      </c>
      <c r="C318" s="4" t="inlineStr">
        <is>
          <t>KBLJ-07*125 07*125</t>
        </is>
      </c>
      <c r="D318" s="3" t="inlineStr">
        <is>
          <t>Cái</t>
        </is>
      </c>
      <c r="E318" s="5" t="n">
        <v>43000</v>
      </c>
      <c r="F318" s="5" t="n">
        <v>53000</v>
      </c>
      <c r="G318" s="6" t="n">
        <v>69000</v>
      </c>
      <c r="H318" s="4" t="inlineStr">
        <is>
          <t>Cái 10C/H 500C/T</t>
        </is>
      </c>
    </row>
    <row r="319">
      <c r="A319" s="3" t="n">
        <v>318</v>
      </c>
      <c r="B319" s="3" t="n">
        <v>21</v>
      </c>
      <c r="C319" s="4" t="inlineStr">
        <is>
          <t>KBLJ-08*125 08*125</t>
        </is>
      </c>
      <c r="D319" s="3" t="inlineStr">
        <is>
          <t>Cái</t>
        </is>
      </c>
      <c r="E319" s="5" t="n">
        <v>46000</v>
      </c>
      <c r="F319" s="5" t="n">
        <v>57000</v>
      </c>
      <c r="G319" s="6" t="n">
        <v>74000</v>
      </c>
      <c r="H319" s="4" t="inlineStr">
        <is>
          <t>Cái 10c/H nhỏ100c/H lớn 500c/T nhỏ600c/T lớn</t>
        </is>
      </c>
    </row>
    <row r="320">
      <c r="A320" s="3" t="n">
        <v>319</v>
      </c>
      <c r="B320" s="3" t="n">
        <v>21</v>
      </c>
      <c r="C320" s="4" t="inlineStr">
        <is>
          <t>KBLJ-10*148 10*148</t>
        </is>
      </c>
      <c r="D320" s="3" t="inlineStr">
        <is>
          <t>Cái</t>
        </is>
      </c>
      <c r="E320" s="5" t="n">
        <v>54000</v>
      </c>
      <c r="F320" s="5" t="n">
        <v>67000</v>
      </c>
      <c r="G320" s="6" t="n">
        <v>86000</v>
      </c>
      <c r="H320" s="4" t="inlineStr">
        <is>
          <t>Cái 10C/H 250C/T</t>
        </is>
      </c>
    </row>
    <row r="321">
      <c r="A321" s="3" t="n">
        <v>320</v>
      </c>
      <c r="B321" s="3" t="n">
        <v>21</v>
      </c>
      <c r="C321" s="4" t="inlineStr">
        <is>
          <t>KFJ-432  Ø4*32</t>
        </is>
      </c>
      <c r="D321" s="3" t="inlineStr">
        <is>
          <t>Hộp</t>
        </is>
      </c>
      <c r="E321" s="5" t="n">
        <v>81000</v>
      </c>
      <c r="F321" s="5" t="n">
        <v>101000</v>
      </c>
      <c r="G321" s="6" t="n">
        <v>130000</v>
      </c>
      <c r="H321" s="4" t="inlineStr">
        <is>
          <t>Hộp 150C/H 18H/T</t>
        </is>
      </c>
    </row>
    <row r="322">
      <c r="A322" s="3" t="n">
        <v>321</v>
      </c>
      <c r="B322" s="3" t="n">
        <v>21</v>
      </c>
      <c r="C322" s="4" t="inlineStr">
        <is>
          <t>KFJ-438  Ø4*38</t>
        </is>
      </c>
      <c r="D322" s="3" t="inlineStr">
        <is>
          <t>Hộp</t>
        </is>
      </c>
      <c r="E322" s="5" t="n">
        <v>81000</v>
      </c>
      <c r="F322" s="5" t="n">
        <v>101000</v>
      </c>
      <c r="G322" s="6" t="n">
        <v>130000</v>
      </c>
      <c r="H322" s="4" t="inlineStr">
        <is>
          <t>Hộp 125CH 18H/T</t>
        </is>
      </c>
    </row>
    <row r="323">
      <c r="A323" s="3" t="n">
        <v>322</v>
      </c>
      <c r="B323" s="3" t="n">
        <v>21</v>
      </c>
      <c r="C323" s="4" t="inlineStr">
        <is>
          <t>KFJ-445  Ø4*45</t>
        </is>
      </c>
      <c r="D323" s="3" t="inlineStr">
        <is>
          <t>Hộp</t>
        </is>
      </c>
      <c r="E323" s="5" t="n">
        <v>81000</v>
      </c>
      <c r="F323" s="5" t="n">
        <v>101000</v>
      </c>
      <c r="G323" s="6" t="n">
        <v>130000</v>
      </c>
      <c r="H323" s="4" t="inlineStr">
        <is>
          <t>Hộp 100C/H 18H/T</t>
        </is>
      </c>
    </row>
    <row r="324">
      <c r="A324" s="3" t="n">
        <v>323</v>
      </c>
      <c r="B324" s="3" t="n">
        <v>21</v>
      </c>
      <c r="C324" s="4" t="inlineStr">
        <is>
          <t>KFJ-535  Ø5*35</t>
        </is>
      </c>
      <c r="D324" s="3" t="inlineStr">
        <is>
          <t>Hộp</t>
        </is>
      </c>
      <c r="E324" s="5" t="n">
        <v>81000</v>
      </c>
      <c r="F324" s="5" t="n">
        <v>101000</v>
      </c>
      <c r="G324" s="6" t="n">
        <v>130000</v>
      </c>
      <c r="H324" s="4" t="inlineStr">
        <is>
          <t>Hộp 70C/H 18H/T</t>
        </is>
      </c>
    </row>
    <row r="325">
      <c r="A325" s="3" t="n">
        <v>324</v>
      </c>
      <c r="B325" s="3" t="n">
        <v>21</v>
      </c>
      <c r="C325" s="4" t="inlineStr">
        <is>
          <t>KFJ-545  Ø5*45</t>
        </is>
      </c>
      <c r="D325" s="3" t="inlineStr">
        <is>
          <t>Hộp</t>
        </is>
      </c>
      <c r="E325" s="5" t="n">
        <v>81000</v>
      </c>
      <c r="F325" s="5" t="n">
        <v>101000</v>
      </c>
      <c r="G325" s="6" t="n">
        <v>130000</v>
      </c>
      <c r="H325" s="4" t="inlineStr">
        <is>
          <t>Hộp 60C/H 18H/T</t>
        </is>
      </c>
    </row>
    <row r="326">
      <c r="A326" s="3" t="n">
        <v>325</v>
      </c>
      <c r="B326" s="3" t="n">
        <v>21</v>
      </c>
      <c r="C326" s="4" t="inlineStr">
        <is>
          <t>KBL4S-06*160 Ø06*160</t>
        </is>
      </c>
      <c r="D326" s="3" t="inlineStr">
        <is>
          <t>Cái</t>
        </is>
      </c>
      <c r="E326" s="5" t="n">
        <v>28000</v>
      </c>
      <c r="F326" s="5" t="n">
        <v>35000</v>
      </c>
      <c r="G326" s="6" t="n">
        <v>45000</v>
      </c>
      <c r="H326" s="4" t="inlineStr">
        <is>
          <t>Cái 10C/H 300C/T</t>
        </is>
      </c>
    </row>
    <row r="327">
      <c r="A327" s="3" t="n">
        <v>326</v>
      </c>
      <c r="B327" s="3" t="n">
        <v>21</v>
      </c>
      <c r="C327" s="4" t="inlineStr">
        <is>
          <t>KBL4S-08*160 Ø08*160</t>
        </is>
      </c>
      <c r="D327" s="3" t="inlineStr">
        <is>
          <t>Cái</t>
        </is>
      </c>
      <c r="E327" s="5" t="n">
        <v>32000</v>
      </c>
      <c r="F327" s="5" t="n">
        <v>40000</v>
      </c>
      <c r="G327" s="6" t="n">
        <v>51000</v>
      </c>
      <c r="H327" s="4" t="inlineStr">
        <is>
          <t>Cái 10C/H 300C/T</t>
        </is>
      </c>
    </row>
    <row r="328">
      <c r="A328" s="3" t="n">
        <v>327</v>
      </c>
      <c r="B328" s="3" t="n">
        <v>21</v>
      </c>
      <c r="C328" s="4" t="inlineStr">
        <is>
          <t>KBL4S-10*160 Ø10*160</t>
        </is>
      </c>
      <c r="D328" s="3" t="inlineStr">
        <is>
          <t>Cái</t>
        </is>
      </c>
      <c r="E328" s="5" t="n">
        <v>40000</v>
      </c>
      <c r="F328" s="5" t="n">
        <v>50000</v>
      </c>
      <c r="G328" s="6" t="n">
        <v>64000</v>
      </c>
      <c r="H328" s="4" t="inlineStr">
        <is>
          <t>Cái 10C/H 200C/T</t>
        </is>
      </c>
    </row>
    <row r="329">
      <c r="A329" s="3" t="n">
        <v>328</v>
      </c>
      <c r="B329" s="3" t="n">
        <v>21</v>
      </c>
      <c r="C329" s="4" t="inlineStr">
        <is>
          <t>KBL4S-12*160 Ø12*160</t>
        </is>
      </c>
      <c r="D329" s="3" t="inlineStr">
        <is>
          <t>Cái</t>
        </is>
      </c>
      <c r="E329" s="5" t="n">
        <v>46000</v>
      </c>
      <c r="F329" s="5" t="n">
        <v>57000</v>
      </c>
      <c r="G329" s="6" t="n">
        <v>74000</v>
      </c>
      <c r="H329" s="4" t="inlineStr">
        <is>
          <t>Cái 10C/H 200C/T</t>
        </is>
      </c>
    </row>
    <row r="330">
      <c r="A330" s="3" t="n">
        <v>329</v>
      </c>
      <c r="B330" s="3" t="n">
        <v>21</v>
      </c>
      <c r="C330" s="4" t="inlineStr">
        <is>
          <t>KBX1-06*200 Ø06*200</t>
        </is>
      </c>
      <c r="D330" s="3" t="inlineStr">
        <is>
          <t>Cái</t>
        </is>
      </c>
      <c r="E330" s="5" t="n">
        <v>32000</v>
      </c>
      <c r="F330" s="5" t="n">
        <v>40000</v>
      </c>
      <c r="G330" s="6" t="n">
        <v>51000</v>
      </c>
      <c r="H330" s="4" t="inlineStr">
        <is>
          <t>Cái 10C/H 250C/T</t>
        </is>
      </c>
    </row>
    <row r="331">
      <c r="A331" s="3" t="n">
        <v>330</v>
      </c>
      <c r="B331" s="3" t="n">
        <v>21</v>
      </c>
      <c r="C331" s="4" t="inlineStr">
        <is>
          <t>KBX1-08*200 Ø08*200</t>
        </is>
      </c>
      <c r="D331" s="3" t="inlineStr">
        <is>
          <t>Cái</t>
        </is>
      </c>
      <c r="E331" s="5" t="n">
        <v>39000</v>
      </c>
      <c r="F331" s="5" t="n">
        <v>48000</v>
      </c>
      <c r="G331" s="6" t="n">
        <v>62000</v>
      </c>
      <c r="H331" s="4" t="inlineStr">
        <is>
          <t>Cái 10C/H 250C/T</t>
        </is>
      </c>
    </row>
    <row r="332">
      <c r="A332" s="3" t="n">
        <v>331</v>
      </c>
      <c r="B332" s="3" t="n">
        <v>21</v>
      </c>
      <c r="C332" s="4" t="inlineStr">
        <is>
          <t>KBX1-10*200 Ø10*200</t>
        </is>
      </c>
      <c r="D332" s="3" t="inlineStr">
        <is>
          <t>Cái</t>
        </is>
      </c>
      <c r="E332" s="5" t="n">
        <v>43000</v>
      </c>
      <c r="F332" s="5" t="n">
        <v>53000</v>
      </c>
      <c r="G332" s="6" t="n">
        <v>69000</v>
      </c>
      <c r="H332" s="4" t="inlineStr">
        <is>
          <t>Cái 10C/H 250C/T</t>
        </is>
      </c>
    </row>
    <row r="333">
      <c r="A333" s="3" t="n">
        <v>332</v>
      </c>
      <c r="B333" s="3" t="n">
        <v>21</v>
      </c>
      <c r="C333" s="4" t="inlineStr">
        <is>
          <t>KBX1-12*200 Ø12*200</t>
        </is>
      </c>
      <c r="D333" s="3" t="inlineStr">
        <is>
          <t>Cái</t>
        </is>
      </c>
      <c r="E333" s="5" t="n">
        <v>50000</v>
      </c>
      <c r="F333" s="5" t="n">
        <v>62000</v>
      </c>
      <c r="G333" s="6" t="n">
        <v>80000</v>
      </c>
      <c r="H333" s="4" t="inlineStr">
        <is>
          <t>Cái 10C/H 250C/T</t>
        </is>
      </c>
    </row>
    <row r="334">
      <c r="A334" s="3" t="n">
        <v>333</v>
      </c>
      <c r="B334" s="3" t="n">
        <v>21</v>
      </c>
      <c r="C334" s="4" t="inlineStr">
        <is>
          <t>KBY1-010 Ø1.0</t>
        </is>
      </c>
      <c r="D334" s="3" t="inlineStr">
        <is>
          <t>Cái</t>
        </is>
      </c>
      <c r="E334" s="5" t="n">
        <v>4000</v>
      </c>
      <c r="F334" s="5" t="n">
        <v>5000</v>
      </c>
      <c r="G334" s="6" t="n">
        <v>6000</v>
      </c>
      <c r="H334" s="4" t="inlineStr">
        <is>
          <t>Cái 20C/H 200C/HG</t>
        </is>
      </c>
    </row>
    <row r="335">
      <c r="A335" s="3" t="n">
        <v>334</v>
      </c>
      <c r="B335" s="3" t="n">
        <v>21</v>
      </c>
      <c r="C335" s="4" t="inlineStr">
        <is>
          <t>KBY1-015 Ø1.5</t>
        </is>
      </c>
      <c r="D335" s="3" t="inlineStr">
        <is>
          <t>Cái</t>
        </is>
      </c>
      <c r="E335" s="5" t="n">
        <v>5000</v>
      </c>
      <c r="F335" s="5" t="n">
        <v>6000</v>
      </c>
      <c r="G335" s="6" t="n">
        <v>8000</v>
      </c>
      <c r="H335" s="4" t="inlineStr">
        <is>
          <t>Cái 20C/H 200C/HG</t>
        </is>
      </c>
    </row>
    <row r="336">
      <c r="A336" s="3" t="n">
        <v>335</v>
      </c>
      <c r="B336" s="3" t="n">
        <v>21</v>
      </c>
      <c r="C336" s="4" t="inlineStr">
        <is>
          <t>KBY1-020 Ø2.0</t>
        </is>
      </c>
      <c r="D336" s="3" t="inlineStr">
        <is>
          <t>Cái</t>
        </is>
      </c>
      <c r="E336" s="5" t="n">
        <v>6000</v>
      </c>
      <c r="F336" s="5" t="n">
        <v>8000</v>
      </c>
      <c r="G336" s="6" t="n">
        <v>10000</v>
      </c>
      <c r="H336" s="4" t="inlineStr">
        <is>
          <t>Cái 20C/H 200C/HG</t>
        </is>
      </c>
    </row>
    <row r="337">
      <c r="A337" s="3" t="n">
        <v>336</v>
      </c>
      <c r="B337" s="3" t="n">
        <v>21</v>
      </c>
      <c r="C337" s="4" t="inlineStr">
        <is>
          <t>KBY1-025 Ø2.5</t>
        </is>
      </c>
      <c r="D337" s="3" t="inlineStr">
        <is>
          <t>Cái</t>
        </is>
      </c>
      <c r="E337" s="5" t="n">
        <v>6000</v>
      </c>
      <c r="F337" s="5" t="n">
        <v>8000</v>
      </c>
      <c r="G337" s="6" t="n">
        <v>10000</v>
      </c>
      <c r="H337" s="4" t="inlineStr">
        <is>
          <t>Cái 20C/H 200C/HG</t>
        </is>
      </c>
    </row>
    <row r="338">
      <c r="A338" s="3" t="n">
        <v>337</v>
      </c>
      <c r="B338" s="3" t="n">
        <v>21</v>
      </c>
      <c r="C338" s="4" t="inlineStr">
        <is>
          <t>KBY1-030 Ø3.0</t>
        </is>
      </c>
      <c r="D338" s="3" t="inlineStr">
        <is>
          <t>Cái</t>
        </is>
      </c>
      <c r="E338" s="5" t="n">
        <v>8000</v>
      </c>
      <c r="F338" s="5" t="n">
        <v>10000</v>
      </c>
      <c r="G338" s="6" t="n">
        <v>13000</v>
      </c>
      <c r="H338" s="4" t="inlineStr">
        <is>
          <t>Cái 20C/H 200C/HG</t>
        </is>
      </c>
    </row>
    <row r="339">
      <c r="A339" s="3" t="n">
        <v>338</v>
      </c>
      <c r="B339" s="3" t="n">
        <v>21</v>
      </c>
      <c r="C339" s="4" t="inlineStr">
        <is>
          <t>KBY1-032 Ø3.2</t>
        </is>
      </c>
      <c r="D339" s="3" t="inlineStr">
        <is>
          <t>Cái</t>
        </is>
      </c>
      <c r="E339" s="5" t="n">
        <v>9000</v>
      </c>
      <c r="F339" s="5" t="n">
        <v>11000</v>
      </c>
      <c r="G339" s="6" t="n">
        <v>14000</v>
      </c>
      <c r="H339" s="4" t="inlineStr">
        <is>
          <t>Cái 20C/H 200C/HG</t>
        </is>
      </c>
    </row>
    <row r="340">
      <c r="A340" s="3" t="n">
        <v>339</v>
      </c>
      <c r="B340" s="3" t="n">
        <v>21</v>
      </c>
      <c r="C340" s="4" t="inlineStr">
        <is>
          <t>KBY1-035 Ø3.5</t>
        </is>
      </c>
      <c r="D340" s="3" t="inlineStr">
        <is>
          <t>Cái</t>
        </is>
      </c>
      <c r="E340" s="5" t="n">
        <v>10000</v>
      </c>
      <c r="F340" s="5" t="n">
        <v>12000</v>
      </c>
      <c r="G340" s="6" t="n">
        <v>16000</v>
      </c>
      <c r="H340" s="4" t="inlineStr">
        <is>
          <t>Cái 20C/H 200C/HG</t>
        </is>
      </c>
    </row>
    <row r="341">
      <c r="A341" s="3" t="n">
        <v>340</v>
      </c>
      <c r="B341" s="3" t="n">
        <v>21</v>
      </c>
      <c r="C341" s="4" t="inlineStr">
        <is>
          <t>KBY1-040 Ø4.0</t>
        </is>
      </c>
      <c r="D341" s="3" t="inlineStr">
        <is>
          <t>Cái</t>
        </is>
      </c>
      <c r="E341" s="5" t="n">
        <v>12000</v>
      </c>
      <c r="F341" s="5" t="n">
        <v>15000</v>
      </c>
      <c r="G341" s="6" t="n">
        <v>19000</v>
      </c>
      <c r="H341" s="4" t="inlineStr">
        <is>
          <t>Cái 20C/H 200C/HG</t>
        </is>
      </c>
    </row>
    <row r="342">
      <c r="A342" s="3" t="n">
        <v>341</v>
      </c>
      <c r="B342" s="3" t="n">
        <v>21</v>
      </c>
      <c r="C342" s="4" t="inlineStr">
        <is>
          <t>KBY1-042 Ø4.2</t>
        </is>
      </c>
      <c r="D342" s="3" t="inlineStr">
        <is>
          <t>Cái</t>
        </is>
      </c>
      <c r="E342" s="5" t="n">
        <v>13000</v>
      </c>
      <c r="F342" s="5" t="n">
        <v>16000</v>
      </c>
      <c r="G342" s="6" t="n">
        <v>21000</v>
      </c>
      <c r="H342" s="4" t="inlineStr">
        <is>
          <t>Cái 20C/H 200C/HG</t>
        </is>
      </c>
    </row>
    <row r="343">
      <c r="A343" s="3" t="n">
        <v>342</v>
      </c>
      <c r="B343" s="3" t="n">
        <v>21</v>
      </c>
      <c r="C343" s="4" t="inlineStr">
        <is>
          <t>KBY1-045 Ø4.5</t>
        </is>
      </c>
      <c r="D343" s="3" t="inlineStr">
        <is>
          <t>Cái</t>
        </is>
      </c>
      <c r="E343" s="5" t="n">
        <v>14000</v>
      </c>
      <c r="F343" s="5" t="n">
        <v>17000</v>
      </c>
      <c r="G343" s="6" t="n">
        <v>22000</v>
      </c>
      <c r="H343" s="4" t="inlineStr">
        <is>
          <t>Cái 20C/H 200C/HG</t>
        </is>
      </c>
    </row>
    <row r="344">
      <c r="A344" s="3" t="n">
        <v>343</v>
      </c>
      <c r="B344" s="3" t="n">
        <v>22</v>
      </c>
      <c r="C344" s="4" t="inlineStr">
        <is>
          <t>KBY1-050 Ø5.0</t>
        </is>
      </c>
      <c r="D344" s="3" t="inlineStr">
        <is>
          <t>Cái</t>
        </is>
      </c>
      <c r="E344" s="5" t="n">
        <v>17000</v>
      </c>
      <c r="F344" s="5" t="n">
        <v>21000</v>
      </c>
      <c r="G344" s="6" t="n">
        <v>27000</v>
      </c>
      <c r="H344" s="4" t="inlineStr">
        <is>
          <t>Cái 20C/H 200C/HG</t>
        </is>
      </c>
    </row>
    <row r="345">
      <c r="A345" s="3" t="n">
        <v>344</v>
      </c>
      <c r="B345" s="3" t="n">
        <v>22</v>
      </c>
      <c r="C345" s="4" t="inlineStr">
        <is>
          <t>KBY1-052 Ø5.2</t>
        </is>
      </c>
      <c r="D345" s="3" t="inlineStr">
        <is>
          <t>Cái</t>
        </is>
      </c>
      <c r="E345" s="5" t="n">
        <v>19000</v>
      </c>
      <c r="F345" s="5" t="n">
        <v>23000</v>
      </c>
      <c r="G345" s="6" t="n">
        <v>30000</v>
      </c>
      <c r="H345" s="4" t="inlineStr">
        <is>
          <t>Cái 10C/H 100C/HG</t>
        </is>
      </c>
    </row>
    <row r="346">
      <c r="A346" s="3" t="n">
        <v>345</v>
      </c>
      <c r="B346" s="3" t="n">
        <v>22</v>
      </c>
      <c r="C346" s="4" t="inlineStr">
        <is>
          <t>KBY1-055 Ø5.5</t>
        </is>
      </c>
      <c r="D346" s="3" t="inlineStr">
        <is>
          <t>Cái</t>
        </is>
      </c>
      <c r="E346" s="5" t="n">
        <v>20000</v>
      </c>
      <c r="F346" s="5" t="n">
        <v>25000</v>
      </c>
      <c r="G346" s="6" t="n">
        <v>32000</v>
      </c>
      <c r="H346" s="4" t="inlineStr">
        <is>
          <t>Cái 10C/H 100C/HG</t>
        </is>
      </c>
    </row>
    <row r="347">
      <c r="A347" s="3" t="n">
        <v>346</v>
      </c>
      <c r="B347" s="3" t="n">
        <v>22</v>
      </c>
      <c r="C347" s="4" t="inlineStr">
        <is>
          <t>KBY1-060 Ø6.0</t>
        </is>
      </c>
      <c r="D347" s="3" t="inlineStr">
        <is>
          <t>Cái</t>
        </is>
      </c>
      <c r="E347" s="5" t="n">
        <v>25000</v>
      </c>
      <c r="F347" s="5" t="n">
        <v>31000</v>
      </c>
      <c r="G347" s="6" t="n">
        <v>40000</v>
      </c>
      <c r="H347" s="4" t="inlineStr">
        <is>
          <t>Cái 10C/H 100C/HG</t>
        </is>
      </c>
    </row>
    <row r="348">
      <c r="A348" s="3" t="n">
        <v>347</v>
      </c>
      <c r="B348" s="3" t="n">
        <v>22</v>
      </c>
      <c r="C348" s="4" t="inlineStr">
        <is>
          <t>KBY1-065 Ø6.5</t>
        </is>
      </c>
      <c r="D348" s="3" t="inlineStr">
        <is>
          <t>Cái</t>
        </is>
      </c>
      <c r="E348" s="5" t="n">
        <v>26000</v>
      </c>
      <c r="F348" s="5" t="n">
        <v>32000</v>
      </c>
      <c r="G348" s="6" t="n">
        <v>42000</v>
      </c>
      <c r="H348" s="4" t="inlineStr">
        <is>
          <t>Cái 10C/H 100C/HG</t>
        </is>
      </c>
    </row>
    <row r="349">
      <c r="A349" s="3" t="n">
        <v>348</v>
      </c>
      <c r="B349" s="3" t="n">
        <v>22</v>
      </c>
      <c r="C349" s="4" t="inlineStr">
        <is>
          <t>KBY1-070 Ø7.0</t>
        </is>
      </c>
      <c r="D349" s="3" t="inlineStr">
        <is>
          <t>Cái</t>
        </is>
      </c>
      <c r="E349" s="5" t="n">
        <v>31000</v>
      </c>
      <c r="F349" s="5" t="n">
        <v>39000</v>
      </c>
      <c r="G349" s="6" t="n">
        <v>50000</v>
      </c>
      <c r="H349" s="4" t="inlineStr">
        <is>
          <t>Cái 10C/H 100C/HG</t>
        </is>
      </c>
    </row>
    <row r="350">
      <c r="A350" s="3" t="n">
        <v>349</v>
      </c>
      <c r="B350" s="3" t="n">
        <v>22</v>
      </c>
      <c r="C350" s="4" t="inlineStr">
        <is>
          <t>KBY1-075 Ø7.5</t>
        </is>
      </c>
      <c r="D350" s="3" t="inlineStr">
        <is>
          <t>Cái</t>
        </is>
      </c>
      <c r="E350" s="5" t="n">
        <v>35000</v>
      </c>
      <c r="F350" s="5" t="n">
        <v>43000</v>
      </c>
      <c r="G350" s="6" t="n">
        <v>56000</v>
      </c>
      <c r="H350" s="4" t="inlineStr">
        <is>
          <t>Cái 10C/H 100C/HG</t>
        </is>
      </c>
    </row>
    <row r="351">
      <c r="A351" s="3" t="n">
        <v>350</v>
      </c>
      <c r="B351" s="3" t="n">
        <v>22</v>
      </c>
      <c r="C351" s="4" t="inlineStr">
        <is>
          <t>KBY1-080 Ø8.0</t>
        </is>
      </c>
      <c r="D351" s="3" t="inlineStr">
        <is>
          <t>Cái</t>
        </is>
      </c>
      <c r="E351" s="5" t="n">
        <v>46000</v>
      </c>
      <c r="F351" s="5" t="n">
        <v>57000</v>
      </c>
      <c r="G351" s="6" t="n">
        <v>74000</v>
      </c>
      <c r="H351" s="4" t="inlineStr">
        <is>
          <t>Cái 10C/H 100C/HG</t>
        </is>
      </c>
    </row>
    <row r="352">
      <c r="A352" s="3" t="n">
        <v>351</v>
      </c>
      <c r="B352" s="3" t="n">
        <v>22</v>
      </c>
      <c r="C352" s="4" t="inlineStr">
        <is>
          <t>KBY1-085 Ø8.5</t>
        </is>
      </c>
      <c r="D352" s="3" t="inlineStr">
        <is>
          <t>Cái</t>
        </is>
      </c>
      <c r="E352" s="5" t="n">
        <v>48000</v>
      </c>
      <c r="F352" s="5" t="n">
        <v>60000</v>
      </c>
      <c r="G352" s="6" t="n">
        <v>77000</v>
      </c>
      <c r="H352" s="4" t="inlineStr">
        <is>
          <t>Cái 10C/H 100C/HG</t>
        </is>
      </c>
    </row>
    <row r="353">
      <c r="A353" s="3" t="n">
        <v>352</v>
      </c>
      <c r="B353" s="3" t="n">
        <v>22</v>
      </c>
      <c r="C353" s="4" t="inlineStr">
        <is>
          <t>KBY1-090 Ø9.0</t>
        </is>
      </c>
      <c r="D353" s="3" t="inlineStr">
        <is>
          <t>Cái</t>
        </is>
      </c>
      <c r="E353" s="5" t="n">
        <v>56000</v>
      </c>
      <c r="F353" s="5" t="n">
        <v>70000</v>
      </c>
      <c r="G353" s="6" t="n">
        <v>90000</v>
      </c>
      <c r="H353" s="4" t="inlineStr">
        <is>
          <t>Cái 5C/H 50C/HG</t>
        </is>
      </c>
    </row>
    <row r="354">
      <c r="A354" s="3" t="n">
        <v>353</v>
      </c>
      <c r="B354" s="3" t="n">
        <v>22</v>
      </c>
      <c r="C354" s="4" t="inlineStr">
        <is>
          <t>KBY1-095 Ø9.5</t>
        </is>
      </c>
      <c r="D354" s="3" t="inlineStr">
        <is>
          <t>Cái</t>
        </is>
      </c>
      <c r="E354" s="5" t="n">
        <v>62000</v>
      </c>
      <c r="F354" s="5" t="n">
        <v>77000</v>
      </c>
      <c r="G354" s="6" t="n">
        <v>99000</v>
      </c>
      <c r="H354" s="4" t="inlineStr">
        <is>
          <t>Cái 5C/H 50C/HG</t>
        </is>
      </c>
    </row>
    <row r="355">
      <c r="A355" s="3" t="n">
        <v>354</v>
      </c>
      <c r="B355" s="3" t="n">
        <v>22</v>
      </c>
      <c r="C355" s="4" t="inlineStr">
        <is>
          <t>KBY1-100 Ø10.0</t>
        </is>
      </c>
      <c r="D355" s="3" t="inlineStr">
        <is>
          <t>Cái</t>
        </is>
      </c>
      <c r="E355" s="5" t="n">
        <v>67000</v>
      </c>
      <c r="F355" s="5" t="n">
        <v>83000</v>
      </c>
      <c r="G355" s="6" t="n">
        <v>107000</v>
      </c>
      <c r="H355" s="4" t="inlineStr">
        <is>
          <t>Cái 5C/H 50C/HG</t>
        </is>
      </c>
    </row>
    <row r="356">
      <c r="A356" s="3" t="n">
        <v>355</v>
      </c>
      <c r="B356" s="3" t="n">
        <v>22</v>
      </c>
      <c r="C356" s="4" t="inlineStr">
        <is>
          <t>KBY1-105 Ø10.5</t>
        </is>
      </c>
      <c r="D356" s="3" t="inlineStr">
        <is>
          <t>Cái</t>
        </is>
      </c>
      <c r="E356" s="5" t="n">
        <v>75000</v>
      </c>
      <c r="F356" s="5" t="n">
        <v>93000</v>
      </c>
      <c r="G356" s="6" t="n">
        <v>120000</v>
      </c>
      <c r="H356" s="4" t="inlineStr">
        <is>
          <t>Cái 5C/H 50C/HG</t>
        </is>
      </c>
    </row>
    <row r="357">
      <c r="A357" s="3" t="n">
        <v>356</v>
      </c>
      <c r="B357" s="3" t="n">
        <v>22</v>
      </c>
      <c r="C357" s="4" t="inlineStr">
        <is>
          <t>KBY1-110 Ø11.0</t>
        </is>
      </c>
      <c r="D357" s="3" t="inlineStr">
        <is>
          <t>Cái</t>
        </is>
      </c>
      <c r="E357" s="5" t="n">
        <v>85000</v>
      </c>
      <c r="F357" s="5" t="n">
        <v>105000</v>
      </c>
      <c r="G357" s="6" t="n">
        <v>136000</v>
      </c>
      <c r="H357" s="4" t="inlineStr">
        <is>
          <t>Cái 5C/H 50C/HG</t>
        </is>
      </c>
    </row>
    <row r="358">
      <c r="A358" s="3" t="n">
        <v>357</v>
      </c>
      <c r="B358" s="3" t="n">
        <v>22</v>
      </c>
      <c r="C358" s="4" t="inlineStr">
        <is>
          <t>KBY1-115 Ø11.5</t>
        </is>
      </c>
      <c r="D358" s="3" t="inlineStr">
        <is>
          <t>Cái</t>
        </is>
      </c>
      <c r="E358" s="5" t="n">
        <v>94000</v>
      </c>
      <c r="F358" s="5" t="n">
        <v>116000</v>
      </c>
      <c r="G358" s="6" t="n">
        <v>150000</v>
      </c>
      <c r="H358" s="4" t="inlineStr">
        <is>
          <t>Cái 5C/H 50C/HG</t>
        </is>
      </c>
    </row>
    <row r="359">
      <c r="A359" s="3" t="n">
        <v>358</v>
      </c>
      <c r="B359" s="3" t="n">
        <v>22</v>
      </c>
      <c r="C359" s="4" t="inlineStr">
        <is>
          <t>KBY1-120 Ø12.0</t>
        </is>
      </c>
      <c r="D359" s="3" t="inlineStr">
        <is>
          <t>Cái</t>
        </is>
      </c>
      <c r="E359" s="5" t="n">
        <v>103000</v>
      </c>
      <c r="F359" s="5" t="n">
        <v>128000</v>
      </c>
      <c r="G359" s="6" t="n">
        <v>165000</v>
      </c>
      <c r="H359" s="4" t="inlineStr">
        <is>
          <t>Cái 5C/H 50C/HG</t>
        </is>
      </c>
    </row>
    <row r="360">
      <c r="A360" s="3" t="n">
        <v>359</v>
      </c>
      <c r="B360" s="3" t="n">
        <v>22</v>
      </c>
      <c r="C360" s="4" t="inlineStr">
        <is>
          <t>KBY1-125 Ø12.5</t>
        </is>
      </c>
      <c r="D360" s="3" t="inlineStr">
        <is>
          <t>Cái</t>
        </is>
      </c>
      <c r="E360" s="5" t="n">
        <v>110000</v>
      </c>
      <c r="F360" s="5" t="n">
        <v>136000</v>
      </c>
      <c r="G360" s="6" t="n">
        <v>176000</v>
      </c>
      <c r="H360" s="4" t="inlineStr">
        <is>
          <t>Cái 5C/H 50C/HG</t>
        </is>
      </c>
    </row>
    <row r="361">
      <c r="A361" s="3" t="n">
        <v>360</v>
      </c>
      <c r="B361" s="3" t="n">
        <v>22</v>
      </c>
      <c r="C361" s="4" t="inlineStr">
        <is>
          <t>KBY1-130 Ø13.0</t>
        </is>
      </c>
      <c r="D361" s="3" t="inlineStr">
        <is>
          <t>Cái</t>
        </is>
      </c>
      <c r="E361" s="5" t="n">
        <v>120000</v>
      </c>
      <c r="F361" s="5" t="n">
        <v>149000</v>
      </c>
      <c r="G361" s="6" t="n">
        <v>192000</v>
      </c>
      <c r="H361" s="4" t="inlineStr">
        <is>
          <t>Cái 5C/H 50C/HG</t>
        </is>
      </c>
    </row>
    <row r="362">
      <c r="A362" s="3" t="n">
        <v>361</v>
      </c>
      <c r="B362" s="3" t="n">
        <v>22</v>
      </c>
      <c r="C362" s="4" t="inlineStr">
        <is>
          <t>KBY1-140 Ø14.0</t>
        </is>
      </c>
      <c r="D362" s="3" t="inlineStr">
        <is>
          <t>Cái</t>
        </is>
      </c>
      <c r="E362" s="5" t="n">
        <v>180000</v>
      </c>
      <c r="F362" s="5" t="n">
        <v>223000</v>
      </c>
      <c r="G362" s="6" t="n">
        <v>288000</v>
      </c>
      <c r="H362" s="4" t="inlineStr">
        <is>
          <t>Cái 1C/H 10C/HG</t>
        </is>
      </c>
    </row>
    <row r="363">
      <c r="A363" s="3" t="n">
        <v>362</v>
      </c>
      <c r="B363" s="3" t="n">
        <v>22</v>
      </c>
      <c r="C363" s="4" t="inlineStr">
        <is>
          <t>KBY1-160 Ø16.0</t>
        </is>
      </c>
      <c r="D363" s="3" t="inlineStr">
        <is>
          <t>Cái</t>
        </is>
      </c>
      <c r="E363" s="5" t="n">
        <v>260000</v>
      </c>
      <c r="F363" s="5" t="n">
        <v>322000</v>
      </c>
      <c r="G363" s="6" t="n">
        <v>416000</v>
      </c>
      <c r="H363" s="4" t="inlineStr">
        <is>
          <t>Cái 1C/H 10C/HG</t>
        </is>
      </c>
    </row>
    <row r="364">
      <c r="A364" s="3" t="n">
        <v>363</v>
      </c>
      <c r="B364" s="3" t="n">
        <v>22</v>
      </c>
      <c r="C364" s="4" t="inlineStr">
        <is>
          <t>KBY1-B10 Ø1.0-Ø10.0</t>
        </is>
      </c>
      <c r="D364" s="3" t="inlineStr">
        <is>
          <t>Bộ</t>
        </is>
      </c>
      <c r="E364" s="5" t="n">
        <v>244000</v>
      </c>
      <c r="F364" s="5" t="n">
        <v>302000</v>
      </c>
      <c r="G364" s="6" t="n">
        <v>390000</v>
      </c>
      <c r="H364" s="4" t="inlineStr">
        <is>
          <t>Bộ 10B/H 60B/T</t>
        </is>
      </c>
    </row>
    <row r="365">
      <c r="A365" s="3" t="n">
        <v>364</v>
      </c>
      <c r="B365" s="3" t="n">
        <v>22</v>
      </c>
      <c r="C365" s="4" t="inlineStr">
        <is>
          <t>KBY1-B13 Ø1.5-Ø6.5</t>
        </is>
      </c>
      <c r="D365" s="3" t="inlineStr">
        <is>
          <t>Bộ</t>
        </is>
      </c>
      <c r="E365" s="5" t="n">
        <v>199000</v>
      </c>
      <c r="F365" s="5" t="n">
        <v>247000</v>
      </c>
      <c r="G365" s="6" t="n">
        <v>318000</v>
      </c>
      <c r="H365" s="4" t="inlineStr">
        <is>
          <t>Bộ 10B/H 100B/T</t>
        </is>
      </c>
    </row>
    <row r="366">
      <c r="A366" s="3" t="n">
        <v>365</v>
      </c>
      <c r="B366" s="3" t="n">
        <v>22</v>
      </c>
      <c r="C366" s="4" t="inlineStr">
        <is>
          <t>HC-010 Ø1.0</t>
        </is>
      </c>
      <c r="D366" s="3" t="inlineStr">
        <is>
          <t>Cái</t>
        </is>
      </c>
      <c r="E366" s="5" t="n">
        <v>4000</v>
      </c>
      <c r="F366" s="5" t="n">
        <v>5000</v>
      </c>
      <c r="G366" s="6" t="n">
        <v>7000</v>
      </c>
      <c r="H366" s="4" t="inlineStr">
        <is>
          <t>Cái 20C/H 200C/HG</t>
        </is>
      </c>
    </row>
    <row r="367">
      <c r="A367" s="3" t="n">
        <v>366</v>
      </c>
      <c r="B367" s="3" t="n">
        <v>22</v>
      </c>
      <c r="C367" s="4" t="inlineStr">
        <is>
          <t>HC-015 Ø1.5</t>
        </is>
      </c>
      <c r="D367" s="3" t="inlineStr">
        <is>
          <t>Cái</t>
        </is>
      </c>
      <c r="E367" s="5" t="n">
        <v>5000</v>
      </c>
      <c r="F367" s="5" t="n">
        <v>6000</v>
      </c>
      <c r="G367" s="6" t="n">
        <v>9000</v>
      </c>
      <c r="H367" s="4" t="inlineStr">
        <is>
          <t>Cái 20C/H 200C/HG</t>
        </is>
      </c>
    </row>
    <row r="368">
      <c r="A368" s="3" t="n">
        <v>367</v>
      </c>
      <c r="B368" s="3" t="n">
        <v>22</v>
      </c>
      <c r="C368" s="4" t="inlineStr">
        <is>
          <t>HC-020 Ø2.0</t>
        </is>
      </c>
      <c r="D368" s="3" t="inlineStr">
        <is>
          <t>Cái</t>
        </is>
      </c>
      <c r="E368" s="5" t="n">
        <v>6000</v>
      </c>
      <c r="F368" s="5" t="n">
        <v>8000</v>
      </c>
      <c r="G368" s="6" t="n">
        <v>9000</v>
      </c>
      <c r="H368" s="4" t="inlineStr">
        <is>
          <t>Cái 20C/H 200C/HG</t>
        </is>
      </c>
    </row>
    <row r="369">
      <c r="A369" s="3" t="n">
        <v>368</v>
      </c>
      <c r="B369" s="3" t="n">
        <v>22</v>
      </c>
      <c r="C369" s="4" t="inlineStr">
        <is>
          <t>HC-025 Ø2.5</t>
        </is>
      </c>
      <c r="D369" s="3" t="inlineStr">
        <is>
          <t>Cái</t>
        </is>
      </c>
      <c r="E369" s="5" t="n">
        <v>6000</v>
      </c>
      <c r="F369" s="5" t="n">
        <v>8000</v>
      </c>
      <c r="G369" s="6" t="n">
        <v>10000</v>
      </c>
      <c r="H369" s="4" t="inlineStr">
        <is>
          <t>Cái 20C/H 200C/HG</t>
        </is>
      </c>
    </row>
    <row r="370">
      <c r="A370" s="3" t="n">
        <v>369</v>
      </c>
      <c r="B370" s="3" t="n">
        <v>22</v>
      </c>
      <c r="C370" s="4" t="inlineStr">
        <is>
          <t>HC-030 Ø3.0</t>
        </is>
      </c>
      <c r="D370" s="3" t="inlineStr">
        <is>
          <t>Cái</t>
        </is>
      </c>
      <c r="E370" s="5" t="n">
        <v>8000</v>
      </c>
      <c r="F370" s="5" t="n">
        <v>10000</v>
      </c>
      <c r="G370" s="6" t="n">
        <v>13000</v>
      </c>
      <c r="H370" s="4" t="inlineStr">
        <is>
          <t>Cái 20C/H 200C/HG</t>
        </is>
      </c>
    </row>
    <row r="371">
      <c r="A371" s="3" t="n">
        <v>370</v>
      </c>
      <c r="B371" s="3" t="n">
        <v>22</v>
      </c>
      <c r="C371" s="4" t="inlineStr">
        <is>
          <t>HC-032 Ø3.2</t>
        </is>
      </c>
      <c r="D371" s="3" t="inlineStr">
        <is>
          <t>Cái</t>
        </is>
      </c>
      <c r="E371" s="5" t="n">
        <v>9000</v>
      </c>
      <c r="F371" s="5" t="n">
        <v>11000</v>
      </c>
      <c r="G371" s="6" t="n">
        <v>14000</v>
      </c>
      <c r="H371" s="4" t="inlineStr">
        <is>
          <t>Cái 20C/H 200C/HG</t>
        </is>
      </c>
    </row>
    <row r="372">
      <c r="A372" s="3" t="n">
        <v>371</v>
      </c>
      <c r="B372" s="3" t="n">
        <v>22</v>
      </c>
      <c r="C372" s="4" t="inlineStr">
        <is>
          <t>HC-035 Ø3.5</t>
        </is>
      </c>
      <c r="D372" s="3" t="inlineStr">
        <is>
          <t>Cái</t>
        </is>
      </c>
      <c r="E372" s="5" t="n">
        <v>10000</v>
      </c>
      <c r="F372" s="5" t="n">
        <v>12000</v>
      </c>
      <c r="G372" s="6" t="n">
        <v>16000</v>
      </c>
      <c r="H372" s="4" t="inlineStr">
        <is>
          <t>Cái 20C/H 200C/HG</t>
        </is>
      </c>
    </row>
    <row r="373">
      <c r="A373" s="3" t="n">
        <v>372</v>
      </c>
      <c r="B373" s="3" t="n">
        <v>22</v>
      </c>
      <c r="C373" s="4" t="inlineStr">
        <is>
          <t>HC-040 Ø4.0</t>
        </is>
      </c>
      <c r="D373" s="3" t="inlineStr">
        <is>
          <t>Cái</t>
        </is>
      </c>
      <c r="E373" s="5" t="n">
        <v>12000</v>
      </c>
      <c r="F373" s="5" t="n">
        <v>15000</v>
      </c>
      <c r="G373" s="6" t="n">
        <v>19000</v>
      </c>
      <c r="H373" s="4" t="inlineStr">
        <is>
          <t>Cái 20C/H 200C/HG</t>
        </is>
      </c>
    </row>
    <row r="374">
      <c r="A374" s="3" t="n">
        <v>373</v>
      </c>
      <c r="B374" s="3" t="n">
        <v>22</v>
      </c>
      <c r="C374" s="4" t="inlineStr">
        <is>
          <t>HC-042 Ø4.2</t>
        </is>
      </c>
      <c r="D374" s="3" t="inlineStr">
        <is>
          <t>Cái</t>
        </is>
      </c>
      <c r="E374" s="5" t="n">
        <v>13000</v>
      </c>
      <c r="F374" s="5" t="n">
        <v>16000</v>
      </c>
      <c r="G374" s="6" t="n">
        <v>21000</v>
      </c>
      <c r="H374" s="4" t="inlineStr">
        <is>
          <t>Cái 20C/H 200C/HG</t>
        </is>
      </c>
    </row>
    <row r="375">
      <c r="A375" s="3" t="n">
        <v>374</v>
      </c>
      <c r="B375" s="3" t="n">
        <v>22</v>
      </c>
      <c r="C375" s="4" t="inlineStr">
        <is>
          <t>HC-045 Ø4.5</t>
        </is>
      </c>
      <c r="D375" s="3" t="inlineStr">
        <is>
          <t>Cái</t>
        </is>
      </c>
      <c r="E375" s="5" t="n">
        <v>14000</v>
      </c>
      <c r="F375" s="5" t="n">
        <v>17000</v>
      </c>
      <c r="G375" s="6" t="n">
        <v>22000</v>
      </c>
      <c r="H375" s="4" t="inlineStr">
        <is>
          <t>Cái 20C/H 200C/HG</t>
        </is>
      </c>
    </row>
    <row r="376">
      <c r="A376" s="3" t="n">
        <v>375</v>
      </c>
      <c r="B376" s="3" t="n">
        <v>22</v>
      </c>
      <c r="C376" s="4" t="inlineStr">
        <is>
          <t>HC-050 Ø5.0</t>
        </is>
      </c>
      <c r="D376" s="3" t="inlineStr">
        <is>
          <t>Cái</t>
        </is>
      </c>
      <c r="E376" s="5" t="n">
        <v>17000</v>
      </c>
      <c r="F376" s="5" t="n">
        <v>21000</v>
      </c>
      <c r="G376" s="6" t="n">
        <v>27000</v>
      </c>
      <c r="H376" s="4" t="inlineStr">
        <is>
          <t>Cái 20C/H 200C/HG</t>
        </is>
      </c>
    </row>
    <row r="377">
      <c r="A377" s="3" t="n">
        <v>376</v>
      </c>
      <c r="B377" s="3" t="n">
        <v>22</v>
      </c>
      <c r="C377" s="4" t="inlineStr">
        <is>
          <t>HC-055 Ø5.5</t>
        </is>
      </c>
      <c r="D377" s="3" t="inlineStr">
        <is>
          <t>Cái</t>
        </is>
      </c>
      <c r="E377" s="5" t="n">
        <v>20000</v>
      </c>
      <c r="F377" s="5" t="n">
        <v>25000</v>
      </c>
      <c r="G377" s="6" t="n">
        <v>32000</v>
      </c>
      <c r="H377" s="4" t="inlineStr">
        <is>
          <t>Cái 10C/H 100C/HG</t>
        </is>
      </c>
    </row>
    <row r="378">
      <c r="A378" s="3" t="n">
        <v>377</v>
      </c>
      <c r="B378" s="3" t="n">
        <v>22</v>
      </c>
      <c r="C378" s="4" t="inlineStr">
        <is>
          <t>HC-060 Ø6.0</t>
        </is>
      </c>
      <c r="D378" s="3" t="inlineStr">
        <is>
          <t>Cái</t>
        </is>
      </c>
      <c r="E378" s="5" t="n">
        <v>25000</v>
      </c>
      <c r="F378" s="5" t="n">
        <v>31000</v>
      </c>
      <c r="G378" s="6" t="n">
        <v>40000</v>
      </c>
      <c r="H378" s="4" t="inlineStr">
        <is>
          <t>Cái 10C/H 100C/HG</t>
        </is>
      </c>
    </row>
    <row r="379">
      <c r="A379" s="3" t="n">
        <v>378</v>
      </c>
      <c r="B379" s="3" t="n">
        <v>22</v>
      </c>
      <c r="C379" s="4" t="inlineStr">
        <is>
          <t>HC-065 Ø6.5</t>
        </is>
      </c>
      <c r="D379" s="3" t="inlineStr">
        <is>
          <t>Cái</t>
        </is>
      </c>
      <c r="E379" s="5" t="n">
        <v>26000</v>
      </c>
      <c r="F379" s="5" t="n">
        <v>32000</v>
      </c>
      <c r="G379" s="6" t="n">
        <v>42000</v>
      </c>
      <c r="H379" s="4" t="inlineStr">
        <is>
          <t>Cái 10C/H 100C/HG</t>
        </is>
      </c>
    </row>
    <row r="380">
      <c r="A380" s="3" t="n">
        <v>379</v>
      </c>
      <c r="B380" s="3" t="n">
        <v>22</v>
      </c>
      <c r="C380" s="4" t="inlineStr">
        <is>
          <t>HC-070 Ø7.0</t>
        </is>
      </c>
      <c r="D380" s="3" t="inlineStr">
        <is>
          <t>Cái</t>
        </is>
      </c>
      <c r="E380" s="5" t="n">
        <v>31000</v>
      </c>
      <c r="F380" s="5" t="n">
        <v>39000</v>
      </c>
      <c r="G380" s="6" t="n">
        <v>50000</v>
      </c>
      <c r="H380" s="4" t="inlineStr">
        <is>
          <t>Cái 10C/H 100C/HG</t>
        </is>
      </c>
    </row>
    <row r="381">
      <c r="A381" s="3" t="n">
        <v>380</v>
      </c>
      <c r="B381" s="3" t="n">
        <v>22</v>
      </c>
      <c r="C381" s="4" t="inlineStr">
        <is>
          <t>HC-075 Ø7.5</t>
        </is>
      </c>
      <c r="D381" s="3" t="inlineStr">
        <is>
          <t>Cái</t>
        </is>
      </c>
      <c r="E381" s="5" t="n">
        <v>35000</v>
      </c>
      <c r="F381" s="5" t="n">
        <v>43000</v>
      </c>
      <c r="G381" s="6" t="n">
        <v>56000</v>
      </c>
      <c r="H381" s="4" t="inlineStr">
        <is>
          <t>Cái 10C/H 100C/HG</t>
        </is>
      </c>
    </row>
    <row r="382">
      <c r="A382" s="3" t="n">
        <v>381</v>
      </c>
      <c r="B382" s="3" t="n">
        <v>22</v>
      </c>
      <c r="C382" s="4" t="inlineStr">
        <is>
          <t>HC-080 Ø8.0</t>
        </is>
      </c>
      <c r="D382" s="3" t="inlineStr">
        <is>
          <t>Cái</t>
        </is>
      </c>
      <c r="E382" s="5" t="n">
        <v>46000</v>
      </c>
      <c r="F382" s="5" t="n">
        <v>57000</v>
      </c>
      <c r="G382" s="6" t="n">
        <v>74000</v>
      </c>
      <c r="H382" s="4" t="inlineStr">
        <is>
          <t>Cái 10C/H 100C/HG</t>
        </is>
      </c>
    </row>
    <row r="383">
      <c r="A383" s="3" t="n">
        <v>382</v>
      </c>
      <c r="B383" s="3" t="n">
        <v>22</v>
      </c>
      <c r="C383" s="4" t="inlineStr">
        <is>
          <t>HC-085 Ø8.5</t>
        </is>
      </c>
      <c r="D383" s="3" t="inlineStr">
        <is>
          <t>Cái</t>
        </is>
      </c>
      <c r="E383" s="5" t="n">
        <v>48000</v>
      </c>
      <c r="F383" s="5" t="n">
        <v>60000</v>
      </c>
      <c r="G383" s="6" t="n">
        <v>77000</v>
      </c>
      <c r="H383" s="4" t="inlineStr">
        <is>
          <t>Cái 10C/H 100C/HG</t>
        </is>
      </c>
    </row>
    <row r="384">
      <c r="A384" s="3" t="n">
        <v>383</v>
      </c>
      <c r="B384" s="3" t="n">
        <v>22</v>
      </c>
      <c r="C384" s="4" t="inlineStr">
        <is>
          <t>HC-090 Ø9.0</t>
        </is>
      </c>
      <c r="D384" s="3" t="inlineStr">
        <is>
          <t>Cái</t>
        </is>
      </c>
      <c r="E384" s="5" t="n">
        <v>56000</v>
      </c>
      <c r="F384" s="5" t="n">
        <v>70000</v>
      </c>
      <c r="G384" s="6" t="n">
        <v>90000</v>
      </c>
      <c r="H384" s="4" t="inlineStr">
        <is>
          <t>Cái 5C/H 50C/HG</t>
        </is>
      </c>
    </row>
    <row r="385">
      <c r="A385" s="3" t="n">
        <v>384</v>
      </c>
      <c r="B385" s="3" t="n">
        <v>23</v>
      </c>
      <c r="C385" s="4" t="inlineStr">
        <is>
          <t>HC-100 Ø10.0</t>
        </is>
      </c>
      <c r="D385" s="3" t="inlineStr">
        <is>
          <t>Cái</t>
        </is>
      </c>
      <c r="E385" s="5" t="n">
        <v>67000</v>
      </c>
      <c r="F385" s="5" t="n">
        <v>83000</v>
      </c>
      <c r="G385" s="6" t="n">
        <v>107000</v>
      </c>
      <c r="H385" s="4" t="inlineStr">
        <is>
          <t>Cái 5C/H 50C/HG</t>
        </is>
      </c>
    </row>
    <row r="386">
      <c r="A386" s="3" t="n">
        <v>385</v>
      </c>
      <c r="B386" s="3" t="n">
        <v>23</v>
      </c>
      <c r="C386" s="4" t="inlineStr">
        <is>
          <t>HC-110 Ø11.0</t>
        </is>
      </c>
      <c r="D386" s="3" t="inlineStr">
        <is>
          <t>Cái</t>
        </is>
      </c>
      <c r="E386" s="5" t="n">
        <v>85000</v>
      </c>
      <c r="F386" s="5" t="n">
        <v>105000</v>
      </c>
      <c r="G386" s="6" t="n">
        <v>136000</v>
      </c>
      <c r="H386" s="4" t="inlineStr">
        <is>
          <t>Cái 5C/H 50C/HG</t>
        </is>
      </c>
    </row>
    <row r="387">
      <c r="A387" s="3" t="n">
        <v>386</v>
      </c>
      <c r="B387" s="3" t="n">
        <v>23</v>
      </c>
      <c r="C387" s="4" t="inlineStr">
        <is>
          <t>HC-120 Ø12.0</t>
        </is>
      </c>
      <c r="D387" s="3" t="inlineStr">
        <is>
          <t>Cái</t>
        </is>
      </c>
      <c r="E387" s="5" t="n">
        <v>103000</v>
      </c>
      <c r="F387" s="5" t="n">
        <v>128000</v>
      </c>
      <c r="G387" s="6" t="n">
        <v>165000</v>
      </c>
      <c r="H387" s="4" t="inlineStr">
        <is>
          <t>Cái 5C/H 50C/HG</t>
        </is>
      </c>
    </row>
    <row r="388">
      <c r="A388" s="3" t="n">
        <v>387</v>
      </c>
      <c r="B388" s="3" t="n">
        <v>23</v>
      </c>
      <c r="C388" s="4" t="inlineStr">
        <is>
          <t>HC-140 Ø14.0</t>
        </is>
      </c>
      <c r="D388" s="3" t="inlineStr">
        <is>
          <t>Cái</t>
        </is>
      </c>
      <c r="E388" s="5" t="n">
        <v>180000</v>
      </c>
      <c r="F388" s="5" t="n">
        <v>223000</v>
      </c>
      <c r="G388" s="6" t="n">
        <v>288000</v>
      </c>
      <c r="H388" s="4" t="inlineStr">
        <is>
          <t>Cái 1C/H 10C/HG</t>
        </is>
      </c>
    </row>
    <row r="389">
      <c r="A389" s="3" t="n">
        <v>388</v>
      </c>
      <c r="B389" s="3" t="n">
        <v>23</v>
      </c>
      <c r="C389" s="4" t="inlineStr">
        <is>
          <t>HC-160 Ø16.0</t>
        </is>
      </c>
      <c r="D389" s="3" t="inlineStr">
        <is>
          <t>Cái</t>
        </is>
      </c>
      <c r="E389" s="5" t="n">
        <v>260000</v>
      </c>
      <c r="F389" s="5" t="n">
        <v>322000</v>
      </c>
      <c r="G389" s="6" t="n">
        <v>416000</v>
      </c>
      <c r="H389" s="4" t="inlineStr">
        <is>
          <t>Cái 1C/H 10C/HG</t>
        </is>
      </c>
    </row>
    <row r="390">
      <c r="A390" s="3" t="n">
        <v>389</v>
      </c>
      <c r="B390" s="3" t="n">
        <v>23</v>
      </c>
      <c r="C390" s="4" t="inlineStr">
        <is>
          <t>KBY2-010CO Ø1.0</t>
        </is>
      </c>
      <c r="D390" s="3" t="inlineStr">
        <is>
          <t>Cái</t>
        </is>
      </c>
      <c r="E390" s="5" t="n">
        <v>6000</v>
      </c>
      <c r="F390" s="5" t="n">
        <v>8000</v>
      </c>
      <c r="G390" s="6" t="n">
        <v>10000</v>
      </c>
      <c r="H390" s="4" t="inlineStr">
        <is>
          <t>Cái 20C/H 200C/HG</t>
        </is>
      </c>
    </row>
    <row r="391">
      <c r="A391" s="3" t="n">
        <v>390</v>
      </c>
      <c r="B391" s="3" t="n">
        <v>23</v>
      </c>
      <c r="C391" s="4" t="inlineStr">
        <is>
          <t>KBY2-015CO Ø1.5</t>
        </is>
      </c>
      <c r="D391" s="3" t="inlineStr">
        <is>
          <t>Cái</t>
        </is>
      </c>
      <c r="E391" s="5" t="n">
        <v>7000</v>
      </c>
      <c r="F391" s="5" t="n">
        <v>9000</v>
      </c>
      <c r="G391" s="6" t="n">
        <v>11000</v>
      </c>
      <c r="H391" s="4" t="inlineStr">
        <is>
          <t>Cái 20C/H 200C/HG</t>
        </is>
      </c>
    </row>
    <row r="392">
      <c r="A392" s="3" t="n">
        <v>391</v>
      </c>
      <c r="B392" s="3" t="n">
        <v>23</v>
      </c>
      <c r="C392" s="4" t="inlineStr">
        <is>
          <t>KBY2-020CO Ø2.0</t>
        </is>
      </c>
      <c r="D392" s="3" t="inlineStr">
        <is>
          <t>Cái</t>
        </is>
      </c>
      <c r="E392" s="5" t="n">
        <v>8000</v>
      </c>
      <c r="F392" s="5" t="n">
        <v>10000</v>
      </c>
      <c r="G392" s="6" t="n">
        <v>13000</v>
      </c>
      <c r="H392" s="4" t="inlineStr">
        <is>
          <t>Cái 20C/H 200C/HG</t>
        </is>
      </c>
    </row>
    <row r="393">
      <c r="A393" s="3" t="n">
        <v>392</v>
      </c>
      <c r="B393" s="3" t="n">
        <v>23</v>
      </c>
      <c r="C393" s="4" t="inlineStr">
        <is>
          <t>KBY2-025CO Ø2.5</t>
        </is>
      </c>
      <c r="D393" s="3" t="inlineStr">
        <is>
          <t>Cái</t>
        </is>
      </c>
      <c r="E393" s="5" t="n">
        <v>9000</v>
      </c>
      <c r="F393" s="5" t="n">
        <v>11000</v>
      </c>
      <c r="G393" s="6" t="n">
        <v>14000</v>
      </c>
      <c r="H393" s="4" t="inlineStr">
        <is>
          <t>Cái 20C/H 200C/HG</t>
        </is>
      </c>
    </row>
    <row r="394">
      <c r="A394" s="3" t="n">
        <v>393</v>
      </c>
      <c r="B394" s="3" t="n">
        <v>23</v>
      </c>
      <c r="C394" s="4" t="inlineStr">
        <is>
          <t>KBY2-030CO Ø3.0</t>
        </is>
      </c>
      <c r="D394" s="3" t="inlineStr">
        <is>
          <t>Cái</t>
        </is>
      </c>
      <c r="E394" s="5" t="n">
        <v>10000</v>
      </c>
      <c r="F394" s="5" t="n">
        <v>12000</v>
      </c>
      <c r="G394" s="6" t="n">
        <v>16000</v>
      </c>
      <c r="H394" s="4" t="inlineStr">
        <is>
          <t>Cái 20C/H 200C/HG</t>
        </is>
      </c>
    </row>
    <row r="395">
      <c r="A395" s="3" t="n">
        <v>394</v>
      </c>
      <c r="B395" s="3" t="n">
        <v>23</v>
      </c>
      <c r="C395" s="4" t="inlineStr">
        <is>
          <t>KBY2-032CO Ø3.2</t>
        </is>
      </c>
      <c r="D395" s="3" t="inlineStr">
        <is>
          <t>Cái</t>
        </is>
      </c>
      <c r="E395" s="5" t="n">
        <v>11000</v>
      </c>
      <c r="F395" s="5" t="n">
        <v>14000</v>
      </c>
      <c r="G395" s="6" t="n">
        <v>18000</v>
      </c>
      <c r="H395" s="4" t="inlineStr">
        <is>
          <t>Cái 20C/H 200C/HG</t>
        </is>
      </c>
    </row>
    <row r="396">
      <c r="A396" s="3" t="n">
        <v>395</v>
      </c>
      <c r="B396" s="3" t="n">
        <v>23</v>
      </c>
      <c r="C396" s="4" t="inlineStr">
        <is>
          <t>KBY2-035CO Ø3.5</t>
        </is>
      </c>
      <c r="D396" s="3" t="inlineStr">
        <is>
          <t>Cái</t>
        </is>
      </c>
      <c r="E396" s="5" t="n">
        <v>13000</v>
      </c>
      <c r="F396" s="5" t="n">
        <v>16000</v>
      </c>
      <c r="G396" s="6" t="n">
        <v>21000</v>
      </c>
      <c r="H396" s="4" t="inlineStr">
        <is>
          <t>Cái 20C/H 200C/HG</t>
        </is>
      </c>
    </row>
    <row r="397">
      <c r="A397" s="3" t="n">
        <v>396</v>
      </c>
      <c r="B397" s="3" t="n">
        <v>23</v>
      </c>
      <c r="C397" s="4" t="inlineStr">
        <is>
          <t>KBY2-040CO Ø4.0</t>
        </is>
      </c>
      <c r="D397" s="3" t="inlineStr">
        <is>
          <t>Cái</t>
        </is>
      </c>
      <c r="E397" s="5" t="n">
        <v>17000</v>
      </c>
      <c r="F397" s="5" t="n">
        <v>21000</v>
      </c>
      <c r="G397" s="6" t="n">
        <v>27000</v>
      </c>
      <c r="H397" s="4" t="inlineStr">
        <is>
          <t>Cái 20C/H 200C/HG</t>
        </is>
      </c>
    </row>
    <row r="398">
      <c r="A398" s="3" t="n">
        <v>397</v>
      </c>
      <c r="B398" s="3" t="n">
        <v>23</v>
      </c>
      <c r="C398" s="4" t="inlineStr">
        <is>
          <t>KBY2-042CO Ø4.2</t>
        </is>
      </c>
      <c r="D398" s="3" t="inlineStr">
        <is>
          <t>Cái</t>
        </is>
      </c>
      <c r="E398" s="5" t="n">
        <v>19000</v>
      </c>
      <c r="F398" s="5" t="n">
        <v>23000</v>
      </c>
      <c r="G398" s="6" t="n">
        <v>30000</v>
      </c>
      <c r="H398" s="4" t="inlineStr">
        <is>
          <t>Cái 20C/H 200C/HG</t>
        </is>
      </c>
    </row>
    <row r="399">
      <c r="A399" s="3" t="n">
        <v>398</v>
      </c>
      <c r="B399" s="3" t="n">
        <v>23</v>
      </c>
      <c r="C399" s="4" t="inlineStr">
        <is>
          <t>KBY2-045CO Ø4.5</t>
        </is>
      </c>
      <c r="D399" s="3" t="inlineStr">
        <is>
          <t>Cái</t>
        </is>
      </c>
      <c r="E399" s="5" t="n">
        <v>21000</v>
      </c>
      <c r="F399" s="5" t="n">
        <v>26000</v>
      </c>
      <c r="G399" s="6" t="n">
        <v>34000</v>
      </c>
      <c r="H399" s="4" t="inlineStr">
        <is>
          <t>Cái 20C/H 200C/HG</t>
        </is>
      </c>
    </row>
    <row r="400">
      <c r="A400" s="3" t="n">
        <v>399</v>
      </c>
      <c r="B400" s="3" t="n">
        <v>23</v>
      </c>
      <c r="C400" s="4" t="inlineStr">
        <is>
          <t>KBY2-050CO Ø5.0</t>
        </is>
      </c>
      <c r="D400" s="3" t="inlineStr">
        <is>
          <t>Cái</t>
        </is>
      </c>
      <c r="E400" s="5" t="n">
        <v>25000</v>
      </c>
      <c r="F400" s="5" t="n">
        <v>31000</v>
      </c>
      <c r="G400" s="6" t="n">
        <v>40000</v>
      </c>
      <c r="H400" s="4" t="inlineStr">
        <is>
          <t>Cái 20C/H 200C/HG</t>
        </is>
      </c>
    </row>
    <row r="401">
      <c r="A401" s="3" t="n">
        <v>400</v>
      </c>
      <c r="B401" s="3" t="n">
        <v>23</v>
      </c>
      <c r="C401" s="4" t="inlineStr">
        <is>
          <t>KBY2-052CO Ø5.2</t>
        </is>
      </c>
      <c r="D401" s="3" t="inlineStr">
        <is>
          <t>Cái</t>
        </is>
      </c>
      <c r="E401" s="5" t="n">
        <v>29000</v>
      </c>
      <c r="F401" s="5" t="n">
        <v>36000</v>
      </c>
      <c r="G401" s="6" t="n">
        <v>46000</v>
      </c>
      <c r="H401" s="4" t="inlineStr">
        <is>
          <t>Cái 10C/H 100C/HG</t>
        </is>
      </c>
    </row>
    <row r="402">
      <c r="A402" s="3" t="n">
        <v>401</v>
      </c>
      <c r="B402" s="3" t="n">
        <v>23</v>
      </c>
      <c r="C402" s="4" t="inlineStr">
        <is>
          <t>KBY2-055CO Ø5.5</t>
        </is>
      </c>
      <c r="D402" s="3" t="inlineStr">
        <is>
          <t>Cái</t>
        </is>
      </c>
      <c r="E402" s="5" t="n">
        <v>30000</v>
      </c>
      <c r="F402" s="5" t="n">
        <v>37000</v>
      </c>
      <c r="G402" s="6" t="n">
        <v>48000</v>
      </c>
      <c r="H402" s="4" t="inlineStr">
        <is>
          <t>Cái 10C/H 100C/HG</t>
        </is>
      </c>
    </row>
    <row r="403">
      <c r="A403" s="3" t="n">
        <v>402</v>
      </c>
      <c r="B403" s="3" t="n">
        <v>23</v>
      </c>
      <c r="C403" s="4" t="inlineStr">
        <is>
          <t>KBY2-060CO Ø6.0</t>
        </is>
      </c>
      <c r="D403" s="3" t="inlineStr">
        <is>
          <t>Cái</t>
        </is>
      </c>
      <c r="E403" s="5" t="n">
        <v>36000</v>
      </c>
      <c r="F403" s="5" t="n">
        <v>45000</v>
      </c>
      <c r="G403" s="6" t="n">
        <v>58000</v>
      </c>
      <c r="H403" s="4" t="inlineStr">
        <is>
          <t>Cái 10C/H 100C/HG</t>
        </is>
      </c>
    </row>
    <row r="404">
      <c r="A404" s="3" t="n">
        <v>403</v>
      </c>
      <c r="B404" s="3" t="n">
        <v>23</v>
      </c>
      <c r="C404" s="4" t="inlineStr">
        <is>
          <t>KBY2-065CO Ø6.5</t>
        </is>
      </c>
      <c r="D404" s="3" t="inlineStr">
        <is>
          <t>Cái</t>
        </is>
      </c>
      <c r="E404" s="5" t="n">
        <v>41000</v>
      </c>
      <c r="F404" s="5" t="n">
        <v>51000</v>
      </c>
      <c r="G404" s="6" t="n">
        <v>66000</v>
      </c>
      <c r="H404" s="4" t="inlineStr">
        <is>
          <t>Cái 10C/H 100C/HG</t>
        </is>
      </c>
    </row>
    <row r="405">
      <c r="A405" s="3" t="n">
        <v>404</v>
      </c>
      <c r="B405" s="3" t="n">
        <v>23</v>
      </c>
      <c r="C405" s="4" t="inlineStr">
        <is>
          <t>KBY2-070CO Ø7.0</t>
        </is>
      </c>
      <c r="D405" s="3" t="inlineStr">
        <is>
          <t>Cái</t>
        </is>
      </c>
      <c r="E405" s="5" t="n">
        <v>49000</v>
      </c>
      <c r="F405" s="5" t="n">
        <v>61000</v>
      </c>
      <c r="G405" s="6" t="n">
        <v>78000</v>
      </c>
      <c r="H405" s="4" t="inlineStr">
        <is>
          <t>Cái 10C/H 100C/HG</t>
        </is>
      </c>
    </row>
    <row r="406">
      <c r="A406" s="3" t="n">
        <v>405</v>
      </c>
      <c r="B406" s="3" t="n">
        <v>23</v>
      </c>
      <c r="C406" s="4" t="inlineStr">
        <is>
          <t>KBY2-075CO Ø7.5</t>
        </is>
      </c>
      <c r="D406" s="3" t="inlineStr">
        <is>
          <t>Cái</t>
        </is>
      </c>
      <c r="E406" s="5" t="n">
        <v>53000</v>
      </c>
      <c r="F406" s="5" t="n">
        <v>66000</v>
      </c>
      <c r="G406" s="6" t="n">
        <v>85000</v>
      </c>
      <c r="H406" s="4" t="inlineStr">
        <is>
          <t>Cái 10C/H 100C/HG</t>
        </is>
      </c>
    </row>
    <row r="407">
      <c r="A407" s="3" t="n">
        <v>406</v>
      </c>
      <c r="B407" s="3" t="n">
        <v>23</v>
      </c>
      <c r="C407" s="4" t="inlineStr">
        <is>
          <t>KBY2-080CO Ø8.0</t>
        </is>
      </c>
      <c r="D407" s="3" t="inlineStr">
        <is>
          <t>Cái</t>
        </is>
      </c>
      <c r="E407" s="5" t="n">
        <v>58000</v>
      </c>
      <c r="F407" s="5" t="n">
        <v>72000</v>
      </c>
      <c r="G407" s="6" t="n">
        <v>93000</v>
      </c>
      <c r="H407" s="4" t="inlineStr">
        <is>
          <t>Cái 10C/H 100C/HG</t>
        </is>
      </c>
    </row>
    <row r="408">
      <c r="A408" s="3" t="n">
        <v>407</v>
      </c>
      <c r="B408" s="3" t="n">
        <v>23</v>
      </c>
      <c r="C408" s="4" t="inlineStr">
        <is>
          <t>KBY2-085CO Ø8.5</t>
        </is>
      </c>
      <c r="D408" s="3" t="inlineStr">
        <is>
          <t>Cái</t>
        </is>
      </c>
      <c r="E408" s="5" t="n">
        <v>67000</v>
      </c>
      <c r="F408" s="5" t="n">
        <v>83000</v>
      </c>
      <c r="G408" s="6" t="n">
        <v>107000</v>
      </c>
      <c r="H408" s="4" t="inlineStr">
        <is>
          <t>Cái 10C/H 100C/HG</t>
        </is>
      </c>
    </row>
    <row r="409">
      <c r="A409" s="3" t="n">
        <v>408</v>
      </c>
      <c r="B409" s="3" t="n">
        <v>23</v>
      </c>
      <c r="C409" s="4" t="inlineStr">
        <is>
          <t>KBY2-090CO Ø9.0</t>
        </is>
      </c>
      <c r="D409" s="3" t="inlineStr">
        <is>
          <t>Cái</t>
        </is>
      </c>
      <c r="E409" s="5" t="n">
        <v>76000</v>
      </c>
      <c r="F409" s="5" t="n">
        <v>94000</v>
      </c>
      <c r="G409" s="6" t="n">
        <v>122000</v>
      </c>
      <c r="H409" s="4" t="inlineStr">
        <is>
          <t>Cái 5C/H 50C/HG</t>
        </is>
      </c>
    </row>
    <row r="410">
      <c r="A410" s="3" t="n">
        <v>409</v>
      </c>
      <c r="B410" s="3" t="n">
        <v>23</v>
      </c>
      <c r="C410" s="4" t="inlineStr">
        <is>
          <t>KBY2-095CO Ø9.5</t>
        </is>
      </c>
      <c r="D410" s="3" t="inlineStr">
        <is>
          <t>Cái</t>
        </is>
      </c>
      <c r="E410" s="5" t="n">
        <v>84000</v>
      </c>
      <c r="F410" s="5" t="n">
        <v>104000</v>
      </c>
      <c r="G410" s="6" t="n">
        <v>134000</v>
      </c>
      <c r="H410" s="4" t="inlineStr">
        <is>
          <t>Cái 5C/H 50C/HG</t>
        </is>
      </c>
    </row>
    <row r="411">
      <c r="A411" s="3" t="n">
        <v>410</v>
      </c>
      <c r="B411" s="3" t="n">
        <v>23</v>
      </c>
      <c r="C411" s="4" t="inlineStr">
        <is>
          <t>KBY2-100CO Ø10.0</t>
        </is>
      </c>
      <c r="D411" s="3" t="inlineStr">
        <is>
          <t>Cái</t>
        </is>
      </c>
      <c r="E411" s="5" t="n">
        <v>101000</v>
      </c>
      <c r="F411" s="5" t="n">
        <v>125000</v>
      </c>
      <c r="G411" s="6" t="n">
        <v>162000</v>
      </c>
      <c r="H411" s="4" t="inlineStr">
        <is>
          <t>Cái 5C/H 50C/HG</t>
        </is>
      </c>
    </row>
    <row r="412">
      <c r="A412" s="3" t="n">
        <v>411</v>
      </c>
      <c r="B412" s="3" t="n">
        <v>23</v>
      </c>
      <c r="C412" s="4" t="inlineStr">
        <is>
          <t>KBY2-105CO Ø10.5</t>
        </is>
      </c>
      <c r="D412" s="3" t="inlineStr">
        <is>
          <t>Cái</t>
        </is>
      </c>
      <c r="E412" s="5" t="n">
        <v>116000</v>
      </c>
      <c r="F412" s="5" t="n">
        <v>144000</v>
      </c>
      <c r="G412" s="6" t="n">
        <v>186000</v>
      </c>
      <c r="H412" s="4" t="inlineStr">
        <is>
          <t>Cái 5C/H 50C/HG</t>
        </is>
      </c>
    </row>
    <row r="413">
      <c r="A413" s="3" t="n">
        <v>412</v>
      </c>
      <c r="B413" s="3" t="n">
        <v>23</v>
      </c>
      <c r="C413" s="4" t="inlineStr">
        <is>
          <t>KBY2-110CO Ø11.0</t>
        </is>
      </c>
      <c r="D413" s="3" t="inlineStr">
        <is>
          <t>Cái</t>
        </is>
      </c>
      <c r="E413" s="5" t="n">
        <v>131000</v>
      </c>
      <c r="F413" s="5" t="n">
        <v>163000</v>
      </c>
      <c r="G413" s="6" t="n">
        <v>210000</v>
      </c>
      <c r="H413" s="4" t="inlineStr">
        <is>
          <t>Cái 5C/H 50C/HG</t>
        </is>
      </c>
    </row>
    <row r="414">
      <c r="A414" s="3" t="n">
        <v>413</v>
      </c>
      <c r="B414" s="3" t="n">
        <v>23</v>
      </c>
      <c r="C414" s="4" t="inlineStr">
        <is>
          <t>KBY2-120CO Ø12.0</t>
        </is>
      </c>
      <c r="D414" s="3" t="inlineStr">
        <is>
          <t>Cái</t>
        </is>
      </c>
      <c r="E414" s="5" t="n">
        <v>162000</v>
      </c>
      <c r="F414" s="5" t="n">
        <v>201000</v>
      </c>
      <c r="G414" s="6" t="n">
        <v>259000</v>
      </c>
      <c r="H414" s="4" t="inlineStr">
        <is>
          <t>Cái 5C/H 50C/HG</t>
        </is>
      </c>
    </row>
    <row r="415">
      <c r="A415" s="3" t="n">
        <v>414</v>
      </c>
      <c r="B415" s="3" t="n">
        <v>23</v>
      </c>
      <c r="C415" s="4" t="inlineStr">
        <is>
          <t>KBY2-125CO Ø12.5</t>
        </is>
      </c>
      <c r="D415" s="3" t="inlineStr">
        <is>
          <t>Cái</t>
        </is>
      </c>
      <c r="E415" s="5" t="n">
        <v>180000</v>
      </c>
      <c r="F415" s="5" t="n">
        <v>223000</v>
      </c>
      <c r="G415" s="6" t="n">
        <v>288000</v>
      </c>
      <c r="H415" s="4" t="inlineStr">
        <is>
          <t>Cái 5C/H 50C/HG</t>
        </is>
      </c>
    </row>
    <row r="416">
      <c r="A416" s="3" t="n">
        <v>415</v>
      </c>
      <c r="B416" s="3" t="n">
        <v>23</v>
      </c>
      <c r="C416" s="4" t="inlineStr">
        <is>
          <t>KBY2-130CO Ø13.0</t>
        </is>
      </c>
      <c r="D416" s="3" t="inlineStr">
        <is>
          <t>Cái</t>
        </is>
      </c>
      <c r="E416" s="5" t="n">
        <v>190000</v>
      </c>
      <c r="F416" s="5" t="n">
        <v>236000</v>
      </c>
      <c r="G416" s="6" t="n">
        <v>304000</v>
      </c>
      <c r="H416" s="4" t="inlineStr">
        <is>
          <t>Cái 5C/H 50C/HG</t>
        </is>
      </c>
    </row>
    <row r="417">
      <c r="A417" s="3" t="n">
        <v>416</v>
      </c>
      <c r="B417" s="3" t="n">
        <v>23</v>
      </c>
      <c r="C417" s="4" t="inlineStr">
        <is>
          <t>KBY2-140CO Ø14.0</t>
        </is>
      </c>
      <c r="D417" s="3" t="inlineStr">
        <is>
          <t>Cái</t>
        </is>
      </c>
      <c r="E417" s="5" t="n">
        <v>287000</v>
      </c>
      <c r="F417" s="5" t="n">
        <v>356000</v>
      </c>
      <c r="G417" s="6" t="n">
        <v>459000</v>
      </c>
      <c r="H417" s="4" t="inlineStr">
        <is>
          <t>Cái 1C/H 20C/HG</t>
        </is>
      </c>
    </row>
    <row r="418">
      <c r="A418" s="3" t="n">
        <v>417</v>
      </c>
      <c r="B418" s="3" t="n">
        <v>23</v>
      </c>
      <c r="C418" s="4" t="inlineStr">
        <is>
          <t>KBY2-B10 Ø1.0-Ø10.0</t>
        </is>
      </c>
      <c r="D418" s="3" t="inlineStr">
        <is>
          <t>Bộ</t>
        </is>
      </c>
      <c r="E418" s="5" t="n">
        <v>329000</v>
      </c>
      <c r="F418" s="5" t="n">
        <v>408000</v>
      </c>
      <c r="G418" s="6" t="n">
        <v>526000</v>
      </c>
      <c r="H418" s="4" t="inlineStr">
        <is>
          <t>Bộ 10B/H 60B/T</t>
        </is>
      </c>
    </row>
    <row r="419">
      <c r="A419" s="3" t="n">
        <v>418</v>
      </c>
      <c r="B419" s="3" t="n">
        <v>24</v>
      </c>
      <c r="C419" s="4" t="inlineStr">
        <is>
          <t>KBY3-020CO Ø2.0</t>
        </is>
      </c>
      <c r="D419" s="3" t="inlineStr">
        <is>
          <t>Vỉ</t>
        </is>
      </c>
      <c r="E419" s="5" t="n">
        <v>28000</v>
      </c>
      <c r="F419" s="5" t="n">
        <v>35000</v>
      </c>
      <c r="G419" s="6" t="n">
        <v>45000</v>
      </c>
      <c r="H419" s="4" t="inlineStr">
        <is>
          <t>Vỉ 2C/V 50C/H</t>
        </is>
      </c>
    </row>
    <row r="420">
      <c r="A420" s="3" t="n">
        <v>419</v>
      </c>
      <c r="B420" s="3" t="n">
        <v>24</v>
      </c>
      <c r="C420" s="4" t="inlineStr">
        <is>
          <t>KBY3-025CO Ø2.5</t>
        </is>
      </c>
      <c r="D420" s="3" t="inlineStr">
        <is>
          <t>Vỉ</t>
        </is>
      </c>
      <c r="E420" s="5" t="n">
        <v>28000</v>
      </c>
      <c r="F420" s="5" t="n">
        <v>35000</v>
      </c>
      <c r="G420" s="6" t="n">
        <v>45000</v>
      </c>
      <c r="H420" s="4" t="inlineStr">
        <is>
          <t>Vỉ 2C/V 50C/H</t>
        </is>
      </c>
    </row>
    <row r="421">
      <c r="A421" s="3" t="n">
        <v>420</v>
      </c>
      <c r="B421" s="3" t="n">
        <v>24</v>
      </c>
      <c r="C421" s="4" t="inlineStr">
        <is>
          <t>KBY3-030CO Ø3.0</t>
        </is>
      </c>
      <c r="D421" s="3" t="inlineStr">
        <is>
          <t>Vỉ</t>
        </is>
      </c>
      <c r="E421" s="5" t="n">
        <v>31000</v>
      </c>
      <c r="F421" s="5" t="n">
        <v>39000</v>
      </c>
      <c r="G421" s="6" t="n">
        <v>50000</v>
      </c>
      <c r="H421" s="4" t="inlineStr">
        <is>
          <t>Vỉ 2C/V 50C/H</t>
        </is>
      </c>
    </row>
    <row r="422">
      <c r="A422" s="3" t="n">
        <v>421</v>
      </c>
      <c r="B422" s="3" t="n">
        <v>24</v>
      </c>
      <c r="C422" s="4" t="inlineStr">
        <is>
          <t>KBY3-032CO Ø3.2</t>
        </is>
      </c>
      <c r="D422" s="3" t="inlineStr">
        <is>
          <t>Vỉ</t>
        </is>
      </c>
      <c r="E422" s="5" t="n">
        <v>35000</v>
      </c>
      <c r="F422" s="5" t="n">
        <v>43000</v>
      </c>
      <c r="G422" s="6" t="n">
        <v>56000</v>
      </c>
      <c r="H422" s="4" t="inlineStr">
        <is>
          <t>Vỉ 2C/V 50C/H</t>
        </is>
      </c>
    </row>
    <row r="423">
      <c r="A423" s="3" t="n">
        <v>422</v>
      </c>
      <c r="B423" s="3" t="n">
        <v>24</v>
      </c>
      <c r="C423" s="4" t="inlineStr">
        <is>
          <t>KBY3-035CO Ø3.5</t>
        </is>
      </c>
      <c r="D423" s="3" t="inlineStr">
        <is>
          <t>Vỉ</t>
        </is>
      </c>
      <c r="E423" s="5" t="n">
        <v>36000</v>
      </c>
      <c r="F423" s="5" t="n">
        <v>45000</v>
      </c>
      <c r="G423" s="6" t="n">
        <v>58000</v>
      </c>
      <c r="H423" s="4" t="inlineStr">
        <is>
          <t>Vỉ 2C/V 50C/H</t>
        </is>
      </c>
    </row>
    <row r="424">
      <c r="A424" s="3" t="n">
        <v>423</v>
      </c>
      <c r="B424" s="3" t="n">
        <v>24</v>
      </c>
      <c r="C424" s="4" t="inlineStr">
        <is>
          <t>KBY3-040CO Ø4.0</t>
        </is>
      </c>
      <c r="D424" s="3" t="inlineStr">
        <is>
          <t>Vỉ</t>
        </is>
      </c>
      <c r="E424" s="5" t="n">
        <v>40000</v>
      </c>
      <c r="F424" s="5" t="n">
        <v>50000</v>
      </c>
      <c r="G424" s="6" t="n">
        <v>64000</v>
      </c>
      <c r="H424" s="4" t="inlineStr">
        <is>
          <t>Vỉ 2C/V 50C/H</t>
        </is>
      </c>
    </row>
    <row r="425">
      <c r="A425" s="3" t="n">
        <v>424</v>
      </c>
      <c r="B425" s="3" t="n">
        <v>24</v>
      </c>
      <c r="C425" s="4" t="inlineStr">
        <is>
          <t>KBY3-042CO Ø4.2</t>
        </is>
      </c>
      <c r="D425" s="3" t="inlineStr">
        <is>
          <t>Vỉ</t>
        </is>
      </c>
      <c r="E425" s="5" t="n">
        <v>45000</v>
      </c>
      <c r="F425" s="5" t="n">
        <v>56000</v>
      </c>
      <c r="G425" s="6" t="n">
        <v>72000</v>
      </c>
      <c r="H425" s="4" t="inlineStr">
        <is>
          <t>Vỉ 2C/V 50C/H</t>
        </is>
      </c>
    </row>
    <row r="426">
      <c r="A426" s="3" t="n">
        <v>425</v>
      </c>
      <c r="B426" s="3" t="n">
        <v>24</v>
      </c>
      <c r="C426" s="4" t="inlineStr">
        <is>
          <t>KBY3-045CO Ø4.5</t>
        </is>
      </c>
      <c r="D426" s="3" t="inlineStr">
        <is>
          <t>Vỉ</t>
        </is>
      </c>
      <c r="E426" s="5" t="n">
        <v>46000</v>
      </c>
      <c r="F426" s="5" t="n">
        <v>57000</v>
      </c>
      <c r="G426" s="6" t="n">
        <v>74000</v>
      </c>
      <c r="H426" s="4" t="inlineStr">
        <is>
          <t>Vỉ 2C/V 50C/H</t>
        </is>
      </c>
    </row>
    <row r="427">
      <c r="A427" s="3" t="n">
        <v>426</v>
      </c>
      <c r="B427" s="3" t="n">
        <v>24</v>
      </c>
      <c r="C427" s="4" t="inlineStr">
        <is>
          <t>KBY3-050CO Ø5.0</t>
        </is>
      </c>
      <c r="D427" s="3" t="inlineStr">
        <is>
          <t>Vỉ</t>
        </is>
      </c>
      <c r="E427" s="5" t="n">
        <v>53000</v>
      </c>
      <c r="F427" s="5" t="n">
        <v>66000</v>
      </c>
      <c r="G427" s="6" t="n">
        <v>85000</v>
      </c>
      <c r="H427" s="4" t="inlineStr">
        <is>
          <t>Vỉ 2C/V 50C/H</t>
        </is>
      </c>
    </row>
    <row r="428">
      <c r="A428" s="3" t="n">
        <v>427</v>
      </c>
      <c r="B428" s="3" t="n">
        <v>24</v>
      </c>
      <c r="C428" s="4" t="inlineStr">
        <is>
          <t>KBY3-055CO Ø5.5</t>
        </is>
      </c>
      <c r="D428" s="3" t="inlineStr">
        <is>
          <t>Vỉ</t>
        </is>
      </c>
      <c r="E428" s="5" t="n">
        <v>58000</v>
      </c>
      <c r="F428" s="5" t="n">
        <v>72000</v>
      </c>
      <c r="G428" s="6" t="n">
        <v>93000</v>
      </c>
      <c r="H428" s="4" t="inlineStr">
        <is>
          <t>Vỉ 2C/V 50C/H</t>
        </is>
      </c>
    </row>
    <row r="429">
      <c r="A429" s="3" t="n">
        <v>428</v>
      </c>
      <c r="B429" s="3" t="n">
        <v>24</v>
      </c>
      <c r="C429" s="4" t="inlineStr">
        <is>
          <t>KBY3-060CO Ø6.0</t>
        </is>
      </c>
      <c r="D429" s="3" t="inlineStr">
        <is>
          <t>Vỉ</t>
        </is>
      </c>
      <c r="E429" s="5" t="n">
        <v>65000</v>
      </c>
      <c r="F429" s="5" t="n">
        <v>81000</v>
      </c>
      <c r="G429" s="6" t="n">
        <v>104000</v>
      </c>
      <c r="H429" s="4" t="inlineStr">
        <is>
          <t>Vỉ 2C/V 50C/H</t>
        </is>
      </c>
    </row>
    <row r="430">
      <c r="A430" s="3" t="n">
        <v>429</v>
      </c>
      <c r="B430" s="3" t="n">
        <v>24</v>
      </c>
      <c r="C430" s="4" t="inlineStr">
        <is>
          <t>KBY3-065CO Ø6.5</t>
        </is>
      </c>
      <c r="D430" s="3" t="inlineStr">
        <is>
          <t>Cái</t>
        </is>
      </c>
      <c r="E430" s="5" t="n">
        <v>42000</v>
      </c>
      <c r="F430" s="5" t="n">
        <v>52000</v>
      </c>
      <c r="G430" s="6" t="n">
        <v>67000</v>
      </c>
      <c r="H430" s="4" t="inlineStr">
        <is>
          <t>Cái 1C/V 25C/H</t>
        </is>
      </c>
    </row>
    <row r="431">
      <c r="A431" s="3" t="n">
        <v>430</v>
      </c>
      <c r="B431" s="3" t="n">
        <v>24</v>
      </c>
      <c r="C431" s="4" t="inlineStr">
        <is>
          <t>KBY3-070CO Ø7.0</t>
        </is>
      </c>
      <c r="D431" s="3" t="inlineStr">
        <is>
          <t>Cái</t>
        </is>
      </c>
      <c r="E431" s="5" t="n">
        <v>45000</v>
      </c>
      <c r="F431" s="5" t="n">
        <v>56000</v>
      </c>
      <c r="G431" s="6" t="n">
        <v>72000</v>
      </c>
      <c r="H431" s="4" t="inlineStr">
        <is>
          <t>Cái 1C/V 25C/H</t>
        </is>
      </c>
    </row>
    <row r="432">
      <c r="A432" s="3" t="n">
        <v>431</v>
      </c>
      <c r="B432" s="3" t="n">
        <v>24</v>
      </c>
      <c r="C432" s="4" t="inlineStr">
        <is>
          <t>KBY3-080CO Ø8.0</t>
        </is>
      </c>
      <c r="D432" s="3" t="inlineStr">
        <is>
          <t>Cái</t>
        </is>
      </c>
      <c r="E432" s="5" t="n">
        <v>58000</v>
      </c>
      <c r="F432" s="5" t="n">
        <v>72000</v>
      </c>
      <c r="G432" s="6" t="n">
        <v>93000</v>
      </c>
      <c r="H432" s="4" t="inlineStr">
        <is>
          <t>Cái 1C/V 25C/H</t>
        </is>
      </c>
    </row>
    <row r="433">
      <c r="A433" s="3" t="n">
        <v>432</v>
      </c>
      <c r="B433" s="3" t="n">
        <v>24</v>
      </c>
      <c r="C433" s="4" t="inlineStr">
        <is>
          <t>KBY3-090CO Ø9.0</t>
        </is>
      </c>
      <c r="D433" s="3" t="inlineStr">
        <is>
          <t>Cái</t>
        </is>
      </c>
      <c r="E433" s="5" t="n">
        <v>73000</v>
      </c>
      <c r="F433" s="5" t="n">
        <v>91000</v>
      </c>
      <c r="G433" s="6" t="n">
        <v>117000</v>
      </c>
      <c r="H433" s="4" t="inlineStr">
        <is>
          <t>Cái 1C/V 25C/H</t>
        </is>
      </c>
    </row>
    <row r="434">
      <c r="A434" s="3" t="n">
        <v>433</v>
      </c>
      <c r="B434" s="3" t="n">
        <v>24</v>
      </c>
      <c r="C434" s="4" t="inlineStr">
        <is>
          <t>KBY3-100CO Ø10</t>
        </is>
      </c>
      <c r="D434" s="3" t="inlineStr">
        <is>
          <t>Cái</t>
        </is>
      </c>
      <c r="E434" s="5" t="n">
        <v>90000</v>
      </c>
      <c r="F434" s="5" t="n">
        <v>112000</v>
      </c>
      <c r="G434" s="6" t="n">
        <v>144000</v>
      </c>
      <c r="H434" s="4" t="inlineStr">
        <is>
          <t>Cái 1C/V 25C/H</t>
        </is>
      </c>
    </row>
    <row r="435">
      <c r="A435" s="3" t="n">
        <v>434</v>
      </c>
      <c r="B435" s="3" t="n">
        <v>24</v>
      </c>
      <c r="C435" s="4" t="inlineStr">
        <is>
          <t>KBT-04*12 04*12mm</t>
        </is>
      </c>
      <c r="D435" s="3" t="inlineStr">
        <is>
          <t>Cái</t>
        </is>
      </c>
      <c r="E435" s="5" t="n">
        <v>88000</v>
      </c>
      <c r="F435" s="5" t="n">
        <v>109000</v>
      </c>
      <c r="G435" s="6" t="n">
        <v>141000</v>
      </c>
      <c r="H435" s="4" t="inlineStr">
        <is>
          <t>Cái 1C/H 20C/H</t>
        </is>
      </c>
    </row>
    <row r="436">
      <c r="A436" s="3" t="n">
        <v>435</v>
      </c>
      <c r="B436" s="3" t="n">
        <v>24</v>
      </c>
      <c r="C436" s="4" t="inlineStr">
        <is>
          <t>KBT-04*20 04*20mm</t>
        </is>
      </c>
      <c r="D436" s="3" t="inlineStr">
        <is>
          <t>Cái</t>
        </is>
      </c>
      <c r="E436" s="5" t="n">
        <v>170000</v>
      </c>
      <c r="F436" s="5" t="n">
        <v>211000</v>
      </c>
      <c r="G436" s="6" t="n">
        <v>272000</v>
      </c>
      <c r="H436" s="4" t="inlineStr">
        <is>
          <t>Cái 1C/H 10C/H</t>
        </is>
      </c>
    </row>
    <row r="437">
      <c r="A437" s="3" t="n">
        <v>436</v>
      </c>
      <c r="B437" s="3" t="n">
        <v>24</v>
      </c>
      <c r="C437" s="4" t="inlineStr">
        <is>
          <t>KBT-04*32 04*32mm</t>
        </is>
      </c>
      <c r="D437" s="3" t="inlineStr">
        <is>
          <t>Cái</t>
        </is>
      </c>
      <c r="E437" s="5" t="n">
        <v>319000</v>
      </c>
      <c r="F437" s="5" t="n">
        <v>395000</v>
      </c>
      <c r="G437" s="6" t="n">
        <v>510000</v>
      </c>
      <c r="H437" s="4" t="inlineStr">
        <is>
          <t>Cái 1C/H 5C/H</t>
        </is>
      </c>
    </row>
    <row r="438">
      <c r="A438" s="3" t="n">
        <v>437</v>
      </c>
      <c r="B438" s="3" t="n">
        <v>24</v>
      </c>
      <c r="C438" s="4" t="inlineStr">
        <is>
          <t>KBR-M3*0.5 M3*0.5mm</t>
        </is>
      </c>
      <c r="D438" s="3" t="inlineStr">
        <is>
          <t>Cái</t>
        </is>
      </c>
      <c r="E438" s="5" t="n">
        <v>58000</v>
      </c>
      <c r="F438" s="5" t="n">
        <v>72000</v>
      </c>
      <c r="G438" s="6" t="n">
        <v>93000</v>
      </c>
      <c r="H438" s="4" t="inlineStr">
        <is>
          <t>Cái 10C/V</t>
        </is>
      </c>
    </row>
    <row r="439">
      <c r="A439" s="3" t="n">
        <v>438</v>
      </c>
      <c r="B439" s="3" t="n">
        <v>24</v>
      </c>
      <c r="C439" s="4" t="inlineStr">
        <is>
          <t>KBR-M4*0.7 M4*0.7mm</t>
        </is>
      </c>
      <c r="D439" s="3" t="inlineStr">
        <is>
          <t>Cái</t>
        </is>
      </c>
      <c r="E439" s="5" t="n">
        <v>58000</v>
      </c>
      <c r="F439" s="5" t="n">
        <v>72000</v>
      </c>
      <c r="G439" s="6" t="n">
        <v>93000</v>
      </c>
      <c r="H439" s="4" t="inlineStr">
        <is>
          <t>Cái 10C/V</t>
        </is>
      </c>
    </row>
    <row r="440">
      <c r="A440" s="3" t="n">
        <v>439</v>
      </c>
      <c r="B440" s="3" t="n">
        <v>24</v>
      </c>
      <c r="C440" s="4" t="inlineStr">
        <is>
          <t>KBR-M5*0.8 M5*0.8mm</t>
        </is>
      </c>
      <c r="D440" s="3" t="inlineStr">
        <is>
          <t>Cái</t>
        </is>
      </c>
      <c r="E440" s="5" t="n">
        <v>58000</v>
      </c>
      <c r="F440" s="5" t="n">
        <v>72000</v>
      </c>
      <c r="G440" s="6" t="n">
        <v>93000</v>
      </c>
      <c r="H440" s="4" t="inlineStr">
        <is>
          <t>Cái 10C/V</t>
        </is>
      </c>
    </row>
    <row r="441">
      <c r="A441" s="3" t="n">
        <v>440</v>
      </c>
      <c r="B441" s="3" t="n">
        <v>24</v>
      </c>
      <c r="C441" s="4" t="inlineStr">
        <is>
          <t>KBR-M6*1.0 M6*1.0mm</t>
        </is>
      </c>
      <c r="D441" s="3" t="inlineStr">
        <is>
          <t>Cái</t>
        </is>
      </c>
      <c r="E441" s="5" t="n">
        <v>58000</v>
      </c>
      <c r="F441" s="5" t="n">
        <v>72000</v>
      </c>
      <c r="G441" s="6" t="n">
        <v>93000</v>
      </c>
      <c r="H441" s="4" t="inlineStr">
        <is>
          <t>Cái 10C/V</t>
        </is>
      </c>
    </row>
    <row r="442">
      <c r="A442" s="3" t="n">
        <v>441</v>
      </c>
      <c r="B442" s="3" t="n">
        <v>24</v>
      </c>
      <c r="C442" s="4" t="inlineStr">
        <is>
          <t>KBR-M8*1.25 M8*1.25mm</t>
        </is>
      </c>
      <c r="D442" s="3" t="inlineStr">
        <is>
          <t>Cái</t>
        </is>
      </c>
      <c r="E442" s="5" t="n">
        <v>75000</v>
      </c>
      <c r="F442" s="5" t="n">
        <v>93000</v>
      </c>
      <c r="G442" s="6" t="n">
        <v>120000</v>
      </c>
      <c r="H442" s="4" t="inlineStr">
        <is>
          <t>Cái 10C/V</t>
        </is>
      </c>
    </row>
    <row r="443">
      <c r="A443" s="3" t="n">
        <v>442</v>
      </c>
      <c r="B443" s="3" t="n">
        <v>24</v>
      </c>
      <c r="C443" s="4" t="inlineStr">
        <is>
          <t>KBR-M10*1.5 M10*1.5mm</t>
        </is>
      </c>
      <c r="D443" s="3" t="inlineStr">
        <is>
          <t>Cái</t>
        </is>
      </c>
      <c r="E443" s="5" t="n">
        <v>89000</v>
      </c>
      <c r="F443" s="5" t="n">
        <v>110000</v>
      </c>
      <c r="G443" s="6" t="n">
        <v>142000</v>
      </c>
      <c r="H443" s="4" t="inlineStr">
        <is>
          <t>Cái 5C/V</t>
        </is>
      </c>
    </row>
    <row r="444">
      <c r="A444" s="3" t="n">
        <v>443</v>
      </c>
      <c r="B444" s="3" t="n">
        <v>25</v>
      </c>
      <c r="C444" s="4" t="inlineStr">
        <is>
          <t>KBM2-06*160 Ø6</t>
        </is>
      </c>
      <c r="D444" s="3" t="inlineStr">
        <is>
          <t>Cái</t>
        </is>
      </c>
      <c r="E444" s="5" t="n">
        <v>22000</v>
      </c>
      <c r="F444" s="5" t="n">
        <v>27000</v>
      </c>
      <c r="G444" s="6" t="n">
        <v>34000</v>
      </c>
      <c r="H444" s="4" t="inlineStr">
        <is>
          <t>Cái 10C/H 300C/T</t>
        </is>
      </c>
    </row>
    <row r="445">
      <c r="A445" s="3" t="n">
        <v>444</v>
      </c>
      <c r="B445" s="3" t="n">
        <v>25</v>
      </c>
      <c r="C445" s="4" t="inlineStr">
        <is>
          <t>KBM2-08*160 Ø8</t>
        </is>
      </c>
      <c r="D445" s="3" t="inlineStr">
        <is>
          <t>Cái</t>
        </is>
      </c>
      <c r="E445" s="5" t="n">
        <v>24000</v>
      </c>
      <c r="F445" s="5" t="n">
        <v>29000</v>
      </c>
      <c r="G445" s="6" t="n">
        <v>37000</v>
      </c>
      <c r="H445" s="4" t="inlineStr">
        <is>
          <t>Cái 10C/H 300C/T</t>
        </is>
      </c>
    </row>
    <row r="446">
      <c r="A446" s="3" t="n">
        <v>445</v>
      </c>
      <c r="B446" s="3" t="n">
        <v>25</v>
      </c>
      <c r="C446" s="4" t="inlineStr">
        <is>
          <t>KBM2-10*160 Ø10</t>
        </is>
      </c>
      <c r="D446" s="3" t="inlineStr">
        <is>
          <t>Cái</t>
        </is>
      </c>
      <c r="E446" s="5" t="n">
        <v>28000</v>
      </c>
      <c r="F446" s="5" t="n">
        <v>34000</v>
      </c>
      <c r="G446" s="6" t="n">
        <v>43000</v>
      </c>
      <c r="H446" s="4" t="inlineStr">
        <is>
          <t>Cái 10C/H 200C/T</t>
        </is>
      </c>
    </row>
    <row r="447">
      <c r="A447" s="3" t="n">
        <v>446</v>
      </c>
      <c r="B447" s="3" t="n">
        <v>25</v>
      </c>
      <c r="C447" s="4" t="inlineStr">
        <is>
          <t>KBM2-12*160 Ø12</t>
        </is>
      </c>
      <c r="D447" s="3" t="inlineStr">
        <is>
          <t>Cái</t>
        </is>
      </c>
      <c r="E447" s="5" t="n">
        <v>32000</v>
      </c>
      <c r="F447" s="5" t="n">
        <v>39000</v>
      </c>
      <c r="G447" s="6" t="n">
        <v>50000</v>
      </c>
      <c r="H447" s="4" t="inlineStr">
        <is>
          <t>Cái 10C/H 200C/T</t>
        </is>
      </c>
    </row>
    <row r="448">
      <c r="A448" s="3" t="n">
        <v>447</v>
      </c>
      <c r="B448" s="3" t="n">
        <v>25</v>
      </c>
      <c r="C448" s="4" t="inlineStr">
        <is>
          <t>KBL4-06*160 Ø6*160</t>
        </is>
      </c>
      <c r="D448" s="3" t="inlineStr">
        <is>
          <t>Cái</t>
        </is>
      </c>
      <c r="E448" s="5" t="n">
        <v>24000</v>
      </c>
      <c r="F448" s="5" t="n">
        <v>29000</v>
      </c>
      <c r="G448" s="6" t="n">
        <v>37000</v>
      </c>
      <c r="H448" s="4" t="inlineStr">
        <is>
          <t>Cái 10C/H 300C/T</t>
        </is>
      </c>
    </row>
    <row r="449">
      <c r="A449" s="3" t="n">
        <v>448</v>
      </c>
      <c r="B449" s="3" t="n">
        <v>25</v>
      </c>
      <c r="C449" s="4" t="inlineStr">
        <is>
          <t>KBL4-08*160 Ø8*160</t>
        </is>
      </c>
      <c r="D449" s="3" t="inlineStr">
        <is>
          <t>Cái</t>
        </is>
      </c>
      <c r="E449" s="5" t="n">
        <v>27000</v>
      </c>
      <c r="F449" s="5" t="n">
        <v>33000</v>
      </c>
      <c r="G449" s="6" t="n">
        <v>42000</v>
      </c>
      <c r="H449" s="4" t="inlineStr">
        <is>
          <t>Cái 10C/H 300C/T</t>
        </is>
      </c>
    </row>
    <row r="450">
      <c r="A450" s="3" t="n">
        <v>449</v>
      </c>
      <c r="B450" s="3" t="n">
        <v>25</v>
      </c>
      <c r="C450" s="4" t="inlineStr">
        <is>
          <t>KBL4-10*160 Ø10*160</t>
        </is>
      </c>
      <c r="D450" s="3" t="inlineStr">
        <is>
          <t>Cái</t>
        </is>
      </c>
      <c r="E450" s="5" t="n">
        <v>30000</v>
      </c>
      <c r="F450" s="5" t="n">
        <v>37000</v>
      </c>
      <c r="G450" s="6" t="n">
        <v>47000</v>
      </c>
      <c r="H450" s="4" t="inlineStr">
        <is>
          <t>Cái 10C/H 200C/T</t>
        </is>
      </c>
    </row>
    <row r="451">
      <c r="A451" s="3" t="n">
        <v>450</v>
      </c>
      <c r="B451" s="3" t="n">
        <v>25</v>
      </c>
      <c r="C451" s="4" t="inlineStr">
        <is>
          <t>KBL4-12*160 Ø12*160</t>
        </is>
      </c>
      <c r="D451" s="3" t="inlineStr">
        <is>
          <t>Cái</t>
        </is>
      </c>
      <c r="E451" s="5" t="n">
        <v>33000</v>
      </c>
      <c r="F451" s="5" t="n">
        <v>40000</v>
      </c>
      <c r="G451" s="6" t="n">
        <v>51000</v>
      </c>
      <c r="H451" s="4" t="inlineStr">
        <is>
          <t>Cái 10C/H 200C/T</t>
        </is>
      </c>
    </row>
    <row r="452">
      <c r="A452" s="3" t="n">
        <v>451</v>
      </c>
      <c r="B452" s="3" t="n">
        <v>25</v>
      </c>
      <c r="C452" s="4" t="inlineStr">
        <is>
          <t>KBL4-14*160 Ø14*160</t>
        </is>
      </c>
      <c r="D452" s="3" t="inlineStr">
        <is>
          <t>Cái</t>
        </is>
      </c>
      <c r="E452" s="5" t="n">
        <v>51000</v>
      </c>
      <c r="F452" s="5" t="n">
        <v>62000</v>
      </c>
      <c r="G452" s="6" t="n">
        <v>79000</v>
      </c>
      <c r="H452" s="4" t="inlineStr">
        <is>
          <t>Cái 10C/H 200C/T</t>
        </is>
      </c>
    </row>
    <row r="453">
      <c r="A453" s="3" t="n">
        <v>452</v>
      </c>
      <c r="B453" s="3" t="n">
        <v>25</v>
      </c>
      <c r="C453" s="4" t="inlineStr">
        <is>
          <t>KBL4-16*160 Ø16*160</t>
        </is>
      </c>
      <c r="D453" s="3" t="inlineStr">
        <is>
          <t>Cái</t>
        </is>
      </c>
      <c r="E453" s="5" t="n">
        <v>59000</v>
      </c>
      <c r="F453" s="5" t="n">
        <v>72000</v>
      </c>
      <c r="G453" s="6" t="n">
        <v>92000</v>
      </c>
      <c r="H453" s="4" t="inlineStr">
        <is>
          <t>Cái 10C/H 200C/T</t>
        </is>
      </c>
    </row>
    <row r="454">
      <c r="A454" s="3" t="n">
        <v>453</v>
      </c>
      <c r="B454" s="3" t="n">
        <v>25</v>
      </c>
      <c r="C454" s="4" t="inlineStr">
        <is>
          <t>KBL4-10*350 Ø10*350</t>
        </is>
      </c>
      <c r="D454" s="3" t="inlineStr">
        <is>
          <t>Cái</t>
        </is>
      </c>
      <c r="E454" s="5" t="n">
        <v>81000</v>
      </c>
      <c r="F454" s="5" t="n">
        <v>99000</v>
      </c>
      <c r="G454" s="6" t="n">
        <v>126000</v>
      </c>
      <c r="H454" s="4" t="inlineStr">
        <is>
          <t>Cái 10C/H 100C/T</t>
        </is>
      </c>
    </row>
    <row r="455">
      <c r="A455" s="3" t="n">
        <v>454</v>
      </c>
      <c r="B455" s="3" t="n">
        <v>25</v>
      </c>
      <c r="C455" s="4" t="inlineStr">
        <is>
          <t>KBL4-12*350 Ø12*350</t>
        </is>
      </c>
      <c r="D455" s="3" t="inlineStr">
        <is>
          <t>Cái</t>
        </is>
      </c>
      <c r="E455" s="5" t="n">
        <v>89000</v>
      </c>
      <c r="F455" s="5" t="n">
        <v>109000</v>
      </c>
      <c r="G455" s="6" t="n">
        <v>138000</v>
      </c>
      <c r="H455" s="4" t="inlineStr">
        <is>
          <t>Cái 10C/H 100C/T</t>
        </is>
      </c>
    </row>
    <row r="456">
      <c r="A456" s="3" t="n">
        <v>455</v>
      </c>
      <c r="B456" s="3" t="n">
        <v>25</v>
      </c>
      <c r="C456" s="4" t="inlineStr">
        <is>
          <t>KBL4-14*350 Ø14*350</t>
        </is>
      </c>
      <c r="D456" s="3" t="inlineStr">
        <is>
          <t>Cái</t>
        </is>
      </c>
      <c r="E456" s="5" t="n">
        <v>105000</v>
      </c>
      <c r="F456" s="5" t="n">
        <v>128000</v>
      </c>
      <c r="G456" s="6" t="n">
        <v>163000</v>
      </c>
      <c r="H456" s="4" t="inlineStr">
        <is>
          <t>Cái 10C/H 100C/T</t>
        </is>
      </c>
    </row>
    <row r="457">
      <c r="A457" s="3" t="n">
        <v>456</v>
      </c>
      <c r="B457" s="3" t="n">
        <v>25</v>
      </c>
      <c r="C457" s="4" t="inlineStr">
        <is>
          <t>KBL4-16*350 Ø16*350</t>
        </is>
      </c>
      <c r="D457" s="3" t="inlineStr">
        <is>
          <t>Cái</t>
        </is>
      </c>
      <c r="E457" s="5" t="n">
        <v>126000</v>
      </c>
      <c r="F457" s="5" t="n">
        <v>154000</v>
      </c>
      <c r="G457" s="6" t="n">
        <v>195000</v>
      </c>
      <c r="H457" s="4" t="inlineStr">
        <is>
          <t>Cái 10C/H 100C/T</t>
        </is>
      </c>
    </row>
    <row r="458">
      <c r="A458" s="3" t="n">
        <v>457</v>
      </c>
      <c r="B458" s="3" t="n">
        <v>25</v>
      </c>
      <c r="C458" s="4" t="inlineStr">
        <is>
          <t>KBL4-18*350 Ø18*350</t>
        </is>
      </c>
      <c r="D458" s="3" t="inlineStr">
        <is>
          <t>Cái</t>
        </is>
      </c>
      <c r="E458" s="5" t="n">
        <v>146000</v>
      </c>
      <c r="F458" s="5" t="n">
        <v>178000</v>
      </c>
      <c r="G458" s="6" t="n">
        <v>226000</v>
      </c>
      <c r="H458" s="4" t="inlineStr">
        <is>
          <t>Cái 10C/H 50C/T</t>
        </is>
      </c>
    </row>
    <row r="459">
      <c r="A459" s="3" t="n">
        <v>458</v>
      </c>
      <c r="B459" s="3" t="n">
        <v>25</v>
      </c>
      <c r="C459" s="4" t="inlineStr">
        <is>
          <t>KBL4-20*350 Ø20*350</t>
        </is>
      </c>
      <c r="D459" s="3" t="inlineStr">
        <is>
          <t>Cái</t>
        </is>
      </c>
      <c r="E459" s="5" t="n">
        <v>183000</v>
      </c>
      <c r="F459" s="5" t="n">
        <v>223000</v>
      </c>
      <c r="G459" s="6" t="n">
        <v>284000</v>
      </c>
      <c r="H459" s="4" t="inlineStr">
        <is>
          <t>Cái 10C/H 50C/T</t>
        </is>
      </c>
    </row>
    <row r="460">
      <c r="A460" s="3" t="n">
        <v>459</v>
      </c>
      <c r="B460" s="3" t="n">
        <v>25</v>
      </c>
      <c r="C460" s="4" t="inlineStr">
        <is>
          <t>KBL4-22*350 Ø22*350</t>
        </is>
      </c>
      <c r="D460" s="3" t="inlineStr">
        <is>
          <t>Cái</t>
        </is>
      </c>
      <c r="E460" s="5" t="n">
        <v>228000</v>
      </c>
      <c r="F460" s="5" t="n">
        <v>278000</v>
      </c>
      <c r="G460" s="6" t="n">
        <v>353000</v>
      </c>
      <c r="H460" s="4" t="inlineStr">
        <is>
          <t>Cái 10C/H 50C/T</t>
        </is>
      </c>
    </row>
    <row r="461">
      <c r="A461" s="3" t="n">
        <v>460</v>
      </c>
      <c r="B461" s="3" t="n">
        <v>25</v>
      </c>
      <c r="C461" s="4" t="inlineStr">
        <is>
          <t>KBL4-25*350 Ø25*350</t>
        </is>
      </c>
      <c r="D461" s="3" t="inlineStr">
        <is>
          <t>Cái</t>
        </is>
      </c>
      <c r="E461" s="5" t="n">
        <v>285000</v>
      </c>
      <c r="F461" s="5" t="n">
        <v>348000</v>
      </c>
      <c r="G461" s="6" t="n">
        <v>442000</v>
      </c>
      <c r="H461" s="4" t="inlineStr">
        <is>
          <t>Cái 10C/H 50C/T</t>
        </is>
      </c>
    </row>
    <row r="462">
      <c r="A462" s="3" t="n">
        <v>461</v>
      </c>
      <c r="B462" s="3" t="n">
        <v>25</v>
      </c>
      <c r="C462" s="4" t="inlineStr">
        <is>
          <t>KBL2-3.2*90 Ø3.2*90</t>
        </is>
      </c>
      <c r="D462" s="3" t="inlineStr">
        <is>
          <t>Cái</t>
        </is>
      </c>
      <c r="E462" s="5" t="n">
        <v>23000</v>
      </c>
      <c r="F462" s="5" t="n">
        <v>29000</v>
      </c>
      <c r="G462" s="6" t="n">
        <v>38000</v>
      </c>
      <c r="H462" s="4" t="inlineStr">
        <is>
          <t>Cái 10C/H 300C/T</t>
        </is>
      </c>
    </row>
    <row r="463">
      <c r="A463" s="3" t="n">
        <v>462</v>
      </c>
      <c r="B463" s="3" t="n">
        <v>25</v>
      </c>
      <c r="C463" s="4" t="inlineStr">
        <is>
          <t>KBL2-3.2*110 Ø3.2*110</t>
        </is>
      </c>
      <c r="D463" s="3" t="inlineStr">
        <is>
          <t>Cái</t>
        </is>
      </c>
      <c r="E463" s="5" t="n">
        <v>23000</v>
      </c>
      <c r="F463" s="5" t="n">
        <v>29000</v>
      </c>
      <c r="G463" s="6" t="n">
        <v>38000</v>
      </c>
      <c r="H463" s="4" t="inlineStr">
        <is>
          <t>Cái 10C/H 300C/T</t>
        </is>
      </c>
    </row>
    <row r="464">
      <c r="A464" s="3" t="n">
        <v>463</v>
      </c>
      <c r="B464" s="3" t="n">
        <v>25</v>
      </c>
      <c r="C464" s="4" t="inlineStr">
        <is>
          <t>KBL2-3.5*110 Ø3.5*110</t>
        </is>
      </c>
      <c r="D464" s="3" t="inlineStr">
        <is>
          <t>Cái</t>
        </is>
      </c>
      <c r="E464" s="5" t="n">
        <v>23000</v>
      </c>
      <c r="F464" s="5" t="n">
        <v>29000</v>
      </c>
      <c r="G464" s="6" t="n">
        <v>38000</v>
      </c>
      <c r="H464" s="4" t="inlineStr">
        <is>
          <t>Cái 10C/H 300C/T</t>
        </is>
      </c>
    </row>
    <row r="465">
      <c r="A465" s="3" t="n">
        <v>464</v>
      </c>
      <c r="B465" s="3" t="n">
        <v>25</v>
      </c>
      <c r="C465" s="4" t="inlineStr">
        <is>
          <t>KBL2-4.2*110 Ø4.2*110</t>
        </is>
      </c>
      <c r="D465" s="3" t="inlineStr">
        <is>
          <t>Cái</t>
        </is>
      </c>
      <c r="E465" s="5" t="n">
        <v>23000</v>
      </c>
      <c r="F465" s="5" t="n">
        <v>29000</v>
      </c>
      <c r="G465" s="6" t="n">
        <v>38000</v>
      </c>
      <c r="H465" s="4" t="inlineStr">
        <is>
          <t>Cái 10C/H 300C/T</t>
        </is>
      </c>
    </row>
    <row r="466">
      <c r="A466" s="3" t="n">
        <v>465</v>
      </c>
      <c r="B466" s="3" t="n">
        <v>25</v>
      </c>
      <c r="C466" s="4" t="inlineStr">
        <is>
          <t>KBL2-06*110 Ø6</t>
        </is>
      </c>
      <c r="D466" s="3" t="inlineStr">
        <is>
          <t>Cái</t>
        </is>
      </c>
      <c r="E466" s="5" t="n">
        <v>20000</v>
      </c>
      <c r="F466" s="5" t="n">
        <v>24000</v>
      </c>
      <c r="G466" s="6" t="n">
        <v>31000</v>
      </c>
      <c r="H466" s="4" t="inlineStr">
        <is>
          <t>Cái 10C/H 300C/T</t>
        </is>
      </c>
    </row>
    <row r="467">
      <c r="A467" s="3" t="n">
        <v>466</v>
      </c>
      <c r="B467" s="3" t="n">
        <v>25</v>
      </c>
      <c r="C467" s="4" t="inlineStr">
        <is>
          <t>KBL2-08*110 Ø8</t>
        </is>
      </c>
      <c r="D467" s="3" t="inlineStr">
        <is>
          <t>Cái</t>
        </is>
      </c>
      <c r="E467" s="5" t="n">
        <v>22000</v>
      </c>
      <c r="F467" s="5" t="n">
        <v>27000</v>
      </c>
      <c r="G467" s="6" t="n">
        <v>34000</v>
      </c>
      <c r="H467" s="4" t="inlineStr">
        <is>
          <t>Cái 10C/H 300C/T</t>
        </is>
      </c>
    </row>
    <row r="468">
      <c r="A468" s="3" t="n">
        <v>467</v>
      </c>
      <c r="B468" s="3" t="n">
        <v>25</v>
      </c>
      <c r="C468" s="4" t="inlineStr">
        <is>
          <t>KBL2-06*160 Ø6</t>
        </is>
      </c>
      <c r="D468" s="3" t="inlineStr">
        <is>
          <t>Cái</t>
        </is>
      </c>
      <c r="E468" s="5" t="n">
        <v>23000</v>
      </c>
      <c r="F468" s="5" t="n">
        <v>28000</v>
      </c>
      <c r="G468" s="6" t="n">
        <v>36000</v>
      </c>
      <c r="H468" s="4" t="inlineStr">
        <is>
          <t>Cái 10C/H 300C/T</t>
        </is>
      </c>
    </row>
    <row r="469">
      <c r="A469" s="3" t="n">
        <v>468</v>
      </c>
      <c r="B469" s="3" t="n">
        <v>25</v>
      </c>
      <c r="C469" s="4" t="inlineStr">
        <is>
          <t>KBL2-08*160 Ø8</t>
        </is>
      </c>
      <c r="D469" s="3" t="inlineStr">
        <is>
          <t>Cái</t>
        </is>
      </c>
      <c r="E469" s="5" t="n">
        <v>25000</v>
      </c>
      <c r="F469" s="5" t="n">
        <v>31000</v>
      </c>
      <c r="G469" s="6" t="n">
        <v>39000</v>
      </c>
      <c r="H469" s="4" t="inlineStr">
        <is>
          <t>Cái 10C/H 300C/T</t>
        </is>
      </c>
    </row>
    <row r="470">
      <c r="A470" s="3" t="n">
        <v>469</v>
      </c>
      <c r="B470" s="3" t="n">
        <v>25</v>
      </c>
      <c r="C470" s="4" t="inlineStr">
        <is>
          <t>KBL2-10*160 Ø10</t>
        </is>
      </c>
      <c r="D470" s="3" t="inlineStr">
        <is>
          <t>Cái</t>
        </is>
      </c>
      <c r="E470" s="5" t="n">
        <v>25000</v>
      </c>
      <c r="F470" s="5" t="n">
        <v>31000</v>
      </c>
      <c r="G470" s="6" t="n">
        <v>39000</v>
      </c>
      <c r="H470" s="4" t="inlineStr">
        <is>
          <t>Cái 10C/H 200C/T</t>
        </is>
      </c>
    </row>
    <row r="471">
      <c r="A471" s="3" t="n">
        <v>470</v>
      </c>
      <c r="B471" s="3" t="n">
        <v>25</v>
      </c>
      <c r="C471" s="4" t="inlineStr">
        <is>
          <t>KBL2-12*160 Ø12</t>
        </is>
      </c>
      <c r="D471" s="3" t="inlineStr">
        <is>
          <t>Cái</t>
        </is>
      </c>
      <c r="E471" s="5" t="n">
        <v>28000</v>
      </c>
      <c r="F471" s="5" t="n">
        <v>34000</v>
      </c>
      <c r="G471" s="6" t="n">
        <v>43000</v>
      </c>
      <c r="H471" s="4" t="inlineStr">
        <is>
          <t>Cái 10C/H 200C/T</t>
        </is>
      </c>
    </row>
    <row r="472">
      <c r="A472" s="3" t="n">
        <v>471</v>
      </c>
      <c r="B472" s="3" t="n">
        <v>25</v>
      </c>
      <c r="C472" s="4" t="inlineStr">
        <is>
          <t>KBL2-14*160 Ø14</t>
        </is>
      </c>
      <c r="D472" s="3" t="inlineStr">
        <is>
          <t>Cái</t>
        </is>
      </c>
      <c r="E472" s="5" t="n">
        <v>42000</v>
      </c>
      <c r="F472" s="5" t="n">
        <v>51000</v>
      </c>
      <c r="G472" s="6" t="n">
        <v>65000</v>
      </c>
      <c r="H472" s="4" t="inlineStr">
        <is>
          <t>Cái 10C/H 200C/T</t>
        </is>
      </c>
    </row>
    <row r="473">
      <c r="A473" s="3" t="n">
        <v>472</v>
      </c>
      <c r="B473" s="3" t="n">
        <v>25</v>
      </c>
      <c r="C473" s="4" t="inlineStr">
        <is>
          <t>KBL2-16*160 Ø16</t>
        </is>
      </c>
      <c r="D473" s="3" t="inlineStr">
        <is>
          <t>Cái</t>
        </is>
      </c>
      <c r="E473" s="5" t="n">
        <v>49000</v>
      </c>
      <c r="F473" s="5" t="n">
        <v>60000</v>
      </c>
      <c r="G473" s="6" t="n">
        <v>76000</v>
      </c>
      <c r="H473" s="4" t="inlineStr">
        <is>
          <t>Cái 10C/H 200C/T</t>
        </is>
      </c>
    </row>
    <row r="474">
      <c r="A474" s="3" t="n">
        <v>473</v>
      </c>
      <c r="B474" s="3" t="n">
        <v>25</v>
      </c>
      <c r="C474" s="4" t="inlineStr">
        <is>
          <t>KBL2-18*160 Ø18</t>
        </is>
      </c>
      <c r="D474" s="3" t="inlineStr">
        <is>
          <t>Cái</t>
        </is>
      </c>
      <c r="E474" s="5" t="n">
        <v>58000</v>
      </c>
      <c r="F474" s="5" t="n">
        <v>71000</v>
      </c>
      <c r="G474" s="6" t="n">
        <v>90000</v>
      </c>
      <c r="H474" s="4" t="inlineStr">
        <is>
          <t>Cái 10C/H 100C/T</t>
        </is>
      </c>
    </row>
    <row r="475">
      <c r="A475" s="3" t="n">
        <v>474</v>
      </c>
      <c r="B475" s="3" t="n">
        <v>25</v>
      </c>
      <c r="C475" s="4" t="inlineStr">
        <is>
          <t>KBL2-08*210 Ø08</t>
        </is>
      </c>
      <c r="D475" s="3" t="inlineStr">
        <is>
          <t>Cái</t>
        </is>
      </c>
      <c r="E475" s="5" t="n">
        <v>28000</v>
      </c>
      <c r="F475" s="5" t="n">
        <v>34000</v>
      </c>
      <c r="G475" s="6" t="n">
        <v>43000</v>
      </c>
      <c r="H475" s="4" t="inlineStr">
        <is>
          <t>Cái 10C/H 250C/T</t>
        </is>
      </c>
    </row>
    <row r="476">
      <c r="A476" s="3" t="n">
        <v>475</v>
      </c>
      <c r="B476" s="3" t="n">
        <v>26</v>
      </c>
      <c r="C476" s="4" t="inlineStr">
        <is>
          <t>KBL2-10*210 Ø10</t>
        </is>
      </c>
      <c r="D476" s="3" t="inlineStr">
        <is>
          <t>Cái</t>
        </is>
      </c>
      <c r="E476" s="5" t="n">
        <v>30000</v>
      </c>
      <c r="F476" s="5" t="n">
        <v>37000</v>
      </c>
      <c r="G476" s="6" t="n">
        <v>47000</v>
      </c>
      <c r="H476" s="4" t="inlineStr">
        <is>
          <t>Cái 10C/H 250C/T</t>
        </is>
      </c>
    </row>
    <row r="477">
      <c r="A477" s="3" t="n">
        <v>476</v>
      </c>
      <c r="B477" s="3" t="n">
        <v>26</v>
      </c>
      <c r="C477" s="4" t="inlineStr">
        <is>
          <t>KBL2-12*210 Ø14</t>
        </is>
      </c>
      <c r="D477" s="3" t="inlineStr">
        <is>
          <t>Cái</t>
        </is>
      </c>
      <c r="E477" s="5" t="n">
        <v>33000</v>
      </c>
      <c r="F477" s="5" t="n">
        <v>40000</v>
      </c>
      <c r="G477" s="6" t="n">
        <v>51000</v>
      </c>
      <c r="H477" s="4" t="inlineStr">
        <is>
          <t>Cái 10C/H 200C/T</t>
        </is>
      </c>
    </row>
    <row r="478">
      <c r="A478" s="3" t="n">
        <v>477</v>
      </c>
      <c r="B478" s="3" t="n">
        <v>26</v>
      </c>
      <c r="C478" s="4" t="inlineStr">
        <is>
          <t>KBL2-14*210 Ø14</t>
        </is>
      </c>
      <c r="D478" s="3" t="inlineStr">
        <is>
          <t>Cái</t>
        </is>
      </c>
      <c r="E478" s="5" t="n">
        <v>42000</v>
      </c>
      <c r="F478" s="5" t="n">
        <v>51000</v>
      </c>
      <c r="G478" s="6" t="n">
        <v>65000</v>
      </c>
      <c r="H478" s="4" t="inlineStr">
        <is>
          <t>Cái 10C/H 200C/T</t>
        </is>
      </c>
    </row>
    <row r="479">
      <c r="A479" s="3" t="n">
        <v>478</v>
      </c>
      <c r="B479" s="3" t="n">
        <v>26</v>
      </c>
      <c r="C479" s="4" t="inlineStr">
        <is>
          <t>KBL2-16*210 Ø16</t>
        </is>
      </c>
      <c r="D479" s="3" t="inlineStr">
        <is>
          <t>Cái</t>
        </is>
      </c>
      <c r="E479" s="5" t="n">
        <v>51000</v>
      </c>
      <c r="F479" s="5" t="n">
        <v>62000</v>
      </c>
      <c r="G479" s="6" t="n">
        <v>79000</v>
      </c>
      <c r="H479" s="4" t="inlineStr">
        <is>
          <t>Cái 10C/H</t>
        </is>
      </c>
    </row>
    <row r="480">
      <c r="A480" s="3" t="n">
        <v>479</v>
      </c>
      <c r="B480" s="3" t="n">
        <v>26</v>
      </c>
      <c r="C480" s="4" t="inlineStr">
        <is>
          <t>KBL2-18*210 Ø18</t>
        </is>
      </c>
      <c r="D480" s="3" t="inlineStr">
        <is>
          <t>Cái</t>
        </is>
      </c>
      <c r="E480" s="5" t="n">
        <v>67000</v>
      </c>
      <c r="F480" s="5" t="n">
        <v>82000</v>
      </c>
      <c r="G480" s="6" t="n">
        <v>104000</v>
      </c>
      <c r="H480" s="4" t="inlineStr">
        <is>
          <t>Cái 10C/H 100C/T</t>
        </is>
      </c>
    </row>
    <row r="481">
      <c r="A481" s="3" t="n">
        <v>480</v>
      </c>
      <c r="B481" s="3" t="n">
        <v>26</v>
      </c>
      <c r="C481" s="4" t="inlineStr">
        <is>
          <t>KBL2-20*210 Ø20</t>
        </is>
      </c>
      <c r="D481" s="3" t="inlineStr">
        <is>
          <t>Cái</t>
        </is>
      </c>
      <c r="E481" s="5" t="n">
        <v>78000</v>
      </c>
      <c r="F481" s="5" t="n">
        <v>95000</v>
      </c>
      <c r="G481" s="6" t="n">
        <v>121000</v>
      </c>
      <c r="H481" s="4" t="inlineStr">
        <is>
          <t>Cái 10C/H 50C/T</t>
        </is>
      </c>
    </row>
    <row r="482">
      <c r="A482" s="3" t="n">
        <v>481</v>
      </c>
      <c r="B482" s="3" t="n">
        <v>26</v>
      </c>
      <c r="C482" s="4" t="inlineStr">
        <is>
          <t>KBL2-08*260 Ø08</t>
        </is>
      </c>
      <c r="D482" s="3" t="inlineStr">
        <is>
          <t>Cái</t>
        </is>
      </c>
      <c r="E482" s="5" t="n">
        <v>33000</v>
      </c>
      <c r="F482" s="5" t="n">
        <v>40000</v>
      </c>
      <c r="G482" s="6" t="n">
        <v>51000</v>
      </c>
      <c r="H482" s="4" t="inlineStr">
        <is>
          <t>Cái 10C/H 250C/T</t>
        </is>
      </c>
    </row>
    <row r="483">
      <c r="A483" s="3" t="n">
        <v>482</v>
      </c>
      <c r="B483" s="3" t="n">
        <v>26</v>
      </c>
      <c r="C483" s="4" t="inlineStr">
        <is>
          <t>KBL2-10*260 Ø10</t>
        </is>
      </c>
      <c r="D483" s="3" t="inlineStr">
        <is>
          <t>Cái</t>
        </is>
      </c>
      <c r="E483" s="5" t="n">
        <v>36000</v>
      </c>
      <c r="F483" s="5" t="n">
        <v>44000</v>
      </c>
      <c r="G483" s="6" t="n">
        <v>56000</v>
      </c>
      <c r="H483" s="4" t="inlineStr">
        <is>
          <t>Cái 10C/H 250C/T</t>
        </is>
      </c>
    </row>
    <row r="484">
      <c r="A484" s="3" t="n">
        <v>483</v>
      </c>
      <c r="B484" s="3" t="n">
        <v>26</v>
      </c>
      <c r="C484" s="4" t="inlineStr">
        <is>
          <t>KBL2-12*260 Ø12</t>
        </is>
      </c>
      <c r="D484" s="3" t="inlineStr">
        <is>
          <t>Cái</t>
        </is>
      </c>
      <c r="E484" s="5" t="n">
        <v>41000</v>
      </c>
      <c r="F484" s="5" t="n">
        <v>50000</v>
      </c>
      <c r="G484" s="6" t="n">
        <v>64000</v>
      </c>
      <c r="H484" s="4" t="inlineStr">
        <is>
          <t>Cái 10C/H 200C/T</t>
        </is>
      </c>
    </row>
    <row r="485">
      <c r="A485" s="3" t="n">
        <v>484</v>
      </c>
      <c r="B485" s="3" t="n">
        <v>26</v>
      </c>
      <c r="C485" s="4" t="inlineStr">
        <is>
          <t>KBL2-14*260 Ø14</t>
        </is>
      </c>
      <c r="D485" s="3" t="inlineStr">
        <is>
          <t>Cái</t>
        </is>
      </c>
      <c r="E485" s="5" t="n">
        <v>45000</v>
      </c>
      <c r="F485" s="5" t="n">
        <v>55000</v>
      </c>
      <c r="G485" s="6" t="n">
        <v>70000</v>
      </c>
      <c r="H485" s="4" t="inlineStr">
        <is>
          <t>Cái 10C/H 150C/T</t>
        </is>
      </c>
    </row>
    <row r="486">
      <c r="A486" s="3" t="n">
        <v>485</v>
      </c>
      <c r="B486" s="3" t="n">
        <v>26</v>
      </c>
      <c r="C486" s="4" t="inlineStr">
        <is>
          <t>KBL2-16*260 Ø16</t>
        </is>
      </c>
      <c r="D486" s="3" t="inlineStr">
        <is>
          <t>Cái</t>
        </is>
      </c>
      <c r="E486" s="5" t="n">
        <v>59000</v>
      </c>
      <c r="F486" s="5" t="n">
        <v>72000</v>
      </c>
      <c r="G486" s="6" t="n">
        <v>92000</v>
      </c>
      <c r="H486" s="4" t="inlineStr">
        <is>
          <t>Cái 10C/H 100C/T</t>
        </is>
      </c>
    </row>
    <row r="487">
      <c r="A487" s="3" t="n">
        <v>486</v>
      </c>
      <c r="B487" s="3" t="n">
        <v>26</v>
      </c>
      <c r="C487" s="4" t="inlineStr">
        <is>
          <t>KBL2-18*260 Ø18</t>
        </is>
      </c>
      <c r="D487" s="3" t="inlineStr">
        <is>
          <t>Cái</t>
        </is>
      </c>
      <c r="E487" s="5" t="n">
        <v>73000</v>
      </c>
      <c r="F487" s="5" t="n">
        <v>89000</v>
      </c>
      <c r="G487" s="6" t="n">
        <v>113000</v>
      </c>
      <c r="H487" s="4" t="inlineStr">
        <is>
          <t>Cái 10C/H 100C/T</t>
        </is>
      </c>
    </row>
    <row r="488">
      <c r="A488" s="3" t="n">
        <v>487</v>
      </c>
      <c r="B488" s="3" t="n">
        <v>26</v>
      </c>
      <c r="C488" s="4" t="inlineStr">
        <is>
          <t>KBL2-20*260 Ø20</t>
        </is>
      </c>
      <c r="D488" s="3" t="inlineStr">
        <is>
          <t>Cái</t>
        </is>
      </c>
      <c r="E488" s="5" t="n">
        <v>91000</v>
      </c>
      <c r="F488" s="5" t="n">
        <v>111000</v>
      </c>
      <c r="G488" s="6" t="n">
        <v>141000</v>
      </c>
      <c r="H488" s="4" t="inlineStr">
        <is>
          <t>Cái 10C/H</t>
        </is>
      </c>
    </row>
    <row r="489">
      <c r="A489" s="3" t="n">
        <v>488</v>
      </c>
      <c r="B489" s="3" t="n">
        <v>26</v>
      </c>
      <c r="C489" s="4" t="inlineStr">
        <is>
          <t>KBL2-22*260 Ø22</t>
        </is>
      </c>
      <c r="D489" s="3" t="inlineStr">
        <is>
          <t>Cái</t>
        </is>
      </c>
      <c r="E489" s="5" t="n">
        <v>109000</v>
      </c>
      <c r="F489" s="5" t="n">
        <v>133000</v>
      </c>
      <c r="G489" s="6" t="n">
        <v>169000</v>
      </c>
      <c r="H489" s="4" t="inlineStr">
        <is>
          <t>Cái 10C/H</t>
        </is>
      </c>
    </row>
    <row r="490">
      <c r="A490" s="3" t="n">
        <v>489</v>
      </c>
      <c r="B490" s="3" t="n">
        <v>26</v>
      </c>
      <c r="C490" s="4" t="inlineStr">
        <is>
          <t>KBL2-25*260 Ø25</t>
        </is>
      </c>
      <c r="D490" s="3" t="inlineStr">
        <is>
          <t>Cái</t>
        </is>
      </c>
      <c r="E490" s="5" t="n">
        <v>133000</v>
      </c>
      <c r="F490" s="5" t="n">
        <v>162000</v>
      </c>
      <c r="G490" s="6" t="n">
        <v>206000</v>
      </c>
      <c r="H490" s="4" t="inlineStr">
        <is>
          <t>Cái 10C/H</t>
        </is>
      </c>
    </row>
    <row r="491">
      <c r="A491" s="3" t="n">
        <v>490</v>
      </c>
      <c r="B491" s="3" t="n">
        <v>26</v>
      </c>
      <c r="C491" s="4" t="inlineStr">
        <is>
          <t>KBL2-08*310 Ø8</t>
        </is>
      </c>
      <c r="D491" s="3" t="inlineStr">
        <is>
          <t>Cái</t>
        </is>
      </c>
      <c r="E491" s="5" t="n">
        <v>40000</v>
      </c>
      <c r="F491" s="5" t="n">
        <v>49000</v>
      </c>
      <c r="G491" s="6" t="n">
        <v>62000</v>
      </c>
      <c r="H491" s="4" t="inlineStr">
        <is>
          <t>Cái 10C/H 200C/T</t>
        </is>
      </c>
    </row>
    <row r="492">
      <c r="A492" s="3" t="n">
        <v>491</v>
      </c>
      <c r="B492" s="3" t="n">
        <v>26</v>
      </c>
      <c r="C492" s="4" t="inlineStr">
        <is>
          <t>KBL2-10*310 Ø10</t>
        </is>
      </c>
      <c r="D492" s="3" t="inlineStr">
        <is>
          <t>Cái</t>
        </is>
      </c>
      <c r="E492" s="5" t="n">
        <v>44000</v>
      </c>
      <c r="F492" s="5" t="n">
        <v>54000</v>
      </c>
      <c r="G492" s="6" t="n">
        <v>68000</v>
      </c>
      <c r="H492" s="4" t="inlineStr">
        <is>
          <t>Cái 10C/H 200C/T</t>
        </is>
      </c>
    </row>
    <row r="493">
      <c r="A493" s="3" t="n">
        <v>492</v>
      </c>
      <c r="B493" s="3" t="n">
        <v>26</v>
      </c>
      <c r="C493" s="4" t="inlineStr">
        <is>
          <t>KBL2-12*310 Ø12</t>
        </is>
      </c>
      <c r="D493" s="3" t="inlineStr">
        <is>
          <t>Cái</t>
        </is>
      </c>
      <c r="E493" s="5" t="n">
        <v>45000</v>
      </c>
      <c r="F493" s="5" t="n">
        <v>55000</v>
      </c>
      <c r="G493" s="6" t="n">
        <v>70000</v>
      </c>
      <c r="H493" s="4" t="inlineStr">
        <is>
          <t>Cái 10C/H</t>
        </is>
      </c>
    </row>
    <row r="494">
      <c r="A494" s="3" t="n">
        <v>493</v>
      </c>
      <c r="B494" s="3" t="n">
        <v>26</v>
      </c>
      <c r="C494" s="4" t="inlineStr">
        <is>
          <t>KBL2-14*310 Ø14</t>
        </is>
      </c>
      <c r="D494" s="3" t="inlineStr">
        <is>
          <t>Cái</t>
        </is>
      </c>
      <c r="E494" s="5" t="n">
        <v>53000</v>
      </c>
      <c r="F494" s="5" t="n">
        <v>65000</v>
      </c>
      <c r="G494" s="6" t="n">
        <v>82000</v>
      </c>
      <c r="H494" s="4" t="inlineStr">
        <is>
          <t>Cái 10C/H</t>
        </is>
      </c>
    </row>
    <row r="495">
      <c r="A495" s="3" t="n">
        <v>494</v>
      </c>
      <c r="B495" s="3" t="n">
        <v>26</v>
      </c>
      <c r="C495" s="4" t="inlineStr">
        <is>
          <t>KBL2-16*310 Ø16</t>
        </is>
      </c>
      <c r="D495" s="3" t="inlineStr">
        <is>
          <t>Cái</t>
        </is>
      </c>
      <c r="E495" s="5" t="n">
        <v>67000</v>
      </c>
      <c r="F495" s="5" t="n">
        <v>82000</v>
      </c>
      <c r="G495" s="6" t="n">
        <v>104000</v>
      </c>
      <c r="H495" s="4" t="inlineStr">
        <is>
          <t>Cái 10C/H 100C/T</t>
        </is>
      </c>
    </row>
    <row r="496">
      <c r="A496" s="3" t="n">
        <v>495</v>
      </c>
      <c r="B496" s="3" t="n">
        <v>26</v>
      </c>
      <c r="C496" s="4" t="inlineStr">
        <is>
          <t>KBL2-18*310 Ø18</t>
        </is>
      </c>
      <c r="D496" s="3" t="inlineStr">
        <is>
          <t>Cái</t>
        </is>
      </c>
      <c r="E496" s="5" t="n">
        <v>84000</v>
      </c>
      <c r="F496" s="5" t="n">
        <v>102000</v>
      </c>
      <c r="G496" s="6" t="n">
        <v>130000</v>
      </c>
      <c r="H496" s="4" t="inlineStr">
        <is>
          <t>Cái 10C/H 50C/T</t>
        </is>
      </c>
    </row>
    <row r="497">
      <c r="A497" s="3" t="n">
        <v>496</v>
      </c>
      <c r="B497" s="3" t="n">
        <v>26</v>
      </c>
      <c r="C497" s="4" t="inlineStr">
        <is>
          <t>KBL2-20*310 Ø20</t>
        </is>
      </c>
      <c r="D497" s="3" t="inlineStr">
        <is>
          <t>Cái</t>
        </is>
      </c>
      <c r="E497" s="5" t="n">
        <v>98000</v>
      </c>
      <c r="F497" s="5" t="n">
        <v>120000</v>
      </c>
      <c r="G497" s="6" t="n">
        <v>152000</v>
      </c>
      <c r="H497" s="4" t="inlineStr">
        <is>
          <t>Cái 10C/H 50C/T</t>
        </is>
      </c>
    </row>
    <row r="498">
      <c r="A498" s="3" t="n">
        <v>497</v>
      </c>
      <c r="B498" s="3" t="n">
        <v>26</v>
      </c>
      <c r="C498" s="4" t="inlineStr">
        <is>
          <t>KBL2-22*310 Ø22</t>
        </is>
      </c>
      <c r="D498" s="3" t="inlineStr">
        <is>
          <t>Cái</t>
        </is>
      </c>
      <c r="E498" s="5" t="n">
        <v>120000</v>
      </c>
      <c r="F498" s="5" t="n">
        <v>146000</v>
      </c>
      <c r="G498" s="6" t="n">
        <v>186000</v>
      </c>
      <c r="H498" s="4" t="inlineStr">
        <is>
          <t>Cái 10C/H 50C/T</t>
        </is>
      </c>
    </row>
    <row r="499">
      <c r="A499" s="3" t="n">
        <v>498</v>
      </c>
      <c r="B499" s="3" t="n">
        <v>26</v>
      </c>
      <c r="C499" s="4" t="inlineStr">
        <is>
          <t>KBL2-25*310 Ø25</t>
        </is>
      </c>
      <c r="D499" s="3" t="inlineStr">
        <is>
          <t>Cái</t>
        </is>
      </c>
      <c r="E499" s="5" t="n">
        <v>153000</v>
      </c>
      <c r="F499" s="5" t="n">
        <v>187000</v>
      </c>
      <c r="G499" s="6" t="n">
        <v>237000</v>
      </c>
      <c r="H499" s="4" t="inlineStr">
        <is>
          <t>Cái 10C/H 50C/T</t>
        </is>
      </c>
    </row>
    <row r="500">
      <c r="A500" s="3" t="n">
        <v>499</v>
      </c>
      <c r="B500" s="3" t="n">
        <v>26</v>
      </c>
      <c r="C500" s="4" t="inlineStr">
        <is>
          <t>KBL2-14*160 (NEW) Ø14</t>
        </is>
      </c>
      <c r="D500" s="3" t="inlineStr">
        <is>
          <t>Cái</t>
        </is>
      </c>
      <c r="E500" s="5" t="n">
        <v>35000</v>
      </c>
      <c r="F500" s="5" t="n">
        <v>43000</v>
      </c>
      <c r="G500" s="6" t="n">
        <v>54000</v>
      </c>
      <c r="H500" s="4" t="inlineStr">
        <is>
          <t>Cái 10C/H 200C/T khoan bê tông</t>
        </is>
      </c>
    </row>
    <row r="501">
      <c r="A501" s="3" t="n">
        <v>500</v>
      </c>
      <c r="B501" s="3" t="n">
        <v>26</v>
      </c>
      <c r="C501" s="4" t="inlineStr">
        <is>
          <t>KBL2-16*160 (NEW) Ø16</t>
        </is>
      </c>
      <c r="D501" s="3" t="inlineStr">
        <is>
          <t>Cái</t>
        </is>
      </c>
      <c r="E501" s="5" t="n">
        <v>42000</v>
      </c>
      <c r="F501" s="5" t="n">
        <v>51000</v>
      </c>
      <c r="G501" s="6" t="n">
        <v>65000</v>
      </c>
      <c r="H501" s="4" t="inlineStr">
        <is>
          <t>Cái 10C/H 200C/T khoan bê tông</t>
        </is>
      </c>
    </row>
    <row r="502">
      <c r="A502" s="3" t="n">
        <v>501</v>
      </c>
      <c r="B502" s="3" t="n">
        <v>26</v>
      </c>
      <c r="C502" s="4" t="inlineStr">
        <is>
          <t>KBS-12*280 Ø12</t>
        </is>
      </c>
      <c r="D502" s="3" t="inlineStr">
        <is>
          <t>Cái</t>
        </is>
      </c>
      <c r="E502" s="5" t="n">
        <v>99000</v>
      </c>
      <c r="F502" s="5" t="n">
        <v>121000</v>
      </c>
      <c r="G502" s="6" t="n">
        <v>154000</v>
      </c>
      <c r="H502" s="4" t="inlineStr">
        <is>
          <t>Cái 10C/H 50C/T</t>
        </is>
      </c>
    </row>
    <row r="503">
      <c r="A503" s="3" t="n">
        <v>502</v>
      </c>
      <c r="B503" s="3" t="n">
        <v>26</v>
      </c>
      <c r="C503" s="4" t="inlineStr">
        <is>
          <t>KBS-14*280 Ø14</t>
        </is>
      </c>
      <c r="D503" s="3" t="inlineStr">
        <is>
          <t>Cái</t>
        </is>
      </c>
      <c r="E503" s="5" t="n">
        <v>81000</v>
      </c>
      <c r="F503" s="5" t="n">
        <v>99000</v>
      </c>
      <c r="G503" s="6" t="n">
        <v>126000</v>
      </c>
      <c r="H503" s="4" t="inlineStr">
        <is>
          <t>Cái 10C/H 50C/T</t>
        </is>
      </c>
    </row>
    <row r="504">
      <c r="A504" s="3" t="n">
        <v>503</v>
      </c>
      <c r="B504" s="3" t="n">
        <v>26</v>
      </c>
      <c r="C504" s="4" t="inlineStr">
        <is>
          <t>KBS-16*280 Ø16</t>
        </is>
      </c>
      <c r="D504" s="3" t="inlineStr">
        <is>
          <t>Cái</t>
        </is>
      </c>
      <c r="E504" s="5" t="n">
        <v>89000</v>
      </c>
      <c r="F504" s="5" t="n">
        <v>109000</v>
      </c>
      <c r="G504" s="6" t="n">
        <v>138000</v>
      </c>
      <c r="H504" s="4" t="inlineStr">
        <is>
          <t>Cái 10C/H 50C/T</t>
        </is>
      </c>
    </row>
    <row r="505">
      <c r="A505" s="3" t="n">
        <v>504</v>
      </c>
      <c r="B505" s="3" t="n">
        <v>26</v>
      </c>
      <c r="C505" s="4" t="inlineStr">
        <is>
          <t>KBS-18*280 Ø18</t>
        </is>
      </c>
      <c r="D505" s="3" t="inlineStr">
        <is>
          <t>Cái</t>
        </is>
      </c>
      <c r="E505" s="5" t="n">
        <v>95000</v>
      </c>
      <c r="F505" s="5" t="n">
        <v>116000</v>
      </c>
      <c r="G505" s="6" t="n">
        <v>147000</v>
      </c>
      <c r="H505" s="4" t="inlineStr">
        <is>
          <t>Cái 10C/H 50C/T</t>
        </is>
      </c>
    </row>
    <row r="506">
      <c r="A506" s="3" t="n">
        <v>505</v>
      </c>
      <c r="B506" s="3" t="n">
        <v>26</v>
      </c>
      <c r="C506" s="4" t="inlineStr">
        <is>
          <t>KBS-20*280 Ø20</t>
        </is>
      </c>
      <c r="D506" s="3" t="inlineStr">
        <is>
          <t>Cái</t>
        </is>
      </c>
      <c r="E506" s="5" t="n">
        <v>98000</v>
      </c>
      <c r="F506" s="5" t="n">
        <v>120000</v>
      </c>
      <c r="G506" s="6" t="n">
        <v>152000</v>
      </c>
      <c r="H506" s="4" t="inlineStr">
        <is>
          <t>Cái 10C/H 50C/T</t>
        </is>
      </c>
    </row>
    <row r="507">
      <c r="A507" s="3" t="n">
        <v>506</v>
      </c>
      <c r="B507" s="3" t="n">
        <v>26</v>
      </c>
      <c r="C507" s="4" t="inlineStr">
        <is>
          <t>KBS-22*280 Ø22</t>
        </is>
      </c>
      <c r="D507" s="3" t="inlineStr">
        <is>
          <t>Cái</t>
        </is>
      </c>
      <c r="E507" s="5" t="n">
        <v>111000</v>
      </c>
      <c r="F507" s="5" t="n">
        <v>135000</v>
      </c>
      <c r="G507" s="6" t="n">
        <v>172000</v>
      </c>
      <c r="H507" s="4" t="inlineStr">
        <is>
          <t>Cái 10C/H 50C/T</t>
        </is>
      </c>
    </row>
    <row r="508">
      <c r="A508" s="3" t="n">
        <v>507</v>
      </c>
      <c r="B508" s="3" t="n">
        <v>26</v>
      </c>
      <c r="C508" s="4" t="inlineStr">
        <is>
          <t>KBS-25*280 Ø25</t>
        </is>
      </c>
      <c r="D508" s="3" t="inlineStr">
        <is>
          <t>Cái</t>
        </is>
      </c>
      <c r="E508" s="5" t="n">
        <v>136000</v>
      </c>
      <c r="F508" s="5" t="n">
        <v>166000</v>
      </c>
      <c r="G508" s="6" t="n">
        <v>211000</v>
      </c>
      <c r="H508" s="4" t="inlineStr">
        <is>
          <t>Cái 10C/H 50C/T</t>
        </is>
      </c>
    </row>
    <row r="509">
      <c r="A509" s="3" t="n">
        <v>508</v>
      </c>
      <c r="B509" s="3" t="n">
        <v>27</v>
      </c>
      <c r="C509" s="4" t="inlineStr">
        <is>
          <t>KBVn-14*250 Ø14</t>
        </is>
      </c>
      <c r="D509" s="3" t="inlineStr">
        <is>
          <t>Cái</t>
        </is>
      </c>
      <c r="E509" s="5" t="n">
        <v>50000</v>
      </c>
      <c r="F509" s="5" t="n">
        <v>61000</v>
      </c>
      <c r="G509" s="6" t="n">
        <v>78000</v>
      </c>
      <c r="H509" s="4" t="inlineStr">
        <is>
          <t>Cái 10C/H Nhọn - Chuôi gài</t>
        </is>
      </c>
    </row>
    <row r="510">
      <c r="A510" s="3" t="n">
        <v>509</v>
      </c>
      <c r="B510" s="3" t="n">
        <v>27</v>
      </c>
      <c r="C510" s="4" t="inlineStr">
        <is>
          <t>KBVd-14*250*22 Ø14</t>
        </is>
      </c>
      <c r="D510" s="3" t="inlineStr">
        <is>
          <t>Cái</t>
        </is>
      </c>
      <c r="E510" s="5" t="n">
        <v>50000</v>
      </c>
      <c r="F510" s="5" t="n">
        <v>61000</v>
      </c>
      <c r="G510" s="6" t="n">
        <v>78000</v>
      </c>
      <c r="H510" s="4" t="inlineStr">
        <is>
          <t>Cái 10C/H Dẹp - Chuôi gài</t>
        </is>
      </c>
    </row>
    <row r="511">
      <c r="A511" s="3" t="n">
        <v>510</v>
      </c>
      <c r="B511" s="3" t="n">
        <v>27</v>
      </c>
      <c r="C511" s="4" t="inlineStr">
        <is>
          <t>KBVn-17*280 Ø17</t>
        </is>
      </c>
      <c r="D511" s="3" t="inlineStr">
        <is>
          <t>Cái</t>
        </is>
      </c>
      <c r="E511" s="5" t="n">
        <v>65000</v>
      </c>
      <c r="F511" s="5" t="n">
        <v>79000</v>
      </c>
      <c r="G511" s="6" t="n">
        <v>101000</v>
      </c>
      <c r="H511" s="4" t="inlineStr">
        <is>
          <t>Cái 10C/H Nhọn - Chuôi tròn</t>
        </is>
      </c>
    </row>
    <row r="512">
      <c r="A512" s="3" t="n">
        <v>511</v>
      </c>
      <c r="B512" s="3" t="n">
        <v>27</v>
      </c>
      <c r="C512" s="4" t="inlineStr">
        <is>
          <t>KBVd-17*280*25 Ø17</t>
        </is>
      </c>
      <c r="D512" s="3" t="inlineStr">
        <is>
          <t>Cái</t>
        </is>
      </c>
      <c r="E512" s="5" t="n">
        <v>65000</v>
      </c>
      <c r="F512" s="5" t="n">
        <v>79000</v>
      </c>
      <c r="G512" s="6" t="n">
        <v>101000</v>
      </c>
      <c r="H512" s="4" t="inlineStr">
        <is>
          <t>Cái 10C/H Dẹp - Chuôi tròn</t>
        </is>
      </c>
    </row>
    <row r="513">
      <c r="A513" s="3" t="n">
        <v>512</v>
      </c>
      <c r="B513" s="3" t="n">
        <v>27</v>
      </c>
      <c r="C513" s="4" t="inlineStr">
        <is>
          <t>KBVn-30*420 Ø30</t>
        </is>
      </c>
      <c r="D513" s="3" t="inlineStr">
        <is>
          <t>Cái</t>
        </is>
      </c>
      <c r="E513" s="5" t="n">
        <v>260000</v>
      </c>
      <c r="F513" s="5" t="n">
        <v>317000</v>
      </c>
      <c r="G513" s="6" t="n">
        <v>403000</v>
      </c>
      <c r="H513" s="4" t="inlineStr">
        <is>
          <t>Cái 5C/ H Nhọn - Chuôi tròn</t>
        </is>
      </c>
    </row>
    <row r="514">
      <c r="A514" s="3" t="n">
        <v>513</v>
      </c>
      <c r="B514" s="3" t="n">
        <v>27</v>
      </c>
      <c r="C514" s="4" t="inlineStr">
        <is>
          <t>KBVd-30*420*37 Ø30</t>
        </is>
      </c>
      <c r="D514" s="3" t="inlineStr">
        <is>
          <t>Cái</t>
        </is>
      </c>
      <c r="E514" s="5" t="n">
        <v>260000</v>
      </c>
      <c r="F514" s="5" t="n">
        <v>317000</v>
      </c>
      <c r="G514" s="6" t="n">
        <v>403000</v>
      </c>
      <c r="H514" s="4" t="inlineStr">
        <is>
          <t>Cái 5C/ H Dẹp - Chuôi tròn</t>
        </is>
      </c>
    </row>
    <row r="515">
      <c r="A515" s="3" t="n">
        <v>514</v>
      </c>
      <c r="B515" s="3" t="n">
        <v>27</v>
      </c>
      <c r="C515" s="4" t="inlineStr">
        <is>
          <t>KRL-96*350 Ø96*350</t>
        </is>
      </c>
      <c r="D515" s="3" t="inlineStr">
        <is>
          <t>Cái</t>
        </is>
      </c>
      <c r="E515" s="5" t="n">
        <v>527000</v>
      </c>
      <c r="F515" s="5" t="n">
        <v>633000</v>
      </c>
      <c r="G515" s="6" t="n">
        <v>791000</v>
      </c>
      <c r="H515" s="4" t="inlineStr">
        <is>
          <t>Cái 1C/H 10C/T Khoan nước</t>
        </is>
      </c>
    </row>
    <row r="516">
      <c r="A516" s="3" t="n">
        <v>515</v>
      </c>
      <c r="B516" s="3" t="n">
        <v>27</v>
      </c>
      <c r="C516" s="4" t="inlineStr">
        <is>
          <t>KRL-102*350 Ø102*350</t>
        </is>
      </c>
      <c r="D516" s="3" t="inlineStr">
        <is>
          <t>Cái</t>
        </is>
      </c>
      <c r="E516" s="5" t="n">
        <v>583000</v>
      </c>
      <c r="F516" s="5" t="n">
        <v>700000</v>
      </c>
      <c r="G516" s="6" t="n">
        <v>875000</v>
      </c>
      <c r="H516" s="4" t="inlineStr">
        <is>
          <t>Cái 1C/H 10C/T Khoan nước</t>
        </is>
      </c>
    </row>
    <row r="517">
      <c r="A517" s="3" t="n">
        <v>516</v>
      </c>
      <c r="B517" s="3" t="n">
        <v>27</v>
      </c>
      <c r="C517" s="4" t="inlineStr">
        <is>
          <t>KRL-114*350 Ø114*350</t>
        </is>
      </c>
      <c r="D517" s="3" t="inlineStr">
        <is>
          <t>Cái</t>
        </is>
      </c>
      <c r="E517" s="5" t="n">
        <v>629000</v>
      </c>
      <c r="F517" s="5" t="n">
        <v>755000</v>
      </c>
      <c r="G517" s="6" t="n">
        <v>944000</v>
      </c>
      <c r="H517" s="4" t="inlineStr">
        <is>
          <t>Cái 1C/H 10C/T Khoan nước</t>
        </is>
      </c>
    </row>
    <row r="518">
      <c r="A518" s="3" t="n">
        <v>517</v>
      </c>
      <c r="B518" s="3" t="n">
        <v>27</v>
      </c>
      <c r="C518" s="4" t="inlineStr">
        <is>
          <t>KRL-120*350 Ø120*350</t>
        </is>
      </c>
      <c r="D518" s="3" t="inlineStr">
        <is>
          <t>Cái</t>
        </is>
      </c>
      <c r="E518" s="5" t="n">
        <v>666000</v>
      </c>
      <c r="F518" s="5" t="n">
        <v>799000</v>
      </c>
      <c r="G518" s="6" t="n">
        <v>999000</v>
      </c>
      <c r="H518" s="4" t="inlineStr">
        <is>
          <t>Cái 1C/H 10C/T Khoan nước</t>
        </is>
      </c>
    </row>
    <row r="519">
      <c r="A519" s="3" t="n">
        <v>518</v>
      </c>
      <c r="B519" s="3" t="n">
        <v>27</v>
      </c>
      <c r="C519" s="4" t="inlineStr">
        <is>
          <t>KRL-127*350 Ø127*350</t>
        </is>
      </c>
      <c r="D519" s="3" t="inlineStr">
        <is>
          <t>Cái</t>
        </is>
      </c>
      <c r="E519" s="5" t="n">
        <v>693000</v>
      </c>
      <c r="F519" s="5" t="n">
        <v>832000</v>
      </c>
      <c r="G519" s="6" t="n">
        <v>1040000</v>
      </c>
      <c r="H519" s="4" t="inlineStr">
        <is>
          <t>Cái 1C/H 10C/T Khoan nước</t>
        </is>
      </c>
    </row>
    <row r="520">
      <c r="A520" s="3" t="n">
        <v>519</v>
      </c>
      <c r="B520" s="3" t="n">
        <v>27</v>
      </c>
      <c r="C520" s="4" t="inlineStr">
        <is>
          <t>KRL-132*350 Ø132*350</t>
        </is>
      </c>
      <c r="D520" s="3" t="inlineStr">
        <is>
          <t>Cái</t>
        </is>
      </c>
      <c r="E520" s="5" t="n">
        <v>718000</v>
      </c>
      <c r="F520" s="5" t="n">
        <v>862000</v>
      </c>
      <c r="G520" s="6" t="n">
        <v>1077000</v>
      </c>
      <c r="H520" s="4" t="inlineStr">
        <is>
          <t>Cái 1C/H 10C/T Khoan nước</t>
        </is>
      </c>
    </row>
    <row r="521">
      <c r="A521" s="3" t="n">
        <v>520</v>
      </c>
      <c r="B521" s="3" t="n">
        <v>27</v>
      </c>
      <c r="C521" s="4" t="inlineStr">
        <is>
          <t>KRL-140*350 Ø140*350</t>
        </is>
      </c>
      <c r="D521" s="3" t="inlineStr">
        <is>
          <t>Cái</t>
        </is>
      </c>
      <c r="E521" s="5" t="n">
        <v>783000</v>
      </c>
      <c r="F521" s="5" t="n">
        <v>940000</v>
      </c>
      <c r="G521" s="6" t="n">
        <v>1175000</v>
      </c>
      <c r="H521" s="4" t="inlineStr">
        <is>
          <t>Cái 1C/H 5C/T Khoan nước</t>
        </is>
      </c>
    </row>
    <row r="522">
      <c r="A522" s="3" t="n">
        <v>521</v>
      </c>
      <c r="B522" s="3" t="n">
        <v>27</v>
      </c>
      <c r="C522" s="4" t="inlineStr">
        <is>
          <t>KRL-152*350 Ø152*350</t>
        </is>
      </c>
      <c r="D522" s="3" t="inlineStr">
        <is>
          <t>Cái</t>
        </is>
      </c>
      <c r="E522" s="5" t="n">
        <v>834000</v>
      </c>
      <c r="F522" s="5" t="n">
        <v>1001000</v>
      </c>
      <c r="G522" s="6" t="n">
        <v>1251000</v>
      </c>
      <c r="H522" s="4" t="inlineStr">
        <is>
          <t>Cái 1C/H 5C/T Khoan nước</t>
        </is>
      </c>
    </row>
    <row r="523">
      <c r="A523" s="3" t="n">
        <v>522</v>
      </c>
      <c r="B523" s="3" t="n">
        <v>27</v>
      </c>
      <c r="C523" s="4" t="inlineStr">
        <is>
          <t>KRL-159*350 Ø159*350</t>
        </is>
      </c>
      <c r="D523" s="3" t="inlineStr">
        <is>
          <t>Cái</t>
        </is>
      </c>
      <c r="E523" s="5" t="n">
        <v>859000</v>
      </c>
      <c r="F523" s="5" t="n">
        <v>1031000</v>
      </c>
      <c r="G523" s="6" t="n">
        <v>1289000</v>
      </c>
      <c r="H523" s="4" t="inlineStr">
        <is>
          <t>Cái 1C/H 6C/T Khoan nước</t>
        </is>
      </c>
    </row>
    <row r="524">
      <c r="A524" s="3" t="n">
        <v>523</v>
      </c>
      <c r="B524" s="3" t="n">
        <v>27</v>
      </c>
      <c r="C524" s="4" t="inlineStr">
        <is>
          <t>KRL-168*350 Ø168*350</t>
        </is>
      </c>
      <c r="D524" s="3" t="inlineStr">
        <is>
          <t>Cái</t>
        </is>
      </c>
      <c r="E524" s="5" t="n">
        <v>1052000</v>
      </c>
      <c r="F524" s="5" t="n">
        <v>1262000</v>
      </c>
      <c r="G524" s="6" t="n">
        <v>1578000</v>
      </c>
      <c r="H524" s="4" t="inlineStr">
        <is>
          <t>Cái 1C/H 6C/T Khoan nước</t>
        </is>
      </c>
    </row>
    <row r="525">
      <c r="A525" s="3" t="n">
        <v>524</v>
      </c>
      <c r="B525" s="3" t="n">
        <v>27</v>
      </c>
      <c r="C525" s="4" t="inlineStr">
        <is>
          <t>KRL-180*350 Ø180*350</t>
        </is>
      </c>
      <c r="D525" s="3" t="inlineStr">
        <is>
          <t>Cái</t>
        </is>
      </c>
      <c r="E525" s="5" t="n">
        <v>1180000</v>
      </c>
      <c r="F525" s="5" t="n">
        <v>1416000</v>
      </c>
      <c r="G525" s="6" t="n">
        <v>1770000</v>
      </c>
      <c r="H525" s="4" t="inlineStr">
        <is>
          <t>Cái 1C/H 5C/T Khoan nước</t>
        </is>
      </c>
    </row>
    <row r="526">
      <c r="A526" s="3" t="n">
        <v>525</v>
      </c>
      <c r="B526" s="3" t="n">
        <v>27</v>
      </c>
      <c r="C526" s="4" t="inlineStr">
        <is>
          <t>KRL-200*350 Ø200*350</t>
        </is>
      </c>
      <c r="D526" s="3" t="inlineStr">
        <is>
          <t>Cái</t>
        </is>
      </c>
      <c r="E526" s="5" t="n">
        <v>1346000</v>
      </c>
      <c r="F526" s="5" t="n">
        <v>1615000</v>
      </c>
      <c r="G526" s="6" t="n">
        <v>2019000</v>
      </c>
      <c r="H526" s="4" t="inlineStr">
        <is>
          <t>Cái 1C/H 4C/T Khoan nước</t>
        </is>
      </c>
    </row>
    <row r="527">
      <c r="A527" s="3" t="n">
        <v>526</v>
      </c>
      <c r="B527" s="3" t="n">
        <v>27</v>
      </c>
      <c r="C527" s="4" t="inlineStr">
        <is>
          <t>KRL-254*350 Ø254*350</t>
        </is>
      </c>
      <c r="D527" s="3" t="inlineStr">
        <is>
          <t>Cái</t>
        </is>
      </c>
      <c r="E527" s="5" t="n">
        <v>2373000</v>
      </c>
      <c r="F527" s="5" t="n">
        <v>2848000</v>
      </c>
      <c r="G527" s="6" t="n">
        <v>3560000</v>
      </c>
      <c r="H527" s="4" t="inlineStr">
        <is>
          <t>Cái 1C/H 2C/T Khoan nước</t>
        </is>
      </c>
    </row>
    <row r="528">
      <c r="A528" s="3" t="n">
        <v>527</v>
      </c>
      <c r="B528" s="3" t="n">
        <v>27</v>
      </c>
      <c r="C528" s="4" t="inlineStr">
        <is>
          <t>KRL-300*350 Ø300*350</t>
        </is>
      </c>
      <c r="D528" s="3" t="inlineStr">
        <is>
          <t>Cái</t>
        </is>
      </c>
      <c r="E528" s="5" t="n">
        <v>2758000</v>
      </c>
      <c r="F528" s="5" t="n">
        <v>3310000</v>
      </c>
      <c r="G528" s="6" t="n">
        <v>4137000</v>
      </c>
      <c r="H528" s="4" t="inlineStr">
        <is>
          <t>Cái 1C/H 1C/T Khoan nước</t>
        </is>
      </c>
    </row>
    <row r="529">
      <c r="A529" s="3" t="n">
        <v>528</v>
      </c>
      <c r="B529" s="3" t="n">
        <v>27</v>
      </c>
      <c r="C529" s="4" t="inlineStr">
        <is>
          <t>KRL-22*370 Ø22*370</t>
        </is>
      </c>
      <c r="D529" s="3" t="inlineStr">
        <is>
          <t>Cái</t>
        </is>
      </c>
      <c r="E529" s="5" t="n">
        <v>161000</v>
      </c>
      <c r="F529" s="5" t="n">
        <v>193000</v>
      </c>
      <c r="G529" s="6" t="n">
        <v>242000</v>
      </c>
      <c r="H529" s="4" t="inlineStr">
        <is>
          <t>Cái 1C/H 50C/T Khoan nước</t>
        </is>
      </c>
    </row>
    <row r="530">
      <c r="A530" s="3" t="n">
        <v>529</v>
      </c>
      <c r="B530" s="3" t="n">
        <v>27</v>
      </c>
      <c r="C530" s="4" t="inlineStr">
        <is>
          <t>KRL-25*370 Ø25*370</t>
        </is>
      </c>
      <c r="D530" s="3" t="inlineStr">
        <is>
          <t>Cái</t>
        </is>
      </c>
      <c r="E530" s="5" t="n">
        <v>179000</v>
      </c>
      <c r="F530" s="5" t="n">
        <v>215000</v>
      </c>
      <c r="G530" s="6" t="n">
        <v>269000</v>
      </c>
      <c r="H530" s="4" t="inlineStr">
        <is>
          <t>Cái 1C/H 40C/T Khoan nước</t>
        </is>
      </c>
    </row>
    <row r="531">
      <c r="A531" s="3" t="n">
        <v>530</v>
      </c>
      <c r="B531" s="3" t="n">
        <v>27</v>
      </c>
      <c r="C531" s="4" t="inlineStr">
        <is>
          <t>KRL-27*370 Ø27*370</t>
        </is>
      </c>
      <c r="D531" s="3" t="inlineStr">
        <is>
          <t>Cái</t>
        </is>
      </c>
      <c r="E531" s="5" t="n">
        <v>186000</v>
      </c>
      <c r="F531" s="5" t="n">
        <v>223000</v>
      </c>
      <c r="G531" s="6" t="n">
        <v>279000</v>
      </c>
      <c r="H531" s="4" t="inlineStr">
        <is>
          <t>Cái 1C/H 40C/T Khoan nước</t>
        </is>
      </c>
    </row>
    <row r="532">
      <c r="A532" s="3" t="n">
        <v>531</v>
      </c>
      <c r="B532" s="3" t="n">
        <v>27</v>
      </c>
      <c r="C532" s="4" t="inlineStr">
        <is>
          <t>KRL-32*370 Ø32*370</t>
        </is>
      </c>
      <c r="D532" s="3" t="inlineStr">
        <is>
          <t>Cái</t>
        </is>
      </c>
      <c r="E532" s="5" t="n">
        <v>206000</v>
      </c>
      <c r="F532" s="5" t="n">
        <v>247000</v>
      </c>
      <c r="G532" s="6" t="n">
        <v>309000</v>
      </c>
      <c r="H532" s="4" t="inlineStr">
        <is>
          <t>Cái 1C/H 40C/T Khoan nước</t>
        </is>
      </c>
    </row>
    <row r="533">
      <c r="A533" s="3" t="n">
        <v>532</v>
      </c>
      <c r="B533" s="3" t="n">
        <v>27</v>
      </c>
      <c r="C533" s="4" t="inlineStr">
        <is>
          <t>KRL-36*370 Ø36*370</t>
        </is>
      </c>
      <c r="D533" s="3" t="inlineStr">
        <is>
          <t>Cái</t>
        </is>
      </c>
      <c r="E533" s="5" t="n">
        <v>231000</v>
      </c>
      <c r="F533" s="5" t="n">
        <v>277000</v>
      </c>
      <c r="G533" s="6" t="n">
        <v>347000</v>
      </c>
      <c r="H533" s="4" t="inlineStr">
        <is>
          <t>Cái 1C/H 40C/T Khoan nước</t>
        </is>
      </c>
    </row>
    <row r="534">
      <c r="A534" s="3" t="n">
        <v>533</v>
      </c>
      <c r="B534" s="3" t="n">
        <v>27</v>
      </c>
      <c r="C534" s="4" t="inlineStr">
        <is>
          <t>KRL-40*370 Ø40*370</t>
        </is>
      </c>
      <c r="D534" s="3" t="inlineStr">
        <is>
          <t>Cái</t>
        </is>
      </c>
      <c r="E534" s="5" t="n">
        <v>251000</v>
      </c>
      <c r="F534" s="5" t="n">
        <v>301000</v>
      </c>
      <c r="G534" s="6" t="n">
        <v>377000</v>
      </c>
      <c r="H534" s="4" t="inlineStr">
        <is>
          <t>Cái 1C/H 40C/T Khoan nước</t>
        </is>
      </c>
    </row>
    <row r="535">
      <c r="A535" s="3" t="n">
        <v>534</v>
      </c>
      <c r="B535" s="3" t="n">
        <v>27</v>
      </c>
      <c r="C535" s="4" t="inlineStr">
        <is>
          <t>KRL-44*370 Ø44*370</t>
        </is>
      </c>
      <c r="D535" s="3" t="inlineStr">
        <is>
          <t>Cái</t>
        </is>
      </c>
      <c r="E535" s="5" t="n">
        <v>270000</v>
      </c>
      <c r="F535" s="5" t="n">
        <v>324000</v>
      </c>
      <c r="G535" s="6" t="n">
        <v>405000</v>
      </c>
      <c r="H535" s="4" t="inlineStr">
        <is>
          <t>Cái 1C/H 30C/T Khoan nước</t>
        </is>
      </c>
    </row>
    <row r="536">
      <c r="A536" s="3" t="n">
        <v>535</v>
      </c>
      <c r="B536" s="3" t="n">
        <v>27</v>
      </c>
      <c r="C536" s="4" t="inlineStr">
        <is>
          <t>KRL-51*370 Ø51*370</t>
        </is>
      </c>
      <c r="D536" s="3" t="inlineStr">
        <is>
          <t>Cái</t>
        </is>
      </c>
      <c r="E536" s="5" t="n">
        <v>282000</v>
      </c>
      <c r="F536" s="5" t="n">
        <v>338000</v>
      </c>
      <c r="G536" s="6" t="n">
        <v>423000</v>
      </c>
      <c r="H536" s="4" t="inlineStr">
        <is>
          <t>Cái 1C/H 30C/T Khoan nước</t>
        </is>
      </c>
    </row>
    <row r="537">
      <c r="A537" s="3" t="n">
        <v>536</v>
      </c>
      <c r="B537" s="3" t="n">
        <v>27</v>
      </c>
      <c r="C537" s="4" t="inlineStr">
        <is>
          <t>KRL-56*370 Ø56*370</t>
        </is>
      </c>
      <c r="D537" s="3" t="inlineStr">
        <is>
          <t>Cái</t>
        </is>
      </c>
      <c r="E537" s="5" t="n">
        <v>295000</v>
      </c>
      <c r="F537" s="5" t="n">
        <v>354000</v>
      </c>
      <c r="G537" s="6" t="n">
        <v>443000</v>
      </c>
      <c r="H537" s="4" t="inlineStr">
        <is>
          <t>Cái 1C/H 30C/T Khoan nước</t>
        </is>
      </c>
    </row>
    <row r="538">
      <c r="A538" s="3" t="n">
        <v>537</v>
      </c>
      <c r="B538" s="3" t="n">
        <v>27</v>
      </c>
      <c r="C538" s="4" t="inlineStr">
        <is>
          <t>KRL-63*370 Ø63*370</t>
        </is>
      </c>
      <c r="D538" s="3" t="inlineStr">
        <is>
          <t>Cái</t>
        </is>
      </c>
      <c r="E538" s="5" t="n">
        <v>307000</v>
      </c>
      <c r="F538" s="5" t="n">
        <v>369000</v>
      </c>
      <c r="G538" s="6" t="n">
        <v>461000</v>
      </c>
      <c r="H538" s="4" t="inlineStr">
        <is>
          <t>Cái 1C/H 28C/T Khoan nước</t>
        </is>
      </c>
    </row>
    <row r="539">
      <c r="A539" s="3" t="n">
        <v>538</v>
      </c>
      <c r="B539" s="3" t="n">
        <v>27</v>
      </c>
      <c r="C539" s="4" t="inlineStr">
        <is>
          <t>KRL-76*370 Ø76*370</t>
        </is>
      </c>
      <c r="D539" s="3" t="inlineStr">
        <is>
          <t>Cái</t>
        </is>
      </c>
      <c r="E539" s="5" t="n">
        <v>391000</v>
      </c>
      <c r="F539" s="5" t="n">
        <v>469000</v>
      </c>
      <c r="G539" s="6" t="n">
        <v>587000</v>
      </c>
      <c r="H539" s="4" t="inlineStr">
        <is>
          <t>Cái 1C/H 18C/T Khoan nước</t>
        </is>
      </c>
    </row>
    <row r="540">
      <c r="A540" s="3" t="n">
        <v>539</v>
      </c>
      <c r="B540" s="3" t="n">
        <v>27</v>
      </c>
      <c r="C540" s="4" t="inlineStr">
        <is>
          <t>KRL-83*370 Ø83*370</t>
        </is>
      </c>
      <c r="D540" s="3" t="inlineStr">
        <is>
          <t>Cái</t>
        </is>
      </c>
      <c r="E540" s="5" t="n">
        <v>436000</v>
      </c>
      <c r="F540" s="5" t="n">
        <v>523000</v>
      </c>
      <c r="G540" s="6" t="n">
        <v>654000</v>
      </c>
      <c r="H540" s="4" t="inlineStr">
        <is>
          <t>Cái 1C/H 15C/T Khoan nước</t>
        </is>
      </c>
    </row>
    <row r="541">
      <c r="A541" s="3" t="n">
        <v>540</v>
      </c>
      <c r="B541" s="3" t="n">
        <v>27</v>
      </c>
      <c r="C541" s="4" t="inlineStr">
        <is>
          <t>KRL-89*370 Ø89*370</t>
        </is>
      </c>
      <c r="D541" s="3" t="inlineStr">
        <is>
          <t>Cái</t>
        </is>
      </c>
      <c r="E541" s="5" t="n">
        <v>474000</v>
      </c>
      <c r="F541" s="5" t="n">
        <v>569000</v>
      </c>
      <c r="G541" s="6" t="n">
        <v>711000</v>
      </c>
      <c r="H541" s="4" t="inlineStr">
        <is>
          <t>Cái 1C/H 10C/T Khoan nước</t>
        </is>
      </c>
    </row>
    <row r="542">
      <c r="A542" s="3" t="n">
        <v>541</v>
      </c>
      <c r="B542" s="3" t="n">
        <v>27</v>
      </c>
      <c r="C542" s="4" t="inlineStr">
        <is>
          <t>KRLK-27*370 Ø27*370</t>
        </is>
      </c>
      <c r="D542" s="3" t="inlineStr">
        <is>
          <t>Cái</t>
        </is>
      </c>
      <c r="E542" s="5" t="n">
        <v>145000</v>
      </c>
      <c r="F542" s="5" t="n">
        <v>174000</v>
      </c>
      <c r="G542" s="6" t="n">
        <v>218000</v>
      </c>
      <c r="H542" s="4" t="inlineStr">
        <is>
          <t>Cái 1C/H 50C/T Khoan nước + Khô</t>
        </is>
      </c>
    </row>
    <row r="543">
      <c r="A543" s="3" t="n">
        <v>542</v>
      </c>
      <c r="B543" s="3" t="n">
        <v>27</v>
      </c>
      <c r="C543" s="4" t="inlineStr">
        <is>
          <t>KRLK-32*370 Ø32*370</t>
        </is>
      </c>
      <c r="D543" s="3" t="inlineStr">
        <is>
          <t>Cái</t>
        </is>
      </c>
      <c r="E543" s="5" t="n">
        <v>154000</v>
      </c>
      <c r="F543" s="5" t="n">
        <v>185000</v>
      </c>
      <c r="G543" s="6" t="n">
        <v>231000</v>
      </c>
      <c r="H543" s="4" t="inlineStr">
        <is>
          <t>Cái 1C/H 50C/T Khoan nước + Khô</t>
        </is>
      </c>
    </row>
    <row r="544">
      <c r="A544" s="3" t="n">
        <v>543</v>
      </c>
      <c r="B544" s="3" t="n">
        <v>27</v>
      </c>
      <c r="C544" s="4" t="inlineStr">
        <is>
          <t>KRLK-36*370 Ø36*370</t>
        </is>
      </c>
      <c r="D544" s="3" t="inlineStr">
        <is>
          <t>Cái</t>
        </is>
      </c>
      <c r="E544" s="5" t="n">
        <v>173000</v>
      </c>
      <c r="F544" s="5" t="n">
        <v>208000</v>
      </c>
      <c r="G544" s="6" t="n">
        <v>260000</v>
      </c>
      <c r="H544" s="4" t="inlineStr">
        <is>
          <t>Cái 1C/H 40C/T Khoan nước + Khô</t>
        </is>
      </c>
    </row>
    <row r="545">
      <c r="A545" s="3" t="n">
        <v>544</v>
      </c>
      <c r="B545" s="3" t="n">
        <v>27</v>
      </c>
      <c r="C545" s="4" t="inlineStr">
        <is>
          <t>KRLK-40*370 Ø40*370</t>
        </is>
      </c>
      <c r="D545" s="3" t="inlineStr">
        <is>
          <t>Cái</t>
        </is>
      </c>
      <c r="E545" s="5" t="n">
        <v>193000</v>
      </c>
      <c r="F545" s="5" t="n">
        <v>232000</v>
      </c>
      <c r="G545" s="6" t="n">
        <v>290000</v>
      </c>
      <c r="H545" s="4" t="inlineStr">
        <is>
          <t>Cái 1C/H 40C/T Khoan nước + Khô</t>
        </is>
      </c>
    </row>
    <row r="546">
      <c r="A546" s="3" t="n">
        <v>545</v>
      </c>
      <c r="B546" s="3" t="n">
        <v>27</v>
      </c>
      <c r="C546" s="4" t="inlineStr">
        <is>
          <t>KRLK-44*370 Ø44*370</t>
        </is>
      </c>
      <c r="D546" s="3" t="inlineStr">
        <is>
          <t>Cái</t>
        </is>
      </c>
      <c r="E546" s="5" t="n">
        <v>212000</v>
      </c>
      <c r="F546" s="5" t="n">
        <v>254000</v>
      </c>
      <c r="G546" s="6" t="n">
        <v>318000</v>
      </c>
      <c r="H546" s="4" t="inlineStr">
        <is>
          <t>Cái 1C/H 30C/T Khoan nước + Khô</t>
        </is>
      </c>
    </row>
    <row r="547">
      <c r="A547" s="3" t="n">
        <v>546</v>
      </c>
      <c r="B547" s="3" t="n">
        <v>27</v>
      </c>
      <c r="C547" s="4" t="inlineStr">
        <is>
          <t>KRLK-51*370 Ø51*370</t>
        </is>
      </c>
      <c r="D547" s="3" t="inlineStr">
        <is>
          <t>Cái</t>
        </is>
      </c>
      <c r="E547" s="5" t="n">
        <v>231000</v>
      </c>
      <c r="F547" s="5" t="n">
        <v>277000</v>
      </c>
      <c r="G547" s="6" t="n">
        <v>347000</v>
      </c>
      <c r="H547" s="4" t="inlineStr">
        <is>
          <t>Cái 1C/H 30C/T Khoan nước + Khô</t>
        </is>
      </c>
    </row>
    <row r="548">
      <c r="A548" s="3" t="n">
        <v>547</v>
      </c>
      <c r="B548" s="3" t="n">
        <v>27</v>
      </c>
      <c r="C548" s="4" t="inlineStr">
        <is>
          <t>KRLK-56*370 Ø56*370</t>
        </is>
      </c>
      <c r="D548" s="3" t="inlineStr">
        <is>
          <t>Cái</t>
        </is>
      </c>
      <c r="E548" s="5" t="n">
        <v>244000</v>
      </c>
      <c r="F548" s="5" t="n">
        <v>293000</v>
      </c>
      <c r="G548" s="6" t="n">
        <v>366000</v>
      </c>
      <c r="H548" s="4" t="inlineStr">
        <is>
          <t>Cái 1C/H 30C/T Khoan nước + Khô</t>
        </is>
      </c>
    </row>
    <row r="549">
      <c r="A549" s="3" t="n">
        <v>548</v>
      </c>
      <c r="B549" s="3" t="n">
        <v>27</v>
      </c>
      <c r="C549" s="4" t="inlineStr">
        <is>
          <t>KRLK-63*370 Ø63*370</t>
        </is>
      </c>
      <c r="D549" s="3" t="inlineStr">
        <is>
          <t>Cái</t>
        </is>
      </c>
      <c r="E549" s="5" t="n">
        <v>282000</v>
      </c>
      <c r="F549" s="5" t="n">
        <v>338000</v>
      </c>
      <c r="G549" s="6" t="n">
        <v>423000</v>
      </c>
      <c r="H549" s="4" t="inlineStr">
        <is>
          <t>Cái 1C/H 28C/T Khoan nước + Khô</t>
        </is>
      </c>
    </row>
    <row r="550">
      <c r="A550" s="3" t="n">
        <v>549</v>
      </c>
      <c r="B550" s="3" t="n">
        <v>27</v>
      </c>
      <c r="C550" s="4" t="inlineStr">
        <is>
          <t>Khoan rút lõi bê tông khô KRLK-63*250 Ø63*250</t>
        </is>
      </c>
      <c r="D550" s="3" t="inlineStr">
        <is>
          <t>Cái</t>
        </is>
      </c>
      <c r="E550" s="5" t="n">
        <v>303000</v>
      </c>
      <c r="F550" s="5" t="n">
        <v>364000</v>
      </c>
      <c r="G550" s="6" t="n">
        <v>455000</v>
      </c>
      <c r="H550" s="4" t="inlineStr">
        <is>
          <t>Cái 1C/H 48C/T Khoan rút lõi Khô</t>
        </is>
      </c>
    </row>
    <row r="551">
      <c r="A551" s="3" t="n">
        <v>550</v>
      </c>
      <c r="B551" s="3" t="n">
        <v>28</v>
      </c>
      <c r="C551" s="4" t="inlineStr">
        <is>
          <t>Mũi khoan rút lõi KRS-55 New KRS-55*155 (New) Ø55*155</t>
        </is>
      </c>
      <c r="D551" s="3" t="inlineStr">
        <is>
          <t>Cái</t>
        </is>
      </c>
      <c r="E551" s="5" t="n">
        <v>1190000</v>
      </c>
      <c r="F551" s="5" t="n">
        <v>1380000</v>
      </c>
      <c r="G551" s="6" t="n">
        <v>1666000</v>
      </c>
      <c r="H551" s="4" t="inlineStr">
        <is>
          <t>Cái 1C/H 20C/T</t>
        </is>
      </c>
    </row>
    <row r="552">
      <c r="A552" s="3" t="n">
        <v>551</v>
      </c>
      <c r="B552" s="3" t="n">
        <v>28</v>
      </c>
      <c r="C552" s="4" t="inlineStr">
        <is>
          <t>Mũi khoan rút lõi KRS-60 New KRS-60*155 (New) Ø60*155</t>
        </is>
      </c>
      <c r="D552" s="3" t="inlineStr">
        <is>
          <t>Cái</t>
        </is>
      </c>
      <c r="E552" s="5" t="n">
        <v>1290000</v>
      </c>
      <c r="F552" s="5" t="n">
        <v>1496000</v>
      </c>
      <c r="G552" s="6" t="n">
        <v>1806000</v>
      </c>
      <c r="H552" s="4" t="inlineStr">
        <is>
          <t>Cái 1C/H 20C/T</t>
        </is>
      </c>
    </row>
    <row r="553">
      <c r="A553" s="3" t="n">
        <v>552</v>
      </c>
      <c r="B553" s="3" t="n">
        <v>28</v>
      </c>
      <c r="C553" s="4" t="inlineStr">
        <is>
          <t>Mũi khoan rút lõi KRS-63 New KRS-63*155 Ø63*155</t>
        </is>
      </c>
      <c r="D553" s="3" t="inlineStr">
        <is>
          <t>Cái</t>
        </is>
      </c>
      <c r="E553" s="5" t="n">
        <v>1350000</v>
      </c>
      <c r="F553" s="5" t="n">
        <v>1566000</v>
      </c>
      <c r="G553" s="6" t="n">
        <v>1890000</v>
      </c>
      <c r="H553" s="4" t="inlineStr">
        <is>
          <t>Cái 1C/H 20c/T</t>
        </is>
      </c>
    </row>
    <row r="554">
      <c r="A554" s="3" t="n">
        <v>553</v>
      </c>
      <c r="B554" s="3" t="n">
        <v>28</v>
      </c>
      <c r="C554" s="4" t="inlineStr">
        <is>
          <t>SDST-M22</t>
        </is>
      </c>
      <c r="D554" s="3" t="inlineStr">
        <is>
          <t>Cái</t>
        </is>
      </c>
      <c r="E554" s="5" t="n">
        <v>24000</v>
      </c>
      <c r="F554" s="5" t="n">
        <v>30000</v>
      </c>
      <c r="G554" s="6" t="n">
        <v>38000</v>
      </c>
      <c r="H554" s="4" t="inlineStr">
        <is>
          <t>Cái 1C/H 200C/T Đầu gài</t>
        </is>
      </c>
    </row>
    <row r="555">
      <c r="A555" s="3" t="n">
        <v>554</v>
      </c>
      <c r="B555" s="3" t="n">
        <v>28</v>
      </c>
      <c r="C555" s="4" t="inlineStr">
        <is>
          <t>Chuôi khoan rút lõi lục giác SDSV SDSV</t>
        </is>
      </c>
      <c r="D555" s="3" t="inlineStr">
        <is>
          <t>Cái</t>
        </is>
      </c>
      <c r="E555" s="5" t="n">
        <v>24000</v>
      </c>
      <c r="F555" s="5" t="n">
        <v>30000</v>
      </c>
      <c r="G555" s="6" t="n">
        <v>38000</v>
      </c>
      <c r="H555" s="4" t="inlineStr">
        <is>
          <t>Cái 1C/H 200C/T Đầu vuông</t>
        </is>
      </c>
    </row>
    <row r="556">
      <c r="A556" s="3" t="n">
        <v>555</v>
      </c>
      <c r="B556" s="3" t="n">
        <v>28</v>
      </c>
      <c r="C556" s="4" t="inlineStr">
        <is>
          <t>Chuôi khoan rút lõi lục giác LGST LGST</t>
        </is>
      </c>
      <c r="D556" s="3" t="inlineStr">
        <is>
          <t>Cái</t>
        </is>
      </c>
      <c r="E556" s="5" t="n">
        <v>24000</v>
      </c>
      <c r="F556" s="5" t="n">
        <v>30000</v>
      </c>
      <c r="G556" s="6" t="n">
        <v>38000</v>
      </c>
      <c r="H556" s="4" t="inlineStr">
        <is>
          <t>Cái 1C/H 200C/T Đầu lục giác</t>
        </is>
      </c>
    </row>
    <row r="557">
      <c r="A557" s="3" t="n">
        <v>556</v>
      </c>
      <c r="B557" s="3" t="n">
        <v>28</v>
      </c>
      <c r="C557" s="4" t="inlineStr">
        <is>
          <t>Chuôi khoan rút lõi lục giác DLG-M22 DLG-M22</t>
        </is>
      </c>
      <c r="D557" s="3" t="inlineStr">
        <is>
          <t>Cái</t>
        </is>
      </c>
      <c r="E557" s="5" t="n">
        <v>24000</v>
      </c>
      <c r="F557" s="5" t="n">
        <v>30000</v>
      </c>
      <c r="G557" s="6" t="n">
        <v>38000</v>
      </c>
      <c r="H557" s="4" t="inlineStr">
        <is>
          <t>Cái 1C/H 200C/T Đầu lục giác</t>
        </is>
      </c>
    </row>
    <row r="558">
      <c r="A558" s="3" t="n">
        <v>557</v>
      </c>
      <c r="B558" s="3" t="n">
        <v>29</v>
      </c>
      <c r="C558" s="4" t="inlineStr">
        <is>
          <t>KBX-25 Ø25*78.5</t>
        </is>
      </c>
      <c r="D558" s="3" t="inlineStr">
        <is>
          <t>Cái</t>
        </is>
      </c>
      <c r="E558" s="5" t="n">
        <v>34000</v>
      </c>
      <c r="F558" s="5" t="n">
        <v>40000</v>
      </c>
      <c r="G558" s="6" t="n">
        <v>49000</v>
      </c>
      <c r="H558" s="4" t="inlineStr">
        <is>
          <t>Cái</t>
        </is>
      </c>
    </row>
    <row r="559">
      <c r="A559" s="3" t="n">
        <v>558</v>
      </c>
      <c r="B559" s="3" t="n">
        <v>29</v>
      </c>
      <c r="C559" s="4" t="inlineStr">
        <is>
          <t>KBX-28 Ø28*78.5</t>
        </is>
      </c>
      <c r="D559" s="3" t="inlineStr">
        <is>
          <t>Cái</t>
        </is>
      </c>
      <c r="E559" s="5" t="n">
        <v>38000</v>
      </c>
      <c r="F559" s="5" t="n">
        <v>45000</v>
      </c>
      <c r="G559" s="6" t="n">
        <v>55000</v>
      </c>
      <c r="H559" s="4" t="inlineStr">
        <is>
          <t>Cái</t>
        </is>
      </c>
    </row>
    <row r="560">
      <c r="A560" s="3" t="n">
        <v>559</v>
      </c>
      <c r="B560" s="3" t="n">
        <v>29</v>
      </c>
      <c r="C560" s="4" t="inlineStr">
        <is>
          <t>KBX-30 Ø30*78.5</t>
        </is>
      </c>
      <c r="D560" s="3" t="inlineStr">
        <is>
          <t>Cái</t>
        </is>
      </c>
      <c r="E560" s="5" t="n">
        <v>40000</v>
      </c>
      <c r="F560" s="5" t="n">
        <v>47000</v>
      </c>
      <c r="G560" s="6" t="n">
        <v>58000</v>
      </c>
      <c r="H560" s="4" t="inlineStr">
        <is>
          <t>Cái</t>
        </is>
      </c>
    </row>
    <row r="561">
      <c r="A561" s="3" t="n">
        <v>560</v>
      </c>
      <c r="B561" s="3" t="n">
        <v>29</v>
      </c>
      <c r="C561" s="4" t="inlineStr">
        <is>
          <t>KBX-45 Ø45*80</t>
        </is>
      </c>
      <c r="D561" s="3" t="inlineStr">
        <is>
          <t>Cái</t>
        </is>
      </c>
      <c r="E561" s="5" t="n">
        <v>60000</v>
      </c>
      <c r="F561" s="5" t="n">
        <v>71000</v>
      </c>
      <c r="G561" s="6" t="n">
        <v>87000</v>
      </c>
      <c r="H561" s="4" t="inlineStr">
        <is>
          <t>Cái</t>
        </is>
      </c>
    </row>
    <row r="562">
      <c r="A562" s="3" t="n">
        <v>561</v>
      </c>
      <c r="B562" s="3" t="n">
        <v>29</v>
      </c>
      <c r="C562" s="4" t="inlineStr">
        <is>
          <t>KBX-55 Ø55*80</t>
        </is>
      </c>
      <c r="D562" s="3" t="inlineStr">
        <is>
          <t>Cái</t>
        </is>
      </c>
      <c r="E562" s="5" t="n">
        <v>74000</v>
      </c>
      <c r="F562" s="5" t="n">
        <v>87000</v>
      </c>
      <c r="G562" s="6" t="n">
        <v>107000</v>
      </c>
      <c r="H562" s="4" t="inlineStr">
        <is>
          <t>Cái</t>
        </is>
      </c>
    </row>
    <row r="563">
      <c r="A563" s="3" t="n">
        <v>562</v>
      </c>
      <c r="B563" s="3" t="n">
        <v>29</v>
      </c>
      <c r="C563" s="4" t="inlineStr">
        <is>
          <t>KBX-20 NEW Ø20*78.5</t>
        </is>
      </c>
      <c r="D563" s="3" t="inlineStr">
        <is>
          <t>Cái</t>
        </is>
      </c>
      <c r="E563" s="5" t="n">
        <v>22000</v>
      </c>
      <c r="F563" s="5" t="n">
        <v>26000</v>
      </c>
      <c r="G563" s="6" t="n">
        <v>32000</v>
      </c>
      <c r="H563" s="4" t="inlineStr">
        <is>
          <t>Cái</t>
        </is>
      </c>
    </row>
    <row r="564">
      <c r="A564" s="3" t="n">
        <v>563</v>
      </c>
      <c r="B564" s="3" t="n">
        <v>29</v>
      </c>
      <c r="C564" s="4" t="inlineStr">
        <is>
          <t>KBX-22 NEW Ø22*78.5</t>
        </is>
      </c>
      <c r="D564" s="3" t="inlineStr">
        <is>
          <t>Cái</t>
        </is>
      </c>
      <c r="E564" s="5" t="n">
        <v>24000</v>
      </c>
      <c r="F564" s="5" t="n">
        <v>28000</v>
      </c>
      <c r="G564" s="6" t="n">
        <v>35000</v>
      </c>
      <c r="H564" s="4" t="inlineStr">
        <is>
          <t>Cái</t>
        </is>
      </c>
    </row>
    <row r="565">
      <c r="A565" s="3" t="n">
        <v>564</v>
      </c>
      <c r="B565" s="3" t="n">
        <v>29</v>
      </c>
      <c r="C565" s="4" t="inlineStr">
        <is>
          <t>KBX-25 NEW Ø25*78.5</t>
        </is>
      </c>
      <c r="D565" s="3" t="inlineStr">
        <is>
          <t>Cái</t>
        </is>
      </c>
      <c r="E565" s="5" t="n">
        <v>27000</v>
      </c>
      <c r="F565" s="5" t="n">
        <v>32000</v>
      </c>
      <c r="G565" s="6" t="n">
        <v>39000</v>
      </c>
      <c r="H565" s="4" t="inlineStr">
        <is>
          <t>Cái</t>
        </is>
      </c>
    </row>
    <row r="566">
      <c r="A566" s="3" t="n">
        <v>565</v>
      </c>
      <c r="B566" s="3" t="n">
        <v>29</v>
      </c>
      <c r="C566" s="4" t="inlineStr">
        <is>
          <t>KBX-28 NEW Ø28*78.5</t>
        </is>
      </c>
      <c r="D566" s="3" t="inlineStr">
        <is>
          <t>Cái</t>
        </is>
      </c>
      <c r="E566" s="5" t="n">
        <v>30000</v>
      </c>
      <c r="F566" s="5" t="n">
        <v>36000</v>
      </c>
      <c r="G566" s="6" t="n">
        <v>44000</v>
      </c>
      <c r="H566" s="4" t="inlineStr">
        <is>
          <t>Cái</t>
        </is>
      </c>
    </row>
    <row r="567">
      <c r="A567" s="3" t="n">
        <v>566</v>
      </c>
      <c r="B567" s="3" t="n">
        <v>29</v>
      </c>
      <c r="C567" s="4" t="inlineStr">
        <is>
          <t>KBX-30 NEW Ø30*78.5</t>
        </is>
      </c>
      <c r="D567" s="3" t="inlineStr">
        <is>
          <t>Cái</t>
        </is>
      </c>
      <c r="E567" s="5" t="n">
        <v>32000</v>
      </c>
      <c r="F567" s="5" t="n">
        <v>38000</v>
      </c>
      <c r="G567" s="6" t="n">
        <v>46000</v>
      </c>
      <c r="H567" s="4" t="inlineStr">
        <is>
          <t>Cái</t>
        </is>
      </c>
    </row>
    <row r="568">
      <c r="A568" s="3" t="n">
        <v>567</v>
      </c>
      <c r="B568" s="3" t="n">
        <v>29</v>
      </c>
      <c r="C568" s="4" t="inlineStr">
        <is>
          <t>KBX-45 NEW Ø45*80</t>
        </is>
      </c>
      <c r="D568" s="3" t="inlineStr">
        <is>
          <t>Cái</t>
        </is>
      </c>
      <c r="E568" s="5" t="n">
        <v>48000</v>
      </c>
      <c r="F568" s="5" t="n">
        <v>57000</v>
      </c>
      <c r="G568" s="6" t="n">
        <v>70000</v>
      </c>
      <c r="H568" s="4" t="inlineStr">
        <is>
          <t>Cái</t>
        </is>
      </c>
    </row>
    <row r="569">
      <c r="A569" s="3" t="n">
        <v>568</v>
      </c>
      <c r="B569" s="3" t="n">
        <v>29</v>
      </c>
      <c r="C569" s="4" t="inlineStr">
        <is>
          <t>KBX-55 NEW Ø55*80</t>
        </is>
      </c>
      <c r="D569" s="3" t="inlineStr">
        <is>
          <t>Cái</t>
        </is>
      </c>
      <c r="E569" s="5" t="n">
        <v>59000</v>
      </c>
      <c r="F569" s="5" t="n">
        <v>70000</v>
      </c>
      <c r="G569" s="6" t="n">
        <v>86000</v>
      </c>
      <c r="H569" s="4" t="inlineStr">
        <is>
          <t>Cái</t>
        </is>
      </c>
    </row>
    <row r="570">
      <c r="A570" s="3" t="n">
        <v>569</v>
      </c>
      <c r="B570" s="3" t="n">
        <v>29</v>
      </c>
      <c r="C570" s="4" t="inlineStr">
        <is>
          <t>KBX-60 NEW Ø60*80</t>
        </is>
      </c>
      <c r="D570" s="3" t="inlineStr">
        <is>
          <t>Cái</t>
        </is>
      </c>
      <c r="E570" s="5" t="n">
        <v>64000</v>
      </c>
      <c r="F570" s="5" t="n">
        <v>76000</v>
      </c>
      <c r="G570" s="6" t="n">
        <v>93000</v>
      </c>
      <c r="H570" s="4" t="inlineStr">
        <is>
          <t>Cái</t>
        </is>
      </c>
    </row>
    <row r="571">
      <c r="A571" s="3" t="n">
        <v>570</v>
      </c>
      <c r="B571" s="3" t="n">
        <v>29</v>
      </c>
      <c r="C571" s="4" t="inlineStr">
        <is>
          <t>KBX2-15 Ø15*90</t>
        </is>
      </c>
      <c r="D571" s="3" t="inlineStr">
        <is>
          <t>Cái</t>
        </is>
      </c>
      <c r="E571" s="5" t="n">
        <v>59000</v>
      </c>
      <c r="F571" s="5" t="n">
        <v>70000</v>
      </c>
      <c r="G571" s="6" t="n">
        <v>86000</v>
      </c>
      <c r="H571" s="4" t="inlineStr">
        <is>
          <t>Cái 10c/H 240c/T</t>
        </is>
      </c>
    </row>
    <row r="572">
      <c r="A572" s="3" t="n">
        <v>571</v>
      </c>
      <c r="B572" s="3" t="n">
        <v>29</v>
      </c>
      <c r="C572" s="4" t="inlineStr">
        <is>
          <t>KBX2-16 Ø16*90</t>
        </is>
      </c>
      <c r="D572" s="3" t="inlineStr">
        <is>
          <t>Cái</t>
        </is>
      </c>
      <c r="E572" s="5" t="n">
        <v>59000</v>
      </c>
      <c r="F572" s="5" t="n">
        <v>70000</v>
      </c>
      <c r="G572" s="6" t="n">
        <v>86000</v>
      </c>
      <c r="H572" s="4" t="inlineStr">
        <is>
          <t>Cái 10c/H 240c/T</t>
        </is>
      </c>
    </row>
    <row r="573">
      <c r="A573" s="3" t="n">
        <v>572</v>
      </c>
      <c r="B573" s="3" t="n">
        <v>29</v>
      </c>
      <c r="C573" s="4" t="inlineStr">
        <is>
          <t>KBX2-18 Ø18*90</t>
        </is>
      </c>
      <c r="D573" s="3" t="inlineStr">
        <is>
          <t>Cái</t>
        </is>
      </c>
      <c r="E573" s="5" t="n">
        <v>59000</v>
      </c>
      <c r="F573" s="5" t="n">
        <v>70000</v>
      </c>
      <c r="G573" s="6" t="n">
        <v>86000</v>
      </c>
      <c r="H573" s="4" t="inlineStr">
        <is>
          <t>Cái 10c/H 240c/T</t>
        </is>
      </c>
    </row>
    <row r="574">
      <c r="A574" s="3" t="n">
        <v>573</v>
      </c>
      <c r="B574" s="3" t="n">
        <v>29</v>
      </c>
      <c r="C574" s="4" t="inlineStr">
        <is>
          <t>KBX2-19 Ø19*90</t>
        </is>
      </c>
      <c r="D574" s="3" t="inlineStr">
        <is>
          <t>Cái</t>
        </is>
      </c>
      <c r="E574" s="5" t="n">
        <v>65000</v>
      </c>
      <c r="F574" s="5" t="n">
        <v>77000</v>
      </c>
      <c r="G574" s="6" t="n">
        <v>94000</v>
      </c>
      <c r="H574" s="4" t="inlineStr">
        <is>
          <t>Cái 10c/H 240c/T</t>
        </is>
      </c>
    </row>
    <row r="575">
      <c r="A575" s="3" t="n">
        <v>574</v>
      </c>
      <c r="B575" s="3" t="n">
        <v>29</v>
      </c>
      <c r="C575" s="4" t="inlineStr">
        <is>
          <t>KBX2-20 Ø20*90</t>
        </is>
      </c>
      <c r="D575" s="3" t="inlineStr">
        <is>
          <t>Cái</t>
        </is>
      </c>
      <c r="E575" s="5" t="n">
        <v>67000</v>
      </c>
      <c r="F575" s="5" t="n">
        <v>79000</v>
      </c>
      <c r="G575" s="6" t="n">
        <v>97000</v>
      </c>
      <c r="H575" s="4" t="inlineStr">
        <is>
          <t>Cái 10c/H 240c/T</t>
        </is>
      </c>
    </row>
    <row r="576">
      <c r="A576" s="3" t="n">
        <v>575</v>
      </c>
      <c r="B576" s="3" t="n">
        <v>29</v>
      </c>
      <c r="C576" s="4" t="inlineStr">
        <is>
          <t>KBX2-21 Ø21*90</t>
        </is>
      </c>
      <c r="D576" s="3" t="inlineStr">
        <is>
          <t>Cái</t>
        </is>
      </c>
      <c r="E576" s="5" t="n">
        <v>68000</v>
      </c>
      <c r="F576" s="5" t="n">
        <v>80000</v>
      </c>
      <c r="G576" s="6" t="n">
        <v>99000</v>
      </c>
      <c r="H576" s="4" t="inlineStr">
        <is>
          <t>Cái 10c/H 240c/T</t>
        </is>
      </c>
    </row>
    <row r="577">
      <c r="A577" s="3" t="n">
        <v>576</v>
      </c>
      <c r="B577" s="3" t="n">
        <v>29</v>
      </c>
      <c r="C577" s="4" t="inlineStr">
        <is>
          <t>KBX2-24 Ø24*90</t>
        </is>
      </c>
      <c r="D577" s="3" t="inlineStr">
        <is>
          <t>Cái</t>
        </is>
      </c>
      <c r="E577" s="5" t="n">
        <v>81000</v>
      </c>
      <c r="F577" s="5" t="n">
        <v>96000</v>
      </c>
      <c r="G577" s="6" t="n">
        <v>118000</v>
      </c>
      <c r="H577" s="4" t="inlineStr">
        <is>
          <t>Cái 10c/H 160c/T</t>
        </is>
      </c>
    </row>
    <row r="578">
      <c r="A578" s="3" t="n">
        <v>577</v>
      </c>
      <c r="B578" s="3" t="n">
        <v>29</v>
      </c>
      <c r="C578" s="4" t="inlineStr">
        <is>
          <t>KBX2-25 Ø25*90</t>
        </is>
      </c>
      <c r="D578" s="3" t="inlineStr">
        <is>
          <t>Cái</t>
        </is>
      </c>
      <c r="E578" s="5" t="n">
        <v>83000</v>
      </c>
      <c r="F578" s="5" t="n">
        <v>98000</v>
      </c>
      <c r="G578" s="6" t="n">
        <v>120000</v>
      </c>
      <c r="H578" s="4" t="inlineStr">
        <is>
          <t>Cái 10c/H 160c/T</t>
        </is>
      </c>
    </row>
    <row r="579">
      <c r="A579" s="3" t="n">
        <v>578</v>
      </c>
      <c r="B579" s="3" t="n">
        <v>29</v>
      </c>
      <c r="C579" s="4" t="inlineStr">
        <is>
          <t>KBX2-27 Ø27*90</t>
        </is>
      </c>
      <c r="D579" s="3" t="inlineStr">
        <is>
          <t>Cái</t>
        </is>
      </c>
      <c r="E579" s="5" t="n">
        <v>92000</v>
      </c>
      <c r="F579" s="5" t="n">
        <v>108000</v>
      </c>
      <c r="G579" s="6" t="n">
        <v>133000</v>
      </c>
      <c r="H579" s="4" t="inlineStr">
        <is>
          <t>Cái 10c/H 160c/T</t>
        </is>
      </c>
    </row>
    <row r="580">
      <c r="A580" s="3" t="n">
        <v>579</v>
      </c>
      <c r="B580" s="3" t="n">
        <v>29</v>
      </c>
      <c r="C580" s="4" t="inlineStr">
        <is>
          <t>KBX2-30 Ø30*90</t>
        </is>
      </c>
      <c r="D580" s="3" t="inlineStr">
        <is>
          <t>Cái</t>
        </is>
      </c>
      <c r="E580" s="5" t="n">
        <v>103000</v>
      </c>
      <c r="F580" s="5" t="n">
        <v>121000</v>
      </c>
      <c r="G580" s="6" t="n">
        <v>149000</v>
      </c>
      <c r="H580" s="4" t="inlineStr">
        <is>
          <t>Cái 10c/H 160c/T</t>
        </is>
      </c>
    </row>
    <row r="581">
      <c r="A581" s="3" t="n">
        <v>580</v>
      </c>
      <c r="B581" s="3" t="n">
        <v>29</v>
      </c>
      <c r="C581" s="4" t="inlineStr">
        <is>
          <t>KBX2-32 Ø32*90</t>
        </is>
      </c>
      <c r="D581" s="3" t="inlineStr">
        <is>
          <t>Cái</t>
        </is>
      </c>
      <c r="E581" s="5" t="n">
        <v>110000</v>
      </c>
      <c r="F581" s="5" t="n">
        <v>130000</v>
      </c>
      <c r="G581" s="6" t="n">
        <v>160000</v>
      </c>
      <c r="H581" s="4" t="inlineStr">
        <is>
          <t>Cái 10c/H 120c/T</t>
        </is>
      </c>
    </row>
    <row r="582">
      <c r="A582" s="3" t="n">
        <v>581</v>
      </c>
      <c r="B582" s="3" t="n">
        <v>29</v>
      </c>
      <c r="C582" s="4" t="inlineStr">
        <is>
          <t>KBX2-35 Ø35*90</t>
        </is>
      </c>
      <c r="D582" s="3" t="inlineStr">
        <is>
          <t>Cái</t>
        </is>
      </c>
      <c r="E582" s="5" t="n">
        <v>119000</v>
      </c>
      <c r="F582" s="5" t="n">
        <v>141000</v>
      </c>
      <c r="G582" s="6" t="n">
        <v>173000</v>
      </c>
      <c r="H582" s="4" t="inlineStr">
        <is>
          <t>Cái 10c/H 120c/T</t>
        </is>
      </c>
    </row>
    <row r="583">
      <c r="A583" s="3" t="n">
        <v>582</v>
      </c>
      <c r="B583" s="3" t="n">
        <v>29</v>
      </c>
      <c r="C583" s="4" t="inlineStr">
        <is>
          <t>KBX2-40 Ø40*90</t>
        </is>
      </c>
      <c r="D583" s="3" t="inlineStr">
        <is>
          <t>Cái</t>
        </is>
      </c>
      <c r="E583" s="5" t="n">
        <v>133000</v>
      </c>
      <c r="F583" s="5" t="n">
        <v>157000</v>
      </c>
      <c r="G583" s="6" t="n">
        <v>193000</v>
      </c>
      <c r="H583" s="4" t="inlineStr">
        <is>
          <t>Cái 10c/H 80c/T</t>
        </is>
      </c>
    </row>
    <row r="584">
      <c r="A584" s="3" t="n">
        <v>583</v>
      </c>
      <c r="B584" s="3" t="n">
        <v>29</v>
      </c>
      <c r="C584" s="4" t="inlineStr">
        <is>
          <t>KBX2-42 Ø42*90</t>
        </is>
      </c>
      <c r="D584" s="3" t="inlineStr">
        <is>
          <t>Cái</t>
        </is>
      </c>
      <c r="E584" s="5" t="n">
        <v>140000</v>
      </c>
      <c r="F584" s="5" t="n">
        <v>165000</v>
      </c>
      <c r="G584" s="6" t="n">
        <v>203000</v>
      </c>
      <c r="H584" s="4" t="inlineStr">
        <is>
          <t>Cái 10c/H 80c/T</t>
        </is>
      </c>
    </row>
    <row r="585">
      <c r="A585" s="3" t="n">
        <v>584</v>
      </c>
      <c r="B585" s="3" t="n">
        <v>29</v>
      </c>
      <c r="C585" s="4" t="inlineStr">
        <is>
          <t>KBX2-50 Ø50*90</t>
        </is>
      </c>
      <c r="D585" s="3" t="inlineStr">
        <is>
          <t>Cái</t>
        </is>
      </c>
      <c r="E585" s="5" t="n">
        <v>164000</v>
      </c>
      <c r="F585" s="5" t="n">
        <v>194000</v>
      </c>
      <c r="G585" s="6" t="n">
        <v>238000</v>
      </c>
      <c r="H585" s="4" t="inlineStr">
        <is>
          <t>Cái 6c/H 60c/T</t>
        </is>
      </c>
    </row>
    <row r="586">
      <c r="A586" s="3" t="n">
        <v>585</v>
      </c>
      <c r="B586" s="3" t="n">
        <v>29</v>
      </c>
      <c r="C586" s="4" t="inlineStr">
        <is>
          <t>KBX2-60 Ø60*90</t>
        </is>
      </c>
      <c r="D586" s="3" t="inlineStr">
        <is>
          <t>Cái</t>
        </is>
      </c>
      <c r="E586" s="5" t="n">
        <v>191000</v>
      </c>
      <c r="F586" s="5" t="n">
        <v>225000</v>
      </c>
      <c r="G586" s="6" t="n">
        <v>277000</v>
      </c>
      <c r="H586" s="4" t="inlineStr">
        <is>
          <t>Cái 6c/H 60c/T</t>
        </is>
      </c>
    </row>
    <row r="587">
      <c r="A587" s="3" t="n">
        <v>586</v>
      </c>
      <c r="B587" s="3" t="n">
        <v>30</v>
      </c>
      <c r="C587" s="4" t="inlineStr">
        <is>
          <t>TCT-R1-16/25 Ø16</t>
        </is>
      </c>
      <c r="D587" s="3" t="inlineStr">
        <is>
          <t>Cái</t>
        </is>
      </c>
      <c r="E587" s="5" t="n">
        <v>59000</v>
      </c>
      <c r="F587" s="5" t="n">
        <v>72000</v>
      </c>
      <c r="G587" s="6" t="n">
        <v>92000</v>
      </c>
      <c r="H587" s="4" t="inlineStr">
        <is>
          <t>Cái</t>
        </is>
      </c>
    </row>
    <row r="588">
      <c r="A588" s="3" t="n">
        <v>587</v>
      </c>
      <c r="B588" s="3" t="n">
        <v>30</v>
      </c>
      <c r="C588" s="4" t="inlineStr">
        <is>
          <t>TCT-R1-17/25 Ø17</t>
        </is>
      </c>
      <c r="D588" s="3" t="inlineStr">
        <is>
          <t>Cái</t>
        </is>
      </c>
      <c r="E588" s="5" t="n">
        <v>62000</v>
      </c>
      <c r="F588" s="5" t="n">
        <v>76000</v>
      </c>
      <c r="G588" s="6" t="n">
        <v>96000</v>
      </c>
      <c r="H588" s="4" t="inlineStr">
        <is>
          <t>Cái</t>
        </is>
      </c>
    </row>
    <row r="589">
      <c r="A589" s="3" t="n">
        <v>588</v>
      </c>
      <c r="B589" s="3" t="n">
        <v>30</v>
      </c>
      <c r="C589" s="4" t="inlineStr">
        <is>
          <t>TCT-R1-18/25 Ø18</t>
        </is>
      </c>
      <c r="D589" s="3" t="inlineStr">
        <is>
          <t>Cái</t>
        </is>
      </c>
      <c r="E589" s="5" t="n">
        <v>68000</v>
      </c>
      <c r="F589" s="5" t="n">
        <v>83000</v>
      </c>
      <c r="G589" s="6" t="n">
        <v>105000</v>
      </c>
      <c r="H589" s="4" t="inlineStr">
        <is>
          <t>Cái</t>
        </is>
      </c>
    </row>
    <row r="590">
      <c r="A590" s="3" t="n">
        <v>589</v>
      </c>
      <c r="B590" s="3" t="n">
        <v>30</v>
      </c>
      <c r="C590" s="4" t="inlineStr">
        <is>
          <t>TCT-R1-19/25 Ø19</t>
        </is>
      </c>
      <c r="D590" s="3" t="inlineStr">
        <is>
          <t>Cái</t>
        </is>
      </c>
      <c r="E590" s="5" t="n">
        <v>70000</v>
      </c>
      <c r="F590" s="5" t="n">
        <v>86000</v>
      </c>
      <c r="G590" s="6" t="n">
        <v>109000</v>
      </c>
      <c r="H590" s="4" t="inlineStr">
        <is>
          <t>Cái</t>
        </is>
      </c>
    </row>
    <row r="591">
      <c r="A591" s="3" t="n">
        <v>590</v>
      </c>
      <c r="B591" s="3" t="n">
        <v>30</v>
      </c>
      <c r="C591" s="4" t="inlineStr">
        <is>
          <t>TCT-R1-20/25 Ø20</t>
        </is>
      </c>
      <c r="D591" s="3" t="inlineStr">
        <is>
          <t>Cái</t>
        </is>
      </c>
      <c r="E591" s="5" t="n">
        <v>72000</v>
      </c>
      <c r="F591" s="5" t="n">
        <v>88000</v>
      </c>
      <c r="G591" s="6" t="n">
        <v>112000</v>
      </c>
      <c r="H591" s="4" t="inlineStr">
        <is>
          <t>Cái</t>
        </is>
      </c>
    </row>
    <row r="592">
      <c r="A592" s="3" t="n">
        <v>591</v>
      </c>
      <c r="B592" s="3" t="n">
        <v>30</v>
      </c>
      <c r="C592" s="4" t="inlineStr">
        <is>
          <t>TCT-R1-21/25 Ø21</t>
        </is>
      </c>
      <c r="D592" s="3" t="inlineStr">
        <is>
          <t>Cái</t>
        </is>
      </c>
      <c r="E592" s="5" t="n">
        <v>77000</v>
      </c>
      <c r="F592" s="5" t="n">
        <v>94000</v>
      </c>
      <c r="G592" s="6" t="n">
        <v>119000</v>
      </c>
      <c r="H592" s="4" t="inlineStr">
        <is>
          <t>Cái</t>
        </is>
      </c>
    </row>
    <row r="593">
      <c r="A593" s="3" t="n">
        <v>592</v>
      </c>
      <c r="B593" s="3" t="n">
        <v>30</v>
      </c>
      <c r="C593" s="4" t="inlineStr">
        <is>
          <t>TCT-R1-22/25 Ø23</t>
        </is>
      </c>
      <c r="D593" s="3" t="inlineStr">
        <is>
          <t>Cái</t>
        </is>
      </c>
      <c r="E593" s="5" t="n">
        <v>82000</v>
      </c>
      <c r="F593" s="5" t="n">
        <v>100000</v>
      </c>
      <c r="G593" s="6" t="n">
        <v>127000</v>
      </c>
      <c r="H593" s="4" t="inlineStr">
        <is>
          <t>Cái</t>
        </is>
      </c>
    </row>
    <row r="594">
      <c r="A594" s="3" t="n">
        <v>593</v>
      </c>
      <c r="B594" s="3" t="n">
        <v>30</v>
      </c>
      <c r="C594" s="4" t="inlineStr">
        <is>
          <t>TCT-R1-23/25 Ø23</t>
        </is>
      </c>
      <c r="D594" s="3" t="inlineStr">
        <is>
          <t>Cái</t>
        </is>
      </c>
      <c r="E594" s="5" t="n">
        <v>85000</v>
      </c>
      <c r="F594" s="5" t="n">
        <v>104000</v>
      </c>
      <c r="G594" s="6" t="n">
        <v>132000</v>
      </c>
      <c r="H594" s="4" t="inlineStr">
        <is>
          <t>Cái</t>
        </is>
      </c>
    </row>
    <row r="595">
      <c r="A595" s="3" t="n">
        <v>594</v>
      </c>
      <c r="B595" s="3" t="n">
        <v>30</v>
      </c>
      <c r="C595" s="4" t="inlineStr">
        <is>
          <t>TCT-R1-24/25 Ø24</t>
        </is>
      </c>
      <c r="D595" s="3" t="inlineStr">
        <is>
          <t>Cái</t>
        </is>
      </c>
      <c r="E595" s="5" t="n">
        <v>87000</v>
      </c>
      <c r="F595" s="5" t="n">
        <v>106000</v>
      </c>
      <c r="G595" s="6" t="n">
        <v>135000</v>
      </c>
      <c r="H595" s="4" t="inlineStr">
        <is>
          <t>Cái</t>
        </is>
      </c>
    </row>
    <row r="596">
      <c r="A596" s="3" t="n">
        <v>595</v>
      </c>
      <c r="B596" s="3" t="n">
        <v>30</v>
      </c>
      <c r="C596" s="4" t="inlineStr">
        <is>
          <t>TCT-R1-25/25 Ø25</t>
        </is>
      </c>
      <c r="D596" s="3" t="inlineStr">
        <is>
          <t>Cái</t>
        </is>
      </c>
      <c r="E596" s="5" t="n">
        <v>91000</v>
      </c>
      <c r="F596" s="5" t="n">
        <v>111000</v>
      </c>
      <c r="G596" s="6" t="n">
        <v>141000</v>
      </c>
      <c r="H596" s="4" t="inlineStr">
        <is>
          <t>Cái</t>
        </is>
      </c>
    </row>
    <row r="597">
      <c r="A597" s="3" t="n">
        <v>596</v>
      </c>
      <c r="B597" s="3" t="n">
        <v>30</v>
      </c>
      <c r="C597" s="4" t="inlineStr">
        <is>
          <t>TCT-R1-26/25 Ø26</t>
        </is>
      </c>
      <c r="D597" s="3" t="inlineStr">
        <is>
          <t>Cái</t>
        </is>
      </c>
      <c r="E597" s="5" t="n">
        <v>97000</v>
      </c>
      <c r="F597" s="5" t="n">
        <v>118000</v>
      </c>
      <c r="G597" s="6" t="n">
        <v>150000</v>
      </c>
      <c r="H597" s="4" t="inlineStr">
        <is>
          <t>Cái</t>
        </is>
      </c>
    </row>
    <row r="598">
      <c r="A598" s="3" t="n">
        <v>597</v>
      </c>
      <c r="B598" s="3" t="n">
        <v>30</v>
      </c>
      <c r="C598" s="4" t="inlineStr">
        <is>
          <t>TCT-R1-27/25 Ø27</t>
        </is>
      </c>
      <c r="D598" s="3" t="inlineStr">
        <is>
          <t>Cái</t>
        </is>
      </c>
      <c r="E598" s="5" t="n">
        <v>99000</v>
      </c>
      <c r="F598" s="5" t="n">
        <v>121000</v>
      </c>
      <c r="G598" s="6" t="n">
        <v>154000</v>
      </c>
      <c r="H598" s="4" t="inlineStr">
        <is>
          <t>Cái</t>
        </is>
      </c>
    </row>
    <row r="599">
      <c r="A599" s="3" t="n">
        <v>598</v>
      </c>
      <c r="B599" s="3" t="n">
        <v>30</v>
      </c>
      <c r="C599" s="4" t="inlineStr">
        <is>
          <t>TCT-R1-28/25 Ø28</t>
        </is>
      </c>
      <c r="D599" s="3" t="inlineStr">
        <is>
          <t>Cái</t>
        </is>
      </c>
      <c r="E599" s="5" t="n">
        <v>102000</v>
      </c>
      <c r="F599" s="5" t="n">
        <v>124000</v>
      </c>
      <c r="G599" s="6" t="n">
        <v>158000</v>
      </c>
      <c r="H599" s="4" t="inlineStr">
        <is>
          <t>Cái</t>
        </is>
      </c>
    </row>
    <row r="600">
      <c r="A600" s="3" t="n">
        <v>599</v>
      </c>
      <c r="B600" s="3" t="n">
        <v>30</v>
      </c>
      <c r="C600" s="4" t="inlineStr">
        <is>
          <t>TCT-R1-30/25 Ø30</t>
        </is>
      </c>
      <c r="D600" s="3" t="inlineStr">
        <is>
          <t>Cái</t>
        </is>
      </c>
      <c r="E600" s="5" t="n">
        <v>112000</v>
      </c>
      <c r="F600" s="5" t="n">
        <v>137000</v>
      </c>
      <c r="G600" s="6" t="n">
        <v>174000</v>
      </c>
      <c r="H600" s="4" t="inlineStr">
        <is>
          <t>Cái</t>
        </is>
      </c>
    </row>
    <row r="601">
      <c r="A601" s="3" t="n">
        <v>600</v>
      </c>
      <c r="B601" s="3" t="n">
        <v>30</v>
      </c>
      <c r="C601" s="4" t="inlineStr">
        <is>
          <t>TCT-R1-32/25 Ø32</t>
        </is>
      </c>
      <c r="D601" s="3" t="inlineStr">
        <is>
          <t>Cái</t>
        </is>
      </c>
      <c r="E601" s="5" t="n">
        <v>116000</v>
      </c>
      <c r="F601" s="5" t="n">
        <v>142000</v>
      </c>
      <c r="G601" s="6" t="n">
        <v>180000</v>
      </c>
      <c r="H601" s="4" t="inlineStr">
        <is>
          <t>Cái</t>
        </is>
      </c>
    </row>
    <row r="602">
      <c r="A602" s="3" t="n">
        <v>601</v>
      </c>
      <c r="B602" s="3" t="n">
        <v>30</v>
      </c>
      <c r="C602" s="4" t="inlineStr">
        <is>
          <t>TCT-R1-34/25 Ø34</t>
        </is>
      </c>
      <c r="D602" s="3" t="inlineStr">
        <is>
          <t>Cái</t>
        </is>
      </c>
      <c r="E602" s="5" t="n">
        <v>124000</v>
      </c>
      <c r="F602" s="5" t="n">
        <v>151000</v>
      </c>
      <c r="G602" s="6" t="n">
        <v>192000</v>
      </c>
      <c r="H602" s="4" t="inlineStr">
        <is>
          <t>Cái</t>
        </is>
      </c>
    </row>
    <row r="603">
      <c r="A603" s="3" t="n">
        <v>602</v>
      </c>
      <c r="B603" s="3" t="n">
        <v>30</v>
      </c>
      <c r="C603" s="4" t="inlineStr">
        <is>
          <t>TCT-R1-35/25 Ø35</t>
        </is>
      </c>
      <c r="D603" s="3" t="inlineStr">
        <is>
          <t>Cái</t>
        </is>
      </c>
      <c r="E603" s="5" t="n">
        <v>129000</v>
      </c>
      <c r="F603" s="5" t="n">
        <v>157000</v>
      </c>
      <c r="G603" s="6" t="n">
        <v>200000</v>
      </c>
      <c r="H603" s="4" t="inlineStr">
        <is>
          <t>Cái</t>
        </is>
      </c>
    </row>
    <row r="604">
      <c r="A604" s="3" t="n">
        <v>603</v>
      </c>
      <c r="B604" s="3" t="n">
        <v>30</v>
      </c>
      <c r="C604" s="4" t="inlineStr">
        <is>
          <t>TCT-R1-36/25 Ø36</t>
        </is>
      </c>
      <c r="D604" s="3" t="inlineStr">
        <is>
          <t>Cái</t>
        </is>
      </c>
      <c r="E604" s="5" t="n">
        <v>131000</v>
      </c>
      <c r="F604" s="5" t="n">
        <v>160000</v>
      </c>
      <c r="G604" s="6" t="n">
        <v>203000</v>
      </c>
      <c r="H604" s="4" t="inlineStr">
        <is>
          <t>Cái</t>
        </is>
      </c>
    </row>
    <row r="605">
      <c r="A605" s="3" t="n">
        <v>604</v>
      </c>
      <c r="B605" s="3" t="n">
        <v>30</v>
      </c>
      <c r="C605" s="4" t="inlineStr">
        <is>
          <t>TCT-R1-38/25 Ø38</t>
        </is>
      </c>
      <c r="D605" s="3" t="inlineStr">
        <is>
          <t>Cái</t>
        </is>
      </c>
      <c r="E605" s="5" t="n">
        <v>140000</v>
      </c>
      <c r="F605" s="5" t="n">
        <v>171000</v>
      </c>
      <c r="G605" s="6" t="n">
        <v>217000</v>
      </c>
      <c r="H605" s="4" t="inlineStr">
        <is>
          <t>Cái</t>
        </is>
      </c>
    </row>
    <row r="606">
      <c r="A606" s="3" t="n">
        <v>605</v>
      </c>
      <c r="B606" s="3" t="n">
        <v>30</v>
      </c>
      <c r="C606" s="4" t="inlineStr">
        <is>
          <t>TCT-R1-40/25 Ø40</t>
        </is>
      </c>
      <c r="D606" s="3" t="inlineStr">
        <is>
          <t>Cái</t>
        </is>
      </c>
      <c r="E606" s="5" t="n">
        <v>145000</v>
      </c>
      <c r="F606" s="5" t="n">
        <v>177000</v>
      </c>
      <c r="G606" s="6" t="n">
        <v>225000</v>
      </c>
      <c r="H606" s="4" t="inlineStr">
        <is>
          <t>Cái</t>
        </is>
      </c>
    </row>
    <row r="607">
      <c r="A607" s="3" t="n">
        <v>606</v>
      </c>
      <c r="B607" s="3" t="n">
        <v>30</v>
      </c>
      <c r="C607" s="4" t="inlineStr">
        <is>
          <t>TCT-R1-42/25 Ø42</t>
        </is>
      </c>
      <c r="D607" s="3" t="inlineStr">
        <is>
          <t>Cái</t>
        </is>
      </c>
      <c r="E607" s="5" t="n">
        <v>153000</v>
      </c>
      <c r="F607" s="5" t="n">
        <v>187000</v>
      </c>
      <c r="G607" s="6" t="n">
        <v>237000</v>
      </c>
      <c r="H607" s="4" t="inlineStr">
        <is>
          <t>Cái</t>
        </is>
      </c>
    </row>
    <row r="608">
      <c r="A608" s="3" t="n">
        <v>607</v>
      </c>
      <c r="B608" s="3" t="n">
        <v>30</v>
      </c>
      <c r="C608" s="4" t="inlineStr">
        <is>
          <t>TCT-R1-45/25 Ø45</t>
        </is>
      </c>
      <c r="D608" s="3" t="inlineStr">
        <is>
          <t>Cái</t>
        </is>
      </c>
      <c r="E608" s="5" t="n">
        <v>162000</v>
      </c>
      <c r="F608" s="5" t="n">
        <v>198000</v>
      </c>
      <c r="G608" s="6" t="n">
        <v>251000</v>
      </c>
      <c r="H608" s="4" t="inlineStr">
        <is>
          <t>Cái</t>
        </is>
      </c>
    </row>
    <row r="609">
      <c r="A609" s="3" t="n">
        <v>608</v>
      </c>
      <c r="B609" s="3" t="n">
        <v>30</v>
      </c>
      <c r="C609" s="4" t="inlineStr">
        <is>
          <t>TCT-R1-50/25 Ø50</t>
        </is>
      </c>
      <c r="D609" s="3" t="inlineStr">
        <is>
          <t>Cái</t>
        </is>
      </c>
      <c r="E609" s="5" t="n">
        <v>183000</v>
      </c>
      <c r="F609" s="5" t="n">
        <v>223000</v>
      </c>
      <c r="G609" s="6" t="n">
        <v>284000</v>
      </c>
      <c r="H609" s="4" t="inlineStr">
        <is>
          <t>Cái</t>
        </is>
      </c>
    </row>
    <row r="610">
      <c r="A610" s="3" t="n">
        <v>609</v>
      </c>
      <c r="B610" s="3" t="n">
        <v>30</v>
      </c>
      <c r="C610" s="4" t="inlineStr">
        <is>
          <t>TCT-R1-55/25 Ø55</t>
        </is>
      </c>
      <c r="D610" s="3" t="inlineStr">
        <is>
          <t>Cái</t>
        </is>
      </c>
      <c r="E610" s="5" t="n">
        <v>201000</v>
      </c>
      <c r="F610" s="5" t="n">
        <v>245000</v>
      </c>
      <c r="G610" s="6" t="n">
        <v>312000</v>
      </c>
      <c r="H610" s="4" t="inlineStr">
        <is>
          <t>Cái</t>
        </is>
      </c>
    </row>
    <row r="611">
      <c r="A611" s="3" t="n">
        <v>610</v>
      </c>
      <c r="B611" s="3" t="n">
        <v>30</v>
      </c>
      <c r="C611" s="4" t="inlineStr">
        <is>
          <t>TCT-R1-60/25 Ø60</t>
        </is>
      </c>
      <c r="D611" s="3" t="inlineStr">
        <is>
          <t>Cái</t>
        </is>
      </c>
      <c r="E611" s="5" t="n">
        <v>219000</v>
      </c>
      <c r="F611" s="5" t="n">
        <v>267000</v>
      </c>
      <c r="G611" s="6" t="n">
        <v>340000</v>
      </c>
      <c r="H611" s="4" t="inlineStr">
        <is>
          <t>Cái</t>
        </is>
      </c>
    </row>
    <row r="612">
      <c r="A612" s="3" t="n">
        <v>611</v>
      </c>
      <c r="B612" s="3" t="n">
        <v>30</v>
      </c>
      <c r="C612" s="4" t="inlineStr">
        <is>
          <t>TCT-R1-65/25 Ø65</t>
        </is>
      </c>
      <c r="D612" s="3" t="inlineStr">
        <is>
          <t>Cái</t>
        </is>
      </c>
      <c r="E612" s="5" t="n">
        <v>236000</v>
      </c>
      <c r="F612" s="5" t="n">
        <v>288000</v>
      </c>
      <c r="G612" s="6" t="n">
        <v>366000</v>
      </c>
      <c r="H612" s="4" t="inlineStr">
        <is>
          <t>Cái</t>
        </is>
      </c>
    </row>
    <row r="613">
      <c r="A613" s="3" t="n">
        <v>612</v>
      </c>
      <c r="B613" s="3" t="n">
        <v>30</v>
      </c>
      <c r="C613" s="4" t="inlineStr">
        <is>
          <t>TCT-R1-70/25 Ø70</t>
        </is>
      </c>
      <c r="D613" s="3" t="inlineStr">
        <is>
          <t>Cái</t>
        </is>
      </c>
      <c r="E613" s="5" t="n">
        <v>262000</v>
      </c>
      <c r="F613" s="5" t="n">
        <v>320000</v>
      </c>
      <c r="G613" s="6" t="n">
        <v>406000</v>
      </c>
      <c r="H613" s="4" t="inlineStr">
        <is>
          <t>Cái</t>
        </is>
      </c>
    </row>
    <row r="614">
      <c r="A614" s="3" t="n">
        <v>613</v>
      </c>
      <c r="B614" s="3" t="n">
        <v>30</v>
      </c>
      <c r="C614" s="4" t="inlineStr">
        <is>
          <t>TCT-R1-75/25 Ø75</t>
        </is>
      </c>
      <c r="D614" s="3" t="inlineStr">
        <is>
          <t>Cái</t>
        </is>
      </c>
      <c r="E614" s="5" t="n">
        <v>276000</v>
      </c>
      <c r="F614" s="5" t="n">
        <v>337000</v>
      </c>
      <c r="G614" s="6" t="n">
        <v>428000</v>
      </c>
      <c r="H614" s="4" t="inlineStr">
        <is>
          <t>Cái</t>
        </is>
      </c>
    </row>
    <row r="615">
      <c r="A615" s="3" t="n">
        <v>614</v>
      </c>
      <c r="B615" s="3" t="n">
        <v>30</v>
      </c>
      <c r="C615" s="4" t="inlineStr">
        <is>
          <t>TCT-R1-90/25 Ø90</t>
        </is>
      </c>
      <c r="D615" s="3" t="inlineStr">
        <is>
          <t>Cái</t>
        </is>
      </c>
      <c r="E615" s="5" t="n">
        <v>328000</v>
      </c>
      <c r="F615" s="5" t="n">
        <v>400000</v>
      </c>
      <c r="G615" s="6" t="n">
        <v>508000</v>
      </c>
      <c r="H615" s="4" t="inlineStr">
        <is>
          <t>Cái</t>
        </is>
      </c>
    </row>
    <row r="616">
      <c r="A616" s="3" t="n">
        <v>615</v>
      </c>
      <c r="B616" s="3" t="n">
        <v>30</v>
      </c>
      <c r="C616" s="4" t="inlineStr">
        <is>
          <t>TCT-R1-95/25 Ø95</t>
        </is>
      </c>
      <c r="D616" s="3" t="inlineStr">
        <is>
          <t>Cái</t>
        </is>
      </c>
      <c r="E616" s="5" t="n">
        <v>358000</v>
      </c>
      <c r="F616" s="5" t="n">
        <v>437000</v>
      </c>
      <c r="G616" s="6" t="n">
        <v>555000</v>
      </c>
      <c r="H616" s="4" t="inlineStr">
        <is>
          <t>Cái</t>
        </is>
      </c>
    </row>
    <row r="617">
      <c r="A617" s="3" t="n">
        <v>616</v>
      </c>
      <c r="B617" s="3" t="n">
        <v>30</v>
      </c>
      <c r="C617" s="4" t="inlineStr">
        <is>
          <t>TCT-R3-14/25 Ø14</t>
        </is>
      </c>
      <c r="D617" s="3" t="inlineStr">
        <is>
          <t>Cái</t>
        </is>
      </c>
      <c r="E617" s="5" t="n">
        <v>314000</v>
      </c>
      <c r="F617" s="5" t="n">
        <v>370000</v>
      </c>
      <c r="G617" s="6" t="n">
        <v>455000</v>
      </c>
      <c r="H617" s="4" t="inlineStr">
        <is>
          <t>Cái</t>
        </is>
      </c>
    </row>
    <row r="618">
      <c r="A618" s="3" t="n">
        <v>617</v>
      </c>
      <c r="B618" s="3" t="n">
        <v>30</v>
      </c>
      <c r="C618" s="4" t="inlineStr">
        <is>
          <t>TCT-R3-15/25 Ø15</t>
        </is>
      </c>
      <c r="D618" s="3" t="inlineStr">
        <is>
          <t>Cái</t>
        </is>
      </c>
      <c r="E618" s="5" t="n">
        <v>314000</v>
      </c>
      <c r="F618" s="5" t="n">
        <v>370000</v>
      </c>
      <c r="G618" s="6" t="n">
        <v>455000</v>
      </c>
      <c r="H618" s="4" t="inlineStr">
        <is>
          <t>Cái</t>
        </is>
      </c>
    </row>
    <row r="619">
      <c r="A619" s="3" t="n">
        <v>618</v>
      </c>
      <c r="B619" s="3" t="n">
        <v>30</v>
      </c>
      <c r="C619" s="4" t="inlineStr">
        <is>
          <t>TCT-R3-16/25 Ø16</t>
        </is>
      </c>
      <c r="D619" s="3" t="inlineStr">
        <is>
          <t>Cái</t>
        </is>
      </c>
      <c r="E619" s="5" t="n">
        <v>316000</v>
      </c>
      <c r="F619" s="5" t="n">
        <v>373000</v>
      </c>
      <c r="G619" s="6" t="n">
        <v>458000</v>
      </c>
      <c r="H619" s="4" t="inlineStr">
        <is>
          <t>Cái</t>
        </is>
      </c>
    </row>
    <row r="620">
      <c r="A620" s="3" t="n">
        <v>619</v>
      </c>
      <c r="B620" s="3" t="n">
        <v>30</v>
      </c>
      <c r="C620" s="4" t="inlineStr">
        <is>
          <t>TCT-R3-17/25 Ø17</t>
        </is>
      </c>
      <c r="D620" s="3" t="inlineStr">
        <is>
          <t>Cái</t>
        </is>
      </c>
      <c r="E620" s="5" t="n">
        <v>316000</v>
      </c>
      <c r="F620" s="5" t="n">
        <v>373000</v>
      </c>
      <c r="G620" s="6" t="n">
        <v>458000</v>
      </c>
      <c r="H620" s="4" t="inlineStr">
        <is>
          <t>Cái</t>
        </is>
      </c>
    </row>
    <row r="621">
      <c r="A621" s="3" t="n">
        <v>620</v>
      </c>
      <c r="B621" s="3" t="n">
        <v>30</v>
      </c>
      <c r="C621" s="4" t="inlineStr">
        <is>
          <t>TCT-R3-18/25 Ø18</t>
        </is>
      </c>
      <c r="D621" s="3" t="inlineStr">
        <is>
          <t>Cái</t>
        </is>
      </c>
      <c r="E621" s="5" t="n">
        <v>316000</v>
      </c>
      <c r="F621" s="5" t="n">
        <v>373000</v>
      </c>
      <c r="G621" s="6" t="n">
        <v>458000</v>
      </c>
      <c r="H621" s="4" t="inlineStr">
        <is>
          <t>Cái</t>
        </is>
      </c>
    </row>
    <row r="622">
      <c r="A622" s="3" t="n">
        <v>621</v>
      </c>
      <c r="B622" s="3" t="n">
        <v>30</v>
      </c>
      <c r="C622" s="4" t="inlineStr">
        <is>
          <t>TCT-R3-19/25 Ø19</t>
        </is>
      </c>
      <c r="D622" s="3" t="inlineStr">
        <is>
          <t>Cái</t>
        </is>
      </c>
      <c r="E622" s="5" t="n">
        <v>316000</v>
      </c>
      <c r="F622" s="5" t="n">
        <v>373000</v>
      </c>
      <c r="G622" s="6" t="n">
        <v>458000</v>
      </c>
      <c r="H622" s="4" t="inlineStr">
        <is>
          <t>Cái</t>
        </is>
      </c>
    </row>
    <row r="623">
      <c r="A623" s="3" t="n">
        <v>622</v>
      </c>
      <c r="B623" s="3" t="n">
        <v>30</v>
      </c>
      <c r="C623" s="4" t="inlineStr">
        <is>
          <t>TCT-R3-20/25 Ø20</t>
        </is>
      </c>
      <c r="D623" s="3" t="inlineStr">
        <is>
          <t>Cái</t>
        </is>
      </c>
      <c r="E623" s="5" t="n">
        <v>316000</v>
      </c>
      <c r="F623" s="5" t="n">
        <v>373000</v>
      </c>
      <c r="G623" s="6" t="n">
        <v>458000</v>
      </c>
      <c r="H623" s="4" t="inlineStr">
        <is>
          <t>Cái</t>
        </is>
      </c>
    </row>
    <row r="624">
      <c r="A624" s="3" t="n">
        <v>623</v>
      </c>
      <c r="B624" s="3" t="n">
        <v>30</v>
      </c>
      <c r="C624" s="4" t="inlineStr">
        <is>
          <t>TCT-R3-21/25 Ø21</t>
        </is>
      </c>
      <c r="D624" s="3" t="inlineStr">
        <is>
          <t>Cái</t>
        </is>
      </c>
      <c r="E624" s="5" t="n">
        <v>386000</v>
      </c>
      <c r="F624" s="5" t="n">
        <v>456000</v>
      </c>
      <c r="G624" s="6" t="n">
        <v>560000</v>
      </c>
      <c r="H624" s="4" t="inlineStr">
        <is>
          <t>Cái</t>
        </is>
      </c>
    </row>
    <row r="625">
      <c r="A625" s="3" t="n">
        <v>624</v>
      </c>
      <c r="B625" s="3" t="n">
        <v>30</v>
      </c>
      <c r="C625" s="4" t="inlineStr">
        <is>
          <t>TCT-R3-22/25 Ø22</t>
        </is>
      </c>
      <c r="D625" s="3" t="inlineStr">
        <is>
          <t>Cái</t>
        </is>
      </c>
      <c r="E625" s="5" t="n">
        <v>386000</v>
      </c>
      <c r="F625" s="5" t="n">
        <v>456000</v>
      </c>
      <c r="G625" s="6" t="n">
        <v>560000</v>
      </c>
      <c r="H625" s="4" t="inlineStr">
        <is>
          <t>Cái</t>
        </is>
      </c>
    </row>
    <row r="626">
      <c r="A626" s="3" t="n">
        <v>625</v>
      </c>
      <c r="B626" s="3" t="n">
        <v>30</v>
      </c>
      <c r="C626" s="4" t="inlineStr">
        <is>
          <t>TCT-R3-23/25 Ø23</t>
        </is>
      </c>
      <c r="D626" s="3" t="inlineStr">
        <is>
          <t>Cái</t>
        </is>
      </c>
      <c r="E626" s="5" t="n">
        <v>386000</v>
      </c>
      <c r="F626" s="5" t="n">
        <v>456000</v>
      </c>
      <c r="G626" s="6" t="n">
        <v>560000</v>
      </c>
      <c r="H626" s="4" t="inlineStr">
        <is>
          <t>Cái</t>
        </is>
      </c>
    </row>
    <row r="627">
      <c r="A627" s="3" t="n">
        <v>626</v>
      </c>
      <c r="B627" s="3" t="n">
        <v>30</v>
      </c>
      <c r="C627" s="4" t="inlineStr">
        <is>
          <t>TCT-R3-24/25 Ø24</t>
        </is>
      </c>
      <c r="D627" s="3" t="inlineStr">
        <is>
          <t>Cái</t>
        </is>
      </c>
      <c r="E627" s="5" t="n">
        <v>386000</v>
      </c>
      <c r="F627" s="5" t="n">
        <v>456000</v>
      </c>
      <c r="G627" s="6" t="n">
        <v>560000</v>
      </c>
      <c r="H627" s="4" t="inlineStr">
        <is>
          <t>Cái</t>
        </is>
      </c>
    </row>
    <row r="628">
      <c r="A628" s="3" t="n">
        <v>627</v>
      </c>
      <c r="B628" s="3" t="n">
        <v>30</v>
      </c>
      <c r="C628" s="4" t="inlineStr">
        <is>
          <t>TCT-R3-25/25 Ø25</t>
        </is>
      </c>
      <c r="D628" s="3" t="inlineStr">
        <is>
          <t>Cái</t>
        </is>
      </c>
      <c r="E628" s="5" t="n">
        <v>386000</v>
      </c>
      <c r="F628" s="5" t="n">
        <v>456000</v>
      </c>
      <c r="G628" s="6" t="n">
        <v>560000</v>
      </c>
      <c r="H628" s="4" t="inlineStr">
        <is>
          <t>Cái</t>
        </is>
      </c>
    </row>
    <row r="629">
      <c r="A629" s="3" t="n">
        <v>628</v>
      </c>
      <c r="B629" s="3" t="n">
        <v>30</v>
      </c>
      <c r="C629" s="4" t="inlineStr">
        <is>
          <t>TCT-R3-26/25 Ø26</t>
        </is>
      </c>
      <c r="D629" s="3" t="inlineStr">
        <is>
          <t>Cái</t>
        </is>
      </c>
      <c r="E629" s="5" t="n">
        <v>396000</v>
      </c>
      <c r="F629" s="5" t="n">
        <v>467000</v>
      </c>
      <c r="G629" s="6" t="n">
        <v>574000</v>
      </c>
      <c r="H629" s="4" t="inlineStr">
        <is>
          <t>Cái</t>
        </is>
      </c>
    </row>
    <row r="630">
      <c r="A630" s="3" t="n">
        <v>629</v>
      </c>
      <c r="B630" s="3" t="n">
        <v>31</v>
      </c>
      <c r="C630" s="4" t="inlineStr">
        <is>
          <t>TCT-R3-27/25 Ø27</t>
        </is>
      </c>
      <c r="D630" s="3" t="inlineStr">
        <is>
          <t>Cái</t>
        </is>
      </c>
      <c r="E630" s="5" t="n">
        <v>396000</v>
      </c>
      <c r="F630" s="5" t="n">
        <v>467000</v>
      </c>
      <c r="G630" s="6" t="n">
        <v>574000</v>
      </c>
      <c r="H630" s="4" t="inlineStr">
        <is>
          <t>Cái</t>
        </is>
      </c>
    </row>
    <row r="631">
      <c r="A631" s="3" t="n">
        <v>630</v>
      </c>
      <c r="B631" s="3" t="n">
        <v>31</v>
      </c>
      <c r="C631" s="4" t="inlineStr">
        <is>
          <t>TCT-R3-28/25 Ø28</t>
        </is>
      </c>
      <c r="D631" s="3" t="inlineStr">
        <is>
          <t>Cái</t>
        </is>
      </c>
      <c r="E631" s="5" t="n">
        <v>396000</v>
      </c>
      <c r="F631" s="5" t="n">
        <v>467000</v>
      </c>
      <c r="G631" s="6" t="n">
        <v>574000</v>
      </c>
      <c r="H631" s="4" t="inlineStr">
        <is>
          <t>Cái</t>
        </is>
      </c>
    </row>
    <row r="632">
      <c r="A632" s="3" t="n">
        <v>631</v>
      </c>
      <c r="B632" s="3" t="n">
        <v>31</v>
      </c>
      <c r="C632" s="4" t="inlineStr">
        <is>
          <t>TCT-R3-29/25 Ø29</t>
        </is>
      </c>
      <c r="D632" s="3" t="inlineStr">
        <is>
          <t>Cái</t>
        </is>
      </c>
      <c r="E632" s="5" t="n">
        <v>396000</v>
      </c>
      <c r="F632" s="5" t="n">
        <v>467000</v>
      </c>
      <c r="G632" s="6" t="n">
        <v>574000</v>
      </c>
      <c r="H632" s="4" t="inlineStr">
        <is>
          <t>Cái</t>
        </is>
      </c>
    </row>
    <row r="633">
      <c r="A633" s="3" t="n">
        <v>632</v>
      </c>
      <c r="B633" s="3" t="n">
        <v>31</v>
      </c>
      <c r="C633" s="4" t="inlineStr">
        <is>
          <t>TCT-R3-30/25 Ø30</t>
        </is>
      </c>
      <c r="D633" s="3" t="inlineStr">
        <is>
          <t>Cái</t>
        </is>
      </c>
      <c r="E633" s="5" t="n">
        <v>396000</v>
      </c>
      <c r="F633" s="5" t="n">
        <v>467000</v>
      </c>
      <c r="G633" s="6" t="n">
        <v>574000</v>
      </c>
      <c r="H633" s="4" t="inlineStr">
        <is>
          <t>Cái</t>
        </is>
      </c>
    </row>
    <row r="634">
      <c r="A634" s="3" t="n">
        <v>633</v>
      </c>
      <c r="B634" s="3" t="n">
        <v>31</v>
      </c>
      <c r="C634" s="4" t="inlineStr">
        <is>
          <t>TCT-R3-31/25 Ø31</t>
        </is>
      </c>
      <c r="D634" s="3" t="inlineStr">
        <is>
          <t>Cái</t>
        </is>
      </c>
      <c r="E634" s="5" t="n">
        <v>411000</v>
      </c>
      <c r="F634" s="5" t="n">
        <v>485000</v>
      </c>
      <c r="G634" s="6" t="n">
        <v>596000</v>
      </c>
      <c r="H634" s="4" t="inlineStr">
        <is>
          <t>Cái</t>
        </is>
      </c>
    </row>
    <row r="635">
      <c r="A635" s="3" t="n">
        <v>634</v>
      </c>
      <c r="B635" s="3" t="n">
        <v>31</v>
      </c>
      <c r="C635" s="4" t="inlineStr">
        <is>
          <t>TCT-R3-32/25 Ø32</t>
        </is>
      </c>
      <c r="D635" s="3" t="inlineStr">
        <is>
          <t>Cái</t>
        </is>
      </c>
      <c r="E635" s="5" t="n">
        <v>411000</v>
      </c>
      <c r="F635" s="5" t="n">
        <v>485000</v>
      </c>
      <c r="G635" s="6" t="n">
        <v>596000</v>
      </c>
      <c r="H635" s="4" t="inlineStr">
        <is>
          <t>Cái</t>
        </is>
      </c>
    </row>
    <row r="636">
      <c r="A636" s="3" t="n">
        <v>635</v>
      </c>
      <c r="B636" s="3" t="n">
        <v>31</v>
      </c>
      <c r="C636" s="4" t="inlineStr">
        <is>
          <t>TCT-R3-33/25 Ø33</t>
        </is>
      </c>
      <c r="D636" s="3" t="inlineStr">
        <is>
          <t>Cái</t>
        </is>
      </c>
      <c r="E636" s="5" t="n">
        <v>411000</v>
      </c>
      <c r="F636" s="5" t="n">
        <v>485000</v>
      </c>
      <c r="G636" s="6" t="n">
        <v>596000</v>
      </c>
      <c r="H636" s="4" t="inlineStr">
        <is>
          <t>Cái</t>
        </is>
      </c>
    </row>
    <row r="637">
      <c r="A637" s="3" t="n">
        <v>636</v>
      </c>
      <c r="B637" s="3" t="n">
        <v>31</v>
      </c>
      <c r="C637" s="4" t="inlineStr">
        <is>
          <t>TCT-R3-34/25 Ø34</t>
        </is>
      </c>
      <c r="D637" s="3" t="inlineStr">
        <is>
          <t>Cái</t>
        </is>
      </c>
      <c r="E637" s="5" t="n">
        <v>411000</v>
      </c>
      <c r="F637" s="5" t="n">
        <v>485000</v>
      </c>
      <c r="G637" s="6" t="n">
        <v>596000</v>
      </c>
      <c r="H637" s="4" t="inlineStr">
        <is>
          <t>Cái</t>
        </is>
      </c>
    </row>
    <row r="638">
      <c r="A638" s="3" t="n">
        <v>637</v>
      </c>
      <c r="B638" s="3" t="n">
        <v>31</v>
      </c>
      <c r="C638" s="4" t="inlineStr">
        <is>
          <t>TCT-R3-35/25 Ø35</t>
        </is>
      </c>
      <c r="D638" s="3" t="inlineStr">
        <is>
          <t>Cái</t>
        </is>
      </c>
      <c r="E638" s="5" t="n">
        <v>411000</v>
      </c>
      <c r="F638" s="5" t="n">
        <v>485000</v>
      </c>
      <c r="G638" s="6" t="n">
        <v>596000</v>
      </c>
      <c r="H638" s="4" t="inlineStr">
        <is>
          <t>Cái</t>
        </is>
      </c>
    </row>
    <row r="639">
      <c r="A639" s="3" t="n">
        <v>638</v>
      </c>
      <c r="B639" s="3" t="n">
        <v>31</v>
      </c>
      <c r="C639" s="4" t="inlineStr">
        <is>
          <t>TCT-R3-36/25 Ø36</t>
        </is>
      </c>
      <c r="D639" s="3" t="inlineStr">
        <is>
          <t>Cái</t>
        </is>
      </c>
      <c r="E639" s="5" t="n">
        <v>464000</v>
      </c>
      <c r="F639" s="5" t="n">
        <v>548000</v>
      </c>
      <c r="G639" s="6" t="n">
        <v>673000</v>
      </c>
      <c r="H639" s="4" t="inlineStr">
        <is>
          <t>Cái</t>
        </is>
      </c>
    </row>
    <row r="640">
      <c r="A640" s="3" t="n">
        <v>639</v>
      </c>
      <c r="B640" s="3" t="n">
        <v>31</v>
      </c>
      <c r="C640" s="4" t="inlineStr">
        <is>
          <t>TCT-R3-37/25 Ø37</t>
        </is>
      </c>
      <c r="D640" s="3" t="inlineStr">
        <is>
          <t>Cái</t>
        </is>
      </c>
      <c r="E640" s="5" t="n">
        <v>464000</v>
      </c>
      <c r="F640" s="5" t="n">
        <v>548000</v>
      </c>
      <c r="G640" s="6" t="n">
        <v>673000</v>
      </c>
      <c r="H640" s="4" t="inlineStr">
        <is>
          <t>Cái</t>
        </is>
      </c>
    </row>
    <row r="641">
      <c r="A641" s="3" t="n">
        <v>640</v>
      </c>
      <c r="B641" s="3" t="n">
        <v>31</v>
      </c>
      <c r="C641" s="4" t="inlineStr">
        <is>
          <t>TCT-R3-38/25 Ø38</t>
        </is>
      </c>
      <c r="D641" s="3" t="inlineStr">
        <is>
          <t>Cái</t>
        </is>
      </c>
      <c r="E641" s="5" t="n">
        <v>464000</v>
      </c>
      <c r="F641" s="5" t="n">
        <v>548000</v>
      </c>
      <c r="G641" s="6" t="n">
        <v>673000</v>
      </c>
      <c r="H641" s="4" t="inlineStr">
        <is>
          <t>Cái</t>
        </is>
      </c>
    </row>
    <row r="642">
      <c r="A642" s="3" t="n">
        <v>641</v>
      </c>
      <c r="B642" s="3" t="n">
        <v>31</v>
      </c>
      <c r="C642" s="4" t="inlineStr">
        <is>
          <t>TCT-R3-39/25 Ø39</t>
        </is>
      </c>
      <c r="D642" s="3" t="inlineStr">
        <is>
          <t>Cái</t>
        </is>
      </c>
      <c r="E642" s="5" t="n">
        <v>464000</v>
      </c>
      <c r="F642" s="5" t="n">
        <v>548000</v>
      </c>
      <c r="G642" s="6" t="n">
        <v>673000</v>
      </c>
      <c r="H642" s="4" t="inlineStr">
        <is>
          <t>Cái</t>
        </is>
      </c>
    </row>
    <row r="643">
      <c r="A643" s="3" t="n">
        <v>642</v>
      </c>
      <c r="B643" s="3" t="n">
        <v>31</v>
      </c>
      <c r="C643" s="4" t="inlineStr">
        <is>
          <t>TCT-R3-40/25 Ø40</t>
        </is>
      </c>
      <c r="D643" s="3" t="inlineStr">
        <is>
          <t>Cái</t>
        </is>
      </c>
      <c r="E643" s="5" t="n">
        <v>444000</v>
      </c>
      <c r="F643" s="5" t="n">
        <v>524000</v>
      </c>
      <c r="G643" s="6" t="n">
        <v>644000</v>
      </c>
      <c r="H643" s="4" t="inlineStr">
        <is>
          <t>Cái</t>
        </is>
      </c>
    </row>
    <row r="644">
      <c r="A644" s="3" t="n">
        <v>643</v>
      </c>
      <c r="B644" s="3" t="n">
        <v>31</v>
      </c>
      <c r="C644" s="4" t="inlineStr">
        <is>
          <t>TCT-R3-41/25 Ø41</t>
        </is>
      </c>
      <c r="D644" s="3" t="inlineStr">
        <is>
          <t>Cái</t>
        </is>
      </c>
      <c r="E644" s="5" t="n">
        <v>523000</v>
      </c>
      <c r="F644" s="5" t="n">
        <v>617000</v>
      </c>
      <c r="G644" s="6" t="n">
        <v>758000</v>
      </c>
      <c r="H644" s="4" t="inlineStr">
        <is>
          <t>Cái</t>
        </is>
      </c>
    </row>
    <row r="645">
      <c r="A645" s="3" t="n">
        <v>644</v>
      </c>
      <c r="B645" s="3" t="n">
        <v>31</v>
      </c>
      <c r="C645" s="4" t="inlineStr">
        <is>
          <t>TCT-R3-42/25 Ø42</t>
        </is>
      </c>
      <c r="D645" s="3" t="inlineStr">
        <is>
          <t>Cái</t>
        </is>
      </c>
      <c r="E645" s="5" t="n">
        <v>523000</v>
      </c>
      <c r="F645" s="5" t="n">
        <v>617000</v>
      </c>
      <c r="G645" s="6" t="n">
        <v>758000</v>
      </c>
      <c r="H645" s="4" t="inlineStr">
        <is>
          <t>Cái</t>
        </is>
      </c>
    </row>
    <row r="646">
      <c r="A646" s="3" t="n">
        <v>645</v>
      </c>
      <c r="B646" s="3" t="n">
        <v>31</v>
      </c>
      <c r="C646" s="4" t="inlineStr">
        <is>
          <t>TCT-R3-43/25 Ø43</t>
        </is>
      </c>
      <c r="D646" s="3" t="inlineStr">
        <is>
          <t>Cái</t>
        </is>
      </c>
      <c r="E646" s="5" t="n">
        <v>523000</v>
      </c>
      <c r="F646" s="5" t="n">
        <v>617000</v>
      </c>
      <c r="G646" s="6" t="n">
        <v>758000</v>
      </c>
      <c r="H646" s="4" t="inlineStr">
        <is>
          <t>Cái</t>
        </is>
      </c>
    </row>
    <row r="647">
      <c r="A647" s="3" t="n">
        <v>646</v>
      </c>
      <c r="B647" s="3" t="n">
        <v>31</v>
      </c>
      <c r="C647" s="4" t="inlineStr">
        <is>
          <t>TCT-R3-44/25 Ø44</t>
        </is>
      </c>
      <c r="D647" s="3" t="inlineStr">
        <is>
          <t>Cái</t>
        </is>
      </c>
      <c r="E647" s="5" t="n">
        <v>523000</v>
      </c>
      <c r="F647" s="5" t="n">
        <v>617000</v>
      </c>
      <c r="G647" s="6" t="n">
        <v>758000</v>
      </c>
      <c r="H647" s="4" t="inlineStr">
        <is>
          <t>Cái</t>
        </is>
      </c>
    </row>
    <row r="648">
      <c r="A648" s="3" t="n">
        <v>647</v>
      </c>
      <c r="B648" s="3" t="n">
        <v>31</v>
      </c>
      <c r="C648" s="4" t="inlineStr">
        <is>
          <t>TCT-R3-45/25 Ø45</t>
        </is>
      </c>
      <c r="D648" s="3" t="inlineStr">
        <is>
          <t>Cái</t>
        </is>
      </c>
      <c r="E648" s="5" t="n">
        <v>523000</v>
      </c>
      <c r="F648" s="5" t="n">
        <v>617000</v>
      </c>
      <c r="G648" s="6" t="n">
        <v>758000</v>
      </c>
      <c r="H648" s="4" t="inlineStr">
        <is>
          <t>Cái</t>
        </is>
      </c>
    </row>
    <row r="649">
      <c r="A649" s="3" t="n">
        <v>648</v>
      </c>
      <c r="B649" s="3" t="n">
        <v>31</v>
      </c>
      <c r="C649" s="4" t="inlineStr">
        <is>
          <t>TCT-R3-46/25 Ø46</t>
        </is>
      </c>
      <c r="D649" s="3" t="inlineStr">
        <is>
          <t>Cái</t>
        </is>
      </c>
      <c r="E649" s="5" t="n">
        <v>558000</v>
      </c>
      <c r="F649" s="5" t="n">
        <v>658000</v>
      </c>
      <c r="G649" s="6" t="n">
        <v>809000</v>
      </c>
      <c r="H649" s="4" t="inlineStr">
        <is>
          <t>Cái</t>
        </is>
      </c>
    </row>
    <row r="650">
      <c r="A650" s="3" t="n">
        <v>649</v>
      </c>
      <c r="B650" s="3" t="n">
        <v>31</v>
      </c>
      <c r="C650" s="4" t="inlineStr">
        <is>
          <t>TCT-R3-47/25 Ø47</t>
        </is>
      </c>
      <c r="D650" s="3" t="inlineStr">
        <is>
          <t>Cái</t>
        </is>
      </c>
      <c r="E650" s="5" t="n">
        <v>558000</v>
      </c>
      <c r="F650" s="5" t="n">
        <v>658000</v>
      </c>
      <c r="G650" s="6" t="n">
        <v>809000</v>
      </c>
      <c r="H650" s="4" t="inlineStr">
        <is>
          <t>Cái</t>
        </is>
      </c>
    </row>
    <row r="651">
      <c r="A651" s="3" t="n">
        <v>650</v>
      </c>
      <c r="B651" s="3" t="n">
        <v>31</v>
      </c>
      <c r="C651" s="4" t="inlineStr">
        <is>
          <t>TCT-R3-48/25 Ø48</t>
        </is>
      </c>
      <c r="D651" s="3" t="inlineStr">
        <is>
          <t>Cái</t>
        </is>
      </c>
      <c r="E651" s="5" t="n">
        <v>558000</v>
      </c>
      <c r="F651" s="5" t="n">
        <v>658000</v>
      </c>
      <c r="G651" s="6" t="n">
        <v>809000</v>
      </c>
      <c r="H651" s="4" t="inlineStr">
        <is>
          <t>Cái</t>
        </is>
      </c>
    </row>
    <row r="652">
      <c r="A652" s="3" t="n">
        <v>651</v>
      </c>
      <c r="B652" s="3" t="n">
        <v>31</v>
      </c>
      <c r="C652" s="4" t="inlineStr">
        <is>
          <t>TCT-R3-50/25 Ø50</t>
        </is>
      </c>
      <c r="D652" s="3" t="inlineStr">
        <is>
          <t>Cái</t>
        </is>
      </c>
      <c r="E652" s="5" t="n">
        <v>558000</v>
      </c>
      <c r="F652" s="5" t="n">
        <v>658000</v>
      </c>
      <c r="G652" s="6" t="n">
        <v>809000</v>
      </c>
      <c r="H652" s="4" t="inlineStr">
        <is>
          <t>Cái</t>
        </is>
      </c>
    </row>
    <row r="653">
      <c r="A653" s="3" t="n">
        <v>652</v>
      </c>
      <c r="B653" s="3" t="n">
        <v>31</v>
      </c>
      <c r="C653" s="4" t="inlineStr">
        <is>
          <t>TCT-R3-51/25 Ø51</t>
        </is>
      </c>
      <c r="D653" s="3" t="inlineStr">
        <is>
          <t>Cái</t>
        </is>
      </c>
      <c r="E653" s="5" t="n">
        <v>660000</v>
      </c>
      <c r="F653" s="5" t="n">
        <v>779000</v>
      </c>
      <c r="G653" s="6" t="n">
        <v>957000</v>
      </c>
      <c r="H653" s="4" t="inlineStr">
        <is>
          <t>Cái</t>
        </is>
      </c>
    </row>
    <row r="654">
      <c r="A654" s="3" t="n">
        <v>653</v>
      </c>
      <c r="B654" s="3" t="n">
        <v>31</v>
      </c>
      <c r="C654" s="4" t="inlineStr">
        <is>
          <t>TCT-R3-52/25 Ø52</t>
        </is>
      </c>
      <c r="D654" s="3" t="inlineStr">
        <is>
          <t>Cái</t>
        </is>
      </c>
      <c r="E654" s="5" t="n">
        <v>666000</v>
      </c>
      <c r="F654" s="5" t="n">
        <v>786000</v>
      </c>
      <c r="G654" s="6" t="n">
        <v>966000</v>
      </c>
      <c r="H654" s="4" t="inlineStr">
        <is>
          <t>Cái</t>
        </is>
      </c>
    </row>
    <row r="655">
      <c r="A655" s="3" t="n">
        <v>654</v>
      </c>
      <c r="B655" s="3" t="n">
        <v>31</v>
      </c>
      <c r="C655" s="4" t="inlineStr">
        <is>
          <t>TCT-R3-53/25 Ø53</t>
        </is>
      </c>
      <c r="D655" s="3" t="inlineStr">
        <is>
          <t>Cái</t>
        </is>
      </c>
      <c r="E655" s="5" t="n">
        <v>666000</v>
      </c>
      <c r="F655" s="5" t="n">
        <v>786000</v>
      </c>
      <c r="G655" s="6" t="n">
        <v>966000</v>
      </c>
      <c r="H655" s="4" t="inlineStr">
        <is>
          <t>Cái</t>
        </is>
      </c>
    </row>
    <row r="656">
      <c r="A656" s="3" t="n">
        <v>655</v>
      </c>
      <c r="B656" s="3" t="n">
        <v>31</v>
      </c>
      <c r="C656" s="4" t="inlineStr">
        <is>
          <t>TCT-R3-55/25 Ø55</t>
        </is>
      </c>
      <c r="D656" s="3" t="inlineStr">
        <is>
          <t>Cái</t>
        </is>
      </c>
      <c r="E656" s="5" t="n">
        <v>656000</v>
      </c>
      <c r="F656" s="5" t="n">
        <v>774000</v>
      </c>
      <c r="G656" s="6" t="n">
        <v>951000</v>
      </c>
      <c r="H656" s="4" t="inlineStr">
        <is>
          <t>Cái</t>
        </is>
      </c>
    </row>
    <row r="657">
      <c r="A657" s="3" t="n">
        <v>656</v>
      </c>
      <c r="B657" s="3" t="n">
        <v>31</v>
      </c>
      <c r="C657" s="4" t="inlineStr">
        <is>
          <t>TCT-R3-56/25 Ø56</t>
        </is>
      </c>
      <c r="D657" s="3" t="inlineStr">
        <is>
          <t>Cái</t>
        </is>
      </c>
      <c r="E657" s="5" t="n">
        <v>767000</v>
      </c>
      <c r="F657" s="5" t="n">
        <v>905000</v>
      </c>
      <c r="G657" s="6" t="n">
        <v>1112000</v>
      </c>
      <c r="H657" s="4" t="inlineStr">
        <is>
          <t>Cái</t>
        </is>
      </c>
    </row>
    <row r="658">
      <c r="A658" s="3" t="n">
        <v>657</v>
      </c>
      <c r="B658" s="3" t="n">
        <v>31</v>
      </c>
      <c r="C658" s="4" t="inlineStr">
        <is>
          <t>TCT-R3-57/25 Ø57</t>
        </is>
      </c>
      <c r="D658" s="3" t="inlineStr">
        <is>
          <t>Cái</t>
        </is>
      </c>
      <c r="E658" s="5" t="n">
        <v>790000</v>
      </c>
      <c r="F658" s="5" t="n">
        <v>932000</v>
      </c>
      <c r="G658" s="6" t="n">
        <v>1146000</v>
      </c>
      <c r="H658" s="4" t="inlineStr">
        <is>
          <t>Cái</t>
        </is>
      </c>
    </row>
    <row r="659">
      <c r="A659" s="3" t="n">
        <v>658</v>
      </c>
      <c r="B659" s="3" t="n">
        <v>31</v>
      </c>
      <c r="C659" s="4" t="inlineStr">
        <is>
          <t>TCT-R3-58/25 Ø58</t>
        </is>
      </c>
      <c r="D659" s="3" t="inlineStr">
        <is>
          <t>Cái</t>
        </is>
      </c>
      <c r="E659" s="5" t="n">
        <v>796000</v>
      </c>
      <c r="F659" s="5" t="n">
        <v>939000</v>
      </c>
      <c r="G659" s="6" t="n">
        <v>1154000</v>
      </c>
      <c r="H659" s="4" t="inlineStr">
        <is>
          <t>Cái</t>
        </is>
      </c>
    </row>
    <row r="660">
      <c r="A660" s="3" t="n">
        <v>659</v>
      </c>
      <c r="B660" s="3" t="n">
        <v>31</v>
      </c>
      <c r="C660" s="4" t="inlineStr">
        <is>
          <t>TCT-R3-59/25 Ø59</t>
        </is>
      </c>
      <c r="D660" s="3" t="inlineStr">
        <is>
          <t>Cái</t>
        </is>
      </c>
      <c r="E660" s="5" t="n">
        <v>803000</v>
      </c>
      <c r="F660" s="5" t="n">
        <v>947000</v>
      </c>
      <c r="G660" s="6" t="n">
        <v>1164000</v>
      </c>
      <c r="H660" s="4" t="inlineStr">
        <is>
          <t>Cái</t>
        </is>
      </c>
    </row>
    <row r="661">
      <c r="A661" s="3" t="n">
        <v>660</v>
      </c>
      <c r="B661" s="3" t="n">
        <v>31</v>
      </c>
      <c r="C661" s="4" t="inlineStr">
        <is>
          <t>TCT-R3-60/25 Ø60</t>
        </is>
      </c>
      <c r="D661" s="3" t="inlineStr">
        <is>
          <t>Cái</t>
        </is>
      </c>
      <c r="E661" s="5" t="n">
        <v>781000</v>
      </c>
      <c r="F661" s="5" t="n">
        <v>922000</v>
      </c>
      <c r="G661" s="6" t="n">
        <v>1133000</v>
      </c>
      <c r="H661" s="4" t="inlineStr">
        <is>
          <t>Cái</t>
        </is>
      </c>
    </row>
    <row r="662">
      <c r="A662" s="3" t="n">
        <v>661</v>
      </c>
      <c r="B662" s="3" t="n">
        <v>31</v>
      </c>
      <c r="C662" s="4" t="inlineStr">
        <is>
          <t>TCT-R3-61/25 Ø61</t>
        </is>
      </c>
      <c r="D662" s="3" t="inlineStr">
        <is>
          <t>Cái</t>
        </is>
      </c>
      <c r="E662" s="5" t="n">
        <v>857000</v>
      </c>
      <c r="F662" s="5" t="n">
        <v>1011000</v>
      </c>
      <c r="G662" s="6" t="n">
        <v>1243000</v>
      </c>
      <c r="H662" s="4" t="inlineStr">
        <is>
          <t>Cái</t>
        </is>
      </c>
    </row>
    <row r="663">
      <c r="A663" s="3" t="n">
        <v>662</v>
      </c>
      <c r="B663" s="3" t="n">
        <v>31</v>
      </c>
      <c r="C663" s="4" t="inlineStr">
        <is>
          <t>TCT-R3-62/25 Ø62</t>
        </is>
      </c>
      <c r="D663" s="3" t="inlineStr">
        <is>
          <t>Cái</t>
        </is>
      </c>
      <c r="E663" s="5" t="n">
        <v>864000</v>
      </c>
      <c r="F663" s="5" t="n">
        <v>1020000</v>
      </c>
      <c r="G663" s="6" t="n">
        <v>1253000</v>
      </c>
      <c r="H663" s="4" t="inlineStr">
        <is>
          <t>Cái</t>
        </is>
      </c>
    </row>
    <row r="664">
      <c r="A664" s="3" t="n">
        <v>663</v>
      </c>
      <c r="B664" s="3" t="n">
        <v>31</v>
      </c>
      <c r="C664" s="4" t="inlineStr">
        <is>
          <t>TCT-R3-63/25 Ø63</t>
        </is>
      </c>
      <c r="D664" s="3" t="inlineStr">
        <is>
          <t>Cái</t>
        </is>
      </c>
      <c r="E664" s="5" t="n">
        <v>864000</v>
      </c>
      <c r="F664" s="5" t="n">
        <v>1020000</v>
      </c>
      <c r="G664" s="6" t="n">
        <v>1253000</v>
      </c>
      <c r="H664" s="4" t="inlineStr">
        <is>
          <t>Cái</t>
        </is>
      </c>
    </row>
    <row r="665">
      <c r="A665" s="3" t="n">
        <v>664</v>
      </c>
      <c r="B665" s="3" t="n">
        <v>31</v>
      </c>
      <c r="C665" s="4" t="inlineStr">
        <is>
          <t>TCT-R3-65/25 Ø65</t>
        </is>
      </c>
      <c r="D665" s="3" t="inlineStr">
        <is>
          <t>Cái</t>
        </is>
      </c>
      <c r="E665" s="5" t="n">
        <v>868000</v>
      </c>
      <c r="F665" s="5" t="n">
        <v>1024000</v>
      </c>
      <c r="G665" s="6" t="n">
        <v>1259000</v>
      </c>
      <c r="H665" s="4" t="inlineStr">
        <is>
          <t>Cái</t>
        </is>
      </c>
    </row>
    <row r="666">
      <c r="A666" s="3" t="n">
        <v>665</v>
      </c>
      <c r="B666" s="3" t="n">
        <v>31</v>
      </c>
      <c r="C666" s="4" t="inlineStr">
        <is>
          <t>TCT-R3-67/25 Ø67</t>
        </is>
      </c>
      <c r="D666" s="3" t="inlineStr">
        <is>
          <t>Cái</t>
        </is>
      </c>
      <c r="E666" s="5" t="n">
        <v>955000</v>
      </c>
      <c r="F666" s="5" t="n">
        <v>1127000</v>
      </c>
      <c r="G666" s="6" t="n">
        <v>1385000</v>
      </c>
      <c r="H666" s="4" t="inlineStr">
        <is>
          <t>Cái</t>
        </is>
      </c>
    </row>
    <row r="667">
      <c r="A667" s="3" t="n">
        <v>666</v>
      </c>
      <c r="B667" s="3" t="n">
        <v>31</v>
      </c>
      <c r="C667" s="4" t="inlineStr">
        <is>
          <t>TCT-R3-68/25 Ø68</t>
        </is>
      </c>
      <c r="D667" s="3" t="inlineStr">
        <is>
          <t>Cái</t>
        </is>
      </c>
      <c r="E667" s="5" t="n">
        <v>961000</v>
      </c>
      <c r="F667" s="5" t="n">
        <v>1134000</v>
      </c>
      <c r="G667" s="6" t="n">
        <v>1394000</v>
      </c>
      <c r="H667" s="4" t="inlineStr">
        <is>
          <t>Cái</t>
        </is>
      </c>
    </row>
    <row r="668">
      <c r="A668" s="3" t="n">
        <v>667</v>
      </c>
      <c r="B668" s="3" t="n">
        <v>31</v>
      </c>
      <c r="C668" s="4" t="inlineStr">
        <is>
          <t>TCT-R3-69/25 Ø69</t>
        </is>
      </c>
      <c r="D668" s="3" t="inlineStr">
        <is>
          <t>Cái</t>
        </is>
      </c>
      <c r="E668" s="5" t="n">
        <v>985000</v>
      </c>
      <c r="F668" s="5" t="n">
        <v>1162000</v>
      </c>
      <c r="G668" s="6" t="n">
        <v>1428000</v>
      </c>
      <c r="H668" s="4" t="inlineStr">
        <is>
          <t>Cái</t>
        </is>
      </c>
    </row>
    <row r="669">
      <c r="A669" s="3" t="n">
        <v>668</v>
      </c>
      <c r="B669" s="3" t="n">
        <v>31</v>
      </c>
      <c r="C669" s="4" t="inlineStr">
        <is>
          <t>TCT-R3-70/25 Ø70</t>
        </is>
      </c>
      <c r="D669" s="3" t="inlineStr">
        <is>
          <t>Cái</t>
        </is>
      </c>
      <c r="E669" s="5" t="n">
        <v>1007000</v>
      </c>
      <c r="F669" s="5" t="n">
        <v>1188000</v>
      </c>
      <c r="G669" s="6" t="n">
        <v>1460000</v>
      </c>
      <c r="H669" s="4" t="inlineStr">
        <is>
          <t>Cái</t>
        </is>
      </c>
    </row>
    <row r="670">
      <c r="A670" s="3" t="n">
        <v>669</v>
      </c>
      <c r="B670" s="3" t="n">
        <v>31</v>
      </c>
      <c r="C670" s="4" t="inlineStr">
        <is>
          <t>TCT-R3-75/25 Ø75</t>
        </is>
      </c>
      <c r="D670" s="3" t="inlineStr">
        <is>
          <t>Cái</t>
        </is>
      </c>
      <c r="E670" s="5" t="n">
        <v>1127000</v>
      </c>
      <c r="F670" s="5" t="n">
        <v>1330000</v>
      </c>
      <c r="G670" s="6" t="n">
        <v>1634000</v>
      </c>
      <c r="H670" s="4" t="inlineStr">
        <is>
          <t>Cái</t>
        </is>
      </c>
    </row>
    <row r="671">
      <c r="A671" s="3" t="n">
        <v>670</v>
      </c>
      <c r="B671" s="3" t="n">
        <v>31</v>
      </c>
      <c r="C671" s="4" t="inlineStr">
        <is>
          <t>TCT-R3-76/25 Ø76</t>
        </is>
      </c>
      <c r="D671" s="3" t="inlineStr">
        <is>
          <t>Cái</t>
        </is>
      </c>
      <c r="E671" s="5" t="n">
        <v>1127000</v>
      </c>
      <c r="F671" s="5" t="n">
        <v>1330000</v>
      </c>
      <c r="G671" s="6" t="n">
        <v>1634000</v>
      </c>
      <c r="H671" s="4" t="inlineStr">
        <is>
          <t>Cái</t>
        </is>
      </c>
    </row>
    <row r="672">
      <c r="A672" s="3" t="n">
        <v>671</v>
      </c>
      <c r="B672" s="3" t="n">
        <v>32</v>
      </c>
      <c r="C672" s="4" t="inlineStr">
        <is>
          <t>TCT-R3-80/25 Ø80</t>
        </is>
      </c>
      <c r="D672" s="3" t="inlineStr">
        <is>
          <t>Cái</t>
        </is>
      </c>
      <c r="E672" s="5" t="n">
        <v>1166000</v>
      </c>
      <c r="F672" s="5" t="n">
        <v>1376000</v>
      </c>
      <c r="G672" s="6" t="n">
        <v>1691000</v>
      </c>
      <c r="H672" s="4" t="inlineStr">
        <is>
          <t>Cái</t>
        </is>
      </c>
    </row>
    <row r="673">
      <c r="A673" s="3" t="n">
        <v>672</v>
      </c>
      <c r="B673" s="3" t="n">
        <v>32</v>
      </c>
      <c r="C673" s="4" t="inlineStr">
        <is>
          <t>TCT-R3-85/25 Ø85</t>
        </is>
      </c>
      <c r="D673" s="3" t="inlineStr">
        <is>
          <t>Cái</t>
        </is>
      </c>
      <c r="E673" s="5" t="n">
        <v>1227000</v>
      </c>
      <c r="F673" s="5" t="n">
        <v>1448000</v>
      </c>
      <c r="G673" s="6" t="n">
        <v>1779000</v>
      </c>
      <c r="H673" s="4" t="inlineStr">
        <is>
          <t>Cái</t>
        </is>
      </c>
    </row>
    <row r="674">
      <c r="A674" s="3" t="n">
        <v>673</v>
      </c>
      <c r="B674" s="3" t="n">
        <v>32</v>
      </c>
      <c r="C674" s="4" t="inlineStr">
        <is>
          <t>Mũi khoét hợp kim King Blue TCT-R3-90/25 Ø90</t>
        </is>
      </c>
      <c r="D674" s="3" t="inlineStr">
        <is>
          <t>Cái</t>
        </is>
      </c>
      <c r="E674" s="5" t="n">
        <v>1349000</v>
      </c>
      <c r="F674" s="5" t="n">
        <v>1592000</v>
      </c>
      <c r="G674" s="6" t="n">
        <v>1956000</v>
      </c>
      <c r="H674" s="4" t="inlineStr">
        <is>
          <t>Cái</t>
        </is>
      </c>
    </row>
    <row r="675">
      <c r="A675" s="3" t="n">
        <v>674</v>
      </c>
      <c r="B675" s="3" t="n">
        <v>32</v>
      </c>
      <c r="C675" s="4" t="inlineStr">
        <is>
          <t>TCT-R3-95/25 Ø95</t>
        </is>
      </c>
      <c r="D675" s="3" t="inlineStr">
        <is>
          <t>Cái</t>
        </is>
      </c>
      <c r="E675" s="5" t="n">
        <v>1695000</v>
      </c>
      <c r="F675" s="5" t="n">
        <v>2000000</v>
      </c>
      <c r="G675" s="6" t="n">
        <v>2458000</v>
      </c>
      <c r="H675" s="4" t="inlineStr">
        <is>
          <t>Cái</t>
        </is>
      </c>
    </row>
    <row r="676">
      <c r="A676" s="3" t="n">
        <v>675</v>
      </c>
      <c r="B676" s="3" t="n">
        <v>32</v>
      </c>
      <c r="C676" s="4" t="inlineStr">
        <is>
          <t>TCT-R3-100/25 Ø100</t>
        </is>
      </c>
      <c r="D676" s="3" t="inlineStr">
        <is>
          <t>Cái</t>
        </is>
      </c>
      <c r="E676" s="5" t="n">
        <v>1769000</v>
      </c>
      <c r="F676" s="5" t="n">
        <v>2087000</v>
      </c>
      <c r="G676" s="6" t="n">
        <v>2565000</v>
      </c>
      <c r="H676" s="4" t="inlineStr">
        <is>
          <t>Cái</t>
        </is>
      </c>
    </row>
    <row r="677">
      <c r="A677" s="3" t="n">
        <v>676</v>
      </c>
      <c r="B677" s="3" t="n">
        <v>32</v>
      </c>
      <c r="C677" s="4" t="inlineStr">
        <is>
          <t>TCT-R3-120/25 Ø120</t>
        </is>
      </c>
      <c r="D677" s="3" t="inlineStr">
        <is>
          <t>Cái</t>
        </is>
      </c>
      <c r="E677" s="5" t="n">
        <v>2393000</v>
      </c>
      <c r="F677" s="5" t="n">
        <v>2824000</v>
      </c>
      <c r="G677" s="6" t="n">
        <v>3470000</v>
      </c>
      <c r="H677" s="4" t="inlineStr">
        <is>
          <t>Cái</t>
        </is>
      </c>
    </row>
    <row r="678">
      <c r="A678" s="3" t="n">
        <v>677</v>
      </c>
      <c r="B678" s="3" t="n">
        <v>32</v>
      </c>
      <c r="C678" s="4" t="inlineStr">
        <is>
          <t>R2-16mm Ø16</t>
        </is>
      </c>
      <c r="D678" s="3" t="inlineStr">
        <is>
          <t>Cái</t>
        </is>
      </c>
      <c r="E678" s="5" t="n">
        <v>29000</v>
      </c>
      <c r="F678" s="5" t="n">
        <v>35000</v>
      </c>
      <c r="G678" s="6" t="n">
        <v>45000</v>
      </c>
      <c r="H678" s="4" t="inlineStr">
        <is>
          <t>Cái</t>
        </is>
      </c>
    </row>
    <row r="679">
      <c r="A679" s="3" t="n">
        <v>678</v>
      </c>
      <c r="B679" s="3" t="n">
        <v>32</v>
      </c>
      <c r="C679" s="4" t="inlineStr">
        <is>
          <t>R2-17mm Ø17</t>
        </is>
      </c>
      <c r="D679" s="3" t="inlineStr">
        <is>
          <t>Cái</t>
        </is>
      </c>
      <c r="E679" s="5" t="n">
        <v>32000</v>
      </c>
      <c r="F679" s="5" t="n">
        <v>39000</v>
      </c>
      <c r="G679" s="6" t="n">
        <v>50000</v>
      </c>
      <c r="H679" s="4" t="inlineStr">
        <is>
          <t>Cái</t>
        </is>
      </c>
    </row>
    <row r="680">
      <c r="A680" s="3" t="n">
        <v>679</v>
      </c>
      <c r="B680" s="3" t="n">
        <v>32</v>
      </c>
      <c r="C680" s="4" t="inlineStr">
        <is>
          <t>R2-18mm Ø18</t>
        </is>
      </c>
      <c r="D680" s="3" t="inlineStr">
        <is>
          <t>Cái</t>
        </is>
      </c>
      <c r="E680" s="5" t="n">
        <v>35000</v>
      </c>
      <c r="F680" s="5" t="n">
        <v>43000</v>
      </c>
      <c r="G680" s="6" t="n">
        <v>54000</v>
      </c>
      <c r="H680" s="4" t="inlineStr">
        <is>
          <t>Cái</t>
        </is>
      </c>
    </row>
    <row r="681">
      <c r="A681" s="3" t="n">
        <v>680</v>
      </c>
      <c r="B681" s="3" t="n">
        <v>32</v>
      </c>
      <c r="C681" s="4" t="inlineStr">
        <is>
          <t>R2-19mm Ø19</t>
        </is>
      </c>
      <c r="D681" s="3" t="inlineStr">
        <is>
          <t>Cái</t>
        </is>
      </c>
      <c r="E681" s="5" t="n">
        <v>37000</v>
      </c>
      <c r="F681" s="5" t="n">
        <v>45000</v>
      </c>
      <c r="G681" s="6" t="n">
        <v>57000</v>
      </c>
      <c r="H681" s="4" t="inlineStr">
        <is>
          <t>Cái</t>
        </is>
      </c>
    </row>
    <row r="682">
      <c r="A682" s="3" t="n">
        <v>681</v>
      </c>
      <c r="B682" s="3" t="n">
        <v>32</v>
      </c>
      <c r="C682" s="4" t="inlineStr">
        <is>
          <t>R2-20mm Ø20</t>
        </is>
      </c>
      <c r="D682" s="3" t="inlineStr">
        <is>
          <t>Cái</t>
        </is>
      </c>
      <c r="E682" s="5" t="n">
        <v>40000</v>
      </c>
      <c r="F682" s="5" t="n">
        <v>49000</v>
      </c>
      <c r="G682" s="6" t="n">
        <v>62000</v>
      </c>
      <c r="H682" s="4" t="inlineStr">
        <is>
          <t>Cái</t>
        </is>
      </c>
    </row>
    <row r="683">
      <c r="A683" s="3" t="n">
        <v>682</v>
      </c>
      <c r="B683" s="3" t="n">
        <v>32</v>
      </c>
      <c r="C683" s="4" t="inlineStr">
        <is>
          <t>R2-21mm Ø21</t>
        </is>
      </c>
      <c r="D683" s="3" t="inlineStr">
        <is>
          <t>Cái</t>
        </is>
      </c>
      <c r="E683" s="5" t="n">
        <v>41000</v>
      </c>
      <c r="F683" s="5" t="n">
        <v>50000</v>
      </c>
      <c r="G683" s="6" t="n">
        <v>64000</v>
      </c>
      <c r="H683" s="4" t="inlineStr">
        <is>
          <t>Cái</t>
        </is>
      </c>
    </row>
    <row r="684">
      <c r="A684" s="3" t="n">
        <v>683</v>
      </c>
      <c r="B684" s="3" t="n">
        <v>32</v>
      </c>
      <c r="C684" s="4" t="inlineStr">
        <is>
          <t>R2-22mm Ø22</t>
        </is>
      </c>
      <c r="D684" s="3" t="inlineStr">
        <is>
          <t>Cái</t>
        </is>
      </c>
      <c r="E684" s="5" t="n">
        <v>45000</v>
      </c>
      <c r="F684" s="5" t="n">
        <v>55000</v>
      </c>
      <c r="G684" s="6" t="n">
        <v>70000</v>
      </c>
      <c r="H684" s="4" t="inlineStr">
        <is>
          <t>Cái</t>
        </is>
      </c>
    </row>
    <row r="685">
      <c r="A685" s="3" t="n">
        <v>684</v>
      </c>
      <c r="B685" s="3" t="n">
        <v>32</v>
      </c>
      <c r="C685" s="4" t="inlineStr">
        <is>
          <t>R2-23mm Ø23</t>
        </is>
      </c>
      <c r="D685" s="3" t="inlineStr">
        <is>
          <t>Cái</t>
        </is>
      </c>
      <c r="E685" s="5" t="n">
        <v>47000</v>
      </c>
      <c r="F685" s="5" t="n">
        <v>57000</v>
      </c>
      <c r="G685" s="6" t="n">
        <v>73000</v>
      </c>
      <c r="H685" s="4" t="inlineStr">
        <is>
          <t>Cái</t>
        </is>
      </c>
    </row>
    <row r="686">
      <c r="A686" s="3" t="n">
        <v>685</v>
      </c>
      <c r="B686" s="3" t="n">
        <v>32</v>
      </c>
      <c r="C686" s="4" t="inlineStr">
        <is>
          <t>R2-25mm Ø25</t>
        </is>
      </c>
      <c r="D686" s="3" t="inlineStr">
        <is>
          <t>Cái</t>
        </is>
      </c>
      <c r="E686" s="5" t="n">
        <v>49000</v>
      </c>
      <c r="F686" s="5" t="n">
        <v>60000</v>
      </c>
      <c r="G686" s="6" t="n">
        <v>76000</v>
      </c>
      <c r="H686" s="4" t="inlineStr">
        <is>
          <t>Cái</t>
        </is>
      </c>
    </row>
    <row r="687">
      <c r="A687" s="3" t="n">
        <v>686</v>
      </c>
      <c r="B687" s="3" t="n">
        <v>32</v>
      </c>
      <c r="C687" s="4" t="inlineStr">
        <is>
          <t>R2-27mm Ø27</t>
        </is>
      </c>
      <c r="D687" s="3" t="inlineStr">
        <is>
          <t>Cái</t>
        </is>
      </c>
      <c r="E687" s="5" t="n">
        <v>53000</v>
      </c>
      <c r="F687" s="5" t="n">
        <v>65000</v>
      </c>
      <c r="G687" s="6" t="n">
        <v>82000</v>
      </c>
      <c r="H687" s="4" t="inlineStr">
        <is>
          <t>Cái</t>
        </is>
      </c>
    </row>
    <row r="688">
      <c r="A688" s="3" t="n">
        <v>687</v>
      </c>
      <c r="B688" s="3" t="n">
        <v>32</v>
      </c>
      <c r="C688" s="4" t="inlineStr">
        <is>
          <t>R2-32mm Ø32</t>
        </is>
      </c>
      <c r="D688" s="3" t="inlineStr">
        <is>
          <t>Cái</t>
        </is>
      </c>
      <c r="E688" s="5" t="n">
        <v>66000</v>
      </c>
      <c r="F688" s="5" t="n">
        <v>80000</v>
      </c>
      <c r="G688" s="6" t="n">
        <v>102000</v>
      </c>
      <c r="H688" s="4" t="inlineStr">
        <is>
          <t>Cái</t>
        </is>
      </c>
    </row>
    <row r="689">
      <c r="A689" s="3" t="n">
        <v>688</v>
      </c>
      <c r="B689" s="3" t="n">
        <v>32</v>
      </c>
      <c r="C689" s="4" t="inlineStr">
        <is>
          <t>R2-34mm Ø34</t>
        </is>
      </c>
      <c r="D689" s="3" t="inlineStr">
        <is>
          <t>Cái</t>
        </is>
      </c>
      <c r="E689" s="5" t="n">
        <v>68000</v>
      </c>
      <c r="F689" s="5" t="n">
        <v>83000</v>
      </c>
      <c r="G689" s="6" t="n">
        <v>105000</v>
      </c>
      <c r="H689" s="4" t="inlineStr">
        <is>
          <t>Cái</t>
        </is>
      </c>
    </row>
    <row r="690">
      <c r="A690" s="3" t="n">
        <v>689</v>
      </c>
      <c r="B690" s="3" t="n">
        <v>32</v>
      </c>
      <c r="C690" s="4" t="inlineStr">
        <is>
          <t>R2-40mm Ø40</t>
        </is>
      </c>
      <c r="D690" s="3" t="inlineStr">
        <is>
          <t>Cái</t>
        </is>
      </c>
      <c r="E690" s="5" t="n">
        <v>79000</v>
      </c>
      <c r="F690" s="5" t="n">
        <v>97000</v>
      </c>
      <c r="G690" s="6" t="n">
        <v>123000</v>
      </c>
      <c r="H690" s="4" t="inlineStr">
        <is>
          <t>Cái</t>
        </is>
      </c>
    </row>
    <row r="691">
      <c r="A691" s="3" t="n">
        <v>690</v>
      </c>
      <c r="B691" s="3" t="n">
        <v>32</v>
      </c>
      <c r="C691" s="4" t="inlineStr">
        <is>
          <t>R2-42mm Ø42</t>
        </is>
      </c>
      <c r="D691" s="3" t="inlineStr">
        <is>
          <t>Cái</t>
        </is>
      </c>
      <c r="E691" s="5" t="n">
        <v>84000</v>
      </c>
      <c r="F691" s="5" t="n">
        <v>102000</v>
      </c>
      <c r="G691" s="6" t="n">
        <v>130000</v>
      </c>
      <c r="H691" s="4" t="inlineStr">
        <is>
          <t>Cái</t>
        </is>
      </c>
    </row>
    <row r="692">
      <c r="A692" s="3" t="n">
        <v>691</v>
      </c>
      <c r="B692" s="3" t="n">
        <v>32</v>
      </c>
      <c r="C692" s="4" t="inlineStr">
        <is>
          <t>R2-50mm Ø50</t>
        </is>
      </c>
      <c r="D692" s="3" t="inlineStr">
        <is>
          <t>Cái</t>
        </is>
      </c>
      <c r="E692" s="5" t="n">
        <v>99000</v>
      </c>
      <c r="F692" s="5" t="n">
        <v>121000</v>
      </c>
      <c r="G692" s="6" t="n">
        <v>154000</v>
      </c>
      <c r="H692" s="4" t="inlineStr">
        <is>
          <t>Cái</t>
        </is>
      </c>
    </row>
    <row r="693">
      <c r="A693" s="3" t="n">
        <v>692</v>
      </c>
      <c r="B693" s="3" t="n">
        <v>32</v>
      </c>
      <c r="C693" s="4" t="inlineStr">
        <is>
          <t>R2-55mm Ø55</t>
        </is>
      </c>
      <c r="D693" s="3" t="inlineStr">
        <is>
          <t>Cái</t>
        </is>
      </c>
      <c r="E693" s="5" t="n">
        <v>109000</v>
      </c>
      <c r="F693" s="5" t="n">
        <v>133000</v>
      </c>
      <c r="G693" s="6" t="n">
        <v>169000</v>
      </c>
      <c r="H693" s="4" t="inlineStr">
        <is>
          <t>Cái</t>
        </is>
      </c>
    </row>
    <row r="694">
      <c r="A694" s="3" t="n">
        <v>693</v>
      </c>
      <c r="B694" s="3" t="n">
        <v>32</v>
      </c>
      <c r="C694" s="4" t="inlineStr">
        <is>
          <t>R2-60mm Ø60</t>
        </is>
      </c>
      <c r="D694" s="3" t="inlineStr">
        <is>
          <t>Cái</t>
        </is>
      </c>
      <c r="E694" s="5" t="n">
        <v>124000</v>
      </c>
      <c r="F694" s="5" t="n">
        <v>151000</v>
      </c>
      <c r="G694" s="6" t="n">
        <v>192000</v>
      </c>
      <c r="H694" s="4" t="inlineStr">
        <is>
          <t>Cái</t>
        </is>
      </c>
    </row>
    <row r="695">
      <c r="A695" s="3" t="n">
        <v>694</v>
      </c>
      <c r="B695" s="3" t="n">
        <v>33</v>
      </c>
      <c r="C695" s="4" t="inlineStr">
        <is>
          <t>TCT-M3-12 Ø12</t>
        </is>
      </c>
      <c r="D695" s="3" t="inlineStr">
        <is>
          <t>Cái</t>
        </is>
      </c>
      <c r="E695" s="5" t="n">
        <v>450000</v>
      </c>
      <c r="F695" s="5" t="n">
        <v>653000</v>
      </c>
      <c r="G695" s="6" t="n">
        <v>558000</v>
      </c>
      <c r="H695" s="4" t="inlineStr">
        <is>
          <t>Cái 1C/H</t>
        </is>
      </c>
    </row>
    <row r="696">
      <c r="A696" s="3" t="n">
        <v>695</v>
      </c>
      <c r="B696" s="3" t="n">
        <v>33</v>
      </c>
      <c r="C696" s="4" t="inlineStr">
        <is>
          <t>TCT-M3-13 Ø13</t>
        </is>
      </c>
      <c r="D696" s="3" t="inlineStr">
        <is>
          <t>Cái</t>
        </is>
      </c>
      <c r="E696" s="5" t="n">
        <v>450000</v>
      </c>
      <c r="F696" s="5" t="n">
        <v>653000</v>
      </c>
      <c r="G696" s="6" t="n">
        <v>558000</v>
      </c>
      <c r="H696" s="4" t="inlineStr">
        <is>
          <t>Cái 1C/H</t>
        </is>
      </c>
    </row>
    <row r="697">
      <c r="A697" s="3" t="n">
        <v>696</v>
      </c>
      <c r="B697" s="3" t="n">
        <v>33</v>
      </c>
      <c r="C697" s="4" t="inlineStr">
        <is>
          <t>TCT-M3-14 Ø14</t>
        </is>
      </c>
      <c r="D697" s="3" t="inlineStr">
        <is>
          <t>Cái</t>
        </is>
      </c>
      <c r="E697" s="5" t="n">
        <v>450000</v>
      </c>
      <c r="F697" s="5" t="n">
        <v>653000</v>
      </c>
      <c r="G697" s="6" t="n">
        <v>558000</v>
      </c>
      <c r="H697" s="4" t="inlineStr">
        <is>
          <t>Cái 1C/H</t>
        </is>
      </c>
    </row>
    <row r="698">
      <c r="A698" s="3" t="n">
        <v>697</v>
      </c>
      <c r="B698" s="3" t="n">
        <v>33</v>
      </c>
      <c r="C698" s="4" t="inlineStr">
        <is>
          <t>TCT-M3-15 Ø15</t>
        </is>
      </c>
      <c r="D698" s="3" t="inlineStr">
        <is>
          <t>Cái</t>
        </is>
      </c>
      <c r="E698" s="5" t="n">
        <v>450000</v>
      </c>
      <c r="F698" s="5" t="n">
        <v>653000</v>
      </c>
      <c r="G698" s="6" t="n">
        <v>558000</v>
      </c>
      <c r="H698" s="4" t="inlineStr">
        <is>
          <t>Cái 1C/H</t>
        </is>
      </c>
    </row>
    <row r="699">
      <c r="A699" s="3" t="n">
        <v>698</v>
      </c>
      <c r="B699" s="3" t="n">
        <v>33</v>
      </c>
      <c r="C699" s="4" t="inlineStr">
        <is>
          <t>TCT-M3-16 Ø16</t>
        </is>
      </c>
      <c r="D699" s="3" t="inlineStr">
        <is>
          <t>Cái</t>
        </is>
      </c>
      <c r="E699" s="5" t="n">
        <v>450000</v>
      </c>
      <c r="F699" s="5" t="n">
        <v>653000</v>
      </c>
      <c r="G699" s="6" t="n">
        <v>558000</v>
      </c>
      <c r="H699" s="4" t="inlineStr">
        <is>
          <t>Cái 1C/H</t>
        </is>
      </c>
    </row>
    <row r="700">
      <c r="A700" s="3" t="n">
        <v>699</v>
      </c>
      <c r="B700" s="3" t="n">
        <v>33</v>
      </c>
      <c r="C700" s="4" t="inlineStr">
        <is>
          <t>TCT-M3-17 Ø17</t>
        </is>
      </c>
      <c r="D700" s="3" t="inlineStr">
        <is>
          <t>Cái</t>
        </is>
      </c>
      <c r="E700" s="5" t="n">
        <v>450000</v>
      </c>
      <c r="F700" s="5" t="n">
        <v>653000</v>
      </c>
      <c r="G700" s="6" t="n">
        <v>558000</v>
      </c>
      <c r="H700" s="4" t="inlineStr">
        <is>
          <t>Cái 1C/H</t>
        </is>
      </c>
    </row>
    <row r="701">
      <c r="A701" s="3" t="n">
        <v>700</v>
      </c>
      <c r="B701" s="3" t="n">
        <v>33</v>
      </c>
      <c r="C701" s="4" t="inlineStr">
        <is>
          <t>Mũi khoan từ Kingblue TCT-M3-18 Ø18</t>
        </is>
      </c>
      <c r="D701" s="3" t="inlineStr">
        <is>
          <t>Cái</t>
        </is>
      </c>
      <c r="E701" s="5" t="n">
        <v>450000</v>
      </c>
      <c r="F701" s="5" t="n">
        <v>653000</v>
      </c>
      <c r="G701" s="6" t="n">
        <v>558000</v>
      </c>
      <c r="H701" s="4" t="inlineStr">
        <is>
          <t>Cái 1C/H</t>
        </is>
      </c>
    </row>
    <row r="702">
      <c r="A702" s="3" t="n">
        <v>701</v>
      </c>
      <c r="B702" s="3" t="n">
        <v>33</v>
      </c>
      <c r="C702" s="4" t="inlineStr">
        <is>
          <t>TCT-M3-19 Ø19</t>
        </is>
      </c>
      <c r="D702" s="3" t="inlineStr">
        <is>
          <t>Cái</t>
        </is>
      </c>
      <c r="E702" s="5" t="n">
        <v>450000</v>
      </c>
      <c r="F702" s="5" t="n">
        <v>653000</v>
      </c>
      <c r="G702" s="6" t="n">
        <v>558000</v>
      </c>
      <c r="H702" s="4" t="inlineStr">
        <is>
          <t>Cái 1C/H</t>
        </is>
      </c>
    </row>
    <row r="703">
      <c r="A703" s="3" t="n">
        <v>702</v>
      </c>
      <c r="B703" s="3" t="n">
        <v>33</v>
      </c>
      <c r="C703" s="4" t="inlineStr">
        <is>
          <t>TCT-M3-20 Ø20</t>
        </is>
      </c>
      <c r="D703" s="3" t="inlineStr">
        <is>
          <t>Cái</t>
        </is>
      </c>
      <c r="E703" s="5" t="n">
        <v>450000</v>
      </c>
      <c r="F703" s="5" t="n">
        <v>653000</v>
      </c>
      <c r="G703" s="6" t="n">
        <v>558000</v>
      </c>
      <c r="H703" s="4" t="inlineStr">
        <is>
          <t>Cái 1C/H</t>
        </is>
      </c>
    </row>
    <row r="704">
      <c r="A704" s="3" t="n">
        <v>703</v>
      </c>
      <c r="B704" s="3" t="n">
        <v>33</v>
      </c>
      <c r="C704" s="4" t="inlineStr">
        <is>
          <t>TCT-M3-21 Ø21</t>
        </is>
      </c>
      <c r="D704" s="3" t="inlineStr">
        <is>
          <t>Cái</t>
        </is>
      </c>
      <c r="E704" s="5" t="n">
        <v>450000</v>
      </c>
      <c r="F704" s="5" t="n">
        <v>653000</v>
      </c>
      <c r="G704" s="6" t="n">
        <v>558000</v>
      </c>
      <c r="H704" s="4" t="inlineStr">
        <is>
          <t>Cái 1C/H</t>
        </is>
      </c>
    </row>
    <row r="705">
      <c r="A705" s="3" t="n">
        <v>704</v>
      </c>
      <c r="B705" s="3" t="n">
        <v>33</v>
      </c>
      <c r="C705" s="4" t="inlineStr">
        <is>
          <t>TCT-M3-22 Ø22</t>
        </is>
      </c>
      <c r="D705" s="3" t="inlineStr">
        <is>
          <t>Cái</t>
        </is>
      </c>
      <c r="E705" s="5" t="n">
        <v>450000</v>
      </c>
      <c r="F705" s="5" t="n">
        <v>653000</v>
      </c>
      <c r="G705" s="6" t="n">
        <v>558000</v>
      </c>
      <c r="H705" s="4" t="inlineStr">
        <is>
          <t>Cái 1C/H</t>
        </is>
      </c>
    </row>
    <row r="706">
      <c r="A706" s="3" t="n">
        <v>705</v>
      </c>
      <c r="B706" s="3" t="n">
        <v>33</v>
      </c>
      <c r="C706" s="4" t="inlineStr">
        <is>
          <t>TCT-M3-23 Ø23</t>
        </is>
      </c>
      <c r="D706" s="3" t="inlineStr">
        <is>
          <t>Cái</t>
        </is>
      </c>
      <c r="E706" s="5" t="n">
        <v>450000</v>
      </c>
      <c r="F706" s="5" t="n">
        <v>653000</v>
      </c>
      <c r="G706" s="6" t="n">
        <v>558000</v>
      </c>
      <c r="H706" s="4" t="inlineStr">
        <is>
          <t>Cái 1C/H</t>
        </is>
      </c>
    </row>
    <row r="707">
      <c r="A707" s="3" t="n">
        <v>706</v>
      </c>
      <c r="B707" s="3" t="n">
        <v>33</v>
      </c>
      <c r="C707" s="4" t="inlineStr">
        <is>
          <t>TCT-M3-24 Ø24</t>
        </is>
      </c>
      <c r="D707" s="3" t="inlineStr">
        <is>
          <t>Cái</t>
        </is>
      </c>
      <c r="E707" s="5" t="n">
        <v>450000</v>
      </c>
      <c r="F707" s="5" t="n">
        <v>653000</v>
      </c>
      <c r="G707" s="6" t="n">
        <v>558000</v>
      </c>
      <c r="H707" s="4" t="inlineStr">
        <is>
          <t>Cái 1C/H</t>
        </is>
      </c>
    </row>
    <row r="708">
      <c r="A708" s="3" t="n">
        <v>707</v>
      </c>
      <c r="B708" s="3" t="n">
        <v>33</v>
      </c>
      <c r="C708" s="4" t="inlineStr">
        <is>
          <t>TCT-M3-25 Ø25</t>
        </is>
      </c>
      <c r="D708" s="3" t="inlineStr">
        <is>
          <t>Cái</t>
        </is>
      </c>
      <c r="E708" s="5" t="n">
        <v>450000</v>
      </c>
      <c r="F708" s="5" t="n">
        <v>653000</v>
      </c>
      <c r="G708" s="6" t="n">
        <v>558000</v>
      </c>
      <c r="H708" s="4" t="inlineStr">
        <is>
          <t>Cái 1C/H</t>
        </is>
      </c>
    </row>
    <row r="709">
      <c r="A709" s="3" t="n">
        <v>708</v>
      </c>
      <c r="B709" s="3" t="n">
        <v>33</v>
      </c>
      <c r="C709" s="4" t="inlineStr">
        <is>
          <t>TCT-M3-26 Ø26</t>
        </is>
      </c>
      <c r="D709" s="3" t="inlineStr">
        <is>
          <t>Cái</t>
        </is>
      </c>
      <c r="E709" s="5" t="n">
        <v>497000</v>
      </c>
      <c r="F709" s="5" t="n">
        <v>721000</v>
      </c>
      <c r="G709" s="6" t="n">
        <v>614000</v>
      </c>
      <c r="H709" s="4" t="inlineStr">
        <is>
          <t>Cái 1C/H</t>
        </is>
      </c>
    </row>
    <row r="710">
      <c r="A710" s="3" t="n">
        <v>709</v>
      </c>
      <c r="B710" s="3" t="n">
        <v>33</v>
      </c>
      <c r="C710" s="4" t="inlineStr">
        <is>
          <t>TCT-M3-27 Ø27</t>
        </is>
      </c>
      <c r="D710" s="3" t="inlineStr">
        <is>
          <t>Cái</t>
        </is>
      </c>
      <c r="E710" s="5" t="n">
        <v>497000</v>
      </c>
      <c r="F710" s="5" t="n">
        <v>721000</v>
      </c>
      <c r="G710" s="6" t="n">
        <v>614000</v>
      </c>
      <c r="H710" s="4" t="inlineStr">
        <is>
          <t>Cái 1C/H</t>
        </is>
      </c>
    </row>
    <row r="711">
      <c r="A711" s="3" t="n">
        <v>710</v>
      </c>
      <c r="B711" s="3" t="n">
        <v>33</v>
      </c>
      <c r="C711" s="4" t="inlineStr">
        <is>
          <t>TCT-M3-28 Ø28</t>
        </is>
      </c>
      <c r="D711" s="3" t="inlineStr">
        <is>
          <t>Cái</t>
        </is>
      </c>
      <c r="E711" s="5" t="n">
        <v>497000</v>
      </c>
      <c r="F711" s="5" t="n">
        <v>721000</v>
      </c>
      <c r="G711" s="6" t="n">
        <v>614000</v>
      </c>
      <c r="H711" s="4" t="inlineStr">
        <is>
          <t>Cái 1C/H</t>
        </is>
      </c>
    </row>
    <row r="712">
      <c r="A712" s="3" t="n">
        <v>711</v>
      </c>
      <c r="B712" s="3" t="n">
        <v>33</v>
      </c>
      <c r="C712" s="4" t="inlineStr">
        <is>
          <t>TCT-M3-29 Ø29</t>
        </is>
      </c>
      <c r="D712" s="3" t="inlineStr">
        <is>
          <t>Cái</t>
        </is>
      </c>
      <c r="E712" s="5" t="n">
        <v>497000</v>
      </c>
      <c r="F712" s="5" t="n">
        <v>721000</v>
      </c>
      <c r="G712" s="6" t="n">
        <v>614000</v>
      </c>
      <c r="H712" s="4" t="inlineStr">
        <is>
          <t>Cái 1C/H</t>
        </is>
      </c>
    </row>
    <row r="713">
      <c r="A713" s="3" t="n">
        <v>712</v>
      </c>
      <c r="B713" s="3" t="n">
        <v>33</v>
      </c>
      <c r="C713" s="4" t="inlineStr">
        <is>
          <t>TCT-M3-30 Ø30</t>
        </is>
      </c>
      <c r="D713" s="3" t="inlineStr">
        <is>
          <t>Cái</t>
        </is>
      </c>
      <c r="E713" s="5" t="n">
        <v>497000</v>
      </c>
      <c r="F713" s="5" t="n">
        <v>721000</v>
      </c>
      <c r="G713" s="6" t="n">
        <v>614000</v>
      </c>
      <c r="H713" s="4" t="inlineStr">
        <is>
          <t>Cái 1C/H</t>
        </is>
      </c>
    </row>
    <row r="714">
      <c r="A714" s="3" t="n">
        <v>713</v>
      </c>
      <c r="B714" s="3" t="n">
        <v>33</v>
      </c>
      <c r="C714" s="4" t="inlineStr">
        <is>
          <t>TCT-M3-31 Ø31</t>
        </is>
      </c>
      <c r="D714" s="3" t="inlineStr">
        <is>
          <t>Cái</t>
        </is>
      </c>
      <c r="E714" s="5" t="n">
        <v>589000</v>
      </c>
      <c r="F714" s="5" t="n">
        <v>854000</v>
      </c>
      <c r="G714" s="6" t="n">
        <v>754000</v>
      </c>
      <c r="H714" s="4" t="inlineStr">
        <is>
          <t>Cái 1C/H</t>
        </is>
      </c>
    </row>
    <row r="715">
      <c r="A715" s="3" t="n">
        <v>714</v>
      </c>
      <c r="B715" s="3" t="n">
        <v>33</v>
      </c>
      <c r="C715" s="4" t="inlineStr">
        <is>
          <t>TCT-M3-32 Ø32</t>
        </is>
      </c>
      <c r="D715" s="3" t="inlineStr">
        <is>
          <t>Cái</t>
        </is>
      </c>
      <c r="E715" s="5" t="n">
        <v>589000</v>
      </c>
      <c r="F715" s="5" t="n">
        <v>854000</v>
      </c>
      <c r="G715" s="6" t="n">
        <v>754000</v>
      </c>
      <c r="H715" s="4" t="inlineStr">
        <is>
          <t>Cái 1C/H</t>
        </is>
      </c>
    </row>
    <row r="716">
      <c r="A716" s="3" t="n">
        <v>715</v>
      </c>
      <c r="B716" s="3" t="n">
        <v>33</v>
      </c>
      <c r="C716" s="4" t="inlineStr">
        <is>
          <t>TCT-M3-33 Ø33</t>
        </is>
      </c>
      <c r="D716" s="3" t="inlineStr">
        <is>
          <t>Cái</t>
        </is>
      </c>
      <c r="E716" s="5" t="n">
        <v>589000</v>
      </c>
      <c r="F716" s="5" t="n">
        <v>854000</v>
      </c>
      <c r="G716" s="6" t="n">
        <v>754000</v>
      </c>
      <c r="H716" s="4" t="inlineStr">
        <is>
          <t>Cái 1C/H</t>
        </is>
      </c>
    </row>
    <row r="717">
      <c r="A717" s="3" t="n">
        <v>716</v>
      </c>
      <c r="B717" s="3" t="n">
        <v>34</v>
      </c>
      <c r="C717" s="4" t="inlineStr">
        <is>
          <t>TCT-M3-34 Ø34</t>
        </is>
      </c>
      <c r="D717" s="3" t="inlineStr">
        <is>
          <t>Cái</t>
        </is>
      </c>
      <c r="E717" s="5" t="n">
        <v>589000</v>
      </c>
      <c r="F717" s="5" t="n">
        <v>854000</v>
      </c>
      <c r="G717" s="6" t="n">
        <v>754000</v>
      </c>
      <c r="H717" s="4" t="inlineStr">
        <is>
          <t>Cái 1C/H</t>
        </is>
      </c>
    </row>
    <row r="718">
      <c r="A718" s="3" t="n">
        <v>717</v>
      </c>
      <c r="B718" s="3" t="n">
        <v>34</v>
      </c>
      <c r="C718" s="4" t="inlineStr">
        <is>
          <t>TCT-M3-35 Ø35</t>
        </is>
      </c>
      <c r="D718" s="3" t="inlineStr">
        <is>
          <t>Cái</t>
        </is>
      </c>
      <c r="E718" s="5" t="n">
        <v>589000</v>
      </c>
      <c r="F718" s="5" t="n">
        <v>854000</v>
      </c>
      <c r="G718" s="6" t="n">
        <v>754000</v>
      </c>
      <c r="H718" s="4" t="inlineStr">
        <is>
          <t>Cái 1C/H</t>
        </is>
      </c>
    </row>
    <row r="719">
      <c r="A719" s="3" t="n">
        <v>718</v>
      </c>
      <c r="B719" s="3" t="n">
        <v>34</v>
      </c>
      <c r="C719" s="4" t="inlineStr">
        <is>
          <t>TCT-M3-36 Ø36</t>
        </is>
      </c>
      <c r="D719" s="3" t="inlineStr">
        <is>
          <t>Cái</t>
        </is>
      </c>
      <c r="E719" s="5" t="n">
        <v>660000</v>
      </c>
      <c r="F719" s="5" t="n">
        <v>957000</v>
      </c>
      <c r="G719" s="6" t="n">
        <v>851000</v>
      </c>
      <c r="H719" s="4" t="inlineStr">
        <is>
          <t>Cái 1C/H</t>
        </is>
      </c>
    </row>
    <row r="720">
      <c r="A720" s="3" t="n">
        <v>719</v>
      </c>
      <c r="B720" s="3" t="n">
        <v>34</v>
      </c>
      <c r="C720" s="4" t="inlineStr">
        <is>
          <t>TCT-M3-37 Ø37</t>
        </is>
      </c>
      <c r="D720" s="3" t="inlineStr">
        <is>
          <t>Cái</t>
        </is>
      </c>
      <c r="E720" s="5" t="n">
        <v>660000</v>
      </c>
      <c r="F720" s="5" t="n">
        <v>957000</v>
      </c>
      <c r="G720" s="6" t="n">
        <v>851000</v>
      </c>
      <c r="H720" s="4" t="inlineStr">
        <is>
          <t>Cái 1C/H</t>
        </is>
      </c>
    </row>
    <row r="721">
      <c r="A721" s="3" t="n">
        <v>720</v>
      </c>
      <c r="B721" s="3" t="n">
        <v>34</v>
      </c>
      <c r="C721" s="4" t="inlineStr">
        <is>
          <t>TCT-M3-38 Ø38</t>
        </is>
      </c>
      <c r="D721" s="3" t="inlineStr">
        <is>
          <t>Cái</t>
        </is>
      </c>
      <c r="E721" s="5" t="n">
        <v>660000</v>
      </c>
      <c r="F721" s="5" t="n">
        <v>957000</v>
      </c>
      <c r="G721" s="6" t="n">
        <v>851000</v>
      </c>
      <c r="H721" s="4" t="inlineStr">
        <is>
          <t>Cái 1C/H</t>
        </is>
      </c>
    </row>
    <row r="722">
      <c r="A722" s="3" t="n">
        <v>721</v>
      </c>
      <c r="B722" s="3" t="n">
        <v>34</v>
      </c>
      <c r="C722" s="4" t="inlineStr">
        <is>
          <t>TCT-M3-39 Ø39</t>
        </is>
      </c>
      <c r="D722" s="3" t="inlineStr">
        <is>
          <t>Cái</t>
        </is>
      </c>
      <c r="E722" s="5" t="n">
        <v>660000</v>
      </c>
      <c r="F722" s="5" t="n">
        <v>957000</v>
      </c>
      <c r="G722" s="6" t="n">
        <v>851000</v>
      </c>
      <c r="H722" s="4" t="inlineStr">
        <is>
          <t>Cái 1C/H</t>
        </is>
      </c>
    </row>
    <row r="723">
      <c r="A723" s="3" t="n">
        <v>722</v>
      </c>
      <c r="B723" s="3" t="n">
        <v>34</v>
      </c>
      <c r="C723" s="4" t="inlineStr">
        <is>
          <t>TCT-M3-40 Ø40</t>
        </is>
      </c>
      <c r="D723" s="3" t="inlineStr">
        <is>
          <t>Cái</t>
        </is>
      </c>
      <c r="E723" s="5" t="n">
        <v>660000</v>
      </c>
      <c r="F723" s="5" t="n">
        <v>957000</v>
      </c>
      <c r="G723" s="6" t="n">
        <v>851000</v>
      </c>
      <c r="H723" s="4" t="inlineStr">
        <is>
          <t>Cái 1C/H</t>
        </is>
      </c>
    </row>
    <row r="724">
      <c r="A724" s="3" t="n">
        <v>723</v>
      </c>
      <c r="B724" s="3" t="n">
        <v>34</v>
      </c>
      <c r="C724" s="4" t="inlineStr">
        <is>
          <t>TCT-M3-41 Ø41</t>
        </is>
      </c>
      <c r="D724" s="3" t="inlineStr">
        <is>
          <t>Cái</t>
        </is>
      </c>
      <c r="E724" s="5" t="n">
        <v>706000</v>
      </c>
      <c r="F724" s="5" t="n">
        <v>1024000</v>
      </c>
      <c r="G724" s="6" t="n">
        <v>910000</v>
      </c>
      <c r="H724" s="4" t="inlineStr">
        <is>
          <t>Cái 1C/H</t>
        </is>
      </c>
    </row>
    <row r="725">
      <c r="A725" s="3" t="n">
        <v>724</v>
      </c>
      <c r="B725" s="3" t="n">
        <v>34</v>
      </c>
      <c r="C725" s="4" t="inlineStr">
        <is>
          <t>TCT-M3-42 Ø42</t>
        </is>
      </c>
      <c r="D725" s="3" t="inlineStr">
        <is>
          <t>Cái</t>
        </is>
      </c>
      <c r="E725" s="5" t="n">
        <v>706000</v>
      </c>
      <c r="F725" s="5" t="n">
        <v>1024000</v>
      </c>
      <c r="G725" s="6" t="n">
        <v>910000</v>
      </c>
      <c r="H725" s="4" t="inlineStr">
        <is>
          <t>Cái 1C/H</t>
        </is>
      </c>
    </row>
    <row r="726">
      <c r="A726" s="3" t="n">
        <v>725</v>
      </c>
      <c r="B726" s="3" t="n">
        <v>34</v>
      </c>
      <c r="C726" s="4" t="inlineStr">
        <is>
          <t>TCT-M3-43 Ø43</t>
        </is>
      </c>
      <c r="D726" s="3" t="inlineStr">
        <is>
          <t>Cái</t>
        </is>
      </c>
      <c r="E726" s="5" t="n">
        <v>706000</v>
      </c>
      <c r="F726" s="5" t="n">
        <v>1024000</v>
      </c>
      <c r="G726" s="6" t="n">
        <v>910000</v>
      </c>
      <c r="H726" s="4" t="inlineStr">
        <is>
          <t>Cái 1C/H</t>
        </is>
      </c>
    </row>
    <row r="727">
      <c r="A727" s="3" t="n">
        <v>726</v>
      </c>
      <c r="B727" s="3" t="n">
        <v>34</v>
      </c>
      <c r="C727" s="4" t="inlineStr">
        <is>
          <t>TCT-M3-44 Ø44</t>
        </is>
      </c>
      <c r="D727" s="3" t="inlineStr">
        <is>
          <t>Cái</t>
        </is>
      </c>
      <c r="E727" s="5" t="n">
        <v>706000</v>
      </c>
      <c r="F727" s="5" t="n">
        <v>1024000</v>
      </c>
      <c r="G727" s="6" t="n">
        <v>910000</v>
      </c>
      <c r="H727" s="4" t="inlineStr">
        <is>
          <t>Cái 1C/H</t>
        </is>
      </c>
    </row>
    <row r="728">
      <c r="A728" s="3" t="n">
        <v>727</v>
      </c>
      <c r="B728" s="3" t="n">
        <v>34</v>
      </c>
      <c r="C728" s="4" t="inlineStr">
        <is>
          <t>TCT-M3-45 Ø45</t>
        </is>
      </c>
      <c r="D728" s="3" t="inlineStr">
        <is>
          <t>Cái</t>
        </is>
      </c>
      <c r="E728" s="5" t="n">
        <v>706000</v>
      </c>
      <c r="F728" s="5" t="n">
        <v>1024000</v>
      </c>
      <c r="G728" s="6" t="n">
        <v>910000</v>
      </c>
      <c r="H728" s="4" t="inlineStr">
        <is>
          <t>Cái 1C/H</t>
        </is>
      </c>
    </row>
    <row r="729">
      <c r="A729" s="3" t="n">
        <v>728</v>
      </c>
      <c r="B729" s="3" t="n">
        <v>34</v>
      </c>
      <c r="C729" s="4" t="inlineStr">
        <is>
          <t>TCT-M3-46 Ø46</t>
        </is>
      </c>
      <c r="D729" s="3" t="inlineStr">
        <is>
          <t>Cái</t>
        </is>
      </c>
      <c r="E729" s="5" t="n">
        <v>777000</v>
      </c>
      <c r="F729" s="5" t="n">
        <v>1127000</v>
      </c>
      <c r="G729" s="6" t="n">
        <v>1003000</v>
      </c>
      <c r="H729" s="4" t="inlineStr">
        <is>
          <t>Cái 1C/H</t>
        </is>
      </c>
    </row>
    <row r="730">
      <c r="A730" s="3" t="n">
        <v>729</v>
      </c>
      <c r="B730" s="3" t="n">
        <v>34</v>
      </c>
      <c r="C730" s="4" t="inlineStr">
        <is>
          <t>TCT-M3-47 Ø47</t>
        </is>
      </c>
      <c r="D730" s="3" t="inlineStr">
        <is>
          <t>Cái</t>
        </is>
      </c>
      <c r="E730" s="5" t="n">
        <v>777000</v>
      </c>
      <c r="F730" s="5" t="n">
        <v>1127000</v>
      </c>
      <c r="G730" s="6" t="n">
        <v>1003000</v>
      </c>
      <c r="H730" s="4" t="inlineStr">
        <is>
          <t>Cái 1C/H</t>
        </is>
      </c>
    </row>
    <row r="731">
      <c r="A731" s="3" t="n">
        <v>730</v>
      </c>
      <c r="B731" s="3" t="n">
        <v>34</v>
      </c>
      <c r="C731" s="4" t="inlineStr">
        <is>
          <t>TCT-M3-48 Ø49</t>
        </is>
      </c>
      <c r="D731" s="3" t="inlineStr">
        <is>
          <t>Cái</t>
        </is>
      </c>
      <c r="E731" s="5" t="n">
        <v>777000</v>
      </c>
      <c r="F731" s="5" t="n">
        <v>1127000</v>
      </c>
      <c r="G731" s="6" t="n">
        <v>1003000</v>
      </c>
      <c r="H731" s="4" t="inlineStr">
        <is>
          <t>Cái 1C/H</t>
        </is>
      </c>
    </row>
    <row r="732">
      <c r="A732" s="3" t="n">
        <v>731</v>
      </c>
      <c r="B732" s="3" t="n">
        <v>34</v>
      </c>
      <c r="C732" s="4" t="inlineStr">
        <is>
          <t>TCT-M3-49 Ø49</t>
        </is>
      </c>
      <c r="D732" s="3" t="inlineStr">
        <is>
          <t>Cái</t>
        </is>
      </c>
      <c r="E732" s="5" t="n">
        <v>777000</v>
      </c>
      <c r="F732" s="5" t="n">
        <v>1127000</v>
      </c>
      <c r="G732" s="6" t="n">
        <v>1003000</v>
      </c>
      <c r="H732" s="4" t="inlineStr">
        <is>
          <t>Cái 1C/H</t>
        </is>
      </c>
    </row>
    <row r="733">
      <c r="A733" s="3" t="n">
        <v>732</v>
      </c>
      <c r="B733" s="3" t="n">
        <v>34</v>
      </c>
      <c r="C733" s="4" t="inlineStr">
        <is>
          <t>TCT-M3-50 Ø50</t>
        </is>
      </c>
      <c r="D733" s="3" t="inlineStr">
        <is>
          <t>Cái</t>
        </is>
      </c>
      <c r="E733" s="5" t="n">
        <v>777000</v>
      </c>
      <c r="F733" s="5" t="n">
        <v>1127000</v>
      </c>
      <c r="G733" s="6" t="n">
        <v>1003000</v>
      </c>
      <c r="H733" s="4" t="inlineStr">
        <is>
          <t>Cái 1C/H</t>
        </is>
      </c>
    </row>
    <row r="734">
      <c r="A734" s="3" t="n">
        <v>733</v>
      </c>
      <c r="B734" s="3" t="n">
        <v>34</v>
      </c>
      <c r="C734" s="4" t="inlineStr">
        <is>
          <t>TCT-M3-51 Ø51</t>
        </is>
      </c>
      <c r="D734" s="3" t="inlineStr">
        <is>
          <t>Cái</t>
        </is>
      </c>
      <c r="E734" s="5" t="n">
        <v>1096000</v>
      </c>
      <c r="F734" s="5" t="n">
        <v>1589000</v>
      </c>
      <c r="G734" s="6" t="n"/>
      <c r="H734" s="4" t="inlineStr">
        <is>
          <t>Cái 1C/H</t>
        </is>
      </c>
    </row>
    <row r="735">
      <c r="A735" s="3" t="n">
        <v>734</v>
      </c>
      <c r="B735" s="3" t="n">
        <v>34</v>
      </c>
      <c r="C735" s="4" t="inlineStr">
        <is>
          <t>Mũi khoan từ Kingblue TCT-M3-52 Ø52</t>
        </is>
      </c>
      <c r="D735" s="3" t="inlineStr">
        <is>
          <t>Cái</t>
        </is>
      </c>
      <c r="E735" s="5" t="n">
        <v>1096000</v>
      </c>
      <c r="F735" s="5" t="n">
        <v>1589000</v>
      </c>
      <c r="G735" s="6" t="n"/>
      <c r="H735" s="4" t="inlineStr">
        <is>
          <t>Cái 1C/H</t>
        </is>
      </c>
    </row>
    <row r="736">
      <c r="A736" s="3" t="n">
        <v>735</v>
      </c>
      <c r="B736" s="3" t="n">
        <v>34</v>
      </c>
      <c r="C736" s="4" t="inlineStr">
        <is>
          <t>TCT-M3-53 Ø53</t>
        </is>
      </c>
      <c r="D736" s="3" t="inlineStr">
        <is>
          <t>Cái</t>
        </is>
      </c>
      <c r="E736" s="5" t="n">
        <v>1096000</v>
      </c>
      <c r="F736" s="5" t="n">
        <v>1589000</v>
      </c>
      <c r="G736" s="6" t="n"/>
      <c r="H736" s="4" t="inlineStr">
        <is>
          <t>Cái 1C/H</t>
        </is>
      </c>
    </row>
    <row r="737">
      <c r="A737" s="3" t="n">
        <v>736</v>
      </c>
      <c r="B737" s="3" t="n">
        <v>34</v>
      </c>
      <c r="C737" s="4" t="inlineStr">
        <is>
          <t>TCT-M3-54 Ø54</t>
        </is>
      </c>
      <c r="D737" s="3" t="inlineStr">
        <is>
          <t>Cái</t>
        </is>
      </c>
      <c r="E737" s="5" t="n">
        <v>1096000</v>
      </c>
      <c r="F737" s="5" t="n">
        <v>1589000</v>
      </c>
      <c r="G737" s="6" t="n"/>
      <c r="H737" s="4" t="inlineStr">
        <is>
          <t>Cái 1C/H</t>
        </is>
      </c>
    </row>
    <row r="738">
      <c r="A738" s="3" t="n">
        <v>737</v>
      </c>
      <c r="B738" s="3" t="n">
        <v>34</v>
      </c>
      <c r="C738" s="4" t="inlineStr">
        <is>
          <t>TCT-M3-55 Ø55</t>
        </is>
      </c>
      <c r="D738" s="3" t="inlineStr">
        <is>
          <t>Cái</t>
        </is>
      </c>
      <c r="E738" s="5" t="n">
        <v>1096000</v>
      </c>
      <c r="F738" s="5" t="n">
        <v>1589000</v>
      </c>
      <c r="G738" s="6" t="n"/>
      <c r="H738" s="4" t="inlineStr">
        <is>
          <t>Cái 1C/H</t>
        </is>
      </c>
    </row>
    <row r="739">
      <c r="A739" s="3" t="n">
        <v>738</v>
      </c>
      <c r="B739" s="3" t="n">
        <v>34</v>
      </c>
      <c r="C739" s="4" t="inlineStr">
        <is>
          <t>TCT-M3-56 Ø56</t>
        </is>
      </c>
      <c r="D739" s="3" t="inlineStr">
        <is>
          <t>Cái</t>
        </is>
      </c>
      <c r="E739" s="5" t="n">
        <v>1190000</v>
      </c>
      <c r="F739" s="5" t="n">
        <v>1726000</v>
      </c>
      <c r="G739" s="6" t="n"/>
      <c r="H739" s="4" t="inlineStr">
        <is>
          <t>Cái 1C/H</t>
        </is>
      </c>
    </row>
    <row r="740">
      <c r="A740" s="3" t="n">
        <v>739</v>
      </c>
      <c r="B740" s="3" t="n">
        <v>34</v>
      </c>
      <c r="C740" s="4" t="inlineStr">
        <is>
          <t>TCT-M3-57 Ø57</t>
        </is>
      </c>
      <c r="D740" s="3" t="inlineStr">
        <is>
          <t>Cái</t>
        </is>
      </c>
      <c r="E740" s="5" t="n">
        <v>1190000</v>
      </c>
      <c r="F740" s="5" t="n">
        <v>1726000</v>
      </c>
      <c r="G740" s="6" t="n"/>
      <c r="H740" s="4" t="inlineStr">
        <is>
          <t>Cái 1C/H</t>
        </is>
      </c>
    </row>
    <row r="741">
      <c r="A741" s="3" t="n">
        <v>740</v>
      </c>
      <c r="B741" s="3" t="n">
        <v>34</v>
      </c>
      <c r="C741" s="4" t="inlineStr">
        <is>
          <t>TCT-M3-58 Ø58</t>
        </is>
      </c>
      <c r="D741" s="3" t="inlineStr">
        <is>
          <t>Cái</t>
        </is>
      </c>
      <c r="E741" s="5" t="n">
        <v>1190000</v>
      </c>
      <c r="F741" s="5" t="n">
        <v>1726000</v>
      </c>
      <c r="G741" s="6" t="n"/>
      <c r="H741" s="4" t="inlineStr">
        <is>
          <t>Cái 1C/H</t>
        </is>
      </c>
    </row>
    <row r="742">
      <c r="A742" s="3" t="n">
        <v>741</v>
      </c>
      <c r="B742" s="3" t="n">
        <v>35</v>
      </c>
      <c r="C742" s="4" t="inlineStr">
        <is>
          <t>TCT-M3-59 Ø59</t>
        </is>
      </c>
      <c r="D742" s="3" t="inlineStr">
        <is>
          <t>Cái</t>
        </is>
      </c>
      <c r="E742" s="5" t="n">
        <v>1190000</v>
      </c>
      <c r="F742" s="5" t="n">
        <v>1726000</v>
      </c>
      <c r="G742" s="6" t="n"/>
      <c r="H742" s="4" t="inlineStr">
        <is>
          <t>Cái 1C/H</t>
        </is>
      </c>
    </row>
    <row r="743">
      <c r="A743" s="3" t="n">
        <v>742</v>
      </c>
      <c r="B743" s="3" t="n">
        <v>35</v>
      </c>
      <c r="C743" s="4" t="inlineStr">
        <is>
          <t>TCT-M3-60 Ø60</t>
        </is>
      </c>
      <c r="D743" s="3" t="inlineStr">
        <is>
          <t>Cái</t>
        </is>
      </c>
      <c r="E743" s="5" t="n">
        <v>1190000</v>
      </c>
      <c r="F743" s="5" t="n">
        <v>1726000</v>
      </c>
      <c r="G743" s="6" t="n"/>
      <c r="H743" s="4" t="inlineStr">
        <is>
          <t>Cái 1C/H</t>
        </is>
      </c>
    </row>
    <row r="744">
      <c r="A744" s="3" t="n">
        <v>743</v>
      </c>
      <c r="B744" s="3" t="n">
        <v>35</v>
      </c>
      <c r="C744" s="4" t="inlineStr">
        <is>
          <t>TCT-M3-61 Ø61</t>
        </is>
      </c>
      <c r="D744" s="3" t="inlineStr">
        <is>
          <t>Cái</t>
        </is>
      </c>
      <c r="E744" s="5" t="n">
        <v>1422000</v>
      </c>
      <c r="F744" s="5" t="n">
        <v>2062000</v>
      </c>
      <c r="G744" s="6" t="n"/>
      <c r="H744" s="4" t="inlineStr">
        <is>
          <t>Cái 1C/H</t>
        </is>
      </c>
    </row>
    <row r="745">
      <c r="A745" s="3" t="n">
        <v>744</v>
      </c>
      <c r="B745" s="3" t="n">
        <v>35</v>
      </c>
      <c r="C745" s="4" t="inlineStr">
        <is>
          <t>TCT-M3-62 Ø62</t>
        </is>
      </c>
      <c r="D745" s="3" t="inlineStr">
        <is>
          <t>Cái</t>
        </is>
      </c>
      <c r="E745" s="5" t="n">
        <v>1422000</v>
      </c>
      <c r="F745" s="5" t="n">
        <v>2062000</v>
      </c>
      <c r="G745" s="6" t="n"/>
      <c r="H745" s="4" t="inlineStr">
        <is>
          <t>Cái 1C/H</t>
        </is>
      </c>
    </row>
    <row r="746">
      <c r="A746" s="3" t="n">
        <v>745</v>
      </c>
      <c r="B746" s="3" t="n">
        <v>35</v>
      </c>
      <c r="C746" s="4" t="inlineStr">
        <is>
          <t>TCT-M3-63 Ø63</t>
        </is>
      </c>
      <c r="D746" s="3" t="inlineStr">
        <is>
          <t>Cái</t>
        </is>
      </c>
      <c r="E746" s="5" t="n">
        <v>1422000</v>
      </c>
      <c r="F746" s="5" t="n">
        <v>2062000</v>
      </c>
      <c r="G746" s="6" t="n"/>
      <c r="H746" s="4" t="inlineStr">
        <is>
          <t>Cái 1C/H</t>
        </is>
      </c>
    </row>
    <row r="747">
      <c r="A747" s="3" t="n">
        <v>746</v>
      </c>
      <c r="B747" s="3" t="n">
        <v>35</v>
      </c>
      <c r="C747" s="4" t="inlineStr">
        <is>
          <t>TCT-M3-64 Ø64</t>
        </is>
      </c>
      <c r="D747" s="3" t="inlineStr">
        <is>
          <t>Cái</t>
        </is>
      </c>
      <c r="E747" s="5" t="n">
        <v>1422000</v>
      </c>
      <c r="F747" s="5" t="n">
        <v>2062000</v>
      </c>
      <c r="G747" s="6" t="n"/>
      <c r="H747" s="4" t="inlineStr">
        <is>
          <t>Cái 1C/H</t>
        </is>
      </c>
    </row>
    <row r="748">
      <c r="A748" s="3" t="n">
        <v>747</v>
      </c>
      <c r="B748" s="3" t="n">
        <v>35</v>
      </c>
      <c r="C748" s="4" t="inlineStr">
        <is>
          <t>TCT-M3-65 Ø65</t>
        </is>
      </c>
      <c r="D748" s="3" t="inlineStr">
        <is>
          <t>Cái</t>
        </is>
      </c>
      <c r="E748" s="5" t="n">
        <v>1422000</v>
      </c>
      <c r="F748" s="5" t="n">
        <v>2062000</v>
      </c>
      <c r="G748" s="6" t="n"/>
      <c r="H748" s="4" t="inlineStr">
        <is>
          <t>Cái 1C/H</t>
        </is>
      </c>
    </row>
    <row r="749">
      <c r="A749" s="3" t="n">
        <v>748</v>
      </c>
      <c r="B749" s="3" t="n">
        <v>35</v>
      </c>
      <c r="C749" s="4" t="inlineStr">
        <is>
          <t>TCT-WS-14/50 Ø14</t>
        </is>
      </c>
      <c r="D749" s="3" t="inlineStr">
        <is>
          <t>Cái</t>
        </is>
      </c>
      <c r="E749" s="5" t="n">
        <v>478000</v>
      </c>
      <c r="F749" s="5" t="n">
        <v>693000</v>
      </c>
      <c r="G749" s="6" t="n"/>
      <c r="H749" s="4" t="inlineStr">
        <is>
          <t>Cái 1C/H</t>
        </is>
      </c>
    </row>
    <row r="750">
      <c r="A750" s="3" t="n">
        <v>749</v>
      </c>
      <c r="B750" s="3" t="n">
        <v>35</v>
      </c>
      <c r="C750" s="4" t="inlineStr">
        <is>
          <t>TCT-WS-16/50 Ø16</t>
        </is>
      </c>
      <c r="D750" s="3" t="inlineStr">
        <is>
          <t>Cái</t>
        </is>
      </c>
      <c r="E750" s="5" t="n">
        <v>478000</v>
      </c>
      <c r="F750" s="5" t="n">
        <v>693000</v>
      </c>
      <c r="G750" s="6" t="n"/>
      <c r="H750" s="4" t="inlineStr">
        <is>
          <t>Cái 1C/H</t>
        </is>
      </c>
    </row>
    <row r="751">
      <c r="A751" s="3" t="n">
        <v>750</v>
      </c>
      <c r="B751" s="3" t="n">
        <v>35</v>
      </c>
      <c r="C751" s="4" t="inlineStr">
        <is>
          <t>TCT-WS-18/50 Ø18</t>
        </is>
      </c>
      <c r="D751" s="3" t="inlineStr">
        <is>
          <t>Cái</t>
        </is>
      </c>
      <c r="E751" s="5" t="n">
        <v>478000</v>
      </c>
      <c r="F751" s="5" t="n">
        <v>693000</v>
      </c>
      <c r="G751" s="6" t="n"/>
      <c r="H751" s="4" t="inlineStr">
        <is>
          <t>Cái 1C/H</t>
        </is>
      </c>
    </row>
    <row r="752">
      <c r="A752" s="3" t="n">
        <v>751</v>
      </c>
      <c r="B752" s="3" t="n">
        <v>36</v>
      </c>
      <c r="C752" s="4" t="inlineStr">
        <is>
          <t>KBB-006 Ø6</t>
        </is>
      </c>
      <c r="D752" s="3" t="inlineStr">
        <is>
          <t>Cái</t>
        </is>
      </c>
      <c r="E752" s="5" t="n">
        <v>7000</v>
      </c>
      <c r="F752" s="5" t="n">
        <v>9000</v>
      </c>
      <c r="G752" s="6" t="n">
        <v>12000</v>
      </c>
      <c r="H752" s="4" t="inlineStr">
        <is>
          <t>Cái 10c/H 280c/H</t>
        </is>
      </c>
    </row>
    <row r="753">
      <c r="A753" s="3" t="n">
        <v>752</v>
      </c>
      <c r="B753" s="3" t="n">
        <v>36</v>
      </c>
      <c r="C753" s="4" t="inlineStr">
        <is>
          <t>KBB-008 Ø8</t>
        </is>
      </c>
      <c r="D753" s="3" t="inlineStr">
        <is>
          <t>Cái</t>
        </is>
      </c>
      <c r="E753" s="5" t="n">
        <v>8000</v>
      </c>
      <c r="F753" s="5" t="n">
        <v>10000</v>
      </c>
      <c r="G753" s="6" t="n">
        <v>14000</v>
      </c>
      <c r="H753" s="4" t="inlineStr">
        <is>
          <t>Cái 10c/H 280c/H</t>
        </is>
      </c>
    </row>
    <row r="754">
      <c r="A754" s="3" t="n">
        <v>753</v>
      </c>
      <c r="B754" s="3" t="n">
        <v>36</v>
      </c>
      <c r="C754" s="4" t="inlineStr">
        <is>
          <t>KBB-010 Ø10</t>
        </is>
      </c>
      <c r="D754" s="3" t="inlineStr">
        <is>
          <t>Cái</t>
        </is>
      </c>
      <c r="E754" s="5" t="n">
        <v>11000</v>
      </c>
      <c r="F754" s="5" t="n">
        <v>15000</v>
      </c>
      <c r="G754" s="6" t="n">
        <v>20000</v>
      </c>
      <c r="H754" s="4" t="inlineStr">
        <is>
          <t>Cái 10c/H 280c/H</t>
        </is>
      </c>
    </row>
    <row r="755">
      <c r="A755" s="3" t="n">
        <v>754</v>
      </c>
      <c r="B755" s="3" t="n">
        <v>36</v>
      </c>
      <c r="C755" s="4" t="inlineStr">
        <is>
          <t>KBB-012 Ø12</t>
        </is>
      </c>
      <c r="D755" s="3" t="inlineStr">
        <is>
          <t>Cái</t>
        </is>
      </c>
      <c r="E755" s="5" t="n">
        <v>13000</v>
      </c>
      <c r="F755" s="5" t="n">
        <v>16000</v>
      </c>
      <c r="G755" s="6" t="n">
        <v>21000</v>
      </c>
      <c r="H755" s="4" t="inlineStr">
        <is>
          <t>Cái 10c/H 150c/H</t>
        </is>
      </c>
    </row>
    <row r="756">
      <c r="A756" s="3" t="n">
        <v>755</v>
      </c>
      <c r="B756" s="3" t="n">
        <v>36</v>
      </c>
      <c r="C756" s="4" t="inlineStr">
        <is>
          <t>KBB-014 Ø14</t>
        </is>
      </c>
      <c r="D756" s="3" t="inlineStr">
        <is>
          <t>Cái</t>
        </is>
      </c>
      <c r="E756" s="5" t="n">
        <v>15000</v>
      </c>
      <c r="F756" s="5" t="n">
        <v>19000</v>
      </c>
      <c r="G756" s="6" t="n">
        <v>24000</v>
      </c>
      <c r="H756" s="4" t="inlineStr">
        <is>
          <t>Cái 6c/H 168c/H</t>
        </is>
      </c>
    </row>
    <row r="757">
      <c r="A757" s="3" t="n">
        <v>756</v>
      </c>
      <c r="B757" s="3" t="n">
        <v>36</v>
      </c>
      <c r="C757" s="4" t="inlineStr">
        <is>
          <t>KBB-016 Ø16</t>
        </is>
      </c>
      <c r="D757" s="3" t="inlineStr">
        <is>
          <t>Cái</t>
        </is>
      </c>
      <c r="E757" s="5" t="n">
        <v>17000</v>
      </c>
      <c r="F757" s="5" t="n">
        <v>21000</v>
      </c>
      <c r="G757" s="6" t="n">
        <v>28000</v>
      </c>
      <c r="H757" s="4" t="inlineStr">
        <is>
          <t>Cái 6c/H 108c/H</t>
        </is>
      </c>
    </row>
    <row r="758">
      <c r="A758" s="3" t="n">
        <v>757</v>
      </c>
      <c r="B758" s="3" t="n">
        <v>36</v>
      </c>
      <c r="C758" s="4" t="inlineStr">
        <is>
          <t>KBB-018 Ø18</t>
        </is>
      </c>
      <c r="D758" s="3" t="inlineStr">
        <is>
          <t>Cái</t>
        </is>
      </c>
      <c r="E758" s="5" t="n">
        <v>19000</v>
      </c>
      <c r="F758" s="5" t="n">
        <v>23000</v>
      </c>
      <c r="G758" s="6" t="n">
        <v>30000</v>
      </c>
      <c r="H758" s="4" t="inlineStr">
        <is>
          <t>Cái 6c/H 90c/H</t>
        </is>
      </c>
    </row>
    <row r="759">
      <c r="A759" s="3" t="n">
        <v>758</v>
      </c>
      <c r="B759" s="3" t="n">
        <v>36</v>
      </c>
      <c r="C759" s="4" t="inlineStr">
        <is>
          <t>KBB-020 Ø20</t>
        </is>
      </c>
      <c r="D759" s="3" t="inlineStr">
        <is>
          <t>Cái</t>
        </is>
      </c>
      <c r="E759" s="5" t="n">
        <v>21000</v>
      </c>
      <c r="F759" s="5" t="n">
        <v>27000</v>
      </c>
      <c r="G759" s="6" t="n">
        <v>36000</v>
      </c>
      <c r="H759" s="4" t="inlineStr">
        <is>
          <t>Cái 6c/H 72c/H</t>
        </is>
      </c>
    </row>
    <row r="760">
      <c r="A760" s="3" t="n">
        <v>759</v>
      </c>
      <c r="B760" s="3" t="n">
        <v>36</v>
      </c>
      <c r="C760" s="4" t="inlineStr">
        <is>
          <t>KBB-021 Ø21</t>
        </is>
      </c>
      <c r="D760" s="3" t="inlineStr">
        <is>
          <t>Cái</t>
        </is>
      </c>
      <c r="E760" s="5" t="n">
        <v>22000</v>
      </c>
      <c r="F760" s="5" t="n">
        <v>28000</v>
      </c>
      <c r="G760" s="6" t="n">
        <v>37000</v>
      </c>
      <c r="H760" s="4" t="inlineStr">
        <is>
          <t>Cái 6c/H 72c/H</t>
        </is>
      </c>
    </row>
    <row r="761">
      <c r="A761" s="3" t="n">
        <v>760</v>
      </c>
      <c r="B761" s="3" t="n">
        <v>36</v>
      </c>
      <c r="C761" s="4" t="inlineStr">
        <is>
          <t>KBB-022 Ø22</t>
        </is>
      </c>
      <c r="D761" s="3" t="inlineStr">
        <is>
          <t>Cái</t>
        </is>
      </c>
      <c r="E761" s="5" t="n">
        <v>23000</v>
      </c>
      <c r="F761" s="5" t="n">
        <v>29000</v>
      </c>
      <c r="G761" s="6" t="n">
        <v>38000</v>
      </c>
      <c r="H761" s="4" t="inlineStr">
        <is>
          <t>Cái 6c/H 72c/H</t>
        </is>
      </c>
    </row>
    <row r="762">
      <c r="A762" s="3" t="n">
        <v>761</v>
      </c>
      <c r="B762" s="3" t="n">
        <v>36</v>
      </c>
      <c r="C762" s="4" t="inlineStr">
        <is>
          <t>KBB-025 Ø25</t>
        </is>
      </c>
      <c r="D762" s="3" t="inlineStr">
        <is>
          <t>Cái</t>
        </is>
      </c>
      <c r="E762" s="5" t="n">
        <v>25000</v>
      </c>
      <c r="F762" s="5" t="n">
        <v>32000</v>
      </c>
      <c r="G762" s="6" t="n">
        <v>42000</v>
      </c>
      <c r="H762" s="4" t="inlineStr">
        <is>
          <t>Cái 6c/H 36c/H</t>
        </is>
      </c>
    </row>
    <row r="763">
      <c r="A763" s="3" t="n">
        <v>762</v>
      </c>
      <c r="B763" s="3" t="n">
        <v>36</v>
      </c>
      <c r="C763" s="4" t="inlineStr">
        <is>
          <t>KBB-027 Ø27</t>
        </is>
      </c>
      <c r="D763" s="3" t="inlineStr">
        <is>
          <t>Cái</t>
        </is>
      </c>
      <c r="E763" s="5" t="n">
        <v>27000</v>
      </c>
      <c r="F763" s="5" t="n">
        <v>34000</v>
      </c>
      <c r="G763" s="6" t="n">
        <v>45000</v>
      </c>
      <c r="H763" s="4" t="inlineStr">
        <is>
          <t>Cái 6c/H 36c/H</t>
        </is>
      </c>
    </row>
    <row r="764">
      <c r="A764" s="3" t="n">
        <v>763</v>
      </c>
      <c r="B764" s="3" t="n">
        <v>36</v>
      </c>
      <c r="C764" s="4" t="inlineStr">
        <is>
          <t>KBB-030 Ø30</t>
        </is>
      </c>
      <c r="D764" s="3" t="inlineStr">
        <is>
          <t>Cái</t>
        </is>
      </c>
      <c r="E764" s="5" t="n">
        <v>30000</v>
      </c>
      <c r="F764" s="5" t="n">
        <v>38000</v>
      </c>
      <c r="G764" s="6" t="n">
        <v>50000</v>
      </c>
      <c r="H764" s="4" t="inlineStr">
        <is>
          <t>Cái 2c/H 30c/H</t>
        </is>
      </c>
    </row>
    <row r="765">
      <c r="A765" s="3" t="n">
        <v>764</v>
      </c>
      <c r="B765" s="3" t="n">
        <v>36</v>
      </c>
      <c r="C765" s="4" t="inlineStr">
        <is>
          <t>KBB-032 Ø32</t>
        </is>
      </c>
      <c r="D765" s="3" t="inlineStr">
        <is>
          <t>Cái</t>
        </is>
      </c>
      <c r="E765" s="5" t="n">
        <v>34000</v>
      </c>
      <c r="F765" s="5" t="n">
        <v>42000</v>
      </c>
      <c r="G765" s="6" t="n">
        <v>54000</v>
      </c>
      <c r="H765" s="4" t="inlineStr">
        <is>
          <t>Cái 2c/H 30c/H</t>
        </is>
      </c>
    </row>
    <row r="766">
      <c r="A766" s="3" t="n">
        <v>765</v>
      </c>
      <c r="B766" s="3" t="n">
        <v>36</v>
      </c>
      <c r="C766" s="4" t="inlineStr">
        <is>
          <t>KBB-034 Ø34</t>
        </is>
      </c>
      <c r="D766" s="3" t="inlineStr">
        <is>
          <t>Cái</t>
        </is>
      </c>
      <c r="E766" s="5" t="n">
        <v>35000</v>
      </c>
      <c r="F766" s="5" t="n">
        <v>44000</v>
      </c>
      <c r="G766" s="6" t="n">
        <v>58000</v>
      </c>
      <c r="H766" s="4" t="inlineStr">
        <is>
          <t>Cái 2c/H 30c/H</t>
        </is>
      </c>
    </row>
    <row r="767">
      <c r="A767" s="3" t="n">
        <v>766</v>
      </c>
      <c r="B767" s="3" t="n">
        <v>36</v>
      </c>
      <c r="C767" s="4" t="inlineStr">
        <is>
          <t>KBB-035 Ø35</t>
        </is>
      </c>
      <c r="D767" s="3" t="inlineStr">
        <is>
          <t>Cái</t>
        </is>
      </c>
      <c r="E767" s="5" t="n">
        <v>36000</v>
      </c>
      <c r="F767" s="5" t="n">
        <v>45000</v>
      </c>
      <c r="G767" s="6" t="n">
        <v>58000</v>
      </c>
      <c r="H767" s="4" t="inlineStr">
        <is>
          <t>Cái 2c/H 30c/H</t>
        </is>
      </c>
    </row>
    <row r="768">
      <c r="A768" s="3" t="n">
        <v>767</v>
      </c>
      <c r="B768" s="3" t="n">
        <v>36</v>
      </c>
      <c r="C768" s="4" t="inlineStr">
        <is>
          <t>KBB-040 Ø40</t>
        </is>
      </c>
      <c r="D768" s="3" t="inlineStr">
        <is>
          <t>Cái</t>
        </is>
      </c>
      <c r="E768" s="5" t="n">
        <v>41000</v>
      </c>
      <c r="F768" s="5" t="n">
        <v>51000</v>
      </c>
      <c r="G768" s="6" t="n">
        <v>66000</v>
      </c>
      <c r="H768" s="4" t="inlineStr">
        <is>
          <t>Cái 2c/H 24c/H</t>
        </is>
      </c>
    </row>
    <row r="769">
      <c r="A769" s="3" t="n">
        <v>768</v>
      </c>
      <c r="B769" s="3" t="n">
        <v>36</v>
      </c>
      <c r="C769" s="4" t="inlineStr">
        <is>
          <t>KBB-042 Ø42</t>
        </is>
      </c>
      <c r="D769" s="3" t="inlineStr">
        <is>
          <t>Cái</t>
        </is>
      </c>
      <c r="E769" s="5" t="n">
        <v>43000</v>
      </c>
      <c r="F769" s="5" t="n">
        <v>54000</v>
      </c>
      <c r="G769" s="6" t="n">
        <v>71000</v>
      </c>
      <c r="H769" s="4" t="inlineStr">
        <is>
          <t>Cái 2c/H 24c/H</t>
        </is>
      </c>
    </row>
    <row r="770">
      <c r="A770" s="3" t="n">
        <v>769</v>
      </c>
      <c r="B770" s="3" t="n">
        <v>36</v>
      </c>
      <c r="C770" s="4" t="inlineStr">
        <is>
          <t>KBB-045 Ø45</t>
        </is>
      </c>
      <c r="D770" s="3" t="inlineStr">
        <is>
          <t>Cái</t>
        </is>
      </c>
      <c r="E770" s="5" t="n">
        <v>46000</v>
      </c>
      <c r="F770" s="5" t="n">
        <v>58000</v>
      </c>
      <c r="G770" s="6" t="n">
        <v>76000</v>
      </c>
      <c r="H770" s="4" t="inlineStr">
        <is>
          <t>Cái 2c/H 12c/H</t>
        </is>
      </c>
    </row>
    <row r="771">
      <c r="A771" s="3" t="n">
        <v>770</v>
      </c>
      <c r="B771" s="3" t="n">
        <v>36</v>
      </c>
      <c r="C771" s="4" t="inlineStr">
        <is>
          <t>KBB-048 Ø48</t>
        </is>
      </c>
      <c r="D771" s="3" t="inlineStr">
        <is>
          <t>Cái</t>
        </is>
      </c>
      <c r="E771" s="5" t="n">
        <v>48000</v>
      </c>
      <c r="F771" s="5" t="n">
        <v>61000</v>
      </c>
      <c r="G771" s="6" t="n">
        <v>80000</v>
      </c>
      <c r="H771" s="4" t="inlineStr">
        <is>
          <t>Cái 2c/H 12c/H</t>
        </is>
      </c>
    </row>
    <row r="772">
      <c r="A772" s="3" t="n">
        <v>771</v>
      </c>
      <c r="B772" s="3" t="n">
        <v>36</v>
      </c>
      <c r="C772" s="4" t="inlineStr">
        <is>
          <t>KBB-049 Ø49</t>
        </is>
      </c>
      <c r="D772" s="3" t="inlineStr">
        <is>
          <t>Cái</t>
        </is>
      </c>
      <c r="E772" s="5" t="n">
        <v>49000</v>
      </c>
      <c r="F772" s="5" t="n">
        <v>62000</v>
      </c>
      <c r="G772" s="6" t="n">
        <v>81000</v>
      </c>
      <c r="H772" s="4" t="inlineStr">
        <is>
          <t>Cái 2c/H 12c/H</t>
        </is>
      </c>
    </row>
    <row r="773">
      <c r="A773" s="3" t="n">
        <v>772</v>
      </c>
      <c r="B773" s="3" t="n">
        <v>36</v>
      </c>
      <c r="C773" s="4" t="inlineStr">
        <is>
          <t>KBB-050 Ø50</t>
        </is>
      </c>
      <c r="D773" s="3" t="inlineStr">
        <is>
          <t>Cái</t>
        </is>
      </c>
      <c r="E773" s="5" t="n">
        <v>50000</v>
      </c>
      <c r="F773" s="5" t="n">
        <v>63000</v>
      </c>
      <c r="G773" s="6" t="n">
        <v>83000</v>
      </c>
      <c r="H773" s="4" t="inlineStr">
        <is>
          <t>Cái 2c/H 12c/H</t>
        </is>
      </c>
    </row>
    <row r="774">
      <c r="A774" s="3" t="n">
        <v>773</v>
      </c>
      <c r="B774" s="3" t="n">
        <v>36</v>
      </c>
      <c r="C774" s="4" t="inlineStr">
        <is>
          <t>KBB-055 Ø55</t>
        </is>
      </c>
      <c r="D774" s="3" t="inlineStr">
        <is>
          <t>Cái</t>
        </is>
      </c>
      <c r="E774" s="5" t="n">
        <v>57000</v>
      </c>
      <c r="F774" s="5" t="n">
        <v>71000</v>
      </c>
      <c r="G774" s="6" t="n">
        <v>91000</v>
      </c>
      <c r="H774" s="4" t="inlineStr">
        <is>
          <t>Cái 2c/H 12c/H</t>
        </is>
      </c>
    </row>
    <row r="775">
      <c r="A775" s="3" t="n">
        <v>774</v>
      </c>
      <c r="B775" s="3" t="n">
        <v>36</v>
      </c>
      <c r="C775" s="4" t="inlineStr">
        <is>
          <t>KBB-060 Ø60</t>
        </is>
      </c>
      <c r="D775" s="3" t="inlineStr">
        <is>
          <t>Cái</t>
        </is>
      </c>
      <c r="E775" s="5" t="n">
        <v>61000</v>
      </c>
      <c r="F775" s="5" t="n">
        <v>76000</v>
      </c>
      <c r="G775" s="6" t="n">
        <v>98000</v>
      </c>
      <c r="H775" s="4" t="inlineStr">
        <is>
          <t>Cái 2c/H 12c/H</t>
        </is>
      </c>
    </row>
    <row r="776">
      <c r="A776" s="3" t="n">
        <v>775</v>
      </c>
      <c r="B776" s="3" t="n">
        <v>36</v>
      </c>
      <c r="C776" s="4" t="inlineStr">
        <is>
          <t>KBB-065 Ø65</t>
        </is>
      </c>
      <c r="D776" s="3" t="inlineStr">
        <is>
          <t>Cái</t>
        </is>
      </c>
      <c r="E776" s="5" t="n">
        <v>66000</v>
      </c>
      <c r="F776" s="5" t="n">
        <v>83000</v>
      </c>
      <c r="G776" s="6" t="n">
        <v>109000</v>
      </c>
      <c r="H776" s="4" t="inlineStr">
        <is>
          <t>Cái 2c/H 12c/H</t>
        </is>
      </c>
    </row>
    <row r="777">
      <c r="A777" s="3" t="n">
        <v>776</v>
      </c>
      <c r="B777" s="3" t="n">
        <v>36</v>
      </c>
      <c r="C777" s="4" t="inlineStr">
        <is>
          <t>KBB-070 Ø70</t>
        </is>
      </c>
      <c r="D777" s="3" t="inlineStr">
        <is>
          <t>Cái</t>
        </is>
      </c>
      <c r="E777" s="5" t="n">
        <v>89000</v>
      </c>
      <c r="F777" s="5" t="n">
        <v>112000</v>
      </c>
      <c r="G777" s="6" t="n">
        <v>147000</v>
      </c>
      <c r="H777" s="4" t="inlineStr">
        <is>
          <t>Cái 2c/H 6c/H</t>
        </is>
      </c>
    </row>
    <row r="778">
      <c r="A778" s="3" t="n">
        <v>777</v>
      </c>
      <c r="B778" s="3" t="n">
        <v>36</v>
      </c>
      <c r="C778" s="4" t="inlineStr">
        <is>
          <t>KBB-075 Ø75</t>
        </is>
      </c>
      <c r="D778" s="3" t="inlineStr">
        <is>
          <t>Cái</t>
        </is>
      </c>
      <c r="E778" s="5" t="n">
        <v>96000</v>
      </c>
      <c r="F778" s="5" t="n">
        <v>119000</v>
      </c>
      <c r="G778" s="6" t="n">
        <v>154000</v>
      </c>
      <c r="H778" s="4" t="inlineStr">
        <is>
          <t>Cái 2c/H 4c/H</t>
        </is>
      </c>
    </row>
    <row r="779">
      <c r="A779" s="3" t="n">
        <v>778</v>
      </c>
      <c r="B779" s="3" t="n">
        <v>36</v>
      </c>
      <c r="C779" s="4" t="inlineStr">
        <is>
          <t>KBB-080 Ø80</t>
        </is>
      </c>
      <c r="D779" s="3" t="inlineStr">
        <is>
          <t>Cái</t>
        </is>
      </c>
      <c r="E779" s="5" t="n">
        <v>102000</v>
      </c>
      <c r="F779" s="5" t="n">
        <v>127000</v>
      </c>
      <c r="G779" s="6" t="n">
        <v>165000</v>
      </c>
      <c r="H779" s="4" t="inlineStr">
        <is>
          <t>Cái 2c/H 4c/H</t>
        </is>
      </c>
    </row>
    <row r="780">
      <c r="A780" s="3" t="n">
        <v>779</v>
      </c>
      <c r="B780" s="3" t="n">
        <v>36</v>
      </c>
      <c r="C780" s="4" t="inlineStr">
        <is>
          <t>KBB-090 Ø90</t>
        </is>
      </c>
      <c r="D780" s="3" t="inlineStr">
        <is>
          <t>Cái</t>
        </is>
      </c>
      <c r="E780" s="5" t="n">
        <v>114000</v>
      </c>
      <c r="F780" s="5" t="n">
        <v>144000</v>
      </c>
      <c r="G780" s="6" t="n">
        <v>188000</v>
      </c>
      <c r="H780" s="4" t="inlineStr">
        <is>
          <t>Cái 2c/H 4c/H</t>
        </is>
      </c>
    </row>
    <row r="781">
      <c r="A781" s="3" t="n">
        <v>780</v>
      </c>
      <c r="B781" s="3" t="n">
        <v>36</v>
      </c>
      <c r="C781" s="4" t="inlineStr">
        <is>
          <t>KBB-095 Ø95</t>
        </is>
      </c>
      <c r="D781" s="3" t="inlineStr">
        <is>
          <t>Cái</t>
        </is>
      </c>
      <c r="E781" s="5" t="n">
        <v>122000</v>
      </c>
      <c r="F781" s="5" t="n">
        <v>152000</v>
      </c>
      <c r="G781" s="6" t="n">
        <v>197000</v>
      </c>
      <c r="H781" s="4" t="inlineStr">
        <is>
          <t>Cái 2c/H 4c/H</t>
        </is>
      </c>
    </row>
    <row r="782">
      <c r="A782" s="3" t="n">
        <v>781</v>
      </c>
      <c r="B782" s="3" t="n">
        <v>37</v>
      </c>
      <c r="C782" s="4" t="inlineStr">
        <is>
          <t>KKB-006 Ø6</t>
        </is>
      </c>
      <c r="D782" s="3" t="inlineStr">
        <is>
          <t>Cái</t>
        </is>
      </c>
      <c r="E782" s="5" t="n">
        <v>9000</v>
      </c>
      <c r="F782" s="5" t="n">
        <v>11000</v>
      </c>
      <c r="G782" s="6" t="n">
        <v>15000</v>
      </c>
      <c r="H782" s="4" t="inlineStr">
        <is>
          <t>Cái 10c/H 280c/H</t>
        </is>
      </c>
    </row>
    <row r="783">
      <c r="A783" s="3" t="n">
        <v>782</v>
      </c>
      <c r="B783" s="3" t="n">
        <v>37</v>
      </c>
      <c r="C783" s="4" t="inlineStr">
        <is>
          <t>KKB-008 Ø8</t>
        </is>
      </c>
      <c r="D783" s="3" t="inlineStr">
        <is>
          <t>Cái</t>
        </is>
      </c>
      <c r="E783" s="5" t="n">
        <v>11000</v>
      </c>
      <c r="F783" s="5" t="n">
        <v>14000</v>
      </c>
      <c r="G783" s="6" t="n">
        <v>19000</v>
      </c>
      <c r="H783" s="4" t="inlineStr">
        <is>
          <t>Cái 10c/H 280c/H</t>
        </is>
      </c>
    </row>
    <row r="784">
      <c r="A784" s="3" t="n">
        <v>783</v>
      </c>
      <c r="B784" s="3" t="n">
        <v>37</v>
      </c>
      <c r="C784" s="4" t="inlineStr">
        <is>
          <t>KKB-010 Ø10</t>
        </is>
      </c>
      <c r="D784" s="3" t="inlineStr">
        <is>
          <t>Cái</t>
        </is>
      </c>
      <c r="E784" s="5" t="n">
        <v>15000</v>
      </c>
      <c r="F784" s="5" t="n">
        <v>19000</v>
      </c>
      <c r="G784" s="6" t="n">
        <v>24000</v>
      </c>
      <c r="H784" s="4" t="inlineStr">
        <is>
          <t>Cái 10c/H 180c/H</t>
        </is>
      </c>
    </row>
    <row r="785">
      <c r="A785" s="3" t="n">
        <v>784</v>
      </c>
      <c r="B785" s="3" t="n">
        <v>37</v>
      </c>
      <c r="C785" s="4" t="inlineStr">
        <is>
          <t>KKB-012 Ø12</t>
        </is>
      </c>
      <c r="D785" s="3" t="inlineStr">
        <is>
          <t>Cái</t>
        </is>
      </c>
      <c r="E785" s="5" t="n">
        <v>17000</v>
      </c>
      <c r="F785" s="5" t="n">
        <v>21000</v>
      </c>
      <c r="G785" s="6" t="n">
        <v>27000</v>
      </c>
      <c r="H785" s="4" t="inlineStr">
        <is>
          <t>Cái 10c/H 150c/H</t>
        </is>
      </c>
    </row>
    <row r="786">
      <c r="A786" s="3" t="n">
        <v>785</v>
      </c>
      <c r="B786" s="3" t="n">
        <v>37</v>
      </c>
      <c r="C786" s="4" t="inlineStr">
        <is>
          <t>KKB-014 Ø14</t>
        </is>
      </c>
      <c r="D786" s="3" t="inlineStr">
        <is>
          <t>Cái</t>
        </is>
      </c>
      <c r="E786" s="5" t="n">
        <v>20000</v>
      </c>
      <c r="F786" s="5" t="n">
        <v>25000</v>
      </c>
      <c r="G786" s="6" t="n">
        <v>33000</v>
      </c>
      <c r="H786" s="4" t="inlineStr">
        <is>
          <t>Cái 5c/H 90c/H</t>
        </is>
      </c>
    </row>
    <row r="787">
      <c r="A787" s="3" t="n">
        <v>786</v>
      </c>
      <c r="B787" s="3" t="n">
        <v>37</v>
      </c>
      <c r="C787" s="4" t="inlineStr">
        <is>
          <t>KKB-016 Ø16</t>
        </is>
      </c>
      <c r="D787" s="3" t="inlineStr">
        <is>
          <t>Cái</t>
        </is>
      </c>
      <c r="E787" s="5" t="n">
        <v>22000</v>
      </c>
      <c r="F787" s="5" t="n">
        <v>28000</v>
      </c>
      <c r="G787" s="6" t="n">
        <v>37000</v>
      </c>
      <c r="H787" s="4" t="inlineStr">
        <is>
          <t>Cái 5c/H 75c/H</t>
        </is>
      </c>
    </row>
    <row r="788">
      <c r="A788" s="3" t="n">
        <v>787</v>
      </c>
      <c r="B788" s="3" t="n">
        <v>37</v>
      </c>
      <c r="C788" s="4" t="inlineStr">
        <is>
          <t>KKB-017 Ø18</t>
        </is>
      </c>
      <c r="D788" s="3" t="inlineStr">
        <is>
          <t>Cái</t>
        </is>
      </c>
      <c r="E788" s="5" t="n">
        <v>23000</v>
      </c>
      <c r="F788" s="5" t="n">
        <v>29000</v>
      </c>
      <c r="G788" s="6" t="n">
        <v>39000</v>
      </c>
      <c r="H788" s="4" t="inlineStr">
        <is>
          <t>Cái 5c/H 75c/H</t>
        </is>
      </c>
    </row>
    <row r="789">
      <c r="A789" s="3" t="n">
        <v>788</v>
      </c>
      <c r="B789" s="3" t="n">
        <v>37</v>
      </c>
      <c r="C789" s="4" t="inlineStr">
        <is>
          <t>KKB-018 Ø18</t>
        </is>
      </c>
      <c r="D789" s="3" t="inlineStr">
        <is>
          <t>Cái</t>
        </is>
      </c>
      <c r="E789" s="5" t="n">
        <v>25000</v>
      </c>
      <c r="F789" s="5" t="n">
        <v>32000</v>
      </c>
      <c r="G789" s="6" t="n">
        <v>42000</v>
      </c>
      <c r="H789" s="4" t="inlineStr">
        <is>
          <t>Cái 5c/H 75c/H</t>
        </is>
      </c>
    </row>
    <row r="790">
      <c r="A790" s="3" t="n">
        <v>789</v>
      </c>
      <c r="B790" s="3" t="n">
        <v>37</v>
      </c>
      <c r="C790" s="4" t="inlineStr">
        <is>
          <t>KKB-020 Ø20</t>
        </is>
      </c>
      <c r="D790" s="3" t="inlineStr">
        <is>
          <t>Cái</t>
        </is>
      </c>
      <c r="E790" s="5" t="n">
        <v>27000</v>
      </c>
      <c r="F790" s="5" t="n">
        <v>35000</v>
      </c>
      <c r="G790" s="6" t="n">
        <v>46000</v>
      </c>
      <c r="H790" s="4" t="inlineStr">
        <is>
          <t>Cái 1c/H 28c/H</t>
        </is>
      </c>
    </row>
    <row r="791">
      <c r="A791" s="3" t="n">
        <v>790</v>
      </c>
      <c r="B791" s="3" t="n">
        <v>37</v>
      </c>
      <c r="C791" s="4" t="inlineStr">
        <is>
          <t>KKB-021 Ø21</t>
        </is>
      </c>
      <c r="D791" s="3" t="inlineStr">
        <is>
          <t>Cái</t>
        </is>
      </c>
      <c r="E791" s="5" t="n">
        <v>28000</v>
      </c>
      <c r="F791" s="5" t="n">
        <v>35000</v>
      </c>
      <c r="G791" s="6" t="n">
        <v>46000</v>
      </c>
      <c r="H791" s="4" t="inlineStr">
        <is>
          <t>Cái 1c/H 28c/H</t>
        </is>
      </c>
    </row>
    <row r="792">
      <c r="A792" s="3" t="n">
        <v>791</v>
      </c>
      <c r="B792" s="3" t="n">
        <v>37</v>
      </c>
      <c r="C792" s="4" t="inlineStr">
        <is>
          <t>KKB-022 Ø22</t>
        </is>
      </c>
      <c r="D792" s="3" t="inlineStr">
        <is>
          <t>Cái</t>
        </is>
      </c>
      <c r="E792" s="5" t="n">
        <v>30000</v>
      </c>
      <c r="F792" s="5" t="n">
        <v>38000</v>
      </c>
      <c r="G792" s="6" t="n">
        <v>50000</v>
      </c>
      <c r="H792" s="4" t="inlineStr">
        <is>
          <t>Cái 1c/H 28c/H</t>
        </is>
      </c>
    </row>
    <row r="793">
      <c r="A793" s="3" t="n">
        <v>792</v>
      </c>
      <c r="B793" s="3" t="n">
        <v>37</v>
      </c>
      <c r="C793" s="4" t="inlineStr">
        <is>
          <t>KKB-024 Ø24</t>
        </is>
      </c>
      <c r="D793" s="3" t="inlineStr">
        <is>
          <t>Cái</t>
        </is>
      </c>
      <c r="E793" s="5" t="n">
        <v>34000</v>
      </c>
      <c r="F793" s="5" t="n">
        <v>42000</v>
      </c>
      <c r="G793" s="6" t="n">
        <v>54000</v>
      </c>
      <c r="H793" s="4" t="inlineStr">
        <is>
          <t>Cái 1c/H 28c/H</t>
        </is>
      </c>
    </row>
    <row r="794">
      <c r="A794" s="3" t="n">
        <v>793</v>
      </c>
      <c r="B794" s="3" t="n">
        <v>37</v>
      </c>
      <c r="C794" s="4" t="inlineStr">
        <is>
          <t>KKB-025 Ø25</t>
        </is>
      </c>
      <c r="D794" s="3" t="inlineStr">
        <is>
          <t>Cái</t>
        </is>
      </c>
      <c r="E794" s="5" t="n">
        <v>35000</v>
      </c>
      <c r="F794" s="5" t="n">
        <v>44000</v>
      </c>
      <c r="G794" s="6" t="n">
        <v>58000</v>
      </c>
      <c r="H794" s="4" t="inlineStr">
        <is>
          <t>Cái 1c/H 28c/H</t>
        </is>
      </c>
    </row>
    <row r="795">
      <c r="A795" s="3" t="n">
        <v>794</v>
      </c>
      <c r="B795" s="3" t="n">
        <v>37</v>
      </c>
      <c r="C795" s="4" t="inlineStr">
        <is>
          <t>KKB-026 Ø26</t>
        </is>
      </c>
      <c r="D795" s="3" t="inlineStr">
        <is>
          <t>Cái</t>
        </is>
      </c>
      <c r="E795" s="5" t="n">
        <v>37000</v>
      </c>
      <c r="F795" s="5" t="n">
        <v>46000</v>
      </c>
      <c r="G795" s="6" t="n">
        <v>60000</v>
      </c>
      <c r="H795" s="4" t="inlineStr">
        <is>
          <t>Cái 1c/H 28c/H</t>
        </is>
      </c>
    </row>
    <row r="796">
      <c r="A796" s="3" t="n">
        <v>795</v>
      </c>
      <c r="B796" s="3" t="n">
        <v>37</v>
      </c>
      <c r="C796" s="4" t="inlineStr">
        <is>
          <t>KKB-027 Ø27</t>
        </is>
      </c>
      <c r="D796" s="3" t="inlineStr">
        <is>
          <t>Cái</t>
        </is>
      </c>
      <c r="E796" s="5" t="n">
        <v>38000</v>
      </c>
      <c r="F796" s="5" t="n">
        <v>47000</v>
      </c>
      <c r="G796" s="6" t="n">
        <v>61000</v>
      </c>
      <c r="H796" s="4" t="inlineStr">
        <is>
          <t>Cái 1c/H 28c/H</t>
        </is>
      </c>
    </row>
    <row r="797">
      <c r="A797" s="3" t="n">
        <v>796</v>
      </c>
      <c r="B797" s="3" t="n">
        <v>37</v>
      </c>
      <c r="C797" s="4" t="inlineStr">
        <is>
          <t>KKB-028 Ø28</t>
        </is>
      </c>
      <c r="D797" s="3" t="inlineStr">
        <is>
          <t>Cái</t>
        </is>
      </c>
      <c r="E797" s="5" t="n">
        <v>39000</v>
      </c>
      <c r="F797" s="5" t="n">
        <v>48000</v>
      </c>
      <c r="G797" s="6" t="n">
        <v>62000</v>
      </c>
      <c r="H797" s="4" t="inlineStr">
        <is>
          <t>Cái 1c/H 28c/H</t>
        </is>
      </c>
    </row>
    <row r="798">
      <c r="A798" s="3" t="n">
        <v>797</v>
      </c>
      <c r="B798" s="3" t="n">
        <v>37</v>
      </c>
      <c r="C798" s="4" t="inlineStr">
        <is>
          <t>KKB-030 Ø30</t>
        </is>
      </c>
      <c r="D798" s="3" t="inlineStr">
        <is>
          <t>Cái</t>
        </is>
      </c>
      <c r="E798" s="5" t="n">
        <v>42000</v>
      </c>
      <c r="F798" s="5" t="n">
        <v>52000</v>
      </c>
      <c r="G798" s="6" t="n">
        <v>68000</v>
      </c>
      <c r="H798" s="4" t="inlineStr">
        <is>
          <t>Cái 1c/H 18c/H</t>
        </is>
      </c>
    </row>
    <row r="799">
      <c r="A799" s="3" t="n">
        <v>798</v>
      </c>
      <c r="B799" s="3" t="n">
        <v>37</v>
      </c>
      <c r="C799" s="4" t="inlineStr">
        <is>
          <t>KKB-032 Ø32</t>
        </is>
      </c>
      <c r="D799" s="3" t="inlineStr">
        <is>
          <t>Cái</t>
        </is>
      </c>
      <c r="E799" s="5" t="n">
        <v>44000</v>
      </c>
      <c r="F799" s="5" t="n">
        <v>56000</v>
      </c>
      <c r="G799" s="6" t="n">
        <v>73000</v>
      </c>
      <c r="H799" s="4" t="inlineStr">
        <is>
          <t>Cái 1c/H 15c/H</t>
        </is>
      </c>
    </row>
    <row r="800">
      <c r="A800" s="3" t="n">
        <v>799</v>
      </c>
      <c r="B800" s="3" t="n">
        <v>37</v>
      </c>
      <c r="C800" s="4" t="inlineStr">
        <is>
          <t>KKB-034 Ø34</t>
        </is>
      </c>
      <c r="D800" s="3" t="inlineStr">
        <is>
          <t>Cái</t>
        </is>
      </c>
      <c r="E800" s="5" t="n">
        <v>47000</v>
      </c>
      <c r="F800" s="5" t="n">
        <v>59000</v>
      </c>
      <c r="G800" s="6" t="n">
        <v>78000</v>
      </c>
      <c r="H800" s="4" t="inlineStr">
        <is>
          <t>Cái 1c/H 15c/H</t>
        </is>
      </c>
    </row>
    <row r="801">
      <c r="A801" s="3" t="n">
        <v>800</v>
      </c>
      <c r="B801" s="3" t="n">
        <v>37</v>
      </c>
      <c r="C801" s="4" t="inlineStr">
        <is>
          <t>KKB-035 Ø35</t>
        </is>
      </c>
      <c r="D801" s="3" t="inlineStr">
        <is>
          <t>Cái</t>
        </is>
      </c>
      <c r="E801" s="5" t="n">
        <v>48000</v>
      </c>
      <c r="F801" s="5" t="n">
        <v>61000</v>
      </c>
      <c r="G801" s="6" t="n">
        <v>80000</v>
      </c>
      <c r="H801" s="4" t="inlineStr">
        <is>
          <t>Cái 1c/H 15c/H</t>
        </is>
      </c>
    </row>
    <row r="802">
      <c r="A802" s="3" t="n">
        <v>801</v>
      </c>
      <c r="B802" s="3" t="n">
        <v>37</v>
      </c>
      <c r="C802" s="4" t="inlineStr">
        <is>
          <t>KKB-040 Ø40</t>
        </is>
      </c>
      <c r="D802" s="3" t="inlineStr">
        <is>
          <t>Cái</t>
        </is>
      </c>
      <c r="E802" s="5" t="n">
        <v>56000</v>
      </c>
      <c r="F802" s="5" t="n">
        <v>70000</v>
      </c>
      <c r="G802" s="6" t="n">
        <v>90000</v>
      </c>
      <c r="H802" s="4" t="inlineStr">
        <is>
          <t>Cái 1c/H 12c/H</t>
        </is>
      </c>
    </row>
    <row r="803">
      <c r="A803" s="3" t="n">
        <v>802</v>
      </c>
      <c r="B803" s="3" t="n">
        <v>37</v>
      </c>
      <c r="C803" s="4" t="inlineStr">
        <is>
          <t>KKB-042 Ø42</t>
        </is>
      </c>
      <c r="D803" s="3" t="inlineStr">
        <is>
          <t>Cái</t>
        </is>
      </c>
      <c r="E803" s="5" t="n">
        <v>59000</v>
      </c>
      <c r="F803" s="5" t="n">
        <v>73000</v>
      </c>
      <c r="G803" s="6" t="n">
        <v>94000</v>
      </c>
      <c r="H803" s="4" t="inlineStr">
        <is>
          <t>Cái 1c/H 12c/H</t>
        </is>
      </c>
    </row>
    <row r="804">
      <c r="A804" s="3" t="n">
        <v>803</v>
      </c>
      <c r="B804" s="3" t="n">
        <v>37</v>
      </c>
      <c r="C804" s="4" t="inlineStr">
        <is>
          <t>KKB-045 Ø45</t>
        </is>
      </c>
      <c r="D804" s="3" t="inlineStr">
        <is>
          <t>Cái</t>
        </is>
      </c>
      <c r="E804" s="5" t="n">
        <v>62000</v>
      </c>
      <c r="F804" s="5" t="n">
        <v>78000</v>
      </c>
      <c r="G804" s="6" t="n">
        <v>102000</v>
      </c>
      <c r="H804" s="4" t="inlineStr">
        <is>
          <t>Cái 1c/H 6c/H</t>
        </is>
      </c>
    </row>
    <row r="805">
      <c r="A805" s="3" t="n">
        <v>804</v>
      </c>
      <c r="B805" s="3" t="n">
        <v>37</v>
      </c>
      <c r="C805" s="4" t="inlineStr">
        <is>
          <t>KKB-049 Ø49</t>
        </is>
      </c>
      <c r="D805" s="3" t="inlineStr">
        <is>
          <t>Cái</t>
        </is>
      </c>
      <c r="E805" s="5" t="n">
        <v>67000</v>
      </c>
      <c r="F805" s="5" t="n">
        <v>85000</v>
      </c>
      <c r="G805" s="6" t="n">
        <v>111000</v>
      </c>
      <c r="H805" s="4" t="inlineStr">
        <is>
          <t>Cái 1c/H 6c/H</t>
        </is>
      </c>
    </row>
    <row r="806">
      <c r="A806" s="3" t="n">
        <v>805</v>
      </c>
      <c r="B806" s="3" t="n">
        <v>37</v>
      </c>
      <c r="C806" s="4" t="inlineStr">
        <is>
          <t>KKB-050 Ø50</t>
        </is>
      </c>
      <c r="D806" s="3" t="inlineStr">
        <is>
          <t>Cái</t>
        </is>
      </c>
      <c r="E806" s="5" t="n">
        <v>69000</v>
      </c>
      <c r="F806" s="5" t="n">
        <v>87000</v>
      </c>
      <c r="G806" s="6" t="n">
        <v>114000</v>
      </c>
      <c r="H806" s="4" t="inlineStr">
        <is>
          <t>Cái 1c/H 6c/H</t>
        </is>
      </c>
    </row>
    <row r="807">
      <c r="A807" s="3" t="n">
        <v>806</v>
      </c>
      <c r="B807" s="3" t="n">
        <v>37</v>
      </c>
      <c r="C807" s="4" t="inlineStr">
        <is>
          <t>KKB-055 Ø55</t>
        </is>
      </c>
      <c r="D807" s="3" t="inlineStr">
        <is>
          <t>Cái</t>
        </is>
      </c>
      <c r="E807" s="5" t="n">
        <v>76000</v>
      </c>
      <c r="F807" s="5" t="n">
        <v>96000</v>
      </c>
      <c r="G807" s="6" t="n">
        <v>125000</v>
      </c>
      <c r="H807" s="4" t="inlineStr">
        <is>
          <t>Cái 1c/H 6c/H</t>
        </is>
      </c>
    </row>
    <row r="808">
      <c r="A808" s="3" t="n">
        <v>807</v>
      </c>
      <c r="B808" s="3" t="n">
        <v>37</v>
      </c>
      <c r="C808" s="4" t="inlineStr">
        <is>
          <t>KKB-060 Ø60</t>
        </is>
      </c>
      <c r="D808" s="3" t="inlineStr">
        <is>
          <t>Cái</t>
        </is>
      </c>
      <c r="E808" s="5" t="n">
        <v>83000</v>
      </c>
      <c r="F808" s="5" t="n">
        <v>105000</v>
      </c>
      <c r="G808" s="6" t="n">
        <v>137000</v>
      </c>
      <c r="H808" s="4" t="inlineStr">
        <is>
          <t>Cái 1c/H 6c/H</t>
        </is>
      </c>
    </row>
    <row r="809">
      <c r="A809" s="3" t="n">
        <v>808</v>
      </c>
      <c r="B809" s="3" t="n">
        <v>37</v>
      </c>
      <c r="C809" s="4" t="inlineStr">
        <is>
          <t>KKB-065 Ø65</t>
        </is>
      </c>
      <c r="D809" s="3" t="inlineStr">
        <is>
          <t>Cái</t>
        </is>
      </c>
      <c r="E809" s="5" t="n">
        <v>90000</v>
      </c>
      <c r="F809" s="5" t="n">
        <v>114000</v>
      </c>
      <c r="G809" s="6" t="n">
        <v>149000</v>
      </c>
      <c r="H809" s="4" t="inlineStr">
        <is>
          <t>Cái 1c/H 6c/H</t>
        </is>
      </c>
    </row>
    <row r="810">
      <c r="A810" s="3" t="n">
        <v>809</v>
      </c>
      <c r="B810" s="3" t="n">
        <v>37</v>
      </c>
      <c r="C810" s="4" t="inlineStr">
        <is>
          <t>KKB-070 Ø70</t>
        </is>
      </c>
      <c r="D810" s="3" t="inlineStr">
        <is>
          <t>Cái</t>
        </is>
      </c>
      <c r="E810" s="5" t="n">
        <v>120000</v>
      </c>
      <c r="F810" s="5" t="n">
        <v>151000</v>
      </c>
      <c r="G810" s="6" t="n">
        <v>198000</v>
      </c>
      <c r="H810" s="4" t="inlineStr">
        <is>
          <t>Cái 1c/H 3c/H</t>
        </is>
      </c>
    </row>
    <row r="811">
      <c r="A811" s="3" t="n">
        <v>810</v>
      </c>
      <c r="B811" s="3" t="n">
        <v>37</v>
      </c>
      <c r="C811" s="4" t="inlineStr">
        <is>
          <t>KKB-075 Ø75</t>
        </is>
      </c>
      <c r="D811" s="3" t="inlineStr">
        <is>
          <t>Cái</t>
        </is>
      </c>
      <c r="E811" s="5" t="n">
        <v>129000</v>
      </c>
      <c r="F811" s="5" t="n">
        <v>163000</v>
      </c>
      <c r="G811" s="6" t="n">
        <v>213000</v>
      </c>
      <c r="H811" s="4" t="inlineStr">
        <is>
          <t>Cái 1c/H 2c/H</t>
        </is>
      </c>
    </row>
    <row r="812">
      <c r="A812" s="3" t="n">
        <v>811</v>
      </c>
      <c r="B812" s="3" t="n">
        <v>37</v>
      </c>
      <c r="C812" s="4" t="inlineStr">
        <is>
          <t>KKB-080 Ø80</t>
        </is>
      </c>
      <c r="D812" s="3" t="inlineStr">
        <is>
          <t>Cái</t>
        </is>
      </c>
      <c r="E812" s="5" t="n">
        <v>138000</v>
      </c>
      <c r="F812" s="5" t="n">
        <v>174000</v>
      </c>
      <c r="G812" s="6" t="n">
        <v>228000</v>
      </c>
      <c r="H812" s="4" t="inlineStr">
        <is>
          <t>Cái 1c/H 3c/H</t>
        </is>
      </c>
    </row>
    <row r="813">
      <c r="A813" s="3" t="n">
        <v>812</v>
      </c>
      <c r="B813" s="3" t="n">
        <v>37</v>
      </c>
      <c r="C813" s="4" t="inlineStr">
        <is>
          <t>KKB-090 Ø90</t>
        </is>
      </c>
      <c r="D813" s="3" t="inlineStr">
        <is>
          <t>Cái</t>
        </is>
      </c>
      <c r="E813" s="5" t="n">
        <v>155000</v>
      </c>
      <c r="F813" s="5" t="n">
        <v>195000</v>
      </c>
      <c r="G813" s="6" t="n">
        <v>256000</v>
      </c>
      <c r="H813" s="4" t="inlineStr">
        <is>
          <t>Cái 1c/H 2c/H</t>
        </is>
      </c>
    </row>
    <row r="814">
      <c r="A814" s="3" t="n">
        <v>813</v>
      </c>
      <c r="B814" s="3" t="n">
        <v>37</v>
      </c>
      <c r="C814" s="4" t="inlineStr">
        <is>
          <t>KKB-100 Ø100</t>
        </is>
      </c>
      <c r="D814" s="3" t="inlineStr">
        <is>
          <t>Cái</t>
        </is>
      </c>
      <c r="E814" s="5" t="n">
        <v>267000</v>
      </c>
      <c r="F814" s="5" t="n">
        <v>334000</v>
      </c>
      <c r="G814" s="6" t="n">
        <v>435000</v>
      </c>
      <c r="H814" s="4" t="inlineStr">
        <is>
          <t>Cái 1c/H 2c/H</t>
        </is>
      </c>
    </row>
    <row r="815">
      <c r="A815" s="3" t="n">
        <v>814</v>
      </c>
      <c r="B815" s="3" t="n">
        <v>37</v>
      </c>
      <c r="C815" s="4" t="inlineStr">
        <is>
          <t>KKB-110 Ø110</t>
        </is>
      </c>
      <c r="D815" s="3" t="inlineStr">
        <is>
          <t>Cái</t>
        </is>
      </c>
      <c r="E815" s="5" t="n">
        <v>293000</v>
      </c>
      <c r="F815" s="5" t="n">
        <v>369000</v>
      </c>
      <c r="G815" s="6" t="n">
        <v>484000</v>
      </c>
      <c r="H815" s="4" t="inlineStr">
        <is>
          <t>Cái 1c/H 4c/H</t>
        </is>
      </c>
    </row>
    <row r="816">
      <c r="A816" s="3" t="n">
        <v>815</v>
      </c>
      <c r="B816" s="3" t="n">
        <v>37</v>
      </c>
      <c r="C816" s="4" t="inlineStr">
        <is>
          <t>KKB-115 Ø115</t>
        </is>
      </c>
      <c r="D816" s="3" t="inlineStr">
        <is>
          <t>Cái</t>
        </is>
      </c>
      <c r="E816" s="5" t="n">
        <v>307000</v>
      </c>
      <c r="F816" s="5" t="n">
        <v>381000</v>
      </c>
      <c r="G816" s="6" t="n">
        <v>491000</v>
      </c>
      <c r="H816" s="4" t="inlineStr">
        <is>
          <t>Cái 1c/H 4c/H</t>
        </is>
      </c>
    </row>
    <row r="817">
      <c r="A817" s="3" t="n">
        <v>816</v>
      </c>
      <c r="B817" s="3" t="n">
        <v>37</v>
      </c>
      <c r="C817" s="4" t="inlineStr">
        <is>
          <t>KKB-120 Ø120</t>
        </is>
      </c>
      <c r="D817" s="3" t="inlineStr">
        <is>
          <t>Cái</t>
        </is>
      </c>
      <c r="E817" s="5" t="n">
        <v>320000</v>
      </c>
      <c r="F817" s="5" t="n">
        <v>403000</v>
      </c>
      <c r="G817" s="6" t="n">
        <v>528000</v>
      </c>
      <c r="H817" s="4" t="inlineStr">
        <is>
          <t>Cái 1c/H 3c/H</t>
        </is>
      </c>
    </row>
    <row r="818">
      <c r="A818" s="3" t="n">
        <v>817</v>
      </c>
      <c r="B818" s="3" t="n">
        <v>37</v>
      </c>
      <c r="C818" s="4" t="inlineStr">
        <is>
          <t>KKB-130 Ø130</t>
        </is>
      </c>
      <c r="D818" s="3" t="inlineStr">
        <is>
          <t>Cái</t>
        </is>
      </c>
      <c r="E818" s="5" t="n">
        <v>348000</v>
      </c>
      <c r="F818" s="5" t="n">
        <v>438000</v>
      </c>
      <c r="G818" s="6" t="n">
        <v>574000</v>
      </c>
      <c r="H818" s="4" t="inlineStr">
        <is>
          <t>Cái 1c/H 3c/H</t>
        </is>
      </c>
    </row>
    <row r="819">
      <c r="A819" s="3" t="n">
        <v>818</v>
      </c>
      <c r="B819" s="3" t="n">
        <v>37</v>
      </c>
      <c r="C819" s="4" t="inlineStr">
        <is>
          <t>KKB-140 Ø140</t>
        </is>
      </c>
      <c r="D819" s="3" t="inlineStr">
        <is>
          <t>Cái</t>
        </is>
      </c>
      <c r="E819" s="5" t="n">
        <v>374000</v>
      </c>
      <c r="F819" s="5" t="n">
        <v>471000</v>
      </c>
      <c r="G819" s="6" t="n">
        <v>617000</v>
      </c>
      <c r="H819" s="4" t="inlineStr">
        <is>
          <t>Cái 1c/H 2c/H</t>
        </is>
      </c>
    </row>
    <row r="820">
      <c r="A820" s="3" t="n">
        <v>819</v>
      </c>
      <c r="B820" s="3" t="n">
        <v>37</v>
      </c>
      <c r="C820" s="4" t="inlineStr">
        <is>
          <t>KKB-150 Ø150</t>
        </is>
      </c>
      <c r="D820" s="3" t="inlineStr">
        <is>
          <t>Cái</t>
        </is>
      </c>
      <c r="E820" s="5" t="n">
        <v>400000</v>
      </c>
      <c r="F820" s="5" t="n">
        <v>504000</v>
      </c>
      <c r="G820" s="6" t="n">
        <v>660000</v>
      </c>
      <c r="H820" s="4" t="inlineStr">
        <is>
          <t>Cái 1c/H 2c/H</t>
        </is>
      </c>
    </row>
    <row r="821">
      <c r="A821" s="3" t="n">
        <v>820</v>
      </c>
      <c r="B821" s="3" t="n">
        <v>37</v>
      </c>
      <c r="C821" s="4" t="inlineStr">
        <is>
          <t>KKB-160 Ø160</t>
        </is>
      </c>
      <c r="D821" s="3" t="inlineStr">
        <is>
          <t>Cái</t>
        </is>
      </c>
      <c r="E821" s="5" t="n">
        <v>426000</v>
      </c>
      <c r="F821" s="5" t="n">
        <v>537000</v>
      </c>
      <c r="G821" s="6" t="n">
        <v>703000</v>
      </c>
      <c r="H821" s="4" t="inlineStr">
        <is>
          <t>Cái 1c/H 2c/H</t>
        </is>
      </c>
    </row>
    <row r="822">
      <c r="A822" s="3" t="n">
        <v>821</v>
      </c>
      <c r="B822" s="3" t="n">
        <v>38</v>
      </c>
      <c r="C822" s="4" t="inlineStr">
        <is>
          <t>KBK-06 Ø6</t>
        </is>
      </c>
      <c r="D822" s="3" t="inlineStr">
        <is>
          <t>Cái</t>
        </is>
      </c>
      <c r="E822" s="5" t="n">
        <v>22000</v>
      </c>
      <c r="F822" s="5" t="n">
        <v>27000</v>
      </c>
      <c r="G822" s="6" t="n">
        <v>35000</v>
      </c>
      <c r="H822" s="4" t="inlineStr">
        <is>
          <t>Cái 20c/H 500c/T</t>
        </is>
      </c>
    </row>
    <row r="823">
      <c r="A823" s="3" t="n">
        <v>822</v>
      </c>
      <c r="B823" s="3" t="n">
        <v>38</v>
      </c>
      <c r="C823" s="4" t="inlineStr">
        <is>
          <t>KBK-08 Ø8</t>
        </is>
      </c>
      <c r="D823" s="3" t="inlineStr">
        <is>
          <t>Cái</t>
        </is>
      </c>
      <c r="E823" s="5" t="n">
        <v>25000</v>
      </c>
      <c r="F823" s="5" t="n">
        <v>31000</v>
      </c>
      <c r="G823" s="6" t="n">
        <v>40000</v>
      </c>
      <c r="H823" s="4" t="inlineStr">
        <is>
          <t>Cái 20c/H 500c/T</t>
        </is>
      </c>
    </row>
    <row r="824">
      <c r="A824" s="3" t="n">
        <v>823</v>
      </c>
      <c r="B824" s="3" t="n">
        <v>38</v>
      </c>
      <c r="C824" s="4" t="inlineStr">
        <is>
          <t>KBK-10 Ø10</t>
        </is>
      </c>
      <c r="D824" s="3" t="inlineStr">
        <is>
          <t>Cái</t>
        </is>
      </c>
      <c r="E824" s="5" t="n">
        <v>32000</v>
      </c>
      <c r="F824" s="5" t="n">
        <v>40000</v>
      </c>
      <c r="G824" s="6" t="n">
        <v>51000</v>
      </c>
      <c r="H824" s="4" t="inlineStr">
        <is>
          <t>Cái 20c/H 500c/T</t>
        </is>
      </c>
    </row>
    <row r="825">
      <c r="A825" s="3" t="n">
        <v>824</v>
      </c>
      <c r="B825" s="3" t="n">
        <v>38</v>
      </c>
      <c r="C825" s="4" t="inlineStr">
        <is>
          <t>KBK-12 Ø12</t>
        </is>
      </c>
      <c r="D825" s="3" t="inlineStr">
        <is>
          <t>Cái</t>
        </is>
      </c>
      <c r="E825" s="5" t="n">
        <v>37000</v>
      </c>
      <c r="F825" s="5" t="n">
        <v>46000</v>
      </c>
      <c r="G825" s="6" t="n">
        <v>59000</v>
      </c>
      <c r="H825" s="4" t="inlineStr">
        <is>
          <t>Cái 10c/H 250c/T</t>
        </is>
      </c>
    </row>
    <row r="826">
      <c r="A826" s="3" t="n">
        <v>825</v>
      </c>
      <c r="B826" s="3" t="n">
        <v>38</v>
      </c>
      <c r="C826" s="4" t="inlineStr">
        <is>
          <t>KBK-14 Ø14</t>
        </is>
      </c>
      <c r="D826" s="3" t="inlineStr">
        <is>
          <t>Cái</t>
        </is>
      </c>
      <c r="E826" s="5" t="n">
        <v>45000</v>
      </c>
      <c r="F826" s="5" t="n">
        <v>56000</v>
      </c>
      <c r="G826" s="6" t="n">
        <v>72000</v>
      </c>
      <c r="H826" s="4" t="inlineStr">
        <is>
          <t>Cái 10c/H 250c/T</t>
        </is>
      </c>
    </row>
    <row r="827">
      <c r="A827" s="3" t="n">
        <v>826</v>
      </c>
      <c r="B827" s="3" t="n">
        <v>38</v>
      </c>
      <c r="C827" s="4" t="inlineStr">
        <is>
          <t>KBK-16 Ø16</t>
        </is>
      </c>
      <c r="D827" s="3" t="inlineStr">
        <is>
          <t>Cái</t>
        </is>
      </c>
      <c r="E827" s="5" t="n">
        <v>48000</v>
      </c>
      <c r="F827" s="5" t="n">
        <v>60000</v>
      </c>
      <c r="G827" s="6" t="n">
        <v>77000</v>
      </c>
      <c r="H827" s="4" t="inlineStr">
        <is>
          <t>Cái 10c/H 250c/T</t>
        </is>
      </c>
    </row>
    <row r="828">
      <c r="A828" s="3" t="n">
        <v>827</v>
      </c>
      <c r="B828" s="3" t="n">
        <v>38</v>
      </c>
      <c r="C828" s="4" t="inlineStr">
        <is>
          <t>KBK-18 Ø18</t>
        </is>
      </c>
      <c r="D828" s="3" t="inlineStr">
        <is>
          <t>Cái</t>
        </is>
      </c>
      <c r="E828" s="5" t="n">
        <v>57000</v>
      </c>
      <c r="F828" s="5" t="n">
        <v>71000</v>
      </c>
      <c r="G828" s="6" t="n">
        <v>91000</v>
      </c>
      <c r="H828" s="4" t="inlineStr">
        <is>
          <t>Cái 10c/H 250c/T</t>
        </is>
      </c>
    </row>
    <row r="829">
      <c r="A829" s="3" t="n">
        <v>828</v>
      </c>
      <c r="B829" s="3" t="n">
        <v>38</v>
      </c>
      <c r="C829" s="4" t="inlineStr">
        <is>
          <t>KBK-20 Ø20</t>
        </is>
      </c>
      <c r="D829" s="3" t="inlineStr">
        <is>
          <t>Cái</t>
        </is>
      </c>
      <c r="E829" s="5" t="n">
        <v>61000</v>
      </c>
      <c r="F829" s="5" t="n">
        <v>76000</v>
      </c>
      <c r="G829" s="6" t="n">
        <v>98000</v>
      </c>
      <c r="H829" s="4" t="inlineStr">
        <is>
          <t>Cái 10c/H 250c/T</t>
        </is>
      </c>
    </row>
    <row r="830">
      <c r="A830" s="3" t="n">
        <v>829</v>
      </c>
      <c r="B830" s="3" t="n">
        <v>38</v>
      </c>
      <c r="C830" s="4" t="inlineStr">
        <is>
          <t>KBK-21 Ø21</t>
        </is>
      </c>
      <c r="D830" s="3" t="inlineStr">
        <is>
          <t>Cái</t>
        </is>
      </c>
      <c r="E830" s="5" t="n">
        <v>64000</v>
      </c>
      <c r="F830" s="5" t="n">
        <v>79000</v>
      </c>
      <c r="G830" s="6" t="n">
        <v>102000</v>
      </c>
      <c r="H830" s="4" t="inlineStr">
        <is>
          <t>Cái 10c/H 250c/T</t>
        </is>
      </c>
    </row>
    <row r="831">
      <c r="A831" s="3" t="n">
        <v>830</v>
      </c>
      <c r="B831" s="3" t="n">
        <v>38</v>
      </c>
      <c r="C831" s="4" t="inlineStr">
        <is>
          <t>KBK-22 Ø22</t>
        </is>
      </c>
      <c r="D831" s="3" t="inlineStr">
        <is>
          <t>Cái</t>
        </is>
      </c>
      <c r="E831" s="5" t="n">
        <v>67000</v>
      </c>
      <c r="F831" s="5" t="n">
        <v>83000</v>
      </c>
      <c r="G831" s="6" t="n">
        <v>107000</v>
      </c>
      <c r="H831" s="4" t="inlineStr">
        <is>
          <t>Cái 10c/H 240c/T</t>
        </is>
      </c>
    </row>
    <row r="832">
      <c r="A832" s="3" t="n">
        <v>831</v>
      </c>
      <c r="B832" s="3" t="n">
        <v>38</v>
      </c>
      <c r="C832" s="4" t="inlineStr">
        <is>
          <t>KBK-25 Ø25</t>
        </is>
      </c>
      <c r="D832" s="3" t="inlineStr">
        <is>
          <t>Cái</t>
        </is>
      </c>
      <c r="E832" s="5" t="n">
        <v>77000</v>
      </c>
      <c r="F832" s="5" t="n">
        <v>95000</v>
      </c>
      <c r="G832" s="6" t="n">
        <v>123000</v>
      </c>
      <c r="H832" s="4" t="inlineStr">
        <is>
          <t>Cái 10c/H 200c/T</t>
        </is>
      </c>
    </row>
    <row r="833">
      <c r="A833" s="3" t="n">
        <v>832</v>
      </c>
      <c r="B833" s="3" t="n">
        <v>38</v>
      </c>
      <c r="C833" s="4" t="inlineStr">
        <is>
          <t>KBK-27 Ø27</t>
        </is>
      </c>
      <c r="D833" s="3" t="inlineStr">
        <is>
          <t>Cái</t>
        </is>
      </c>
      <c r="E833" s="5" t="n">
        <v>84000</v>
      </c>
      <c r="F833" s="5" t="n">
        <v>104000</v>
      </c>
      <c r="G833" s="6" t="n">
        <v>134000</v>
      </c>
      <c r="H833" s="4" t="inlineStr">
        <is>
          <t>Cái 10c/H 100c/T</t>
        </is>
      </c>
    </row>
    <row r="834">
      <c r="A834" s="3" t="n">
        <v>833</v>
      </c>
      <c r="B834" s="3" t="n">
        <v>38</v>
      </c>
      <c r="C834" s="4" t="inlineStr">
        <is>
          <t>KBK-28 Ø28</t>
        </is>
      </c>
      <c r="D834" s="3" t="inlineStr">
        <is>
          <t>Cái</t>
        </is>
      </c>
      <c r="E834" s="5" t="n">
        <v>85000</v>
      </c>
      <c r="F834" s="5" t="n">
        <v>105000</v>
      </c>
      <c r="G834" s="6" t="n">
        <v>136000</v>
      </c>
      <c r="H834" s="4" t="inlineStr">
        <is>
          <t>Cái 10c/H 100c/T</t>
        </is>
      </c>
    </row>
    <row r="835">
      <c r="A835" s="3" t="n">
        <v>834</v>
      </c>
      <c r="B835" s="3" t="n">
        <v>38</v>
      </c>
      <c r="C835" s="4" t="inlineStr">
        <is>
          <t>KBK-30 Ø30</t>
        </is>
      </c>
      <c r="D835" s="3" t="inlineStr">
        <is>
          <t>Cái</t>
        </is>
      </c>
      <c r="E835" s="5" t="n">
        <v>91000</v>
      </c>
      <c r="F835" s="5" t="n">
        <v>113000</v>
      </c>
      <c r="G835" s="6" t="n">
        <v>146000</v>
      </c>
      <c r="H835" s="4" t="inlineStr">
        <is>
          <t>Cái 10c/H 100c/T</t>
        </is>
      </c>
    </row>
    <row r="836">
      <c r="A836" s="3" t="n">
        <v>835</v>
      </c>
      <c r="B836" s="3" t="n">
        <v>38</v>
      </c>
      <c r="C836" s="4" t="inlineStr">
        <is>
          <t>KBK-32 Ø32</t>
        </is>
      </c>
      <c r="D836" s="3" t="inlineStr">
        <is>
          <t>Cái</t>
        </is>
      </c>
      <c r="E836" s="5" t="n">
        <v>96000</v>
      </c>
      <c r="F836" s="5" t="n">
        <v>119000</v>
      </c>
      <c r="G836" s="6" t="n">
        <v>154000</v>
      </c>
      <c r="H836" s="4" t="inlineStr">
        <is>
          <t>Cái 10c/H 100c/T</t>
        </is>
      </c>
    </row>
    <row r="837">
      <c r="A837" s="3" t="n">
        <v>836</v>
      </c>
      <c r="B837" s="3" t="n">
        <v>38</v>
      </c>
      <c r="C837" s="4" t="inlineStr">
        <is>
          <t>KBK-34 Ø34</t>
        </is>
      </c>
      <c r="D837" s="3" t="inlineStr">
        <is>
          <t>Cái</t>
        </is>
      </c>
      <c r="E837" s="5" t="n">
        <v>102000</v>
      </c>
      <c r="F837" s="5" t="n">
        <v>126000</v>
      </c>
      <c r="G837" s="6" t="n">
        <v>163000</v>
      </c>
      <c r="H837" s="4" t="inlineStr">
        <is>
          <t>Cái 10c/H 100c/T</t>
        </is>
      </c>
    </row>
    <row r="838">
      <c r="A838" s="3" t="n">
        <v>837</v>
      </c>
      <c r="B838" s="3" t="n">
        <v>38</v>
      </c>
      <c r="C838" s="4" t="inlineStr">
        <is>
          <t>KBK-35 Ø35</t>
        </is>
      </c>
      <c r="D838" s="3" t="inlineStr">
        <is>
          <t>Cái</t>
        </is>
      </c>
      <c r="E838" s="5" t="n">
        <v>104000</v>
      </c>
      <c r="F838" s="5" t="n">
        <v>129000</v>
      </c>
      <c r="G838" s="6" t="n">
        <v>166000</v>
      </c>
      <c r="H838" s="4" t="inlineStr">
        <is>
          <t>Cái 10c/H 100c/T</t>
        </is>
      </c>
    </row>
    <row r="839">
      <c r="A839" s="3" t="n">
        <v>838</v>
      </c>
      <c r="B839" s="3" t="n">
        <v>38</v>
      </c>
      <c r="C839" s="4" t="inlineStr">
        <is>
          <t>KBK-38 Ø38</t>
        </is>
      </c>
      <c r="D839" s="3" t="inlineStr">
        <is>
          <t>Cái</t>
        </is>
      </c>
      <c r="E839" s="5" t="n">
        <v>114000</v>
      </c>
      <c r="F839" s="5" t="n">
        <v>141000</v>
      </c>
      <c r="G839" s="6" t="n">
        <v>182000</v>
      </c>
      <c r="H839" s="4" t="inlineStr">
        <is>
          <t>Cái 10c/H 100c/T</t>
        </is>
      </c>
    </row>
    <row r="840">
      <c r="A840" s="3" t="n">
        <v>839</v>
      </c>
      <c r="B840" s="3" t="n">
        <v>38</v>
      </c>
      <c r="C840" s="4" t="inlineStr">
        <is>
          <t>KBK-40 Ø40</t>
        </is>
      </c>
      <c r="D840" s="3" t="inlineStr">
        <is>
          <t>Cái</t>
        </is>
      </c>
      <c r="E840" s="5" t="n">
        <v>120000</v>
      </c>
      <c r="F840" s="5" t="n">
        <v>149000</v>
      </c>
      <c r="G840" s="6" t="n">
        <v>192000</v>
      </c>
      <c r="H840" s="4" t="inlineStr">
        <is>
          <t>Cái 10c/H 100c/T</t>
        </is>
      </c>
    </row>
    <row r="841">
      <c r="A841" s="3" t="n">
        <v>840</v>
      </c>
      <c r="B841" s="3" t="n">
        <v>38</v>
      </c>
      <c r="C841" s="4" t="inlineStr">
        <is>
          <t>KBK-42 Ø42</t>
        </is>
      </c>
      <c r="D841" s="3" t="inlineStr">
        <is>
          <t>Cái</t>
        </is>
      </c>
      <c r="E841" s="5" t="n">
        <v>129000</v>
      </c>
      <c r="F841" s="5" t="n">
        <v>160000</v>
      </c>
      <c r="G841" s="6" t="n">
        <v>206000</v>
      </c>
      <c r="H841" s="4" t="inlineStr">
        <is>
          <t>Cái 5c/H 50c/T</t>
        </is>
      </c>
    </row>
    <row r="842">
      <c r="A842" s="3" t="n">
        <v>841</v>
      </c>
      <c r="B842" s="3" t="n">
        <v>38</v>
      </c>
      <c r="C842" s="4" t="inlineStr">
        <is>
          <t>KBK-45 Ø45</t>
        </is>
      </c>
      <c r="D842" s="3" t="inlineStr">
        <is>
          <t>Cái</t>
        </is>
      </c>
      <c r="E842" s="5" t="n">
        <v>140000</v>
      </c>
      <c r="F842" s="5" t="n">
        <v>174000</v>
      </c>
      <c r="G842" s="6" t="n">
        <v>224000</v>
      </c>
      <c r="H842" s="4" t="inlineStr">
        <is>
          <t>Cái 5c/H 50c/T</t>
        </is>
      </c>
    </row>
    <row r="843">
      <c r="A843" s="3" t="n">
        <v>842</v>
      </c>
      <c r="B843" s="3" t="n">
        <v>38</v>
      </c>
      <c r="C843" s="4" t="inlineStr">
        <is>
          <t>KBK-50 Ø50</t>
        </is>
      </c>
      <c r="D843" s="3" t="inlineStr">
        <is>
          <t>Cái</t>
        </is>
      </c>
      <c r="E843" s="5" t="n">
        <v>153000</v>
      </c>
      <c r="F843" s="5" t="n">
        <v>190000</v>
      </c>
      <c r="G843" s="6" t="n">
        <v>245000</v>
      </c>
      <c r="H843" s="4" t="inlineStr">
        <is>
          <t>Cái 5c/H 50c/T</t>
        </is>
      </c>
    </row>
    <row r="844">
      <c r="A844" s="3" t="n">
        <v>843</v>
      </c>
      <c r="B844" s="3" t="n">
        <v>38</v>
      </c>
      <c r="C844" s="4" t="inlineStr">
        <is>
          <t>KBK-55 Ø55</t>
        </is>
      </c>
      <c r="D844" s="3" t="inlineStr">
        <is>
          <t>Cái</t>
        </is>
      </c>
      <c r="E844" s="5" t="n">
        <v>169000</v>
      </c>
      <c r="F844" s="5" t="n">
        <v>209000</v>
      </c>
      <c r="G844" s="6" t="n">
        <v>270000</v>
      </c>
      <c r="H844" s="4" t="inlineStr">
        <is>
          <t>Cái 5c/H 50c/T</t>
        </is>
      </c>
    </row>
    <row r="845">
      <c r="A845" s="3" t="n">
        <v>844</v>
      </c>
      <c r="B845" s="3" t="n">
        <v>38</v>
      </c>
      <c r="C845" s="4" t="inlineStr">
        <is>
          <t>KBK-60 Ø60</t>
        </is>
      </c>
      <c r="D845" s="3" t="inlineStr">
        <is>
          <t>Cái</t>
        </is>
      </c>
      <c r="E845" s="5" t="n">
        <v>182000</v>
      </c>
      <c r="F845" s="5" t="n">
        <v>226000</v>
      </c>
      <c r="G845" s="6" t="n">
        <v>291000</v>
      </c>
      <c r="H845" s="4" t="inlineStr">
        <is>
          <t>Cái 5c/H 50c/T</t>
        </is>
      </c>
    </row>
    <row r="846">
      <c r="A846" s="3" t="n">
        <v>845</v>
      </c>
      <c r="B846" s="3" t="n">
        <v>38</v>
      </c>
      <c r="C846" s="4" t="inlineStr">
        <is>
          <t>KBK-65 Ø65</t>
        </is>
      </c>
      <c r="D846" s="3" t="inlineStr">
        <is>
          <t>Cái</t>
        </is>
      </c>
      <c r="E846" s="5" t="n">
        <v>195000</v>
      </c>
      <c r="F846" s="5" t="n">
        <v>242000</v>
      </c>
      <c r="G846" s="6" t="n">
        <v>312000</v>
      </c>
      <c r="H846" s="4" t="inlineStr">
        <is>
          <t>Cái 1c/H 50c/T</t>
        </is>
      </c>
    </row>
    <row r="847">
      <c r="A847" s="3" t="n">
        <v>846</v>
      </c>
      <c r="B847" s="3" t="n">
        <v>38</v>
      </c>
      <c r="C847" s="4" t="inlineStr">
        <is>
          <t>KBK-70 Ø70</t>
        </is>
      </c>
      <c r="D847" s="3" t="inlineStr">
        <is>
          <t>Cái</t>
        </is>
      </c>
      <c r="E847" s="5" t="n">
        <v>233000</v>
      </c>
      <c r="F847" s="5" t="n">
        <v>289000</v>
      </c>
      <c r="G847" s="6" t="n">
        <v>373000</v>
      </c>
      <c r="H847" s="4" t="inlineStr">
        <is>
          <t>Cái 1c/H 30c/T</t>
        </is>
      </c>
    </row>
    <row r="848">
      <c r="A848" s="3" t="n">
        <v>847</v>
      </c>
      <c r="B848" s="3" t="n">
        <v>38</v>
      </c>
      <c r="C848" s="4" t="inlineStr">
        <is>
          <t>KBK-75 Ø75</t>
        </is>
      </c>
      <c r="D848" s="3" t="inlineStr">
        <is>
          <t>Cái</t>
        </is>
      </c>
      <c r="E848" s="5" t="n">
        <v>247000</v>
      </c>
      <c r="F848" s="5" t="n">
        <v>306000</v>
      </c>
      <c r="G848" s="6" t="n">
        <v>395000</v>
      </c>
      <c r="H848" s="4" t="inlineStr">
        <is>
          <t>Cái 1c/H 30c/T</t>
        </is>
      </c>
    </row>
    <row r="849">
      <c r="A849" s="3" t="n">
        <v>848</v>
      </c>
      <c r="B849" s="3" t="n">
        <v>38</v>
      </c>
      <c r="C849" s="4" t="inlineStr">
        <is>
          <t>KBK-80 Ø80</t>
        </is>
      </c>
      <c r="D849" s="3" t="inlineStr">
        <is>
          <t>Cái</t>
        </is>
      </c>
      <c r="E849" s="5" t="n">
        <v>260000</v>
      </c>
      <c r="F849" s="5" t="n">
        <v>322000</v>
      </c>
      <c r="G849" s="6" t="n">
        <v>416000</v>
      </c>
      <c r="H849" s="4" t="inlineStr">
        <is>
          <t>Cái 1c/H 20c/T</t>
        </is>
      </c>
    </row>
    <row r="850">
      <c r="A850" s="3" t="n">
        <v>849</v>
      </c>
      <c r="B850" s="3" t="n">
        <v>38</v>
      </c>
      <c r="C850" s="4" t="inlineStr">
        <is>
          <t>KBK-85 Ø85</t>
        </is>
      </c>
      <c r="D850" s="3" t="inlineStr">
        <is>
          <t>Cái</t>
        </is>
      </c>
      <c r="E850" s="5" t="n">
        <v>301000</v>
      </c>
      <c r="F850" s="5" t="n">
        <v>373000</v>
      </c>
      <c r="G850" s="6" t="n">
        <v>482000</v>
      </c>
      <c r="H850" s="4" t="inlineStr">
        <is>
          <t>Cái 1c/H 20c/T</t>
        </is>
      </c>
    </row>
    <row r="851">
      <c r="A851" s="3" t="n">
        <v>850</v>
      </c>
      <c r="B851" s="3" t="n">
        <v>38</v>
      </c>
      <c r="C851" s="4" t="inlineStr">
        <is>
          <t>KBK-90 Ø90</t>
        </is>
      </c>
      <c r="D851" s="3" t="inlineStr">
        <is>
          <t>Cái</t>
        </is>
      </c>
      <c r="E851" s="5" t="n">
        <v>315000</v>
      </c>
      <c r="F851" s="5" t="n">
        <v>391000</v>
      </c>
      <c r="G851" s="6" t="n">
        <v>504000</v>
      </c>
      <c r="H851" s="4" t="inlineStr">
        <is>
          <t>Cái 1c/H 15c/T</t>
        </is>
      </c>
    </row>
    <row r="852">
      <c r="A852" s="3" t="n">
        <v>851</v>
      </c>
      <c r="B852" s="3" t="n">
        <v>38</v>
      </c>
      <c r="C852" s="4" t="inlineStr">
        <is>
          <t>KBK-100 Ø100</t>
        </is>
      </c>
      <c r="D852" s="3" t="inlineStr">
        <is>
          <t>Cái</t>
        </is>
      </c>
      <c r="E852" s="5" t="n">
        <v>342000</v>
      </c>
      <c r="F852" s="5" t="n">
        <v>424000</v>
      </c>
      <c r="G852" s="6" t="n">
        <v>547000</v>
      </c>
      <c r="H852" s="4" t="inlineStr">
        <is>
          <t>Cái 1c/H 20c/T</t>
        </is>
      </c>
    </row>
    <row r="853">
      <c r="A853" s="3" t="n">
        <v>852</v>
      </c>
      <c r="B853" s="3" t="n">
        <v>38</v>
      </c>
      <c r="C853" s="4" t="inlineStr">
        <is>
          <t>KBK-110 Ø110</t>
        </is>
      </c>
      <c r="D853" s="3" t="inlineStr">
        <is>
          <t>Cái</t>
        </is>
      </c>
      <c r="E853" s="5" t="n">
        <v>387000</v>
      </c>
      <c r="F853" s="5" t="n">
        <v>480000</v>
      </c>
      <c r="G853" s="6" t="n">
        <v>619000</v>
      </c>
      <c r="H853" s="4" t="inlineStr">
        <is>
          <t>Cái 1c/H 10c/T</t>
        </is>
      </c>
    </row>
    <row r="854">
      <c r="A854" s="3" t="n">
        <v>853</v>
      </c>
      <c r="B854" s="3" t="n">
        <v>38</v>
      </c>
      <c r="C854" s="4" t="inlineStr">
        <is>
          <t>KBK-120 Ø120</t>
        </is>
      </c>
      <c r="D854" s="3" t="inlineStr">
        <is>
          <t>Cái</t>
        </is>
      </c>
      <c r="E854" s="5" t="n">
        <v>414000</v>
      </c>
      <c r="F854" s="5" t="n">
        <v>513000</v>
      </c>
      <c r="G854" s="6" t="n">
        <v>662000</v>
      </c>
      <c r="H854" s="4" t="inlineStr">
        <is>
          <t>Cái 1c/H 10c/T</t>
        </is>
      </c>
    </row>
    <row r="855">
      <c r="A855" s="3" t="n">
        <v>854</v>
      </c>
      <c r="B855" s="3" t="n">
        <v>39</v>
      </c>
      <c r="C855" s="4" t="inlineStr">
        <is>
          <t>KB16VB2</t>
        </is>
      </c>
      <c r="D855" s="3" t="inlineStr">
        <is>
          <t>Bộ</t>
        </is>
      </c>
      <c r="E855" s="5" t="n">
        <v>1870000</v>
      </c>
      <c r="F855" s="5" t="n">
        <v>2060000</v>
      </c>
      <c r="G855" s="6" t="n">
        <v>2340000</v>
      </c>
      <c r="H855" s="4" t="inlineStr">
        <is>
          <t>Bộ 1c/H 10c/T</t>
        </is>
      </c>
    </row>
    <row r="856">
      <c r="A856" s="3" t="n">
        <v>855</v>
      </c>
      <c r="B856" s="3" t="n">
        <v>39</v>
      </c>
      <c r="C856" s="4" t="inlineStr">
        <is>
          <t>KB16VB</t>
        </is>
      </c>
      <c r="D856" s="3" t="inlineStr">
        <is>
          <t>Cái</t>
        </is>
      </c>
      <c r="E856" s="5" t="n">
        <v>1120000</v>
      </c>
      <c r="F856" s="5" t="n">
        <v>1230000</v>
      </c>
      <c r="G856" s="6" t="n">
        <v>1400000</v>
      </c>
      <c r="H856" s="4" t="inlineStr">
        <is>
          <t>Cái 1c/H 10c/T</t>
        </is>
      </c>
    </row>
    <row r="857">
      <c r="A857" s="3" t="n">
        <v>856</v>
      </c>
      <c r="B857" s="3" t="n">
        <v>39</v>
      </c>
      <c r="C857" s="4" t="inlineStr">
        <is>
          <t>KB16VA2</t>
        </is>
      </c>
      <c r="D857" s="3" t="inlineStr">
        <is>
          <t>Bộ</t>
        </is>
      </c>
      <c r="E857" s="5" t="n">
        <v>1690000</v>
      </c>
      <c r="F857" s="5" t="n">
        <v>1860000</v>
      </c>
      <c r="G857" s="6" t="n">
        <v>2120000</v>
      </c>
      <c r="H857" s="4" t="inlineStr">
        <is>
          <t>Bộ 1c/H 10c/T</t>
        </is>
      </c>
    </row>
    <row r="858">
      <c r="A858" s="3" t="n">
        <v>857</v>
      </c>
      <c r="B858" s="3" t="n">
        <v>39</v>
      </c>
      <c r="C858" s="4" t="inlineStr">
        <is>
          <t>KB16QA2</t>
        </is>
      </c>
      <c r="D858" s="3" t="inlineStr">
        <is>
          <t>Bộ</t>
        </is>
      </c>
      <c r="E858" s="5" t="n">
        <v>1690000</v>
      </c>
      <c r="F858" s="5" t="n">
        <v>1860000</v>
      </c>
      <c r="G858" s="6" t="n">
        <v>2120000</v>
      </c>
      <c r="H858" s="4" t="inlineStr">
        <is>
          <t>Bộ 1c/H 10c/T</t>
        </is>
      </c>
    </row>
    <row r="859">
      <c r="A859" s="3" t="n">
        <v>858</v>
      </c>
      <c r="B859" s="3" t="n">
        <v>39</v>
      </c>
      <c r="C859" s="4" t="inlineStr">
        <is>
          <t>KB16QA</t>
        </is>
      </c>
      <c r="D859" s="3" t="inlineStr">
        <is>
          <t>Cái</t>
        </is>
      </c>
      <c r="E859" s="5" t="n">
        <v>790000</v>
      </c>
      <c r="F859" s="5" t="n">
        <v>870000</v>
      </c>
      <c r="G859" s="6" t="n">
        <v>990000</v>
      </c>
      <c r="H859" s="4" t="inlineStr">
        <is>
          <t>Cái 1c/H 10c/T</t>
        </is>
      </c>
    </row>
    <row r="860">
      <c r="A860" s="3" t="n">
        <v>859</v>
      </c>
      <c r="B860" s="3" t="n">
        <v>39</v>
      </c>
      <c r="C860" s="4" t="inlineStr">
        <is>
          <t>KB20QB</t>
        </is>
      </c>
      <c r="D860" s="3" t="inlineStr">
        <is>
          <t>Cái</t>
        </is>
      </c>
      <c r="E860" s="5" t="n">
        <v>940000</v>
      </c>
      <c r="F860" s="5" t="n">
        <v>1030000</v>
      </c>
      <c r="G860" s="6" t="n">
        <v>1170000</v>
      </c>
      <c r="H860" s="4" t="inlineStr">
        <is>
          <t>Cái 1c/H 10c/T</t>
        </is>
      </c>
    </row>
    <row r="861">
      <c r="A861" s="3" t="n">
        <v>860</v>
      </c>
      <c r="B861" s="3" t="n">
        <v>39</v>
      </c>
      <c r="C861" s="4" t="inlineStr">
        <is>
          <t>KB20QB2</t>
        </is>
      </c>
      <c r="D861" s="3" t="inlineStr">
        <is>
          <t>Bộ</t>
        </is>
      </c>
      <c r="E861" s="5" t="n">
        <v>2040000</v>
      </c>
      <c r="F861" s="5" t="n">
        <v>2240000</v>
      </c>
      <c r="G861" s="6" t="n">
        <v>2540000</v>
      </c>
      <c r="H861" s="4" t="inlineStr">
        <is>
          <t>Bộ 1c/H 10c/T</t>
        </is>
      </c>
    </row>
    <row r="862">
      <c r="A862" s="3" t="n">
        <v>861</v>
      </c>
      <c r="B862" s="3" t="n">
        <v>39</v>
      </c>
      <c r="C862" s="4" t="inlineStr">
        <is>
          <t>KB20QF</t>
        </is>
      </c>
      <c r="D862" s="3" t="inlineStr">
        <is>
          <t>Cái</t>
        </is>
      </c>
      <c r="E862" s="5" t="n">
        <v>2110000</v>
      </c>
      <c r="F862" s="5" t="n">
        <v>2320000</v>
      </c>
      <c r="G862" s="6" t="n">
        <v>2640000</v>
      </c>
      <c r="H862" s="4" t="inlineStr">
        <is>
          <t>Cái 1c/H 5c/T</t>
        </is>
      </c>
    </row>
    <row r="863">
      <c r="A863" s="3" t="n">
        <v>862</v>
      </c>
      <c r="B863" s="3" t="n">
        <v>40</v>
      </c>
      <c r="C863" s="4" t="inlineStr">
        <is>
          <t>KB20QF1</t>
        </is>
      </c>
      <c r="D863" s="3" t="inlineStr">
        <is>
          <t>Bộ</t>
        </is>
      </c>
      <c r="E863" s="5" t="n">
        <v>3080000</v>
      </c>
      <c r="F863" s="5" t="n">
        <v>3390000</v>
      </c>
      <c r="G863" s="6" t="n">
        <v>3850000</v>
      </c>
      <c r="H863" s="4" t="inlineStr">
        <is>
          <t>Bộ 1c/H 5c/T</t>
        </is>
      </c>
    </row>
    <row r="864">
      <c r="A864" s="3" t="n">
        <v>863</v>
      </c>
      <c r="B864" s="3" t="n">
        <v>40</v>
      </c>
      <c r="C864" s="4" t="inlineStr">
        <is>
          <t>KB20MG</t>
        </is>
      </c>
      <c r="D864" s="3" t="inlineStr">
        <is>
          <t>Cái</t>
        </is>
      </c>
      <c r="E864" s="5" t="n">
        <v>1320000</v>
      </c>
      <c r="F864" s="5" t="n">
        <v>1450000</v>
      </c>
      <c r="G864" s="6" t="n">
        <v>1650000</v>
      </c>
      <c r="H864" s="4" t="inlineStr">
        <is>
          <t>Cái 1c/H 10c/T</t>
        </is>
      </c>
    </row>
    <row r="865">
      <c r="A865" s="3" t="n">
        <v>864</v>
      </c>
      <c r="B865" s="3" t="n">
        <v>40</v>
      </c>
      <c r="C865" s="4" t="inlineStr">
        <is>
          <t>KB20MG1</t>
        </is>
      </c>
      <c r="D865" s="3" t="inlineStr">
        <is>
          <t>Bộ</t>
        </is>
      </c>
      <c r="E865" s="5" t="n">
        <v>2310000</v>
      </c>
      <c r="F865" s="5" t="n">
        <v>2540000</v>
      </c>
      <c r="G865" s="6" t="n">
        <v>2890000</v>
      </c>
      <c r="H865" s="4" t="inlineStr">
        <is>
          <t>Bộ 1c/H 5c/T</t>
        </is>
      </c>
    </row>
    <row r="866">
      <c r="A866" s="3" t="n">
        <v>865</v>
      </c>
      <c r="B866" s="3" t="n">
        <v>40</v>
      </c>
      <c r="C866" s="4" t="inlineStr">
        <is>
          <t>KB20QE</t>
        </is>
      </c>
      <c r="D866" s="3" t="inlineStr">
        <is>
          <t>Cái</t>
        </is>
      </c>
      <c r="E866" s="5" t="n">
        <v>2110000</v>
      </c>
      <c r="F866" s="5" t="n">
        <v>2320000</v>
      </c>
      <c r="G866" s="6" t="n">
        <v>2640000</v>
      </c>
      <c r="H866" s="4" t="inlineStr">
        <is>
          <t>Cái 1c/H 5c/T</t>
        </is>
      </c>
    </row>
    <row r="867">
      <c r="A867" s="3" t="n">
        <v>866</v>
      </c>
      <c r="B867" s="3" t="n">
        <v>40</v>
      </c>
      <c r="C867" s="4" t="inlineStr">
        <is>
          <t>KB20QE1</t>
        </is>
      </c>
      <c r="D867" s="3" t="inlineStr">
        <is>
          <t>Bộ</t>
        </is>
      </c>
      <c r="E867" s="5" t="n">
        <v>3060000</v>
      </c>
      <c r="F867" s="5" t="n">
        <v>3360000</v>
      </c>
      <c r="G867" s="6" t="n">
        <v>3820000</v>
      </c>
      <c r="H867" s="4" t="inlineStr">
        <is>
          <t>Bộ 1c/H 5c/T</t>
        </is>
      </c>
    </row>
    <row r="868">
      <c r="A868" s="3" t="n">
        <v>867</v>
      </c>
      <c r="B868" s="3" t="n">
        <v>40</v>
      </c>
      <c r="C868" s="4" t="inlineStr">
        <is>
          <t>KB20VC</t>
        </is>
      </c>
      <c r="D868" s="3" t="inlineStr">
        <is>
          <t>Cái</t>
        </is>
      </c>
      <c r="E868" s="5" t="n">
        <v>1170000</v>
      </c>
      <c r="F868" s="5" t="n">
        <v>1280000</v>
      </c>
      <c r="G868" s="6" t="n">
        <v>1460000</v>
      </c>
      <c r="H868" s="4" t="inlineStr">
        <is>
          <t>Cái 1c/H 10c/T</t>
        </is>
      </c>
    </row>
    <row r="869">
      <c r="A869" s="3" t="n">
        <v>868</v>
      </c>
      <c r="B869" s="3" t="n">
        <v>40</v>
      </c>
      <c r="C869" s="4" t="inlineStr">
        <is>
          <t>KB20VC1</t>
        </is>
      </c>
      <c r="D869" s="3" t="inlineStr">
        <is>
          <t>Bộ</t>
        </is>
      </c>
      <c r="E869" s="5" t="n">
        <v>2050000</v>
      </c>
      <c r="F869" s="5" t="n">
        <v>2250000</v>
      </c>
      <c r="G869" s="6" t="n">
        <v>2560000</v>
      </c>
      <c r="H869" s="4" t="inlineStr">
        <is>
          <t>Bộ 1c/H 10c/T</t>
        </is>
      </c>
    </row>
    <row r="870">
      <c r="A870" s="3" t="n">
        <v>869</v>
      </c>
      <c r="B870" s="3" t="n">
        <v>40</v>
      </c>
      <c r="C870" s="4" t="inlineStr">
        <is>
          <t>KB20CK</t>
        </is>
      </c>
      <c r="D870" s="3" t="inlineStr">
        <is>
          <t>Cái</t>
        </is>
      </c>
      <c r="E870" s="5" t="n">
        <v>2080000</v>
      </c>
      <c r="F870" s="5" t="n">
        <v>2290000</v>
      </c>
      <c r="G870" s="6" t="n">
        <v>2600000</v>
      </c>
      <c r="H870" s="4" t="inlineStr">
        <is>
          <t>Cái 1c/H 5c/T</t>
        </is>
      </c>
    </row>
    <row r="871">
      <c r="A871" s="3" t="n">
        <v>870</v>
      </c>
      <c r="B871" s="3" t="n">
        <v>40</v>
      </c>
      <c r="C871" s="4" t="inlineStr">
        <is>
          <t>KB20CK1</t>
        </is>
      </c>
      <c r="D871" s="3" t="inlineStr">
        <is>
          <t>Bộ</t>
        </is>
      </c>
      <c r="E871" s="5" t="n">
        <v>3070000</v>
      </c>
      <c r="F871" s="5" t="n">
        <v>3380000</v>
      </c>
      <c r="G871" s="6" t="n">
        <v>3840000</v>
      </c>
      <c r="H871" s="4" t="inlineStr">
        <is>
          <t>Bộ 1c/H 5c/T</t>
        </is>
      </c>
    </row>
    <row r="872">
      <c r="A872" s="3" t="n">
        <v>871</v>
      </c>
      <c r="B872" s="3" t="n">
        <v>40</v>
      </c>
      <c r="C872" s="4" t="inlineStr">
        <is>
          <t>KB20SE</t>
        </is>
      </c>
      <c r="D872" s="3" t="inlineStr">
        <is>
          <t>Cái</t>
        </is>
      </c>
      <c r="E872" s="5" t="n">
        <v>2100000</v>
      </c>
      <c r="F872" s="5" t="n">
        <v>2310000</v>
      </c>
      <c r="G872" s="6" t="n">
        <v>2630000</v>
      </c>
      <c r="H872" s="4" t="inlineStr">
        <is>
          <t>Cái 1c/H 10c/T</t>
        </is>
      </c>
    </row>
    <row r="873">
      <c r="A873" s="3" t="n">
        <v>872</v>
      </c>
      <c r="B873" s="3" t="n">
        <v>41</v>
      </c>
      <c r="C873" s="4" t="inlineStr">
        <is>
          <t>KB20SE1</t>
        </is>
      </c>
      <c r="D873" s="3" t="inlineStr">
        <is>
          <t>Bộ</t>
        </is>
      </c>
      <c r="E873" s="5" t="n">
        <v>3090000</v>
      </c>
      <c r="F873" s="5" t="n">
        <v>3400000</v>
      </c>
      <c r="G873" s="6" t="n">
        <v>3860000</v>
      </c>
      <c r="H873" s="4" t="inlineStr">
        <is>
          <t>Bộ 1c/H 5c/T</t>
        </is>
      </c>
    </row>
    <row r="874">
      <c r="A874" s="3" t="n">
        <v>873</v>
      </c>
      <c r="B874" s="3" t="n">
        <v>41</v>
      </c>
      <c r="C874" s="4" t="inlineStr">
        <is>
          <t>KB20VD</t>
        </is>
      </c>
      <c r="D874" s="3" t="inlineStr">
        <is>
          <t>Cái</t>
        </is>
      </c>
      <c r="E874" s="5" t="n">
        <v>1740000</v>
      </c>
      <c r="F874" s="5" t="n">
        <v>1910000</v>
      </c>
      <c r="G874" s="6" t="n">
        <v>2170000</v>
      </c>
      <c r="H874" s="4" t="inlineStr">
        <is>
          <t>Cái 1c/H 10c/T</t>
        </is>
      </c>
    </row>
    <row r="875">
      <c r="A875" s="3" t="n">
        <v>874</v>
      </c>
      <c r="B875" s="3" t="n">
        <v>41</v>
      </c>
      <c r="C875" s="4" t="inlineStr">
        <is>
          <t>KB20VD1</t>
        </is>
      </c>
      <c r="D875" s="3" t="inlineStr">
        <is>
          <t>Bộ</t>
        </is>
      </c>
      <c r="E875" s="5" t="n">
        <v>2730000</v>
      </c>
      <c r="F875" s="5" t="n">
        <v>3000000</v>
      </c>
      <c r="G875" s="6" t="n">
        <v>3410000</v>
      </c>
      <c r="H875" s="4" t="inlineStr">
        <is>
          <t>Bộ 1c/H 5c/T</t>
        </is>
      </c>
    </row>
    <row r="876">
      <c r="A876" s="3" t="n">
        <v>875</v>
      </c>
      <c r="B876" s="3" t="n">
        <v>41</v>
      </c>
      <c r="C876" s="4" t="inlineStr">
        <is>
          <t>KB20SD</t>
        </is>
      </c>
      <c r="D876" s="3" t="inlineStr">
        <is>
          <t>Cái</t>
        </is>
      </c>
      <c r="E876" s="5" t="n">
        <v>1720000</v>
      </c>
      <c r="F876" s="5" t="n">
        <v>1890000</v>
      </c>
      <c r="G876" s="6" t="n">
        <v>2150000</v>
      </c>
      <c r="H876" s="4" t="inlineStr">
        <is>
          <t>Cái 1c/H 10c/T</t>
        </is>
      </c>
    </row>
    <row r="877">
      <c r="A877" s="3" t="n">
        <v>876</v>
      </c>
      <c r="B877" s="3" t="n">
        <v>41</v>
      </c>
      <c r="C877" s="4" t="inlineStr">
        <is>
          <t>KB20SD1</t>
        </is>
      </c>
      <c r="D877" s="3" t="inlineStr">
        <is>
          <t>Bộ</t>
        </is>
      </c>
      <c r="E877" s="5" t="n">
        <v>2710000</v>
      </c>
      <c r="F877" s="5" t="n">
        <v>2980000</v>
      </c>
      <c r="G877" s="6" t="n">
        <v>3380000</v>
      </c>
      <c r="H877" s="4" t="inlineStr">
        <is>
          <t>Bộ 1c/H 5c/T</t>
        </is>
      </c>
    </row>
    <row r="878">
      <c r="A878" s="3" t="n">
        <v>877</v>
      </c>
      <c r="B878" s="3" t="n">
        <v>41</v>
      </c>
      <c r="C878" s="4" t="inlineStr">
        <is>
          <t>KB20SC</t>
        </is>
      </c>
      <c r="D878" s="3" t="inlineStr">
        <is>
          <t>Cái</t>
        </is>
      </c>
      <c r="E878" s="5" t="n">
        <v>1140000</v>
      </c>
      <c r="F878" s="5" t="n">
        <v>1260000</v>
      </c>
      <c r="G878" s="6" t="n">
        <v>1430000</v>
      </c>
      <c r="H878" s="4" t="inlineStr">
        <is>
          <t>Cái 1c/H 10c/T</t>
        </is>
      </c>
    </row>
    <row r="879">
      <c r="A879" s="3" t="n">
        <v>878</v>
      </c>
      <c r="B879" s="3" t="n">
        <v>41</v>
      </c>
      <c r="C879" s="4" t="inlineStr">
        <is>
          <t>KB20SC1</t>
        </is>
      </c>
      <c r="D879" s="3" t="inlineStr">
        <is>
          <t>Bộ</t>
        </is>
      </c>
      <c r="E879" s="5" t="n">
        <v>2020000</v>
      </c>
      <c r="F879" s="5" t="n">
        <v>2230000</v>
      </c>
      <c r="G879" s="6" t="n">
        <v>2530000</v>
      </c>
      <c r="H879" s="4" t="inlineStr">
        <is>
          <t>Bộ 1c/H 10c/T</t>
        </is>
      </c>
    </row>
    <row r="880">
      <c r="A880" s="3" t="n">
        <v>879</v>
      </c>
      <c r="B880" s="3" t="n">
        <v>41</v>
      </c>
      <c r="C880" s="4" t="inlineStr">
        <is>
          <t>KB20S121</t>
        </is>
      </c>
      <c r="D880" s="3" t="inlineStr">
        <is>
          <t>Bộ</t>
        </is>
      </c>
      <c r="E880" s="5" t="n">
        <v>5060000</v>
      </c>
      <c r="F880" s="5" t="n">
        <v>5570000</v>
      </c>
      <c r="G880" s="6" t="n">
        <v>6330000</v>
      </c>
      <c r="H880" s="4" t="inlineStr">
        <is>
          <t>Bộ 1c/H 5c/T</t>
        </is>
      </c>
    </row>
    <row r="881">
      <c r="A881" s="3" t="n">
        <v>880</v>
      </c>
      <c r="B881" s="3" t="n">
        <v>41</v>
      </c>
      <c r="C881" s="4" t="inlineStr">
        <is>
          <t>KB20S341</t>
        </is>
      </c>
      <c r="D881" s="3" t="inlineStr">
        <is>
          <t>Bộ</t>
        </is>
      </c>
      <c r="E881" s="5" t="n">
        <v>5060000</v>
      </c>
      <c r="F881" s="5" t="n">
        <v>5570000</v>
      </c>
      <c r="G881" s="6" t="n">
        <v>6330000</v>
      </c>
      <c r="H881" s="4" t="inlineStr">
        <is>
          <t>Bộ 1c/H 5c/T</t>
        </is>
      </c>
    </row>
    <row r="882">
      <c r="A882" s="3" t="n">
        <v>881</v>
      </c>
      <c r="B882" s="3" t="n">
        <v>42</v>
      </c>
      <c r="C882" s="4" t="inlineStr">
        <is>
          <t>K18PLS</t>
        </is>
      </c>
      <c r="D882" s="3" t="inlineStr">
        <is>
          <t>Cái</t>
        </is>
      </c>
      <c r="E882" s="5" t="n">
        <v>990000</v>
      </c>
      <c r="F882" s="5" t="n">
        <v>1090000</v>
      </c>
      <c r="G882" s="6" t="n">
        <v>1240000</v>
      </c>
      <c r="H882" s="4" t="inlineStr">
        <is>
          <t>Cái 1c/H 10c/T</t>
        </is>
      </c>
    </row>
    <row r="883">
      <c r="A883" s="3" t="n">
        <v>882</v>
      </c>
      <c r="B883" s="3" t="n">
        <v>42</v>
      </c>
      <c r="C883" s="4" t="inlineStr">
        <is>
          <t>KM18CD</t>
        </is>
      </c>
      <c r="D883" s="3" t="inlineStr">
        <is>
          <t>Cái</t>
        </is>
      </c>
      <c r="E883" s="5" t="n">
        <v>2130000</v>
      </c>
      <c r="F883" s="5" t="n">
        <v>2350000</v>
      </c>
      <c r="G883" s="6" t="n">
        <v>2670000</v>
      </c>
      <c r="H883" s="4" t="inlineStr">
        <is>
          <t>Cái 1c/H 4c/T</t>
        </is>
      </c>
    </row>
    <row r="884">
      <c r="A884" s="3" t="n">
        <v>883</v>
      </c>
      <c r="B884" s="3" t="n">
        <v>42</v>
      </c>
      <c r="C884" s="4" t="inlineStr">
        <is>
          <t>KM18CX</t>
        </is>
      </c>
      <c r="D884" s="3" t="inlineStr">
        <is>
          <t>Cái</t>
        </is>
      </c>
      <c r="E884" s="5" t="n">
        <v>1890000</v>
      </c>
      <c r="F884" s="5" t="n">
        <v>2080000</v>
      </c>
      <c r="G884" s="6" t="n">
        <v>2370000</v>
      </c>
      <c r="H884" s="4" t="inlineStr">
        <is>
          <t>Cái 1c/H 6c/T</t>
        </is>
      </c>
    </row>
    <row r="885">
      <c r="A885" s="3" t="n">
        <v>884</v>
      </c>
      <c r="B885" s="3" t="n">
        <v>42</v>
      </c>
      <c r="C885" s="4" t="inlineStr">
        <is>
          <t>KM18SM</t>
        </is>
      </c>
      <c r="D885" s="3" t="inlineStr">
        <is>
          <t>Cái</t>
        </is>
      </c>
      <c r="E885" s="5" t="n">
        <v>1720000</v>
      </c>
      <c r="F885" s="5" t="n">
        <v>1890000</v>
      </c>
      <c r="G885" s="6" t="n">
        <v>2150000</v>
      </c>
      <c r="H885" s="4" t="inlineStr">
        <is>
          <t>Cái 1c/H 10c/T</t>
        </is>
      </c>
    </row>
    <row r="886">
      <c r="A886" s="3" t="n">
        <v>885</v>
      </c>
      <c r="B886" s="3" t="n">
        <v>42</v>
      </c>
      <c r="C886" s="4" t="inlineStr">
        <is>
          <t>KM18QD</t>
        </is>
      </c>
      <c r="D886" s="3" t="inlineStr">
        <is>
          <t>Cái</t>
        </is>
      </c>
      <c r="E886" s="5" t="n">
        <v>1780000</v>
      </c>
      <c r="F886" s="5" t="n">
        <v>1960000</v>
      </c>
      <c r="G886" s="6" t="n">
        <v>2230000</v>
      </c>
      <c r="H886" s="4" t="inlineStr">
        <is>
          <t>Cái 1c/H 10c/T</t>
        </is>
      </c>
    </row>
    <row r="887">
      <c r="A887" s="3" t="n">
        <v>886</v>
      </c>
      <c r="B887" s="3" t="n">
        <v>42</v>
      </c>
      <c r="C887" s="4" t="inlineStr">
        <is>
          <t>K18SFS</t>
        </is>
      </c>
      <c r="D887" s="3" t="inlineStr">
        <is>
          <t>Cái</t>
        </is>
      </c>
      <c r="E887" s="5" t="n">
        <v>2620000</v>
      </c>
      <c r="F887" s="5" t="n">
        <v>2880000</v>
      </c>
      <c r="G887" s="6" t="n">
        <v>3270000</v>
      </c>
      <c r="H887" s="4" t="inlineStr">
        <is>
          <t>Cái 1c/H 10c/T</t>
        </is>
      </c>
    </row>
    <row r="888">
      <c r="A888" s="3" t="n">
        <v>887</v>
      </c>
      <c r="B888" s="3" t="n">
        <v>42</v>
      </c>
      <c r="C888" s="4" t="inlineStr">
        <is>
          <t>KM18SF</t>
        </is>
      </c>
      <c r="D888" s="3" t="inlineStr">
        <is>
          <t>Cái</t>
        </is>
      </c>
      <c r="E888" s="5" t="n">
        <v>2620000</v>
      </c>
      <c r="F888" s="5" t="n">
        <v>2880000</v>
      </c>
      <c r="G888" s="6" t="n">
        <v>3270000</v>
      </c>
      <c r="H888" s="4" t="inlineStr">
        <is>
          <t>Cái 1c/H 10c/T</t>
        </is>
      </c>
    </row>
    <row r="889">
      <c r="A889" s="3" t="n">
        <v>888</v>
      </c>
      <c r="B889" s="3" t="n">
        <v>43</v>
      </c>
      <c r="C889" s="4" t="inlineStr">
        <is>
          <t>KM18SV</t>
        </is>
      </c>
      <c r="D889" s="3" t="inlineStr">
        <is>
          <t>Cái</t>
        </is>
      </c>
      <c r="E889" s="5" t="n">
        <v>1560000</v>
      </c>
      <c r="F889" s="5" t="n">
        <v>1720000</v>
      </c>
      <c r="G889" s="6" t="n">
        <v>1950000</v>
      </c>
      <c r="H889" s="4" t="inlineStr">
        <is>
          <t>Cái 1c/H 10c/T</t>
        </is>
      </c>
    </row>
    <row r="890">
      <c r="A890" s="3" t="n">
        <v>889</v>
      </c>
      <c r="B890" s="3" t="n">
        <v>43</v>
      </c>
      <c r="C890" s="4" t="inlineStr">
        <is>
          <t>KM18VF</t>
        </is>
      </c>
      <c r="D890" s="3" t="inlineStr">
        <is>
          <t>Cái</t>
        </is>
      </c>
      <c r="E890" s="5" t="n">
        <v>1450000</v>
      </c>
      <c r="F890" s="5" t="n">
        <v>1600000</v>
      </c>
      <c r="G890" s="6" t="n">
        <v>1820000</v>
      </c>
      <c r="H890" s="4" t="inlineStr">
        <is>
          <t>Cái 1c/H 10c/T</t>
        </is>
      </c>
    </row>
    <row r="891">
      <c r="A891" s="3" t="n">
        <v>890</v>
      </c>
      <c r="B891" s="3" t="n">
        <v>43</v>
      </c>
      <c r="C891" s="4" t="inlineStr">
        <is>
          <t>KM18CK</t>
        </is>
      </c>
      <c r="D891" s="3" t="inlineStr">
        <is>
          <t>Cái</t>
        </is>
      </c>
      <c r="E891" s="5" t="n">
        <v>2110000</v>
      </c>
      <c r="F891" s="5" t="n">
        <v>2320000</v>
      </c>
      <c r="G891" s="6" t="n">
        <v>2640000</v>
      </c>
      <c r="H891" s="4" t="inlineStr">
        <is>
          <t>Cái 1c/H 5c/T</t>
        </is>
      </c>
    </row>
    <row r="892">
      <c r="A892" s="3" t="n">
        <v>891</v>
      </c>
      <c r="B892" s="3" t="n">
        <v>43</v>
      </c>
      <c r="C892" s="4" t="inlineStr">
        <is>
          <t>KM18QB</t>
        </is>
      </c>
      <c r="D892" s="3" t="inlineStr">
        <is>
          <t>Cái</t>
        </is>
      </c>
      <c r="E892" s="5" t="n">
        <v>920000</v>
      </c>
      <c r="F892" s="5" t="n">
        <v>1020000</v>
      </c>
      <c r="G892" s="6" t="n">
        <v>1160000</v>
      </c>
      <c r="H892" s="4" t="inlineStr">
        <is>
          <t>Cái 1c/H 10c/T</t>
        </is>
      </c>
    </row>
    <row r="893">
      <c r="A893" s="3" t="n">
        <v>892</v>
      </c>
      <c r="B893" s="3" t="n">
        <v>43</v>
      </c>
      <c r="C893" s="4" t="inlineStr">
        <is>
          <t>K18QFS</t>
        </is>
      </c>
      <c r="D893" s="3" t="inlineStr">
        <is>
          <t>Cái</t>
        </is>
      </c>
      <c r="E893" s="5" t="n">
        <v>2110000</v>
      </c>
      <c r="F893" s="5" t="n">
        <v>2320000</v>
      </c>
      <c r="G893" s="6" t="n">
        <v>2640000</v>
      </c>
      <c r="H893" s="4" t="inlineStr">
        <is>
          <t>Cái 1c/H 5c/T</t>
        </is>
      </c>
    </row>
    <row r="894">
      <c r="A894" s="3" t="n">
        <v>893</v>
      </c>
      <c r="B894" s="3" t="n">
        <v>43</v>
      </c>
      <c r="C894" s="4" t="inlineStr">
        <is>
          <t>KM18QF</t>
        </is>
      </c>
      <c r="D894" s="3" t="inlineStr">
        <is>
          <t>Cái</t>
        </is>
      </c>
      <c r="E894" s="5" t="n">
        <v>2110000</v>
      </c>
      <c r="F894" s="5" t="n">
        <v>2320000</v>
      </c>
      <c r="G894" s="6" t="n">
        <v>2640000</v>
      </c>
      <c r="H894" s="4" t="inlineStr">
        <is>
          <t>Cái 1c/H 5c/T</t>
        </is>
      </c>
    </row>
    <row r="895">
      <c r="A895" s="3" t="n">
        <v>894</v>
      </c>
      <c r="B895" s="3" t="n">
        <v>43</v>
      </c>
      <c r="C895" s="4" t="inlineStr">
        <is>
          <t>KM18MG</t>
        </is>
      </c>
      <c r="D895" s="3" t="inlineStr">
        <is>
          <t>Cái</t>
        </is>
      </c>
      <c r="E895" s="5" t="n">
        <v>1320000</v>
      </c>
      <c r="F895" s="5" t="n">
        <v>1450000</v>
      </c>
      <c r="G895" s="6" t="n">
        <v>1650000</v>
      </c>
      <c r="H895" s="4" t="inlineStr">
        <is>
          <t>Cái 1c/H 10c/T</t>
        </is>
      </c>
    </row>
    <row r="896">
      <c r="A896" s="3" t="n">
        <v>895</v>
      </c>
      <c r="B896" s="3" t="n">
        <v>43</v>
      </c>
      <c r="C896" s="4" t="inlineStr">
        <is>
          <t>KM18QE</t>
        </is>
      </c>
      <c r="D896" s="3" t="inlineStr">
        <is>
          <t>Cái</t>
        </is>
      </c>
      <c r="E896" s="5" t="n">
        <v>2110000</v>
      </c>
      <c r="F896" s="5" t="n">
        <v>2320000</v>
      </c>
      <c r="G896" s="6" t="n">
        <v>2640000</v>
      </c>
      <c r="H896" s="4" t="inlineStr">
        <is>
          <t>Cái 1c/H 5c/T</t>
        </is>
      </c>
    </row>
    <row r="897">
      <c r="A897" s="3" t="n">
        <v>896</v>
      </c>
      <c r="B897" s="3" t="n">
        <v>43</v>
      </c>
      <c r="C897" s="4" t="inlineStr">
        <is>
          <t>KM18VC</t>
        </is>
      </c>
      <c r="D897" s="3" t="inlineStr">
        <is>
          <t>Cái</t>
        </is>
      </c>
      <c r="E897" s="5" t="n">
        <v>1130000</v>
      </c>
      <c r="F897" s="5" t="n">
        <v>1250000</v>
      </c>
      <c r="G897" s="6" t="n">
        <v>1420000</v>
      </c>
      <c r="H897" s="4" t="inlineStr">
        <is>
          <t>Cái 1c/H 10c/T</t>
        </is>
      </c>
    </row>
    <row r="898">
      <c r="A898" s="3" t="n">
        <v>897</v>
      </c>
      <c r="B898" s="3" t="n">
        <v>43</v>
      </c>
      <c r="C898" s="4" t="inlineStr">
        <is>
          <t>KM18SD</t>
        </is>
      </c>
      <c r="D898" s="3" t="inlineStr">
        <is>
          <t>Cái</t>
        </is>
      </c>
      <c r="E898" s="5" t="n">
        <v>1690000</v>
      </c>
      <c r="F898" s="5" t="n">
        <v>1860000</v>
      </c>
      <c r="G898" s="6" t="n">
        <v>2120000</v>
      </c>
      <c r="H898" s="4" t="inlineStr">
        <is>
          <t>Cái 1c/H 10c/T</t>
        </is>
      </c>
    </row>
    <row r="899">
      <c r="A899" s="3" t="n">
        <v>898</v>
      </c>
      <c r="B899" s="3" t="n">
        <v>44</v>
      </c>
      <c r="C899" s="4" t="inlineStr">
        <is>
          <t>KM18VD</t>
        </is>
      </c>
      <c r="D899" s="3" t="inlineStr">
        <is>
          <t>Cái</t>
        </is>
      </c>
      <c r="E899" s="5" t="n">
        <v>1720000</v>
      </c>
      <c r="F899" s="5" t="n">
        <v>1890000</v>
      </c>
      <c r="G899" s="6" t="n">
        <v>2150000</v>
      </c>
      <c r="H899" s="4" t="inlineStr">
        <is>
          <t>Cái 1c/H 10c/T</t>
        </is>
      </c>
    </row>
    <row r="900">
      <c r="A900" s="3" t="n">
        <v>899</v>
      </c>
      <c r="B900" s="3" t="n">
        <v>44</v>
      </c>
      <c r="C900" s="4" t="inlineStr">
        <is>
          <t>KM18SC</t>
        </is>
      </c>
      <c r="D900" s="3" t="inlineStr">
        <is>
          <t>Cái</t>
        </is>
      </c>
      <c r="E900" s="5" t="n">
        <v>1130000</v>
      </c>
      <c r="F900" s="5" t="n">
        <v>1250000</v>
      </c>
      <c r="G900" s="6" t="n">
        <v>1420000</v>
      </c>
      <c r="H900" s="4" t="inlineStr">
        <is>
          <t>Cái 1c/H 10c/T</t>
        </is>
      </c>
    </row>
    <row r="901">
      <c r="A901" s="3" t="n">
        <v>900</v>
      </c>
      <c r="B901" s="3" t="n">
        <v>44</v>
      </c>
      <c r="C901" s="4" t="inlineStr">
        <is>
          <t>KM18SE</t>
        </is>
      </c>
      <c r="D901" s="3" t="inlineStr">
        <is>
          <t>Cái</t>
        </is>
      </c>
      <c r="E901" s="5" t="n">
        <v>2090000</v>
      </c>
      <c r="F901" s="5" t="n">
        <v>2300000</v>
      </c>
      <c r="G901" s="6" t="n">
        <v>2610000</v>
      </c>
      <c r="H901" s="4" t="inlineStr">
        <is>
          <t>Cái 1c/H 10c/T</t>
        </is>
      </c>
    </row>
    <row r="902">
      <c r="A902" s="3" t="n">
        <v>901</v>
      </c>
      <c r="B902" s="3" t="n">
        <v>44</v>
      </c>
      <c r="C902" s="4" t="inlineStr">
        <is>
          <t>KM18S12</t>
        </is>
      </c>
      <c r="D902" s="3" t="inlineStr">
        <is>
          <t>Cái</t>
        </is>
      </c>
      <c r="E902" s="5" t="n">
        <v>3960000</v>
      </c>
      <c r="F902" s="5" t="n">
        <v>4360000</v>
      </c>
      <c r="G902" s="6" t="n">
        <v>4950000</v>
      </c>
      <c r="H902" s="4" t="inlineStr">
        <is>
          <t>Cái 1c/H 10c/T</t>
        </is>
      </c>
    </row>
    <row r="903">
      <c r="A903" s="3" t="n">
        <v>902</v>
      </c>
      <c r="B903" s="3" t="n">
        <v>44</v>
      </c>
      <c r="C903" s="4" t="inlineStr">
        <is>
          <t>KM18S34</t>
        </is>
      </c>
      <c r="D903" s="3" t="inlineStr">
        <is>
          <t>Cái</t>
        </is>
      </c>
      <c r="E903" s="5" t="n">
        <v>3960000</v>
      </c>
      <c r="F903" s="5" t="n">
        <v>4360000</v>
      </c>
      <c r="G903" s="6" t="n">
        <v>4950000</v>
      </c>
      <c r="H903" s="4" t="inlineStr">
        <is>
          <t>Cái 1c/H 10c/T</t>
        </is>
      </c>
    </row>
    <row r="904">
      <c r="A904" s="3" t="n">
        <v>903</v>
      </c>
      <c r="B904" s="3" t="n">
        <v>44</v>
      </c>
      <c r="C904" s="4" t="inlineStr">
        <is>
          <t>K18VFS</t>
        </is>
      </c>
      <c r="D904" s="3" t="inlineStr">
        <is>
          <t>Cái</t>
        </is>
      </c>
      <c r="E904" s="5" t="n">
        <v>1540000</v>
      </c>
      <c r="F904" s="5" t="n">
        <v>1690000</v>
      </c>
      <c r="G904" s="6" t="n">
        <v>1930000</v>
      </c>
      <c r="H904" s="4" t="inlineStr">
        <is>
          <t>Cái 1c/H 10c/T</t>
        </is>
      </c>
    </row>
    <row r="905">
      <c r="A905" s="3" t="n">
        <v>904</v>
      </c>
      <c r="B905" s="3" t="n">
        <v>44</v>
      </c>
      <c r="C905" s="4" t="inlineStr">
        <is>
          <t>K18SVS</t>
        </is>
      </c>
      <c r="D905" s="3" t="inlineStr">
        <is>
          <t>Cái</t>
        </is>
      </c>
      <c r="E905" s="5" t="n">
        <v>1630000</v>
      </c>
      <c r="F905" s="5" t="n">
        <v>1790000</v>
      </c>
      <c r="G905" s="6" t="n">
        <v>2040000</v>
      </c>
      <c r="H905" s="4" t="inlineStr">
        <is>
          <t>Cái 1c/H 10c/T</t>
        </is>
      </c>
    </row>
    <row r="906">
      <c r="A906" s="3" t="n">
        <v>905</v>
      </c>
      <c r="B906" s="3" t="n">
        <v>44</v>
      </c>
      <c r="C906" s="4" t="inlineStr">
        <is>
          <t>K18QES</t>
        </is>
      </c>
      <c r="D906" s="3" t="inlineStr">
        <is>
          <t>Cái</t>
        </is>
      </c>
      <c r="E906" s="5" t="n">
        <v>2380000</v>
      </c>
      <c r="F906" s="5" t="n">
        <v>2610000</v>
      </c>
      <c r="G906" s="6" t="n">
        <v>2970000</v>
      </c>
      <c r="H906" s="4" t="inlineStr">
        <is>
          <t>Cái 1c/H 10c/T</t>
        </is>
      </c>
    </row>
    <row r="907">
      <c r="A907" s="3" t="n">
        <v>906</v>
      </c>
      <c r="B907" s="3" t="n">
        <v>45</v>
      </c>
      <c r="C907" s="4" t="inlineStr">
        <is>
          <t>K18MGS</t>
        </is>
      </c>
      <c r="D907" s="3" t="inlineStr">
        <is>
          <t>Cái</t>
        </is>
      </c>
      <c r="E907" s="5" t="n">
        <v>1340000</v>
      </c>
      <c r="F907" s="5" t="n">
        <v>1480000</v>
      </c>
      <c r="G907" s="6" t="n">
        <v>1680000</v>
      </c>
      <c r="H907" s="4" t="inlineStr">
        <is>
          <t>Cái 1c/H 10c/T</t>
        </is>
      </c>
    </row>
    <row r="908">
      <c r="A908" s="3" t="n">
        <v>907</v>
      </c>
      <c r="B908" s="3" t="n">
        <v>45</v>
      </c>
      <c r="C908" s="4" t="inlineStr">
        <is>
          <t>KD18QF</t>
        </is>
      </c>
      <c r="D908" s="3" t="inlineStr">
        <is>
          <t>Cái</t>
        </is>
      </c>
      <c r="E908" s="5" t="n">
        <v>2110000</v>
      </c>
      <c r="F908" s="5" t="n">
        <v>2320000</v>
      </c>
      <c r="G908" s="6" t="n">
        <v>2640000</v>
      </c>
      <c r="H908" s="4" t="inlineStr">
        <is>
          <t>Cái 1c/H 5c/T</t>
        </is>
      </c>
    </row>
    <row r="909">
      <c r="A909" s="3" t="n">
        <v>908</v>
      </c>
      <c r="B909" s="3" t="n">
        <v>45</v>
      </c>
      <c r="C909" s="4" t="inlineStr">
        <is>
          <t>KD18QE</t>
        </is>
      </c>
      <c r="D909" s="3" t="inlineStr">
        <is>
          <t>Cái</t>
        </is>
      </c>
      <c r="E909" s="5" t="n">
        <v>2110000</v>
      </c>
      <c r="F909" s="5" t="n">
        <v>2320000</v>
      </c>
      <c r="G909" s="6" t="n">
        <v>2640000</v>
      </c>
      <c r="H909" s="4" t="inlineStr">
        <is>
          <t>Cái 1c/H 5c/T</t>
        </is>
      </c>
    </row>
    <row r="910">
      <c r="A910" s="3" t="n">
        <v>909</v>
      </c>
      <c r="B910" s="3" t="n">
        <v>45</v>
      </c>
      <c r="C910" s="4" t="inlineStr">
        <is>
          <t>KD18VD</t>
        </is>
      </c>
      <c r="D910" s="3" t="inlineStr">
        <is>
          <t>Cái</t>
        </is>
      </c>
      <c r="E910" s="5" t="n">
        <v>1740000</v>
      </c>
      <c r="F910" s="5" t="n">
        <v>1910000</v>
      </c>
      <c r="G910" s="6" t="n">
        <v>2170000</v>
      </c>
      <c r="H910" s="4" t="inlineStr">
        <is>
          <t>Cái 1c/H 10c/T</t>
        </is>
      </c>
    </row>
    <row r="911">
      <c r="A911" s="3" t="n">
        <v>910</v>
      </c>
      <c r="B911" s="3" t="n">
        <v>45</v>
      </c>
      <c r="C911" s="4" t="inlineStr">
        <is>
          <t>KD18SD</t>
        </is>
      </c>
      <c r="D911" s="3" t="inlineStr">
        <is>
          <t>Cái</t>
        </is>
      </c>
      <c r="E911" s="5" t="n">
        <v>1720000</v>
      </c>
      <c r="F911" s="5" t="n">
        <v>1890000</v>
      </c>
      <c r="G911" s="6" t="n">
        <v>2150000</v>
      </c>
      <c r="H911" s="4" t="inlineStr">
        <is>
          <t>Cái 1c/H 10c/T</t>
        </is>
      </c>
    </row>
    <row r="912">
      <c r="A912" s="3" t="n">
        <v>911</v>
      </c>
      <c r="B912" s="3" t="n">
        <v>45</v>
      </c>
      <c r="C912" s="4" t="inlineStr">
        <is>
          <t>KD18SE</t>
        </is>
      </c>
      <c r="D912" s="3" t="inlineStr">
        <is>
          <t>Cái</t>
        </is>
      </c>
      <c r="E912" s="5" t="n">
        <v>2110000</v>
      </c>
      <c r="F912" s="5" t="n">
        <v>2320000</v>
      </c>
      <c r="G912" s="6" t="n">
        <v>2640000</v>
      </c>
      <c r="H912" s="4" t="inlineStr">
        <is>
          <t>Cái 1c/H 10c/T</t>
        </is>
      </c>
    </row>
    <row r="913">
      <c r="A913" s="3" t="n">
        <v>912</v>
      </c>
      <c r="B913" s="3" t="n">
        <v>45</v>
      </c>
      <c r="C913" s="4" t="inlineStr">
        <is>
          <t>KD18S12</t>
        </is>
      </c>
      <c r="D913" s="3" t="inlineStr">
        <is>
          <t>Cái</t>
        </is>
      </c>
      <c r="E913" s="5" t="n">
        <v>3960000</v>
      </c>
      <c r="F913" s="5" t="n">
        <v>4360000</v>
      </c>
      <c r="G913" s="6" t="n">
        <v>4950000</v>
      </c>
      <c r="H913" s="4" t="inlineStr">
        <is>
          <t>Cái 1c/H 10c/T</t>
        </is>
      </c>
    </row>
    <row r="914">
      <c r="A914" s="3" t="n">
        <v>913</v>
      </c>
      <c r="B914" s="3" t="n">
        <v>45</v>
      </c>
      <c r="C914" s="4" t="inlineStr">
        <is>
          <t>KD18S34</t>
        </is>
      </c>
      <c r="D914" s="3" t="inlineStr">
        <is>
          <t>Cái</t>
        </is>
      </c>
      <c r="E914" s="5" t="n">
        <v>3960000</v>
      </c>
      <c r="F914" s="5" t="n">
        <v>4360000</v>
      </c>
      <c r="G914" s="6" t="n">
        <v>4950000</v>
      </c>
      <c r="H914" s="4" t="inlineStr">
        <is>
          <t>Cái 1c/H 10c/T</t>
        </is>
      </c>
    </row>
    <row r="915">
      <c r="A915" s="3" t="n">
        <v>914</v>
      </c>
      <c r="B915" s="3" t="n">
        <v>46</v>
      </c>
      <c r="C915" s="4" t="inlineStr">
        <is>
          <t>Pin B2016 B2016</t>
        </is>
      </c>
      <c r="D915" s="3" t="inlineStr">
        <is>
          <t>Cái</t>
        </is>
      </c>
      <c r="E915" s="5" t="n">
        <v>350000</v>
      </c>
      <c r="F915" s="5" t="n">
        <v>392000</v>
      </c>
      <c r="G915" s="6" t="n">
        <v>455000</v>
      </c>
      <c r="H915" s="4" t="inlineStr">
        <is>
          <t>Cái</t>
        </is>
      </c>
    </row>
    <row r="916">
      <c r="A916" s="3" t="n">
        <v>915</v>
      </c>
      <c r="B916" s="3" t="n">
        <v>46</v>
      </c>
      <c r="C916" s="4" t="inlineStr">
        <is>
          <t>Pin M1840 M1840</t>
        </is>
      </c>
      <c r="D916" s="3" t="inlineStr">
        <is>
          <t>Cái</t>
        </is>
      </c>
      <c r="E916" s="5" t="n">
        <v>825000</v>
      </c>
      <c r="F916" s="5" t="n">
        <v>924000</v>
      </c>
      <c r="G916" s="6" t="n">
        <v>1073000</v>
      </c>
      <c r="H916" s="4" t="inlineStr">
        <is>
          <t>Cái</t>
        </is>
      </c>
    </row>
    <row r="917">
      <c r="A917" s="3" t="n">
        <v>916</v>
      </c>
      <c r="B917" s="3" t="n">
        <v>46</v>
      </c>
      <c r="C917" s="4" t="inlineStr">
        <is>
          <t>Pin B2020 B2020</t>
        </is>
      </c>
      <c r="D917" s="3" t="inlineStr">
        <is>
          <t>Cái</t>
        </is>
      </c>
      <c r="E917" s="5" t="n">
        <v>385000</v>
      </c>
      <c r="F917" s="5" t="n">
        <v>431000</v>
      </c>
      <c r="G917" s="6" t="n">
        <v>501000</v>
      </c>
      <c r="H917" s="4" t="inlineStr">
        <is>
          <t>Cái</t>
        </is>
      </c>
    </row>
    <row r="918">
      <c r="A918" s="3" t="n">
        <v>917</v>
      </c>
      <c r="B918" s="3" t="n">
        <v>46</v>
      </c>
      <c r="C918" s="4" t="inlineStr">
        <is>
          <t>Pin B2040 B2040</t>
        </is>
      </c>
      <c r="D918" s="3" t="inlineStr">
        <is>
          <t>Cái</t>
        </is>
      </c>
      <c r="E918" s="5" t="n">
        <v>660000</v>
      </c>
      <c r="F918" s="5" t="n">
        <v>739000</v>
      </c>
      <c r="G918" s="6" t="n">
        <v>858000</v>
      </c>
      <c r="H918" s="4" t="inlineStr">
        <is>
          <t>Cái</t>
        </is>
      </c>
    </row>
    <row r="919">
      <c r="A919" s="3" t="n">
        <v>918</v>
      </c>
      <c r="B919" s="3" t="n">
        <v>46</v>
      </c>
      <c r="C919" s="4" t="inlineStr">
        <is>
          <t>Pin B2050 B2050</t>
        </is>
      </c>
      <c r="D919" s="3" t="inlineStr">
        <is>
          <t>Cái</t>
        </is>
      </c>
      <c r="E919" s="5" t="n">
        <v>858000</v>
      </c>
      <c r="F919" s="5" t="n">
        <v>961000</v>
      </c>
      <c r="G919" s="6" t="n">
        <v>1115000</v>
      </c>
      <c r="H919" s="4" t="inlineStr">
        <is>
          <t>Cái</t>
        </is>
      </c>
    </row>
    <row r="920">
      <c r="A920" s="3" t="n">
        <v>919</v>
      </c>
      <c r="B920" s="3" t="n">
        <v>46</v>
      </c>
      <c r="C920" s="4" t="inlineStr">
        <is>
          <t>Pin MP4018 MP4018</t>
        </is>
      </c>
      <c r="D920" s="3" t="inlineStr">
        <is>
          <t>Cái</t>
        </is>
      </c>
      <c r="E920" s="5" t="n">
        <v>730000</v>
      </c>
      <c r="F920" s="5" t="n">
        <v>818000</v>
      </c>
      <c r="G920" s="6" t="n">
        <v>949000</v>
      </c>
      <c r="H920" s="4" t="inlineStr">
        <is>
          <t>Cái Dòng xả 60ABH 16 THÁNG đổi mới không sửa chữa</t>
        </is>
      </c>
    </row>
    <row r="921">
      <c r="A921" s="3" t="n">
        <v>920</v>
      </c>
      <c r="B921" s="3" t="n">
        <v>46</v>
      </c>
      <c r="C921" s="4" t="inlineStr">
        <is>
          <t>Pin MP6018 MP6018</t>
        </is>
      </c>
      <c r="D921" s="3" t="inlineStr">
        <is>
          <t>Cái</t>
        </is>
      </c>
      <c r="E921" s="5" t="n">
        <v>1045000</v>
      </c>
      <c r="F921" s="5" t="n">
        <v>1171000</v>
      </c>
      <c r="G921" s="6" t="n">
        <v>1359000</v>
      </c>
      <c r="H921" s="4" t="inlineStr">
        <is>
          <t>Cái Dòng xả 90ABH 16 THÁNG đổi mới không sửa chữa</t>
        </is>
      </c>
    </row>
    <row r="922">
      <c r="A922" s="3" t="n">
        <v>921</v>
      </c>
      <c r="B922" s="3" t="n">
        <v>46</v>
      </c>
      <c r="C922" s="4" t="inlineStr">
        <is>
          <t>Sạc MS2A18 MS2A18</t>
        </is>
      </c>
      <c r="D922" s="3" t="inlineStr">
        <is>
          <t>Cái</t>
        </is>
      </c>
      <c r="E922" s="5" t="n">
        <v>290000</v>
      </c>
      <c r="F922" s="5" t="n">
        <v>325000</v>
      </c>
      <c r="G922" s="6" t="n">
        <v>377000</v>
      </c>
      <c r="H922" s="4" t="inlineStr">
        <is>
          <t>Cái BH 3 THÁNG đổi mới không sửa chữa</t>
        </is>
      </c>
    </row>
    <row r="923">
      <c r="A923" s="3" t="n">
        <v>922</v>
      </c>
      <c r="B923" s="3" t="n">
        <v>46</v>
      </c>
      <c r="C923" s="4" t="inlineStr">
        <is>
          <t>Sạc pin B2A16 B2A16</t>
        </is>
      </c>
      <c r="D923" s="3" t="inlineStr">
        <is>
          <t>Cái</t>
        </is>
      </c>
      <c r="E923" s="5" t="n">
        <v>220000</v>
      </c>
      <c r="F923" s="5" t="n">
        <v>246000</v>
      </c>
      <c r="G923" s="6" t="n">
        <v>286000</v>
      </c>
      <c r="H923" s="4" t="inlineStr">
        <is>
          <t>Cái</t>
        </is>
      </c>
    </row>
    <row r="924">
      <c r="A924" s="3" t="n">
        <v>923</v>
      </c>
      <c r="B924" s="3" t="n">
        <v>46</v>
      </c>
      <c r="C924" s="4" t="inlineStr">
        <is>
          <t>Sạc pin M4A18 M4A18</t>
        </is>
      </c>
      <c r="D924" s="3" t="inlineStr">
        <is>
          <t>Cái</t>
        </is>
      </c>
      <c r="E924" s="5" t="n">
        <v>440000</v>
      </c>
      <c r="F924" s="5" t="n">
        <v>493000</v>
      </c>
      <c r="G924" s="6" t="n">
        <v>572000</v>
      </c>
      <c r="H924" s="4" t="inlineStr">
        <is>
          <t>Cái</t>
        </is>
      </c>
    </row>
    <row r="925">
      <c r="A925" s="3" t="n">
        <v>924</v>
      </c>
      <c r="B925" s="3" t="n">
        <v>46</v>
      </c>
      <c r="C925" s="4" t="inlineStr">
        <is>
          <t>Sạc pin B2A20 B2A20</t>
        </is>
      </c>
      <c r="D925" s="3" t="inlineStr">
        <is>
          <t>Cái</t>
        </is>
      </c>
      <c r="E925" s="5" t="n">
        <v>270000</v>
      </c>
      <c r="F925" s="5" t="n">
        <v>302000</v>
      </c>
      <c r="G925" s="6" t="n">
        <v>351000</v>
      </c>
      <c r="H925" s="4" t="inlineStr">
        <is>
          <t>Cái</t>
        </is>
      </c>
    </row>
    <row r="926">
      <c r="A926" s="3" t="n">
        <v>925</v>
      </c>
      <c r="B926" s="3" t="n">
        <v>46</v>
      </c>
      <c r="C926" s="4" t="inlineStr">
        <is>
          <t>Sạc nhanh KM08AI (18V - 21V) KM08AI</t>
        </is>
      </c>
      <c r="D926" s="3" t="inlineStr">
        <is>
          <t>Cái</t>
        </is>
      </c>
      <c r="E926" s="5" t="n">
        <v>760000</v>
      </c>
      <c r="F926" s="5" t="n">
        <v>851000</v>
      </c>
      <c r="G926" s="6" t="n">
        <v>988000</v>
      </c>
      <c r="H926" s="4" t="inlineStr">
        <is>
          <t>Cái</t>
        </is>
      </c>
    </row>
    <row r="927">
      <c r="A927" s="3" t="n">
        <v>926</v>
      </c>
      <c r="B927" s="3" t="n">
        <v>46</v>
      </c>
      <c r="C927" s="4" t="inlineStr">
        <is>
          <t>Bộ chuyển đổi chân pin KingBlue BOCHUYENCHANSAC</t>
        </is>
      </c>
      <c r="D927" s="3" t="inlineStr">
        <is>
          <t>Cái</t>
        </is>
      </c>
      <c r="E927" s="5" t="n">
        <v>165000</v>
      </c>
      <c r="F927" s="5" t="n">
        <v>205000</v>
      </c>
      <c r="G927" s="6" t="n">
        <v>264000</v>
      </c>
      <c r="H927" s="4" t="inlineStr">
        <is>
          <t>Cái</t>
        </is>
      </c>
    </row>
    <row r="928">
      <c r="A928" s="3" t="n">
        <v>927</v>
      </c>
      <c r="B928" s="3" t="n">
        <v>47</v>
      </c>
      <c r="C928" s="4" t="inlineStr"/>
      <c r="D928" s="3" t="inlineStr">
        <is>
          <t>Cái</t>
        </is>
      </c>
      <c r="E928" s="5" t="n">
        <v>1380000</v>
      </c>
      <c r="F928" s="5" t="n">
        <v>1518000</v>
      </c>
      <c r="G928" s="6" t="n">
        <v>1725000</v>
      </c>
      <c r="H928" s="4" t="inlineStr">
        <is>
          <t>Cái 1c/H 5c/T</t>
        </is>
      </c>
    </row>
    <row r="929">
      <c r="A929" s="3" t="n">
        <v>928</v>
      </c>
      <c r="B929" s="3" t="n">
        <v>47</v>
      </c>
      <c r="C929" s="4" t="inlineStr">
        <is>
          <t>Pin máy rung gạch 2.0Ah PIN- 2.0AH</t>
        </is>
      </c>
      <c r="D929" s="3" t="inlineStr">
        <is>
          <t>Cái</t>
        </is>
      </c>
      <c r="E929" s="5" t="n">
        <v>400000</v>
      </c>
      <c r="F929" s="5" t="n">
        <v>440000</v>
      </c>
      <c r="G929" s="6" t="n">
        <v>500000</v>
      </c>
      <c r="H929" s="4" t="inlineStr">
        <is>
          <t>Cái 1c/H 50c/T</t>
        </is>
      </c>
    </row>
    <row r="930">
      <c r="A930" s="3" t="n">
        <v>929</v>
      </c>
      <c r="B930" s="3" t="n">
        <v>47</v>
      </c>
      <c r="C930" s="4" t="inlineStr">
        <is>
          <t>Kéo cắt cành pin KBE-BL2816 KBE-BL2816 Kích thước cắt: 28mm</t>
        </is>
      </c>
      <c r="D930" s="3" t="inlineStr">
        <is>
          <t>Cái</t>
        </is>
      </c>
      <c r="E930" s="5" t="n">
        <v>1600000</v>
      </c>
      <c r="F930" s="5" t="n">
        <v>1760000</v>
      </c>
      <c r="G930" s="6" t="n">
        <v>2000000</v>
      </c>
      <c r="H930" s="4" t="inlineStr">
        <is>
          <t>Cái 1/H 10/T</t>
        </is>
      </c>
    </row>
    <row r="931">
      <c r="A931" s="3" t="n">
        <v>930</v>
      </c>
      <c r="B931" s="3" t="n">
        <v>47</v>
      </c>
      <c r="C931" s="4" t="inlineStr">
        <is>
          <t>KFF-73 7.3mm</t>
        </is>
      </c>
      <c r="D931" s="3" t="inlineStr">
        <is>
          <t>Cái</t>
        </is>
      </c>
      <c r="E931" s="5" t="n">
        <v>660000</v>
      </c>
      <c r="F931" s="5" t="n">
        <v>739000</v>
      </c>
      <c r="G931" s="6" t="n">
        <v>858000</v>
      </c>
      <c r="H931" s="4" t="inlineStr">
        <is>
          <t>Cái 1/H 10c/T</t>
        </is>
      </c>
    </row>
    <row r="932">
      <c r="A932" s="3" t="n">
        <v>931</v>
      </c>
      <c r="B932" s="3" t="n">
        <v>47</v>
      </c>
      <c r="C932" s="4" t="inlineStr">
        <is>
          <t>Bộ loe ống đồng KingBlue KB-C1323 Khối lượng: 820g</t>
        </is>
      </c>
      <c r="D932" s="3" t="inlineStr">
        <is>
          <t>Cái</t>
        </is>
      </c>
      <c r="E932" s="5" t="n">
        <v>1140000</v>
      </c>
      <c r="F932" s="5" t="n">
        <v>1277000</v>
      </c>
      <c r="G932" s="6" t="n">
        <v>1482000</v>
      </c>
      <c r="H932" s="4" t="inlineStr">
        <is>
          <t>Cái 1c/H 10c/T</t>
        </is>
      </c>
    </row>
    <row r="933">
      <c r="A933" s="3" t="n">
        <v>932</v>
      </c>
      <c r="B933" s="3" t="n">
        <v>47</v>
      </c>
      <c r="C933" s="4" t="inlineStr">
        <is>
          <t>KB-R1323 Khối lượng: 990g</t>
        </is>
      </c>
      <c r="D933" s="3" t="inlineStr">
        <is>
          <t>Cái</t>
        </is>
      </c>
      <c r="E933" s="5" t="n">
        <v>1720000</v>
      </c>
      <c r="F933" s="5" t="n">
        <v>1926000</v>
      </c>
      <c r="G933" s="6" t="n">
        <v>2236000</v>
      </c>
      <c r="H933" s="4" t="inlineStr">
        <is>
          <t>Cái 1c/H 10c/T</t>
        </is>
      </c>
    </row>
    <row r="934">
      <c r="A934" s="3" t="n">
        <v>933</v>
      </c>
      <c r="B934" s="3" t="n">
        <v>47</v>
      </c>
      <c r="C934" s="4" t="inlineStr">
        <is>
          <t>Quạt tích điện mini KB-CF01 KB-CF01</t>
        </is>
      </c>
      <c r="D934" s="3" t="inlineStr">
        <is>
          <t>Cái</t>
        </is>
      </c>
      <c r="E934" s="5" t="n">
        <v>280000</v>
      </c>
      <c r="F934" s="5" t="n">
        <v>314000</v>
      </c>
      <c r="G934" s="6" t="n">
        <v>364000</v>
      </c>
      <c r="H934" s="4" t="inlineStr">
        <is>
          <t>Cái 1c/H 36c/T</t>
        </is>
      </c>
    </row>
    <row r="935">
      <c r="A935" s="3" t="n">
        <v>934</v>
      </c>
      <c r="B935" s="3" t="n">
        <v>48</v>
      </c>
      <c r="C935" s="4" t="inlineStr">
        <is>
          <t>Quạt cầm tay mini (màu be) KB-HF01 KB-HF01</t>
        </is>
      </c>
      <c r="D935" s="3" t="inlineStr">
        <is>
          <t>Cái</t>
        </is>
      </c>
      <c r="E935" s="5" t="n">
        <v>290000</v>
      </c>
      <c r="F935" s="5" t="n">
        <v>325000</v>
      </c>
      <c r="G935" s="6" t="n">
        <v>377000</v>
      </c>
      <c r="H935" s="4" t="inlineStr">
        <is>
          <t>Cái 1c/H 40c/T</t>
        </is>
      </c>
    </row>
    <row r="936">
      <c r="A936" s="3" t="n">
        <v>935</v>
      </c>
      <c r="B936" s="3" t="n">
        <v>48</v>
      </c>
      <c r="C936" s="4" t="inlineStr">
        <is>
          <t>Quạt cầm tay mini (màu xám) KB-HF02 KB-HF02</t>
        </is>
      </c>
      <c r="D936" s="3" t="inlineStr">
        <is>
          <t>Cái</t>
        </is>
      </c>
      <c r="E936" s="5" t="n">
        <v>290000</v>
      </c>
      <c r="F936" s="5" t="n">
        <v>325000</v>
      </c>
      <c r="G936" s="6" t="n">
        <v>377000</v>
      </c>
      <c r="H936" s="4" t="inlineStr">
        <is>
          <t>Cái 1c/H 40c/T</t>
        </is>
      </c>
    </row>
    <row r="937">
      <c r="A937" s="3" t="n">
        <v>936</v>
      </c>
      <c r="B937" s="3" t="n">
        <v>48</v>
      </c>
      <c r="C937" s="4" t="inlineStr">
        <is>
          <t>Quạt cầm tay mini (màu hồng) KB-HF03 KB-HF03</t>
        </is>
      </c>
      <c r="D937" s="3" t="inlineStr">
        <is>
          <t>Cái</t>
        </is>
      </c>
      <c r="E937" s="5" t="n">
        <v>290000</v>
      </c>
      <c r="F937" s="5" t="n">
        <v>325000</v>
      </c>
      <c r="G937" s="6" t="n">
        <v>377000</v>
      </c>
      <c r="H937" s="4" t="inlineStr">
        <is>
          <t>Cái 1c/H 40c/T</t>
        </is>
      </c>
    </row>
    <row r="938">
      <c r="A938" s="3" t="n">
        <v>937</v>
      </c>
      <c r="B938" s="3" t="n">
        <v>48</v>
      </c>
      <c r="C938" s="4" t="inlineStr">
        <is>
          <t>KB-HS01</t>
        </is>
      </c>
      <c r="D938" s="3" t="inlineStr">
        <is>
          <t>Cái</t>
        </is>
      </c>
      <c r="E938" s="5" t="n">
        <v>190000</v>
      </c>
      <c r="F938" s="5" t="n">
        <v>213000</v>
      </c>
      <c r="G938" s="6" t="n">
        <v>247000</v>
      </c>
      <c r="H938" s="4" t="inlineStr">
        <is>
          <t>Cái 1c/H 90c/T</t>
        </is>
      </c>
    </row>
    <row r="939">
      <c r="A939" s="3" t="n">
        <v>938</v>
      </c>
      <c r="B939" s="3" t="n">
        <v>48</v>
      </c>
      <c r="C939" s="4" t="inlineStr">
        <is>
          <t>KB-HS02</t>
        </is>
      </c>
      <c r="D939" s="3" t="inlineStr">
        <is>
          <t>Cái</t>
        </is>
      </c>
      <c r="E939" s="5" t="n">
        <v>190000</v>
      </c>
      <c r="F939" s="5" t="n">
        <v>213000</v>
      </c>
      <c r="G939" s="6" t="n">
        <v>247000</v>
      </c>
      <c r="H939" s="4" t="inlineStr">
        <is>
          <t>Cái 1c/H 90c/T</t>
        </is>
      </c>
    </row>
    <row r="940">
      <c r="A940" s="3" t="n">
        <v>939</v>
      </c>
      <c r="B940" s="3" t="n">
        <v>49</v>
      </c>
      <c r="C940" s="4" t="inlineStr">
        <is>
          <t>Bàn Cắt GạchCG-800 CG-800 800mm</t>
        </is>
      </c>
      <c r="D940" s="3" t="inlineStr">
        <is>
          <t>Cái</t>
        </is>
      </c>
      <c r="E940" s="5" t="n">
        <v>2090000</v>
      </c>
      <c r="F940" s="5" t="n">
        <v>2341000</v>
      </c>
      <c r="G940" s="6" t="n">
        <v>2717000</v>
      </c>
      <c r="H940" s="4" t="inlineStr">
        <is>
          <t>Cái 1C/H 2C/T</t>
        </is>
      </c>
    </row>
    <row r="941">
      <c r="A941" s="3" t="n">
        <v>940</v>
      </c>
      <c r="B941" s="3" t="n">
        <v>49</v>
      </c>
      <c r="C941" s="4" t="inlineStr">
        <is>
          <t>Bàn Cắt GạchCG-1000 CG-1000 1000mm</t>
        </is>
      </c>
      <c r="D941" s="3" t="inlineStr">
        <is>
          <t>Cái</t>
        </is>
      </c>
      <c r="E941" s="5" t="n">
        <v>2420000</v>
      </c>
      <c r="F941" s="5" t="n">
        <v>2710000</v>
      </c>
      <c r="G941" s="6" t="n">
        <v>3146000</v>
      </c>
      <c r="H941" s="4" t="inlineStr">
        <is>
          <t>Cái 1C/H 2C/T</t>
        </is>
      </c>
    </row>
    <row r="942">
      <c r="A942" s="3" t="n">
        <v>941</v>
      </c>
      <c r="B942" s="3" t="n">
        <v>49</v>
      </c>
      <c r="C942" s="4" t="inlineStr"/>
      <c r="D942" s="3" t="inlineStr">
        <is>
          <t>Cái</t>
        </is>
      </c>
      <c r="E942" s="5" t="n">
        <v>2706000</v>
      </c>
      <c r="F942" s="5" t="n">
        <v>3031000</v>
      </c>
      <c r="G942" s="6" t="n">
        <v>3518000</v>
      </c>
      <c r="H942" s="4" t="inlineStr">
        <is>
          <t>Cái 1C/H 2C/T</t>
        </is>
      </c>
    </row>
    <row r="943">
      <c r="A943" s="3" t="n">
        <v>942</v>
      </c>
      <c r="B943" s="3" t="n">
        <v>49</v>
      </c>
      <c r="C943" s="4" t="inlineStr"/>
      <c r="D943" s="3" t="inlineStr">
        <is>
          <t>Cái</t>
        </is>
      </c>
      <c r="E943" s="5" t="n">
        <v>3960000</v>
      </c>
      <c r="F943" s="5" t="n">
        <v>4435000</v>
      </c>
      <c r="G943" s="6" t="n">
        <v>5148000</v>
      </c>
      <c r="H943" s="4" t="inlineStr">
        <is>
          <t>Cái 1C/H 1C/T</t>
        </is>
      </c>
    </row>
    <row r="944">
      <c r="A944" s="3" t="n">
        <v>943</v>
      </c>
      <c r="B944" s="3" t="n">
        <v>49</v>
      </c>
      <c r="C944" s="4" t="inlineStr">
        <is>
          <t>Bộ lục giác bông - KL2 KL2-09</t>
        </is>
      </c>
      <c r="D944" s="3" t="inlineStr">
        <is>
          <t>Bộ</t>
        </is>
      </c>
      <c r="E944" s="5" t="n">
        <v>132000</v>
      </c>
      <c r="F944" s="5" t="n">
        <v>156000</v>
      </c>
      <c r="G944" s="6" t="n">
        <v>191000</v>
      </c>
      <c r="H944" s="4" t="inlineStr">
        <is>
          <t>Bộ 6C/H 48C/T Đầu hoa thị , Thép S2 siêu cứng</t>
        </is>
      </c>
    </row>
    <row r="945">
      <c r="A945" s="3" t="n">
        <v>944</v>
      </c>
      <c r="B945" s="3" t="n">
        <v>49</v>
      </c>
      <c r="C945" s="4" t="inlineStr">
        <is>
          <t>Bộ lục giác bi - KL4 KL4-09</t>
        </is>
      </c>
      <c r="D945" s="3" t="inlineStr">
        <is>
          <t>Bộ</t>
        </is>
      </c>
      <c r="E945" s="5" t="n">
        <v>132000</v>
      </c>
      <c r="F945" s="5" t="n">
        <v>156000</v>
      </c>
      <c r="G945" s="6" t="n">
        <v>191000</v>
      </c>
      <c r="H945" s="4" t="inlineStr">
        <is>
          <t>Bộ 6C/H 48C/T Đầu bi, Thép S2 siêu cứng</t>
        </is>
      </c>
    </row>
    <row r="946">
      <c r="A946" s="3" t="n">
        <v>945</v>
      </c>
      <c r="B946" s="3" t="n">
        <v>49</v>
      </c>
      <c r="C946" s="4" t="inlineStr">
        <is>
          <t>Bộ lục giác màu - KL6 KL6-09 1.5 / 2.0 / 2.5 / 3.0 / 4.0 / 5.0 / 6.0 / 8.0 / 10mm</t>
        </is>
      </c>
      <c r="D946" s="3" t="inlineStr">
        <is>
          <t>Bộ</t>
        </is>
      </c>
      <c r="E946" s="5" t="n">
        <v>167000</v>
      </c>
      <c r="F946" s="5" t="n">
        <v>197000</v>
      </c>
      <c r="G946" s="6" t="n">
        <v>242000</v>
      </c>
      <c r="H946" s="4" t="inlineStr">
        <is>
          <t>Bộ 6C/H 48C/T Đầu bi , Thép S2 siêu cứng có bọc nhựa chống trơn trượt</t>
        </is>
      </c>
    </row>
    <row r="947">
      <c r="A947" s="3" t="n">
        <v>946</v>
      </c>
      <c r="B947" s="3" t="n">
        <v>49</v>
      </c>
      <c r="C947" s="4" t="inlineStr"/>
      <c r="D947" s="3" t="inlineStr">
        <is>
          <t>Bộ</t>
        </is>
      </c>
      <c r="E947" s="5" t="n">
        <v>204000</v>
      </c>
      <c r="F947" s="5" t="n">
        <v>241000</v>
      </c>
      <c r="G947" s="6" t="n">
        <v>296000</v>
      </c>
      <c r="H947" s="4" t="inlineStr">
        <is>
          <t>Bộ 6C/H 36C/T</t>
        </is>
      </c>
    </row>
    <row r="948">
      <c r="A948" s="3" t="n">
        <v>947</v>
      </c>
      <c r="B948" s="3" t="n">
        <v>49</v>
      </c>
      <c r="C948" s="4" t="inlineStr"/>
      <c r="D948" s="3" t="inlineStr">
        <is>
          <t>Bộ</t>
        </is>
      </c>
      <c r="E948" s="5" t="n">
        <v>209000</v>
      </c>
      <c r="F948" s="5" t="n">
        <v>247000</v>
      </c>
      <c r="G948" s="6" t="n">
        <v>303000</v>
      </c>
      <c r="H948" s="4" t="inlineStr">
        <is>
          <t>Bộ 6C/H 36C/T</t>
        </is>
      </c>
    </row>
    <row r="949">
      <c r="A949" s="3" t="n">
        <v>948</v>
      </c>
      <c r="B949" s="3" t="n">
        <v>49</v>
      </c>
      <c r="C949" s="4" t="inlineStr"/>
      <c r="D949" s="3" t="inlineStr">
        <is>
          <t>Bộ</t>
        </is>
      </c>
      <c r="E949" s="5" t="n">
        <v>99000</v>
      </c>
      <c r="F949" s="5" t="n">
        <v>117000</v>
      </c>
      <c r="G949" s="6" t="n">
        <v>144000</v>
      </c>
      <c r="H949" s="4" t="inlineStr">
        <is>
          <t>Bộ 6C/H 36C/T</t>
        </is>
      </c>
    </row>
    <row r="950">
      <c r="A950" s="3" t="n">
        <v>949</v>
      </c>
      <c r="B950" s="3" t="n">
        <v>49</v>
      </c>
      <c r="C950" s="4" t="inlineStr"/>
      <c r="D950" s="3" t="inlineStr">
        <is>
          <t>Bộ</t>
        </is>
      </c>
      <c r="E950" s="5" t="n">
        <v>361000</v>
      </c>
      <c r="F950" s="5" t="n">
        <v>426000</v>
      </c>
      <c r="G950" s="6" t="n">
        <v>524000</v>
      </c>
      <c r="H950" s="4" t="inlineStr">
        <is>
          <t>Bộ 3C/H 24C/T  Có đầu hoa thị và Đầu lục giác, Thép S2 siêu cứng (HRC 58-62)</t>
        </is>
      </c>
    </row>
    <row r="951">
      <c r="A951" s="3" t="n">
        <v>950</v>
      </c>
      <c r="B951" s="3" t="n">
        <v>49</v>
      </c>
      <c r="C951" s="4" t="inlineStr"/>
      <c r="D951" s="3" t="inlineStr">
        <is>
          <t>Bộ</t>
        </is>
      </c>
      <c r="E951" s="5" t="n">
        <v>95000</v>
      </c>
      <c r="F951" s="5" t="n">
        <v>112000</v>
      </c>
      <c r="G951" s="6" t="n">
        <v>138000</v>
      </c>
      <c r="H951" s="4" t="inlineStr">
        <is>
          <t>Bộ 12C/H 72H/T Chất liệu: Thép Cr-V độ cứng cao, chống mài mònĐầu lục giác chống trượt</t>
        </is>
      </c>
    </row>
    <row r="952">
      <c r="A952" s="3" t="n">
        <v>951</v>
      </c>
      <c r="B952" s="3" t="n">
        <v>50</v>
      </c>
      <c r="C952" s="4" t="inlineStr">
        <is>
          <t>Bộ lấyốc gãy KBYT6 Ø3/6/8/11/14/18/25</t>
        </is>
      </c>
      <c r="D952" s="3" t="inlineStr">
        <is>
          <t>Bộ</t>
        </is>
      </c>
      <c r="E952" s="5" t="n">
        <v>68000</v>
      </c>
      <c r="F952" s="5" t="n">
        <v>80000</v>
      </c>
      <c r="G952" s="6" t="n">
        <v>99000</v>
      </c>
      <c r="H952" s="4" t="inlineStr">
        <is>
          <t>Bộ 6C/B 100B/T Chất liệu: Thép CRVdùng lấy ốc vít gãy có kích thước từ M3- M25</t>
        </is>
      </c>
    </row>
    <row r="953">
      <c r="A953" s="3" t="n">
        <v>952</v>
      </c>
      <c r="B953" s="3" t="n">
        <v>50</v>
      </c>
      <c r="C953" s="4" t="inlineStr">
        <is>
          <t>ống đồng KingBlue KB-1304 100*20mmKhối lượng:60g</t>
        </is>
      </c>
      <c r="D953" s="3" t="inlineStr">
        <is>
          <t>Cái</t>
        </is>
      </c>
      <c r="E953" s="5" t="n">
        <v>215000</v>
      </c>
      <c r="F953" s="5" t="n">
        <v>254000</v>
      </c>
      <c r="G953" s="6" t="n">
        <v>312000</v>
      </c>
      <c r="H953" s="4" t="inlineStr">
        <is>
          <t>Cái 48C/H 192C/T</t>
        </is>
      </c>
    </row>
    <row r="954">
      <c r="A954" s="3" t="n">
        <v>953</v>
      </c>
      <c r="B954" s="3" t="n">
        <v>50</v>
      </c>
      <c r="C954" s="4" t="inlineStr">
        <is>
          <t>KB-1301 140*28mmKhối lượng: 55g</t>
        </is>
      </c>
      <c r="D954" s="3" t="inlineStr">
        <is>
          <t>Cái</t>
        </is>
      </c>
      <c r="E954" s="5" t="n">
        <v>135000</v>
      </c>
      <c r="F954" s="5" t="n">
        <v>159000</v>
      </c>
      <c r="G954" s="6" t="n">
        <v>196000</v>
      </c>
      <c r="H954" s="4" t="inlineStr">
        <is>
          <t>Cái 20C/H 80C/T</t>
        </is>
      </c>
    </row>
    <row r="955">
      <c r="A955" s="3" t="n">
        <v>954</v>
      </c>
      <c r="B955" s="3" t="n">
        <v>50</v>
      </c>
      <c r="C955" s="4" t="inlineStr"/>
      <c r="D955" s="3" t="inlineStr">
        <is>
          <t>Bộ</t>
        </is>
      </c>
      <c r="E955" s="5" t="n">
        <v>1990000</v>
      </c>
      <c r="F955" s="5" t="n">
        <v>2229000</v>
      </c>
      <c r="G955" s="6" t="n">
        <v>2587000</v>
      </c>
      <c r="H955" s="4" t="inlineStr">
        <is>
          <t>Bộ 1B/H 10C/T</t>
        </is>
      </c>
    </row>
    <row r="956">
      <c r="A956" s="3" t="n">
        <v>955</v>
      </c>
      <c r="B956" s="3" t="n">
        <v>51</v>
      </c>
      <c r="C956" s="4" t="inlineStr"/>
      <c r="D956" s="3" t="inlineStr">
        <is>
          <t>Cái</t>
        </is>
      </c>
      <c r="E956" s="5" t="n">
        <v>990000</v>
      </c>
      <c r="F956" s="5" t="n">
        <v>1109000</v>
      </c>
      <c r="G956" s="6" t="n">
        <v>1287000</v>
      </c>
      <c r="H956" s="4" t="inlineStr">
        <is>
          <t>Cái 1C/H 20C/T</t>
        </is>
      </c>
    </row>
    <row r="957">
      <c r="A957" s="3" t="n">
        <v>956</v>
      </c>
      <c r="B957" s="3" t="n">
        <v>51</v>
      </c>
      <c r="C957" s="4" t="inlineStr"/>
      <c r="D957" s="3" t="inlineStr">
        <is>
          <t>Cái</t>
        </is>
      </c>
      <c r="E957" s="5" t="n">
        <v>1040000</v>
      </c>
      <c r="F957" s="5" t="n">
        <v>1165000</v>
      </c>
      <c r="G957" s="6" t="n">
        <v>1352000</v>
      </c>
      <c r="H957" s="4" t="inlineStr">
        <is>
          <t>Cái 1C/H 20C/T</t>
        </is>
      </c>
    </row>
    <row r="958">
      <c r="A958" s="3" t="n">
        <v>957</v>
      </c>
      <c r="B958" s="3" t="n">
        <v>51</v>
      </c>
      <c r="C958" s="4" t="inlineStr"/>
      <c r="D958" s="3" t="inlineStr">
        <is>
          <t>Cái</t>
        </is>
      </c>
      <c r="E958" s="5" t="n">
        <v>1100000</v>
      </c>
      <c r="F958" s="5" t="n">
        <v>1232000</v>
      </c>
      <c r="G958" s="6" t="n">
        <v>1430000</v>
      </c>
      <c r="H958" s="4" t="inlineStr">
        <is>
          <t>Cái 1C/H 20C/T</t>
        </is>
      </c>
    </row>
    <row r="959">
      <c r="A959" s="3" t="n">
        <v>958</v>
      </c>
      <c r="B959" s="3" t="n">
        <v>51</v>
      </c>
      <c r="C959" s="4" t="inlineStr"/>
      <c r="D959" s="3" t="inlineStr">
        <is>
          <t>Cái</t>
        </is>
      </c>
      <c r="E959" s="5" t="n">
        <v>1200000</v>
      </c>
      <c r="F959" s="5" t="n">
        <v>1344000</v>
      </c>
      <c r="G959" s="6" t="n">
        <v>1560000</v>
      </c>
      <c r="H959" s="4" t="inlineStr">
        <is>
          <t>Cái 1C/H 20C/T</t>
        </is>
      </c>
    </row>
    <row r="960">
      <c r="A960" s="3" t="n">
        <v>959</v>
      </c>
      <c r="B960" s="3" t="n">
        <v>51</v>
      </c>
      <c r="C960" s="4" t="inlineStr"/>
      <c r="D960" s="3" t="inlineStr">
        <is>
          <t>Cái</t>
        </is>
      </c>
      <c r="E960" s="5" t="n">
        <v>1600000</v>
      </c>
      <c r="F960" s="5" t="n">
        <v>1792000</v>
      </c>
      <c r="G960" s="6" t="n">
        <v>2080000</v>
      </c>
      <c r="H960" s="4" t="inlineStr">
        <is>
          <t>Cái 1C/H 20C/T</t>
        </is>
      </c>
    </row>
    <row r="961">
      <c r="A961" s="3" t="n">
        <v>960</v>
      </c>
      <c r="B961" s="3" t="n">
        <v>51</v>
      </c>
      <c r="C961" s="4" t="inlineStr"/>
      <c r="D961" s="3" t="inlineStr">
        <is>
          <t>Cái</t>
        </is>
      </c>
      <c r="E961" s="5" t="n">
        <v>1700000</v>
      </c>
      <c r="F961" s="5" t="n">
        <v>1904000</v>
      </c>
      <c r="G961" s="6" t="n">
        <v>2210000</v>
      </c>
      <c r="H961" s="4" t="inlineStr">
        <is>
          <t>Cái 1C/H 20C/T</t>
        </is>
      </c>
    </row>
    <row r="962">
      <c r="A962" s="3" t="n">
        <v>961</v>
      </c>
      <c r="B962" s="3" t="n">
        <v>51</v>
      </c>
      <c r="C962" s="4" t="inlineStr"/>
      <c r="D962" s="3" t="inlineStr">
        <is>
          <t>Cái</t>
        </is>
      </c>
      <c r="E962" s="5" t="n">
        <v>1800000</v>
      </c>
      <c r="F962" s="5" t="n">
        <v>2016000</v>
      </c>
      <c r="G962" s="6" t="n">
        <v>2340000</v>
      </c>
      <c r="H962" s="4" t="inlineStr">
        <is>
          <t>Cái 1C/H 20C/T</t>
        </is>
      </c>
    </row>
    <row r="963">
      <c r="A963" s="3" t="n">
        <v>962</v>
      </c>
      <c r="B963" s="3" t="n">
        <v>51</v>
      </c>
      <c r="C963" s="4" t="inlineStr"/>
      <c r="D963" s="3" t="inlineStr">
        <is>
          <t>Cái</t>
        </is>
      </c>
      <c r="E963" s="5" t="n">
        <v>1900000</v>
      </c>
      <c r="F963" s="5" t="n">
        <v>2128000</v>
      </c>
      <c r="G963" s="6" t="n">
        <v>2470000</v>
      </c>
      <c r="H963" s="4" t="inlineStr">
        <is>
          <t>Cái 1C/H 20C/T</t>
        </is>
      </c>
    </row>
    <row r="964">
      <c r="A964" s="3" t="n">
        <v>963</v>
      </c>
      <c r="B964" s="3" t="n">
        <v>51</v>
      </c>
      <c r="C964" s="4" t="inlineStr">
        <is>
          <t>Bút thử điện KIC140 KIC140</t>
        </is>
      </c>
      <c r="D964" s="3" t="inlineStr">
        <is>
          <t>Cái</t>
        </is>
      </c>
      <c r="E964" s="5" t="n">
        <v>14000</v>
      </c>
      <c r="F964" s="5" t="n">
        <v>16000</v>
      </c>
      <c r="G964" s="6" t="n">
        <v>20000</v>
      </c>
      <c r="H964" s="4" t="inlineStr">
        <is>
          <t>Cái 30C/H 480C/T</t>
        </is>
      </c>
    </row>
    <row r="965">
      <c r="A965" s="3" t="n">
        <v>964</v>
      </c>
      <c r="B965" s="3" t="n">
        <v>51</v>
      </c>
      <c r="C965" s="4" t="inlineStr">
        <is>
          <t>Bút thử điện KID160 KID160</t>
        </is>
      </c>
      <c r="D965" s="3" t="inlineStr">
        <is>
          <t>Cái</t>
        </is>
      </c>
      <c r="E965" s="5" t="n">
        <v>43000</v>
      </c>
      <c r="F965" s="5" t="n">
        <v>51000</v>
      </c>
      <c r="G965" s="6" t="n">
        <v>62000</v>
      </c>
      <c r="H965" s="4" t="inlineStr">
        <is>
          <t>Cái 24C/H 240C/T Bút thử điện điện tử Dải đo điện áp: 12V-250VMàn hình kép,LCD và đèn(hiển thị số)</t>
        </is>
      </c>
    </row>
    <row r="966">
      <c r="A966" s="3" t="n">
        <v>965</v>
      </c>
      <c r="B966" s="3" t="n">
        <v>51</v>
      </c>
      <c r="C966" s="4" t="inlineStr">
        <is>
          <t>Bút thử điện KIE154 KIE154</t>
        </is>
      </c>
      <c r="D966" s="3" t="inlineStr">
        <is>
          <t>Cái</t>
        </is>
      </c>
      <c r="E966" s="5" t="n">
        <v>61000</v>
      </c>
      <c r="F966" s="5" t="n">
        <v>72000</v>
      </c>
      <c r="G966" s="6" t="n">
        <v>89000</v>
      </c>
      <c r="H966" s="4" t="inlineStr">
        <is>
          <t>Cái 12C/H 96C/T Bút thử điện cảm ứng</t>
        </is>
      </c>
    </row>
    <row r="967">
      <c r="A967" s="3" t="n">
        <v>966</v>
      </c>
      <c r="B967" s="3" t="n">
        <v>51</v>
      </c>
      <c r="C967" s="4" t="inlineStr">
        <is>
          <t>Bút thử điện KIF160 KIF160</t>
        </is>
      </c>
      <c r="D967" s="3" t="inlineStr">
        <is>
          <t>Cái</t>
        </is>
      </c>
      <c r="E967" s="5" t="n">
        <v>121000</v>
      </c>
      <c r="F967" s="5" t="n">
        <v>143000</v>
      </c>
      <c r="G967" s="6" t="n">
        <v>176000</v>
      </c>
      <c r="H967" s="4" t="inlineStr">
        <is>
          <t>Cái 12C/H 96C/T</t>
        </is>
      </c>
    </row>
    <row r="968">
      <c r="A968" s="3" t="n">
        <v>967</v>
      </c>
      <c r="B968" s="3" t="n">
        <v>51</v>
      </c>
      <c r="C968" s="4" t="inlineStr"/>
      <c r="D968" s="3" t="inlineStr">
        <is>
          <t>Cái</t>
        </is>
      </c>
      <c r="E968" s="5" t="n">
        <v>1500000</v>
      </c>
      <c r="F968" s="5" t="n">
        <v>1740000</v>
      </c>
      <c r="G968" s="6" t="n">
        <v>2100000</v>
      </c>
      <c r="H968" s="4" t="inlineStr">
        <is>
          <t>Cái 1C/H 8C/T</t>
        </is>
      </c>
    </row>
    <row r="969">
      <c r="A969" s="3" t="n">
        <v>968</v>
      </c>
      <c r="B969" s="3" t="n">
        <v>51</v>
      </c>
      <c r="C969" s="4" t="inlineStr"/>
      <c r="D969" s="3" t="inlineStr">
        <is>
          <t>Cái</t>
        </is>
      </c>
      <c r="E969" s="5" t="n">
        <v>1290000</v>
      </c>
      <c r="F969" s="5" t="n">
        <v>1496000</v>
      </c>
      <c r="G969" s="6" t="n">
        <v>1806000</v>
      </c>
      <c r="H969" s="4" t="inlineStr">
        <is>
          <t>Cái 1C/H 10c/T</t>
        </is>
      </c>
    </row>
    <row r="970">
      <c r="A970" s="3" t="n">
        <v>969</v>
      </c>
      <c r="B970" s="3" t="n">
        <v>52</v>
      </c>
      <c r="C970" s="4" t="inlineStr">
        <is>
          <t>KFC</t>
        </is>
      </c>
      <c r="D970" s="3" t="inlineStr">
        <is>
          <t>Cái</t>
        </is>
      </c>
      <c r="E970" s="5" t="n">
        <v>8150</v>
      </c>
      <c r="F970" s="5" t="n">
        <v>210000</v>
      </c>
      <c r="G970" s="6" t="n">
        <v>248000</v>
      </c>
      <c r="H970" s="4" t="inlineStr">
        <is>
          <t>Cái 4C/H 24C/T</t>
        </is>
      </c>
    </row>
    <row r="971">
      <c r="A971" s="3" t="n">
        <v>970</v>
      </c>
      <c r="B971" s="3" t="n">
        <v>52</v>
      </c>
      <c r="C971" s="4" t="inlineStr">
        <is>
          <t>KFC</t>
        </is>
      </c>
      <c r="D971" s="3" t="inlineStr">
        <is>
          <t>Cái</t>
        </is>
      </c>
      <c r="E971" s="5" t="n">
        <v>8200</v>
      </c>
      <c r="F971" s="5" t="n">
        <v>222000</v>
      </c>
      <c r="G971" s="6" t="n">
        <v>262000</v>
      </c>
      <c r="H971" s="4" t="inlineStr">
        <is>
          <t>Cái 4C/H 24C/T</t>
        </is>
      </c>
    </row>
    <row r="972">
      <c r="A972" s="3" t="n">
        <v>971</v>
      </c>
      <c r="B972" s="3" t="n">
        <v>52</v>
      </c>
      <c r="C972" s="4" t="inlineStr">
        <is>
          <t>KFC</t>
        </is>
      </c>
      <c r="D972" s="3" t="inlineStr">
        <is>
          <t>Cái</t>
        </is>
      </c>
      <c r="E972" s="5" t="n">
        <v>8250</v>
      </c>
      <c r="F972" s="5" t="n">
        <v>233000</v>
      </c>
      <c r="G972" s="6" t="n">
        <v>275000</v>
      </c>
      <c r="H972" s="4" t="inlineStr">
        <is>
          <t>Cái 4C/H 24C/T</t>
        </is>
      </c>
    </row>
    <row r="973">
      <c r="A973" s="3" t="n">
        <v>972</v>
      </c>
      <c r="B973" s="3" t="n">
        <v>52</v>
      </c>
      <c r="C973" s="4" t="inlineStr">
        <is>
          <t>KFC</t>
        </is>
      </c>
      <c r="D973" s="3" t="inlineStr">
        <is>
          <t>Cái</t>
        </is>
      </c>
      <c r="E973" s="5" t="n">
        <v>8300</v>
      </c>
      <c r="F973" s="5" t="n">
        <v>245000</v>
      </c>
      <c r="G973" s="6" t="n">
        <v>289000</v>
      </c>
      <c r="H973" s="4" t="inlineStr">
        <is>
          <t>Cái 4C/H 24C/T</t>
        </is>
      </c>
    </row>
    <row r="974">
      <c r="A974" s="3" t="n">
        <v>973</v>
      </c>
      <c r="B974" s="3" t="n">
        <v>52</v>
      </c>
      <c r="C974" s="4" t="inlineStr">
        <is>
          <t>KFC</t>
        </is>
      </c>
      <c r="D974" s="3" t="inlineStr">
        <is>
          <t>Cái</t>
        </is>
      </c>
      <c r="E974" s="5" t="n">
        <v>8450</v>
      </c>
      <c r="F974" s="5" t="n">
        <v>262000</v>
      </c>
      <c r="G974" s="6" t="n">
        <v>309000</v>
      </c>
      <c r="H974" s="4" t="inlineStr">
        <is>
          <t>Cái 4C/H 24C/T</t>
        </is>
      </c>
    </row>
    <row r="975">
      <c r="A975" s="3" t="n">
        <v>974</v>
      </c>
      <c r="B975" s="3" t="n">
        <v>52</v>
      </c>
      <c r="C975" s="4" t="inlineStr">
        <is>
          <t>KFC</t>
        </is>
      </c>
      <c r="D975" s="3" t="inlineStr">
        <is>
          <t>Cái</t>
        </is>
      </c>
      <c r="E975" s="5" t="n">
        <v>12300</v>
      </c>
      <c r="F975" s="5" t="n">
        <v>455000</v>
      </c>
      <c r="G975" s="6" t="n">
        <v>537000</v>
      </c>
      <c r="H975" s="4" t="inlineStr">
        <is>
          <t>Cái 4C/H 16C/T</t>
        </is>
      </c>
    </row>
    <row r="976">
      <c r="A976" s="3" t="n">
        <v>975</v>
      </c>
      <c r="B976" s="3" t="n">
        <v>52</v>
      </c>
      <c r="C976" s="4" t="inlineStr">
        <is>
          <t>KFC</t>
        </is>
      </c>
      <c r="D976" s="3" t="inlineStr">
        <is>
          <t>Cái</t>
        </is>
      </c>
      <c r="E976" s="5" t="n">
        <v>12400</v>
      </c>
      <c r="F976" s="5" t="n">
        <v>490000</v>
      </c>
      <c r="G976" s="6" t="n">
        <v>578000</v>
      </c>
      <c r="H976" s="4" t="inlineStr">
        <is>
          <t>Cái 4C/H 16C/T</t>
        </is>
      </c>
    </row>
    <row r="977">
      <c r="A977" s="3" t="n">
        <v>976</v>
      </c>
      <c r="B977" s="3" t="n">
        <v>52</v>
      </c>
      <c r="C977" s="4" t="inlineStr">
        <is>
          <t>KFC</t>
        </is>
      </c>
      <c r="D977" s="3" t="inlineStr">
        <is>
          <t>Cái</t>
        </is>
      </c>
      <c r="E977" s="5" t="n">
        <v>12500</v>
      </c>
      <c r="F977" s="5" t="n">
        <v>525000</v>
      </c>
      <c r="G977" s="6" t="n">
        <v>619000</v>
      </c>
      <c r="H977" s="4" t="inlineStr">
        <is>
          <t>Cái 4C/H 8C/T</t>
        </is>
      </c>
    </row>
    <row r="978">
      <c r="A978" s="3" t="n">
        <v>977</v>
      </c>
      <c r="B978" s="3" t="n">
        <v>52</v>
      </c>
      <c r="C978" s="4" t="inlineStr">
        <is>
          <t>KFC</t>
        </is>
      </c>
      <c r="D978" s="3" t="inlineStr">
        <is>
          <t>Cái</t>
        </is>
      </c>
      <c r="E978" s="5" t="n">
        <v>12600</v>
      </c>
      <c r="F978" s="5" t="n">
        <v>572000</v>
      </c>
      <c r="G978" s="6" t="n">
        <v>675000</v>
      </c>
      <c r="H978" s="4" t="inlineStr">
        <is>
          <t>Cái 4C/H 8C/T</t>
        </is>
      </c>
    </row>
    <row r="979">
      <c r="A979" s="3" t="n">
        <v>978</v>
      </c>
      <c r="B979" s="3" t="n">
        <v>52</v>
      </c>
      <c r="C979" s="4" t="inlineStr">
        <is>
          <t>KFCN</t>
        </is>
      </c>
      <c r="D979" s="3" t="inlineStr">
        <is>
          <t>Cái</t>
        </is>
      </c>
      <c r="E979" s="5" t="n">
        <v>10200</v>
      </c>
      <c r="F979" s="5" t="n">
        <v>606000</v>
      </c>
      <c r="G979" s="6" t="n">
        <v>715000</v>
      </c>
      <c r="H979" s="4" t="inlineStr">
        <is>
          <t>Cái 2C/H 20C/T</t>
        </is>
      </c>
    </row>
    <row r="980">
      <c r="A980" s="3" t="n">
        <v>979</v>
      </c>
      <c r="B980" s="3" t="n">
        <v>52</v>
      </c>
      <c r="C980" s="4" t="inlineStr">
        <is>
          <t>KFCN</t>
        </is>
      </c>
      <c r="D980" s="3" t="inlineStr">
        <is>
          <t>Cái</t>
        </is>
      </c>
      <c r="E980" s="5" t="n">
        <v>10300</v>
      </c>
      <c r="F980" s="5" t="n">
        <v>641000</v>
      </c>
      <c r="G980" s="6" t="n">
        <v>757000</v>
      </c>
      <c r="H980" s="4" t="inlineStr">
        <is>
          <t>Cái 2C/H 20C/T</t>
        </is>
      </c>
    </row>
    <row r="981">
      <c r="A981" s="3" t="n">
        <v>980</v>
      </c>
      <c r="B981" s="3" t="n">
        <v>52</v>
      </c>
      <c r="C981" s="4" t="inlineStr">
        <is>
          <t>KFCN</t>
        </is>
      </c>
      <c r="D981" s="3" t="inlineStr">
        <is>
          <t>Cái</t>
        </is>
      </c>
      <c r="E981" s="5" t="n">
        <v>10400</v>
      </c>
      <c r="F981" s="5" t="n">
        <v>700000</v>
      </c>
      <c r="G981" s="6" t="n">
        <v>826000</v>
      </c>
      <c r="H981" s="4" t="inlineStr">
        <is>
          <t>Cái 2C/H 10C/T</t>
        </is>
      </c>
    </row>
    <row r="982">
      <c r="A982" s="3" t="n">
        <v>981</v>
      </c>
      <c r="B982" s="3" t="n">
        <v>52</v>
      </c>
      <c r="C982" s="4" t="inlineStr">
        <is>
          <t>KCC2 2"</t>
        </is>
      </c>
      <c r="D982" s="3" t="inlineStr">
        <is>
          <t>Cái</t>
        </is>
      </c>
      <c r="E982" s="5" t="n">
        <v>68000</v>
      </c>
      <c r="F982" s="5" t="n">
        <v>80000</v>
      </c>
      <c r="G982" s="6" t="n">
        <v>99000</v>
      </c>
      <c r="H982" s="4" t="inlineStr">
        <is>
          <t>Cái 12C/H 120C/T</t>
        </is>
      </c>
    </row>
    <row r="983">
      <c r="A983" s="3" t="n">
        <v>982</v>
      </c>
      <c r="B983" s="3" t="n">
        <v>52</v>
      </c>
      <c r="C983" s="4" t="inlineStr">
        <is>
          <t>KCC3 3"</t>
        </is>
      </c>
      <c r="D983" s="3" t="inlineStr">
        <is>
          <t>Cái</t>
        </is>
      </c>
      <c r="E983" s="5" t="n">
        <v>99000</v>
      </c>
      <c r="F983" s="5" t="n">
        <v>117000</v>
      </c>
      <c r="G983" s="6" t="n">
        <v>144000</v>
      </c>
      <c r="H983" s="4" t="inlineStr">
        <is>
          <t>Cái 12C/H 48C/T</t>
        </is>
      </c>
    </row>
    <row r="984">
      <c r="A984" s="3" t="n">
        <v>983</v>
      </c>
      <c r="B984" s="3" t="n">
        <v>52</v>
      </c>
      <c r="C984" s="4" t="inlineStr">
        <is>
          <t>KCC4 4"</t>
        </is>
      </c>
      <c r="D984" s="3" t="inlineStr">
        <is>
          <t>Cái</t>
        </is>
      </c>
      <c r="E984" s="5" t="n">
        <v>132000</v>
      </c>
      <c r="F984" s="5" t="n">
        <v>156000</v>
      </c>
      <c r="G984" s="6" t="n">
        <v>191000</v>
      </c>
      <c r="H984" s="4" t="inlineStr">
        <is>
          <t>Cái 12C/H 36C/T</t>
        </is>
      </c>
    </row>
    <row r="985">
      <c r="A985" s="3" t="n">
        <v>984</v>
      </c>
      <c r="B985" s="3" t="n">
        <v>52</v>
      </c>
      <c r="C985" s="4" t="inlineStr">
        <is>
          <t>KCC5 5"</t>
        </is>
      </c>
      <c r="D985" s="3" t="inlineStr">
        <is>
          <t>Cái</t>
        </is>
      </c>
      <c r="E985" s="5" t="n">
        <v>163000</v>
      </c>
      <c r="F985" s="5" t="n">
        <v>192000</v>
      </c>
      <c r="G985" s="6" t="n">
        <v>236000</v>
      </c>
      <c r="H985" s="4" t="inlineStr">
        <is>
          <t>Cái 6C/H 24C/T</t>
        </is>
      </c>
    </row>
    <row r="986">
      <c r="A986" s="3" t="n">
        <v>985</v>
      </c>
      <c r="B986" s="3" t="n">
        <v>52</v>
      </c>
      <c r="C986" s="4" t="inlineStr">
        <is>
          <t>KCC6 6"</t>
        </is>
      </c>
      <c r="D986" s="3" t="inlineStr">
        <is>
          <t>Cái</t>
        </is>
      </c>
      <c r="E986" s="5" t="n">
        <v>204000</v>
      </c>
      <c r="F986" s="5" t="n">
        <v>241000</v>
      </c>
      <c r="G986" s="6" t="n">
        <v>296000</v>
      </c>
      <c r="H986" s="4" t="inlineStr">
        <is>
          <t>Cái 6C/H 24C/T</t>
        </is>
      </c>
    </row>
    <row r="987">
      <c r="A987" s="3" t="n">
        <v>986</v>
      </c>
      <c r="B987" s="3" t="n">
        <v>52</v>
      </c>
      <c r="C987" s="4" t="inlineStr">
        <is>
          <t>K2C3 3"</t>
        </is>
      </c>
      <c r="D987" s="3" t="inlineStr">
        <is>
          <t>Cái</t>
        </is>
      </c>
      <c r="E987" s="5" t="n">
        <v>198000</v>
      </c>
      <c r="F987" s="5" t="n">
        <v>234000</v>
      </c>
      <c r="G987" s="6" t="n">
        <v>287000</v>
      </c>
      <c r="H987" s="4" t="inlineStr">
        <is>
          <t>Cái 1C/H 60C/T</t>
        </is>
      </c>
    </row>
    <row r="988">
      <c r="A988" s="3" t="n">
        <v>987</v>
      </c>
      <c r="B988" s="3" t="n">
        <v>52</v>
      </c>
      <c r="C988" s="4" t="inlineStr">
        <is>
          <t>K2C4 4"</t>
        </is>
      </c>
      <c r="D988" s="3" t="inlineStr">
        <is>
          <t>Cái</t>
        </is>
      </c>
      <c r="E988" s="5" t="n">
        <v>264000</v>
      </c>
      <c r="F988" s="5" t="n">
        <v>312000</v>
      </c>
      <c r="G988" s="6" t="n">
        <v>383000</v>
      </c>
      <c r="H988" s="4" t="inlineStr">
        <is>
          <t>Cái 1C/H 40C/T</t>
        </is>
      </c>
    </row>
    <row r="989">
      <c r="A989" s="3" t="n">
        <v>988</v>
      </c>
      <c r="B989" s="3" t="n">
        <v>52</v>
      </c>
      <c r="C989" s="4" t="inlineStr">
        <is>
          <t>K2C6 6"</t>
        </is>
      </c>
      <c r="D989" s="3" t="inlineStr">
        <is>
          <t>Cái</t>
        </is>
      </c>
      <c r="E989" s="5" t="n">
        <v>407000</v>
      </c>
      <c r="F989" s="5" t="n">
        <v>480000</v>
      </c>
      <c r="G989" s="6" t="n">
        <v>590000</v>
      </c>
      <c r="H989" s="4" t="inlineStr">
        <is>
          <t>Cái 1C/H 20C/T</t>
        </is>
      </c>
    </row>
    <row r="990">
      <c r="A990" s="3" t="n">
        <v>989</v>
      </c>
      <c r="B990" s="3" t="n">
        <v>52</v>
      </c>
      <c r="C990" s="4" t="inlineStr">
        <is>
          <t>K2C8 8"</t>
        </is>
      </c>
      <c r="D990" s="3" t="inlineStr">
        <is>
          <t>Cái</t>
        </is>
      </c>
      <c r="E990" s="5" t="n">
        <v>671000</v>
      </c>
      <c r="F990" s="5" t="n">
        <v>792000</v>
      </c>
      <c r="G990" s="6" t="n">
        <v>973000</v>
      </c>
      <c r="H990" s="4" t="inlineStr">
        <is>
          <t>Cái 1C/H 10C/T</t>
        </is>
      </c>
    </row>
    <row r="991">
      <c r="A991" s="3" t="n">
        <v>990</v>
      </c>
      <c r="B991" s="3" t="n">
        <v>52</v>
      </c>
      <c r="C991" s="4" t="inlineStr">
        <is>
          <t>K3C3 3"</t>
        </is>
      </c>
      <c r="D991" s="3" t="inlineStr">
        <is>
          <t>Cái</t>
        </is>
      </c>
      <c r="E991" s="5" t="n">
        <v>229000</v>
      </c>
      <c r="F991" s="5" t="n">
        <v>270000</v>
      </c>
      <c r="G991" s="6" t="n">
        <v>332000</v>
      </c>
      <c r="H991" s="4" t="inlineStr">
        <is>
          <t>Cái 1C/H 40C/T</t>
        </is>
      </c>
    </row>
    <row r="992">
      <c r="A992" s="3" t="n">
        <v>991</v>
      </c>
      <c r="B992" s="3" t="n">
        <v>52</v>
      </c>
      <c r="C992" s="4" t="inlineStr">
        <is>
          <t>K3C4 4"</t>
        </is>
      </c>
      <c r="D992" s="3" t="inlineStr">
        <is>
          <t>Cái</t>
        </is>
      </c>
      <c r="E992" s="5" t="n">
        <v>275000</v>
      </c>
      <c r="F992" s="5" t="n">
        <v>325000</v>
      </c>
      <c r="G992" s="6" t="n">
        <v>399000</v>
      </c>
      <c r="H992" s="4" t="inlineStr">
        <is>
          <t>Cái 1C/H 20C/T</t>
        </is>
      </c>
    </row>
    <row r="993">
      <c r="A993" s="3" t="n">
        <v>992</v>
      </c>
      <c r="B993" s="3" t="n">
        <v>52</v>
      </c>
      <c r="C993" s="4" t="inlineStr">
        <is>
          <t>K3C6 6"</t>
        </is>
      </c>
      <c r="D993" s="3" t="inlineStr">
        <is>
          <t>Cái</t>
        </is>
      </c>
      <c r="E993" s="5" t="n">
        <v>385000</v>
      </c>
      <c r="F993" s="5" t="n">
        <v>454000</v>
      </c>
      <c r="G993" s="6" t="n">
        <v>558000</v>
      </c>
      <c r="H993" s="4" t="inlineStr">
        <is>
          <t>Cái 1C/H 20C/T</t>
        </is>
      </c>
    </row>
    <row r="994">
      <c r="A994" s="3" t="n">
        <v>993</v>
      </c>
      <c r="B994" s="3" t="n">
        <v>52</v>
      </c>
      <c r="C994" s="4" t="inlineStr">
        <is>
          <t>K3C8 8"</t>
        </is>
      </c>
      <c r="D994" s="3" t="inlineStr">
        <is>
          <t>Cái</t>
        </is>
      </c>
      <c r="E994" s="5" t="n">
        <v>655000</v>
      </c>
      <c r="F994" s="5" t="n">
        <v>773000</v>
      </c>
      <c r="G994" s="6" t="n">
        <v>950000</v>
      </c>
      <c r="H994" s="4" t="inlineStr">
        <is>
          <t>Cái 1C/H 10C/T</t>
        </is>
      </c>
    </row>
    <row r="995">
      <c r="A995" s="3" t="n">
        <v>994</v>
      </c>
      <c r="B995" s="3" t="n">
        <v>52</v>
      </c>
      <c r="C995" s="4" t="inlineStr">
        <is>
          <t>Cần siết tự động 1/2(72 răng) KLG-01 1/2"</t>
        </is>
      </c>
      <c r="D995" s="3" t="inlineStr">
        <is>
          <t>Cái</t>
        </is>
      </c>
      <c r="E995" s="5" t="n">
        <v>160000</v>
      </c>
      <c r="F995" s="5" t="n">
        <v>189000</v>
      </c>
      <c r="G995" s="6" t="n">
        <v>232000</v>
      </c>
      <c r="H995" s="4" t="inlineStr">
        <is>
          <t>Cái 6C/H 24C/T Thép thép CR-V siêu cứng, chịu lực, chịu nhiệt tốt, không rỉ.</t>
        </is>
      </c>
    </row>
    <row r="996">
      <c r="A996" s="3" t="n">
        <v>995</v>
      </c>
      <c r="B996" s="3" t="n">
        <v>52</v>
      </c>
      <c r="C996" s="4" t="inlineStr">
        <is>
          <t>Cần siết lực(cần nổ) KLC-01 465mm</t>
        </is>
      </c>
      <c r="D996" s="3" t="inlineStr">
        <is>
          <t>Cái</t>
        </is>
      </c>
      <c r="E996" s="5" t="n">
        <v>655000</v>
      </c>
      <c r="F996" s="5" t="n">
        <v>773000</v>
      </c>
      <c r="G996" s="6" t="n">
        <v>950000</v>
      </c>
      <c r="H996" s="4" t="inlineStr">
        <is>
          <t>Cái 1C/H 10C/T 1/2'' . 20-150FT/LB . - IB / 27,1-203,5Nm . độ chính xác +_4%Thép CR-V</t>
        </is>
      </c>
    </row>
    <row r="997">
      <c r="A997" s="3" t="n">
        <v>996</v>
      </c>
      <c r="B997" s="3" t="n">
        <v>52</v>
      </c>
      <c r="C997" s="4" t="inlineStr">
        <is>
          <t>Cần siết tự độngđa năng 8 in 1 KGX-08 8,10,1213,14,1,19,21</t>
        </is>
      </c>
      <c r="D997" s="3" t="inlineStr">
        <is>
          <t>Cái</t>
        </is>
      </c>
      <c r="E997" s="5" t="n">
        <v>319000</v>
      </c>
      <c r="F997" s="5" t="n">
        <v>377000</v>
      </c>
      <c r="G997" s="6" t="n">
        <v>463000</v>
      </c>
      <c r="H997" s="4" t="inlineStr">
        <is>
          <t>Cái 4C/H 24C/T - Thép CR-V siêu cứng, chịu lực, chịu nhiệt tốt, không rỉ- Mỗi đầu cần có cần gạt đổi chiều vặn tùy nhu cầu sử dụng</t>
        </is>
      </c>
    </row>
    <row r="998">
      <c r="A998" s="3" t="n">
        <v>997</v>
      </c>
      <c r="B998" s="3" t="n">
        <v>52</v>
      </c>
      <c r="C998" s="4" t="inlineStr">
        <is>
          <t>KH1-08 8mm</t>
        </is>
      </c>
      <c r="D998" s="3" t="inlineStr">
        <is>
          <t>Cái</t>
        </is>
      </c>
      <c r="E998" s="5" t="n">
        <v>21000</v>
      </c>
      <c r="F998" s="5" t="n">
        <v>25000</v>
      </c>
      <c r="G998" s="6" t="n">
        <v>31000</v>
      </c>
      <c r="H998" s="4" t="inlineStr">
        <is>
          <t>Cái 10C/H 200C/T</t>
        </is>
      </c>
    </row>
    <row r="999">
      <c r="A999" s="3" t="n">
        <v>998</v>
      </c>
      <c r="B999" s="3" t="n">
        <v>52</v>
      </c>
      <c r="C999" s="4" t="inlineStr">
        <is>
          <t>KH1-10 10mm</t>
        </is>
      </c>
      <c r="D999" s="3" t="inlineStr">
        <is>
          <t>Cái</t>
        </is>
      </c>
      <c r="E999" s="5" t="n">
        <v>24000</v>
      </c>
      <c r="F999" s="5" t="n">
        <v>28000</v>
      </c>
      <c r="G999" s="6" t="n">
        <v>35000</v>
      </c>
      <c r="H999" s="4" t="inlineStr">
        <is>
          <t>Cái 10C/H 200C/T</t>
        </is>
      </c>
    </row>
    <row r="1000">
      <c r="A1000" s="3" t="n">
        <v>999</v>
      </c>
      <c r="B1000" s="3" t="n">
        <v>52</v>
      </c>
      <c r="C1000" s="4" t="inlineStr">
        <is>
          <t>KH1-12 12mm</t>
        </is>
      </c>
      <c r="D1000" s="3" t="inlineStr">
        <is>
          <t>Cái</t>
        </is>
      </c>
      <c r="E1000" s="5" t="n">
        <v>26000</v>
      </c>
      <c r="F1000" s="5" t="n">
        <v>31000</v>
      </c>
      <c r="G1000" s="6" t="n">
        <v>38000</v>
      </c>
      <c r="H1000" s="4" t="inlineStr">
        <is>
          <t>Cái 10C/H 200C/T</t>
        </is>
      </c>
    </row>
    <row r="1001">
      <c r="A1001" s="3" t="n">
        <v>1000</v>
      </c>
      <c r="B1001" s="3" t="n">
        <v>52</v>
      </c>
      <c r="C1001" s="4" t="inlineStr">
        <is>
          <t>KH1-13 13mm</t>
        </is>
      </c>
      <c r="D1001" s="3" t="inlineStr">
        <is>
          <t>Cái</t>
        </is>
      </c>
      <c r="E1001" s="5" t="n">
        <v>28000</v>
      </c>
      <c r="F1001" s="5" t="n">
        <v>33000</v>
      </c>
      <c r="G1001" s="6" t="n">
        <v>41000</v>
      </c>
      <c r="H1001" s="4" t="inlineStr">
        <is>
          <t>Cái 10C/H 200C/T</t>
        </is>
      </c>
    </row>
    <row r="1002">
      <c r="A1002" s="3" t="n">
        <v>1001</v>
      </c>
      <c r="B1002" s="3" t="n">
        <v>52</v>
      </c>
      <c r="C1002" s="4" t="inlineStr">
        <is>
          <t>KH1-14 14mm</t>
        </is>
      </c>
      <c r="D1002" s="3" t="inlineStr">
        <is>
          <t>Cái</t>
        </is>
      </c>
      <c r="E1002" s="5" t="n">
        <v>30000</v>
      </c>
      <c r="F1002" s="5" t="n">
        <v>36000</v>
      </c>
      <c r="G1002" s="6" t="n">
        <v>44000</v>
      </c>
      <c r="H1002" s="4" t="inlineStr">
        <is>
          <t>Cái 10C/H 200C/T</t>
        </is>
      </c>
    </row>
    <row r="1003">
      <c r="A1003" s="3" t="n">
        <v>1002</v>
      </c>
      <c r="B1003" s="3" t="n">
        <v>52</v>
      </c>
      <c r="C1003" s="4" t="inlineStr">
        <is>
          <t>KH1-17 17mm</t>
        </is>
      </c>
      <c r="D1003" s="3" t="inlineStr">
        <is>
          <t>Cái</t>
        </is>
      </c>
      <c r="E1003" s="5" t="n">
        <v>40000</v>
      </c>
      <c r="F1003" s="5" t="n">
        <v>47000</v>
      </c>
      <c r="G1003" s="6" t="n">
        <v>58000</v>
      </c>
      <c r="H1003" s="4" t="inlineStr">
        <is>
          <t>Cái 10C/H 100C/T</t>
        </is>
      </c>
    </row>
    <row r="1004">
      <c r="A1004" s="3" t="n">
        <v>1003</v>
      </c>
      <c r="B1004" s="3" t="n">
        <v>52</v>
      </c>
      <c r="C1004" s="4" t="inlineStr">
        <is>
          <t>KH1-19 19mm</t>
        </is>
      </c>
      <c r="D1004" s="3" t="inlineStr">
        <is>
          <t>Cái</t>
        </is>
      </c>
      <c r="E1004" s="5" t="n">
        <v>44000</v>
      </c>
      <c r="F1004" s="5" t="n">
        <v>52000</v>
      </c>
      <c r="G1004" s="6" t="n">
        <v>64000</v>
      </c>
      <c r="H1004" s="4" t="inlineStr">
        <is>
          <t>Cái 10C/H 100C/T</t>
        </is>
      </c>
    </row>
    <row r="1005">
      <c r="A1005" s="3" t="n">
        <v>1004</v>
      </c>
      <c r="B1005" s="3" t="n">
        <v>53</v>
      </c>
      <c r="C1005" s="4" t="inlineStr">
        <is>
          <t>KH1-21 21mm</t>
        </is>
      </c>
      <c r="D1005" s="3" t="inlineStr">
        <is>
          <t>Cái</t>
        </is>
      </c>
      <c r="E1005" s="5" t="n">
        <v>57000</v>
      </c>
      <c r="F1005" s="5" t="n">
        <v>67000</v>
      </c>
      <c r="G1005" s="6" t="n">
        <v>83000</v>
      </c>
      <c r="H1005" s="4" t="inlineStr">
        <is>
          <t>Cái 5C/H 50C/T</t>
        </is>
      </c>
    </row>
    <row r="1006">
      <c r="A1006" s="3" t="n">
        <v>1005</v>
      </c>
      <c r="B1006" s="3" t="n">
        <v>53</v>
      </c>
      <c r="C1006" s="4" t="inlineStr">
        <is>
          <t>KH1-22 22mm</t>
        </is>
      </c>
      <c r="D1006" s="3" t="inlineStr">
        <is>
          <t>Cái</t>
        </is>
      </c>
      <c r="E1006" s="5" t="n">
        <v>59000</v>
      </c>
      <c r="F1006" s="5" t="n">
        <v>70000</v>
      </c>
      <c r="G1006" s="6" t="n">
        <v>86000</v>
      </c>
      <c r="H1006" s="4" t="inlineStr">
        <is>
          <t>Cái 5C/H 50C/T</t>
        </is>
      </c>
    </row>
    <row r="1007">
      <c r="A1007" s="3" t="n">
        <v>1006</v>
      </c>
      <c r="B1007" s="3" t="n">
        <v>53</v>
      </c>
      <c r="C1007" s="4" t="inlineStr">
        <is>
          <t>Cờ lê vòng miệng KH1-24 24mm</t>
        </is>
      </c>
      <c r="D1007" s="3" t="inlineStr">
        <is>
          <t>Cái</t>
        </is>
      </c>
      <c r="E1007" s="5" t="n">
        <v>76000</v>
      </c>
      <c r="F1007" s="5" t="n">
        <v>90000</v>
      </c>
      <c r="G1007" s="6" t="n">
        <v>110000</v>
      </c>
      <c r="H1007" s="4" t="inlineStr">
        <is>
          <t>Cái 5C/H 50C/T</t>
        </is>
      </c>
    </row>
    <row r="1008">
      <c r="A1008" s="3" t="n">
        <v>1007</v>
      </c>
      <c r="B1008" s="3" t="n">
        <v>53</v>
      </c>
      <c r="C1008" s="4" t="inlineStr">
        <is>
          <t>KH1-27 27mm</t>
        </is>
      </c>
      <c r="D1008" s="3" t="inlineStr">
        <is>
          <t>Cái</t>
        </is>
      </c>
      <c r="E1008" s="5" t="n">
        <v>92000</v>
      </c>
      <c r="F1008" s="5" t="n">
        <v>108000</v>
      </c>
      <c r="G1008" s="6" t="n">
        <v>133000</v>
      </c>
      <c r="H1008" s="4" t="inlineStr">
        <is>
          <t>Cái 5C/H 50C/T Thép Carbon mạ cromMua 6 tặng 1</t>
        </is>
      </c>
    </row>
    <row r="1009">
      <c r="A1009" s="3" t="n">
        <v>1008</v>
      </c>
      <c r="B1009" s="3" t="n">
        <v>53</v>
      </c>
      <c r="C1009" s="4" t="inlineStr">
        <is>
          <t>KH1-30 30mm</t>
        </is>
      </c>
      <c r="D1009" s="3" t="inlineStr">
        <is>
          <t>Cái</t>
        </is>
      </c>
      <c r="E1009" s="5" t="n">
        <v>103000</v>
      </c>
      <c r="F1009" s="5" t="n">
        <v>121000</v>
      </c>
      <c r="G1009" s="6" t="n">
        <v>149000</v>
      </c>
      <c r="H1009" s="4" t="inlineStr">
        <is>
          <t>Cái 5C/H 20C/T</t>
        </is>
      </c>
    </row>
    <row r="1010">
      <c r="A1010" s="3" t="n">
        <v>1009</v>
      </c>
      <c r="B1010" s="3" t="n">
        <v>53</v>
      </c>
      <c r="C1010" s="4" t="inlineStr">
        <is>
          <t>KH1-32 32mm</t>
        </is>
      </c>
      <c r="D1010" s="3" t="inlineStr">
        <is>
          <t>Cái</t>
        </is>
      </c>
      <c r="E1010" s="5" t="n">
        <v>119000</v>
      </c>
      <c r="F1010" s="5" t="n">
        <v>141000</v>
      </c>
      <c r="G1010" s="6" t="n">
        <v>173000</v>
      </c>
      <c r="H1010" s="4" t="inlineStr">
        <is>
          <t>Cái 5C/H 20C/T</t>
        </is>
      </c>
    </row>
    <row r="1011">
      <c r="A1011" s="3" t="n">
        <v>1010</v>
      </c>
      <c r="B1011" s="3" t="n">
        <v>53</v>
      </c>
      <c r="C1011" s="4" t="inlineStr">
        <is>
          <t>KH2-08 8mm</t>
        </is>
      </c>
      <c r="D1011" s="3" t="inlineStr">
        <is>
          <t>Cái</t>
        </is>
      </c>
      <c r="E1011" s="5" t="n">
        <v>26000</v>
      </c>
      <c r="F1011" s="5" t="n">
        <v>31000</v>
      </c>
      <c r="G1011" s="6" t="n">
        <v>38000</v>
      </c>
      <c r="H1011" s="4" t="inlineStr">
        <is>
          <t>Cái 10C/H 300C/T</t>
        </is>
      </c>
    </row>
    <row r="1012">
      <c r="A1012" s="3" t="n">
        <v>1011</v>
      </c>
      <c r="B1012" s="3" t="n">
        <v>53</v>
      </c>
      <c r="C1012" s="4" t="inlineStr">
        <is>
          <t>KH2-10 10mm</t>
        </is>
      </c>
      <c r="D1012" s="3" t="inlineStr">
        <is>
          <t>Cái</t>
        </is>
      </c>
      <c r="E1012" s="5" t="n">
        <v>30000</v>
      </c>
      <c r="F1012" s="5" t="n">
        <v>36000</v>
      </c>
      <c r="G1012" s="6" t="n">
        <v>44000</v>
      </c>
      <c r="H1012" s="4" t="inlineStr">
        <is>
          <t>Cái 10C/H 250C/T</t>
        </is>
      </c>
    </row>
    <row r="1013">
      <c r="A1013" s="3" t="n">
        <v>1012</v>
      </c>
      <c r="B1013" s="3" t="n">
        <v>53</v>
      </c>
      <c r="C1013" s="4" t="inlineStr">
        <is>
          <t>KH2-12 12mm</t>
        </is>
      </c>
      <c r="D1013" s="3" t="inlineStr">
        <is>
          <t>Cái</t>
        </is>
      </c>
      <c r="E1013" s="5" t="n">
        <v>34000</v>
      </c>
      <c r="F1013" s="5" t="n">
        <v>40000</v>
      </c>
      <c r="G1013" s="6" t="n">
        <v>49000</v>
      </c>
      <c r="H1013" s="4" t="inlineStr">
        <is>
          <t>Cái 10C/H 250C/T</t>
        </is>
      </c>
    </row>
    <row r="1014">
      <c r="A1014" s="3" t="n">
        <v>1013</v>
      </c>
      <c r="B1014" s="3" t="n">
        <v>53</v>
      </c>
      <c r="C1014" s="4" t="inlineStr">
        <is>
          <t>KH2-13 13mm</t>
        </is>
      </c>
      <c r="D1014" s="3" t="inlineStr">
        <is>
          <t>Cái</t>
        </is>
      </c>
      <c r="E1014" s="5" t="n">
        <v>35000</v>
      </c>
      <c r="F1014" s="5" t="n">
        <v>41000</v>
      </c>
      <c r="G1014" s="6" t="n">
        <v>51000</v>
      </c>
      <c r="H1014" s="4" t="inlineStr">
        <is>
          <t>Cái 10C/H 200C/T</t>
        </is>
      </c>
    </row>
    <row r="1015">
      <c r="A1015" s="3" t="n">
        <v>1014</v>
      </c>
      <c r="B1015" s="3" t="n">
        <v>53</v>
      </c>
      <c r="C1015" s="4" t="inlineStr">
        <is>
          <t>KH2-14 14mm</t>
        </is>
      </c>
      <c r="D1015" s="3" t="inlineStr">
        <is>
          <t>Cái</t>
        </is>
      </c>
      <c r="E1015" s="5" t="n">
        <v>42000</v>
      </c>
      <c r="F1015" s="5" t="n">
        <v>50000</v>
      </c>
      <c r="G1015" s="6" t="n">
        <v>61000</v>
      </c>
      <c r="H1015" s="4" t="inlineStr">
        <is>
          <t>Cái 10C/H 250C/T</t>
        </is>
      </c>
    </row>
    <row r="1016">
      <c r="A1016" s="3" t="n">
        <v>1015</v>
      </c>
      <c r="B1016" s="3" t="n">
        <v>53</v>
      </c>
      <c r="C1016" s="4" t="inlineStr">
        <is>
          <t>KH2-17 17mm</t>
        </is>
      </c>
      <c r="D1016" s="3" t="inlineStr">
        <is>
          <t>Cái</t>
        </is>
      </c>
      <c r="E1016" s="5" t="n">
        <v>48000</v>
      </c>
      <c r="F1016" s="5" t="n">
        <v>57000</v>
      </c>
      <c r="G1016" s="6" t="n">
        <v>70000</v>
      </c>
      <c r="H1016" s="4" t="inlineStr">
        <is>
          <t>Cái 10C/H 100C/T</t>
        </is>
      </c>
    </row>
    <row r="1017">
      <c r="A1017" s="3" t="n">
        <v>1016</v>
      </c>
      <c r="B1017" s="3" t="n">
        <v>53</v>
      </c>
      <c r="C1017" s="4" t="inlineStr">
        <is>
          <t>KH2-19 19mm</t>
        </is>
      </c>
      <c r="D1017" s="3" t="inlineStr">
        <is>
          <t>Cái</t>
        </is>
      </c>
      <c r="E1017" s="5" t="n">
        <v>58000</v>
      </c>
      <c r="F1017" s="5" t="n">
        <v>68000</v>
      </c>
      <c r="G1017" s="6" t="n">
        <v>84000</v>
      </c>
      <c r="H1017" s="4" t="inlineStr">
        <is>
          <t>Cái 5C/H 100C/T</t>
        </is>
      </c>
    </row>
    <row r="1018">
      <c r="A1018" s="3" t="n">
        <v>1017</v>
      </c>
      <c r="B1018" s="3" t="n">
        <v>53</v>
      </c>
      <c r="C1018" s="4" t="inlineStr">
        <is>
          <t>KH2-22 22mm</t>
        </is>
      </c>
      <c r="D1018" s="3" t="inlineStr">
        <is>
          <t>Cái</t>
        </is>
      </c>
      <c r="E1018" s="5" t="n">
        <v>86000</v>
      </c>
      <c r="F1018" s="5" t="n">
        <v>102000</v>
      </c>
      <c r="G1018" s="6" t="n">
        <v>125000</v>
      </c>
      <c r="H1018" s="4" t="inlineStr">
        <is>
          <t>Cái 5C/H 50C/T</t>
        </is>
      </c>
    </row>
    <row r="1019">
      <c r="A1019" s="3" t="n">
        <v>1018</v>
      </c>
      <c r="B1019" s="3" t="n">
        <v>53</v>
      </c>
      <c r="C1019" s="4" t="inlineStr">
        <is>
          <t>KH2-24 24mm</t>
        </is>
      </c>
      <c r="D1019" s="3" t="inlineStr">
        <is>
          <t>Cái</t>
        </is>
      </c>
      <c r="E1019" s="5" t="n">
        <v>97000</v>
      </c>
      <c r="F1019" s="5" t="n">
        <v>115000</v>
      </c>
      <c r="G1019" s="6" t="n">
        <v>141000</v>
      </c>
      <c r="H1019" s="4" t="inlineStr">
        <is>
          <t>Cái 5C/H 50C/T</t>
        </is>
      </c>
    </row>
    <row r="1020">
      <c r="A1020" s="3" t="n">
        <v>1019</v>
      </c>
      <c r="B1020" s="3" t="n">
        <v>53</v>
      </c>
      <c r="C1020" s="4" t="inlineStr">
        <is>
          <t>KH2-27 27mm</t>
        </is>
      </c>
      <c r="D1020" s="3" t="inlineStr">
        <is>
          <t>Cái</t>
        </is>
      </c>
      <c r="E1020" s="5" t="n">
        <v>128000</v>
      </c>
      <c r="F1020" s="5" t="n">
        <v>151000</v>
      </c>
      <c r="G1020" s="6" t="n">
        <v>186000</v>
      </c>
      <c r="H1020" s="4" t="inlineStr">
        <is>
          <t>Cái 5C/H 50C/T</t>
        </is>
      </c>
    </row>
    <row r="1021">
      <c r="A1021" s="3" t="n">
        <v>1020</v>
      </c>
      <c r="B1021" s="3" t="n">
        <v>53</v>
      </c>
      <c r="C1021" s="4" t="inlineStr">
        <is>
          <t>KH3-08 8mm</t>
        </is>
      </c>
      <c r="D1021" s="3" t="inlineStr">
        <is>
          <t>Cái</t>
        </is>
      </c>
      <c r="E1021" s="5" t="n">
        <v>54000</v>
      </c>
      <c r="F1021" s="5" t="n">
        <v>64000</v>
      </c>
      <c r="G1021" s="6" t="n">
        <v>78000</v>
      </c>
      <c r="H1021" s="4" t="inlineStr">
        <is>
          <t>Cái 10C/H 200C/T</t>
        </is>
      </c>
    </row>
    <row r="1022">
      <c r="A1022" s="3" t="n">
        <v>1021</v>
      </c>
      <c r="B1022" s="3" t="n">
        <v>53</v>
      </c>
      <c r="C1022" s="4" t="inlineStr">
        <is>
          <t>KH3-10 10mm</t>
        </is>
      </c>
      <c r="D1022" s="3" t="inlineStr">
        <is>
          <t>Cái</t>
        </is>
      </c>
      <c r="E1022" s="5" t="n">
        <v>62000</v>
      </c>
      <c r="F1022" s="5" t="n">
        <v>73000</v>
      </c>
      <c r="G1022" s="6" t="n">
        <v>90000</v>
      </c>
      <c r="H1022" s="4" t="inlineStr">
        <is>
          <t>Cái 10C/H 200C/T</t>
        </is>
      </c>
    </row>
    <row r="1023">
      <c r="A1023" s="3" t="n">
        <v>1022</v>
      </c>
      <c r="B1023" s="3" t="n">
        <v>53</v>
      </c>
      <c r="C1023" s="4" t="inlineStr">
        <is>
          <t>KH3-12 12mm</t>
        </is>
      </c>
      <c r="D1023" s="3" t="inlineStr">
        <is>
          <t>Cái</t>
        </is>
      </c>
      <c r="E1023" s="5" t="n">
        <v>70000</v>
      </c>
      <c r="F1023" s="5" t="n">
        <v>83000</v>
      </c>
      <c r="G1023" s="6" t="n">
        <v>102000</v>
      </c>
      <c r="H1023" s="4" t="inlineStr">
        <is>
          <t>Cái 10C/H 200C/T</t>
        </is>
      </c>
    </row>
    <row r="1024">
      <c r="A1024" s="3" t="n">
        <v>1023</v>
      </c>
      <c r="B1024" s="3" t="n">
        <v>53</v>
      </c>
      <c r="C1024" s="4" t="inlineStr">
        <is>
          <t>KH3-13 13mm</t>
        </is>
      </c>
      <c r="D1024" s="3" t="inlineStr">
        <is>
          <t>Cái</t>
        </is>
      </c>
      <c r="E1024" s="5" t="n">
        <v>75000</v>
      </c>
      <c r="F1024" s="5" t="n">
        <v>89000</v>
      </c>
      <c r="G1024" s="6" t="n">
        <v>109000</v>
      </c>
      <c r="H1024" s="4" t="inlineStr">
        <is>
          <t>Cái 10C/H 200C/T</t>
        </is>
      </c>
    </row>
    <row r="1025">
      <c r="A1025" s="3" t="n">
        <v>1024</v>
      </c>
      <c r="B1025" s="3" t="n">
        <v>53</v>
      </c>
      <c r="C1025" s="4" t="inlineStr">
        <is>
          <t>KH3-14 14mm</t>
        </is>
      </c>
      <c r="D1025" s="3" t="inlineStr">
        <is>
          <t>Cái</t>
        </is>
      </c>
      <c r="E1025" s="5" t="n">
        <v>79000</v>
      </c>
      <c r="F1025" s="5" t="n">
        <v>93000</v>
      </c>
      <c r="G1025" s="6" t="n">
        <v>115000</v>
      </c>
      <c r="H1025" s="4" t="inlineStr">
        <is>
          <t>Cái 10C/H 100C/T</t>
        </is>
      </c>
    </row>
    <row r="1026">
      <c r="A1026" s="3" t="n">
        <v>1025</v>
      </c>
      <c r="B1026" s="3" t="n">
        <v>53</v>
      </c>
      <c r="C1026" s="4" t="inlineStr">
        <is>
          <t>KH3-17 17mm</t>
        </is>
      </c>
      <c r="D1026" s="3" t="inlineStr">
        <is>
          <t>Cái</t>
        </is>
      </c>
      <c r="E1026" s="5" t="n">
        <v>97000</v>
      </c>
      <c r="F1026" s="5" t="n">
        <v>115000</v>
      </c>
      <c r="G1026" s="6" t="n">
        <v>141000</v>
      </c>
      <c r="H1026" s="4" t="inlineStr">
        <is>
          <t>Cái 5C/H 100C/T</t>
        </is>
      </c>
    </row>
    <row r="1027">
      <c r="A1027" s="3" t="n">
        <v>1026</v>
      </c>
      <c r="B1027" s="3" t="n">
        <v>53</v>
      </c>
      <c r="C1027" s="4" t="inlineStr">
        <is>
          <t>KH3-19 19mm</t>
        </is>
      </c>
      <c r="D1027" s="3" t="inlineStr">
        <is>
          <t>Cái</t>
        </is>
      </c>
      <c r="E1027" s="5" t="n">
        <v>108000</v>
      </c>
      <c r="F1027" s="5" t="n">
        <v>128000</v>
      </c>
      <c r="G1027" s="6" t="n">
        <v>157000</v>
      </c>
      <c r="H1027" s="4" t="inlineStr">
        <is>
          <t>Cái 5C/H 100C/T</t>
        </is>
      </c>
    </row>
    <row r="1028">
      <c r="A1028" s="3" t="n">
        <v>1027</v>
      </c>
      <c r="B1028" s="3" t="n">
        <v>53</v>
      </c>
      <c r="C1028" s="4" t="inlineStr">
        <is>
          <t>Bộ cờ lê vòng miệng KH1-B10 8,10,12,13,14,17,19,21,22,24mm</t>
        </is>
      </c>
      <c r="D1028" s="3" t="inlineStr">
        <is>
          <t>Bộ</t>
        </is>
      </c>
      <c r="E1028" s="5" t="n">
        <v>435000</v>
      </c>
      <c r="F1028" s="5" t="n">
        <v>513000</v>
      </c>
      <c r="G1028" s="6" t="n">
        <v>631000</v>
      </c>
      <c r="H1028" s="4" t="inlineStr">
        <is>
          <t>Bộ 1B/H 10B/T Thép Carbon mạ crom</t>
        </is>
      </c>
    </row>
    <row r="1029">
      <c r="A1029" s="3" t="n">
        <v>1028</v>
      </c>
      <c r="B1029" s="3" t="n">
        <v>53</v>
      </c>
      <c r="C1029" s="4" t="inlineStr">
        <is>
          <t>Bộ cờ lê vòng miệng KH2B9 8,10,12,13,1417,19,22,24mm</t>
        </is>
      </c>
      <c r="D1029" s="3" t="inlineStr">
        <is>
          <t>Bộ</t>
        </is>
      </c>
      <c r="E1029" s="5" t="n">
        <v>572000</v>
      </c>
      <c r="F1029" s="5" t="n">
        <v>675000</v>
      </c>
      <c r="G1029" s="6" t="n">
        <v>829000</v>
      </c>
      <c r="H1029" s="4" t="inlineStr">
        <is>
          <t>Bộ Thép CR-v Tiêu chuẩn 3113</t>
        </is>
      </c>
    </row>
    <row r="1030">
      <c r="A1030" s="3" t="n">
        <v>1029</v>
      </c>
      <c r="B1030" s="3" t="n">
        <v>53</v>
      </c>
      <c r="C1030" s="4" t="inlineStr">
        <is>
          <t>KH3B7 8,10,12,1314,17,19mm</t>
        </is>
      </c>
      <c r="D1030" s="3" t="inlineStr">
        <is>
          <t>Bộ</t>
        </is>
      </c>
      <c r="E1030" s="5" t="n">
        <v>616000</v>
      </c>
      <c r="F1030" s="5" t="n">
        <v>727000</v>
      </c>
      <c r="G1030" s="6" t="n">
        <v>893000</v>
      </c>
      <c r="H1030" s="4" t="inlineStr">
        <is>
          <t>Bộ Thép CR-v</t>
        </is>
      </c>
    </row>
    <row r="1031">
      <c r="A1031" s="3" t="n">
        <v>1030</v>
      </c>
      <c r="B1031" s="3" t="n">
        <v>53</v>
      </c>
      <c r="C1031" s="4" t="inlineStr">
        <is>
          <t>Công cụ đóng đinh bán tự động KB-ST18</t>
        </is>
      </c>
      <c r="D1031" s="3" t="inlineStr">
        <is>
          <t>Cái</t>
        </is>
      </c>
      <c r="E1031" s="5" t="n">
        <v>242000</v>
      </c>
      <c r="F1031" s="5" t="n">
        <v>286000</v>
      </c>
      <c r="G1031" s="6" t="n">
        <v>351000</v>
      </c>
      <c r="H1031" s="4" t="inlineStr">
        <is>
          <t>Cái 1C/H 50C/T Chất liệu: hợp kim nhôm dày.Sử dụng cho các đinh Φ 2.2mm, dài 15mm hoặc 18mm.</t>
        </is>
      </c>
    </row>
    <row r="1032">
      <c r="A1032" s="3" t="n">
        <v>1031</v>
      </c>
      <c r="B1032" s="3" t="n">
        <v>53</v>
      </c>
      <c r="C1032" s="4" t="inlineStr">
        <is>
          <t>KJH-01 0.5*18*100mm</t>
        </is>
      </c>
      <c r="D1032" s="3" t="inlineStr">
        <is>
          <t>Cái</t>
        </is>
      </c>
      <c r="E1032" s="5" t="n">
        <v>21000</v>
      </c>
      <c r="F1032" s="5" t="n">
        <v>25000</v>
      </c>
      <c r="G1032" s="6" t="n">
        <v>31000</v>
      </c>
      <c r="H1032" s="4" t="inlineStr">
        <is>
          <t>Cái 24C/H 144C/T Thân nhựa ABS01 Lưỡi dao SK4 Japan</t>
        </is>
      </c>
    </row>
    <row r="1033">
      <c r="A1033" s="3" t="n">
        <v>1032</v>
      </c>
      <c r="B1033" s="3" t="n">
        <v>53</v>
      </c>
      <c r="C1033" s="4" t="inlineStr">
        <is>
          <t>KJH-02 0.5*18*100mm</t>
        </is>
      </c>
      <c r="D1033" s="3" t="inlineStr">
        <is>
          <t>Cái</t>
        </is>
      </c>
      <c r="E1033" s="5" t="n">
        <v>31000</v>
      </c>
      <c r="F1033" s="5" t="n">
        <v>37000</v>
      </c>
      <c r="G1033" s="6" t="n">
        <v>45000</v>
      </c>
      <c r="H1033" s="4" t="inlineStr">
        <is>
          <t>Cái 24C/H 144C/T Thân nhựa ABS02 Lưỡi dao SK4 Japan</t>
        </is>
      </c>
    </row>
    <row r="1034">
      <c r="A1034" s="3" t="n">
        <v>1033</v>
      </c>
      <c r="B1034" s="3" t="n">
        <v>53</v>
      </c>
      <c r="C1034" s="4" t="inlineStr">
        <is>
          <t>KJH-A1 9mm</t>
        </is>
      </c>
      <c r="D1034" s="3" t="inlineStr">
        <is>
          <t>Cái</t>
        </is>
      </c>
      <c r="E1034" s="5" t="n">
        <v>10500</v>
      </c>
      <c r="F1034" s="5" t="n">
        <v>12000</v>
      </c>
      <c r="G1034" s="6" t="n">
        <v>15000</v>
      </c>
      <c r="H1034" s="4" t="inlineStr">
        <is>
          <t>Cái 24C/H 288C/T Thép SK4 Japan</t>
        </is>
      </c>
    </row>
    <row r="1035">
      <c r="A1035" s="3" t="n">
        <v>1034</v>
      </c>
      <c r="B1035" s="3" t="n">
        <v>53</v>
      </c>
      <c r="C1035" s="4" t="inlineStr">
        <is>
          <t>KJH-A2 9mm</t>
        </is>
      </c>
      <c r="D1035" s="3" t="inlineStr">
        <is>
          <t>Cái</t>
        </is>
      </c>
      <c r="E1035" s="5" t="n">
        <v>18000</v>
      </c>
      <c r="F1035" s="5" t="n">
        <v>21000</v>
      </c>
      <c r="G1035" s="6" t="n">
        <v>26000</v>
      </c>
      <c r="H1035" s="4" t="inlineStr">
        <is>
          <t>Cái 24C/H 288C/T Thép SK4 JapanThân bọc nhựa ABS</t>
        </is>
      </c>
    </row>
    <row r="1036">
      <c r="A1036" s="3" t="n">
        <v>1035</v>
      </c>
      <c r="B1036" s="3" t="n">
        <v>53</v>
      </c>
      <c r="C1036" s="4" t="inlineStr">
        <is>
          <t>KJH-04 0.61*19*59mm</t>
        </is>
      </c>
      <c r="D1036" s="3" t="inlineStr">
        <is>
          <t>Cái</t>
        </is>
      </c>
      <c r="E1036" s="5" t="n">
        <v>121000</v>
      </c>
      <c r="F1036" s="5" t="n">
        <v>143000</v>
      </c>
      <c r="G1036" s="6" t="n">
        <v>176000</v>
      </c>
      <c r="H1036" s="4" t="inlineStr">
        <is>
          <t>Cái 6C/H 72C/T Lưỡi dao thép SK4 Japangồm 02 lưỡi phụ</t>
        </is>
      </c>
    </row>
    <row r="1037">
      <c r="A1037" s="3" t="n">
        <v>1036</v>
      </c>
      <c r="B1037" s="3" t="n">
        <v>53</v>
      </c>
      <c r="C1037" s="4" t="inlineStr">
        <is>
          <t>KJH-05 0.61*19*59mm</t>
        </is>
      </c>
      <c r="D1037" s="3" t="inlineStr">
        <is>
          <t>Cái</t>
        </is>
      </c>
      <c r="E1037" s="5" t="n">
        <v>119000</v>
      </c>
      <c r="F1037" s="5" t="n">
        <v>141000</v>
      </c>
      <c r="G1037" s="6" t="n">
        <v>173000</v>
      </c>
      <c r="H1037" s="4" t="inlineStr">
        <is>
          <t>Cái 6C/H 72C/T</t>
        </is>
      </c>
    </row>
    <row r="1038">
      <c r="A1038" s="3" t="n">
        <v>1037</v>
      </c>
      <c r="B1038" s="3" t="n">
        <v>53</v>
      </c>
      <c r="C1038" s="4" t="inlineStr">
        <is>
          <t>KJH-06 0.61*19*59mm</t>
        </is>
      </c>
      <c r="D1038" s="3" t="inlineStr">
        <is>
          <t>Cái</t>
        </is>
      </c>
      <c r="E1038" s="5" t="n">
        <v>171000</v>
      </c>
      <c r="F1038" s="5" t="n">
        <v>202000</v>
      </c>
      <c r="G1038" s="6" t="n">
        <v>248000</v>
      </c>
      <c r="H1038" s="4" t="inlineStr">
        <is>
          <t>Cái 8C/H 48C/T</t>
        </is>
      </c>
    </row>
    <row r="1039">
      <c r="A1039" s="3" t="n">
        <v>1038</v>
      </c>
      <c r="B1039" s="3" t="n">
        <v>54</v>
      </c>
      <c r="C1039" s="4" t="inlineStr">
        <is>
          <t>JH-100 0.5*18*100mm</t>
        </is>
      </c>
      <c r="D1039" s="3" t="inlineStr">
        <is>
          <t>Vỉ</t>
        </is>
      </c>
      <c r="E1039" s="5" t="n">
        <v>14600</v>
      </c>
      <c r="F1039" s="5" t="n">
        <v>17000</v>
      </c>
      <c r="G1039" s="6" t="n">
        <v>21000</v>
      </c>
      <c r="H1039" s="4" t="inlineStr">
        <is>
          <t>Vỉ 20Vỉ/H 320V/T</t>
        </is>
      </c>
    </row>
    <row r="1040">
      <c r="A1040" s="3" t="n">
        <v>1039</v>
      </c>
      <c r="B1040" s="3" t="n">
        <v>54</v>
      </c>
      <c r="C1040" s="4" t="inlineStr">
        <is>
          <t>JH-59 0.61*19*59mm</t>
        </is>
      </c>
      <c r="D1040" s="3" t="inlineStr">
        <is>
          <t>Vỉ</t>
        </is>
      </c>
      <c r="E1040" s="5" t="n">
        <v>14600</v>
      </c>
      <c r="F1040" s="5" t="n">
        <v>17000</v>
      </c>
      <c r="G1040" s="6" t="n">
        <v>21000</v>
      </c>
      <c r="H1040" s="4" t="inlineStr">
        <is>
          <t>Vỉ 20Vỉ/H 320V/T</t>
        </is>
      </c>
    </row>
    <row r="1041">
      <c r="A1041" s="3" t="n">
        <v>1040</v>
      </c>
      <c r="B1041" s="3" t="n">
        <v>54</v>
      </c>
      <c r="C1041" s="4" t="inlineStr">
        <is>
          <t>JH-80 0.35*9*80mm</t>
        </is>
      </c>
      <c r="D1041" s="3" t="inlineStr">
        <is>
          <t>Vỉ</t>
        </is>
      </c>
      <c r="E1041" s="5" t="n">
        <v>12100</v>
      </c>
      <c r="F1041" s="5" t="n">
        <v>14000</v>
      </c>
      <c r="G1041" s="6" t="n">
        <v>18000</v>
      </c>
      <c r="H1041" s="4" t="inlineStr">
        <is>
          <t>Vỉ 20Vỉ/H 400V/T</t>
        </is>
      </c>
    </row>
    <row r="1042">
      <c r="A1042" s="3" t="n">
        <v>1041</v>
      </c>
      <c r="B1042" s="3" t="n">
        <v>54</v>
      </c>
      <c r="C1042" s="4" t="inlineStr">
        <is>
          <t>Lưỡi dao rọc cáp đa năng JH-06 0,61*19*58mm</t>
        </is>
      </c>
      <c r="D1042" s="3" t="inlineStr">
        <is>
          <t>Vỉ</t>
        </is>
      </c>
      <c r="E1042" s="5" t="n">
        <v>22000</v>
      </c>
      <c r="F1042" s="5" t="n">
        <v>26000</v>
      </c>
      <c r="G1042" s="6" t="n">
        <v>32000</v>
      </c>
      <c r="H1042" s="4" t="inlineStr">
        <is>
          <t>Vỉ 20Vỉ/H 200V/T Chất liệu: Thép SK4 cao cấp, bền bỉ*sử dụng cho dao rọc KJH04, KJH05, KJH06(Giá bán theo vỉ)</t>
        </is>
      </c>
    </row>
    <row r="1043">
      <c r="A1043" s="3" t="n">
        <v>1042</v>
      </c>
      <c r="B1043" s="3" t="n">
        <v>54</v>
      </c>
      <c r="C1043" s="4" t="inlineStr"/>
      <c r="D1043" s="3" t="inlineStr">
        <is>
          <t>Cái</t>
        </is>
      </c>
      <c r="E1043" s="5" t="n">
        <v>585000</v>
      </c>
      <c r="F1043" s="5" t="n">
        <v>655000</v>
      </c>
      <c r="G1043" s="6" t="n">
        <v>761000</v>
      </c>
      <c r="H1043" s="4" t="inlineStr">
        <is>
          <t>Cái 1C/H 30C/T</t>
        </is>
      </c>
    </row>
    <row r="1044">
      <c r="A1044" s="3" t="n">
        <v>1043</v>
      </c>
      <c r="B1044" s="3" t="n">
        <v>54</v>
      </c>
      <c r="C1044" s="4" t="inlineStr"/>
      <c r="D1044" s="3" t="inlineStr">
        <is>
          <t>Cái</t>
        </is>
      </c>
      <c r="E1044" s="5" t="n">
        <v>320000</v>
      </c>
      <c r="F1044" s="5" t="n">
        <v>358000</v>
      </c>
      <c r="G1044" s="6" t="n">
        <v>416000</v>
      </c>
      <c r="H1044" s="4" t="inlineStr">
        <is>
          <t>Cái 1C/H 30C/T</t>
        </is>
      </c>
    </row>
    <row r="1045">
      <c r="A1045" s="3" t="n">
        <v>1044</v>
      </c>
      <c r="B1045" s="3" t="n">
        <v>54</v>
      </c>
      <c r="C1045" s="4" t="inlineStr">
        <is>
          <t>HK1-50 đường kính cao su: 125mm</t>
        </is>
      </c>
      <c r="D1045" s="3" t="inlineStr">
        <is>
          <t>Cái</t>
        </is>
      </c>
      <c r="E1045" s="5" t="n">
        <v>182000</v>
      </c>
      <c r="F1045" s="5" t="n">
        <v>215000</v>
      </c>
      <c r="G1045" s="6" t="n">
        <v>264000</v>
      </c>
      <c r="H1045" s="4" t="inlineStr">
        <is>
          <t>Cái 1C/H 40/T</t>
        </is>
      </c>
    </row>
    <row r="1046">
      <c r="A1046" s="3" t="n">
        <v>1045</v>
      </c>
      <c r="B1046" s="3" t="n">
        <v>54</v>
      </c>
      <c r="C1046" s="4" t="inlineStr">
        <is>
          <t>HK2-130 đường kính cao su: 118mm</t>
        </is>
      </c>
      <c r="D1046" s="3" t="inlineStr">
        <is>
          <t>Cái</t>
        </is>
      </c>
      <c r="E1046" s="5" t="n">
        <v>308000</v>
      </c>
      <c r="F1046" s="5" t="n">
        <v>364000</v>
      </c>
      <c r="G1046" s="6" t="n">
        <v>447000</v>
      </c>
      <c r="H1046" s="4" t="inlineStr">
        <is>
          <t>Cái 1C/H 20C/T</t>
        </is>
      </c>
    </row>
    <row r="1047">
      <c r="A1047" s="3" t="n">
        <v>1046</v>
      </c>
      <c r="B1047" s="3" t="n">
        <v>54</v>
      </c>
      <c r="C1047" s="4" t="inlineStr">
        <is>
          <t>HK2-118 đường kính cốc hút: 118mm</t>
        </is>
      </c>
      <c r="D1047" s="3" t="inlineStr">
        <is>
          <t>Cái</t>
        </is>
      </c>
      <c r="E1047" s="5" t="n">
        <v>438000</v>
      </c>
      <c r="F1047" s="5" t="n">
        <v>517000</v>
      </c>
      <c r="G1047" s="6" t="n">
        <v>635000</v>
      </c>
      <c r="H1047" s="4" t="inlineStr">
        <is>
          <t>Cái 1C/H 20C/T Chất liệu cao su: Buna-N tuổi thọ 2 nămChất liệu tay cầm: Nhôm cao cấp có ren vặn căn chỉnhLực hút dọc: 100 kg</t>
        </is>
      </c>
    </row>
    <row r="1048">
      <c r="A1048" s="3" t="n">
        <v>1047</v>
      </c>
      <c r="B1048" s="3" t="n">
        <v>54</v>
      </c>
      <c r="C1048" s="4" t="inlineStr">
        <is>
          <t>Hít kính điện tử HKE-200 đường kính cốc hút: 200mm</t>
        </is>
      </c>
      <c r="D1048" s="3" t="inlineStr">
        <is>
          <t>Cái</t>
        </is>
      </c>
      <c r="E1048" s="5" t="n">
        <v>583000</v>
      </c>
      <c r="F1048" s="5" t="n">
        <v>676000</v>
      </c>
      <c r="G1048" s="6" t="n">
        <v>816000</v>
      </c>
      <c r="H1048" s="4" t="inlineStr">
        <is>
          <t>Cái 1C/H 10C/T</t>
        </is>
      </c>
    </row>
    <row r="1049">
      <c r="A1049" s="3" t="n">
        <v>1048</v>
      </c>
      <c r="B1049" s="3" t="n">
        <v>54</v>
      </c>
      <c r="C1049" s="4" t="inlineStr">
        <is>
          <t>Hít gạch điện tử HKE-924 Kích Thước240 x 90 x 105</t>
        </is>
      </c>
      <c r="D1049" s="3" t="inlineStr">
        <is>
          <t>Cái</t>
        </is>
      </c>
      <c r="E1049" s="5" t="n">
        <v>680000</v>
      </c>
      <c r="F1049" s="5" t="n">
        <v>789000</v>
      </c>
      <c r="G1049" s="6" t="n">
        <v>952000</v>
      </c>
      <c r="H1049" s="4" t="inlineStr">
        <is>
          <t>Cái 1C/H 20C/T</t>
        </is>
      </c>
    </row>
    <row r="1050">
      <c r="A1050" s="3" t="n">
        <v>1049</v>
      </c>
      <c r="B1050" s="3" t="n">
        <v>54</v>
      </c>
      <c r="C1050" s="4" t="inlineStr">
        <is>
          <t>Kích nâng gạch NG107 1-7cm</t>
        </is>
      </c>
      <c r="D1050" s="3" t="inlineStr">
        <is>
          <t>Cái</t>
        </is>
      </c>
      <c r="E1050" s="5" t="n">
        <v>105000</v>
      </c>
      <c r="F1050" s="5" t="n">
        <v>124000</v>
      </c>
      <c r="G1050" s="6" t="n">
        <v>152000</v>
      </c>
      <c r="H1050" s="4" t="inlineStr">
        <is>
          <t>Cái 1C/H 40C/T Thép hợp kim có độ bền cao</t>
        </is>
      </c>
    </row>
    <row r="1051">
      <c r="A1051" s="3" t="n">
        <v>1050</v>
      </c>
      <c r="B1051" s="3" t="n">
        <v>54</v>
      </c>
      <c r="C1051" s="4" t="inlineStr">
        <is>
          <t>KPC-132 3-32mm</t>
        </is>
      </c>
      <c r="D1051" s="3" t="inlineStr">
        <is>
          <t>Cái</t>
        </is>
      </c>
      <c r="E1051" s="5" t="n">
        <v>101000</v>
      </c>
      <c r="F1051" s="5" t="n">
        <v>119000</v>
      </c>
      <c r="G1051" s="6" t="n">
        <v>147000</v>
      </c>
      <c r="H1051" s="4" t="inlineStr">
        <is>
          <t>Cái 12C/H 72C/T Nhôm đúc cao cấpLưỡi dao thép SK5 Nhật Bản</t>
        </is>
      </c>
    </row>
    <row r="1052">
      <c r="A1052" s="3" t="n">
        <v>1051</v>
      </c>
      <c r="B1052" s="3" t="n">
        <v>54</v>
      </c>
      <c r="C1052" s="4" t="inlineStr">
        <is>
          <t>KPC-042</t>
        </is>
      </c>
      <c r="D1052" s="3" t="inlineStr">
        <is>
          <t>Cái</t>
        </is>
      </c>
      <c r="E1052" s="5" t="n">
        <v>102000</v>
      </c>
      <c r="F1052" s="5" t="n">
        <v>120000</v>
      </c>
      <c r="G1052" s="6" t="n">
        <v>148000</v>
      </c>
      <c r="H1052" s="4" t="inlineStr">
        <is>
          <t>Cái 10C/H 60C/T Cán hợp kim nhômChuyên cắt ống PVC, PPR, PE, PEX và các loại ống nhựa khác.</t>
        </is>
      </c>
    </row>
    <row r="1053">
      <c r="A1053" s="3" t="n">
        <v>1052</v>
      </c>
      <c r="B1053" s="3" t="n">
        <v>54</v>
      </c>
      <c r="C1053" s="4" t="inlineStr">
        <is>
          <t>KPC-042 (NEW)</t>
        </is>
      </c>
      <c r="D1053" s="3" t="inlineStr">
        <is>
          <t>Cái</t>
        </is>
      </c>
      <c r="E1053" s="5" t="n">
        <v>106000</v>
      </c>
      <c r="F1053" s="5" t="n">
        <v>125000</v>
      </c>
      <c r="G1053" s="6" t="n">
        <v>154000</v>
      </c>
      <c r="H1053" s="4" t="inlineStr">
        <is>
          <t>Cái 10C/H 60C/T</t>
        </is>
      </c>
    </row>
    <row r="1054">
      <c r="A1054" s="3" t="n">
        <v>1053</v>
      </c>
      <c r="B1054" s="3" t="n">
        <v>54</v>
      </c>
      <c r="C1054" s="4" t="inlineStr"/>
      <c r="D1054" s="3" t="inlineStr">
        <is>
          <t>Cái</t>
        </is>
      </c>
      <c r="E1054" s="5" t="n">
        <v>134000</v>
      </c>
      <c r="F1054" s="5" t="n">
        <v>158000</v>
      </c>
      <c r="G1054" s="6" t="n">
        <v>194000</v>
      </c>
      <c r="H1054" s="4" t="inlineStr">
        <is>
          <t>Cái 6C/H 48C/T</t>
        </is>
      </c>
    </row>
    <row r="1055">
      <c r="A1055" s="3" t="n">
        <v>1054</v>
      </c>
      <c r="B1055" s="3" t="n">
        <v>54</v>
      </c>
      <c r="C1055" s="4" t="inlineStr">
        <is>
          <t>KPC-242 42mm</t>
        </is>
      </c>
      <c r="D1055" s="3" t="inlineStr">
        <is>
          <t>Cái</t>
        </is>
      </c>
      <c r="E1055" s="5" t="n">
        <v>172000</v>
      </c>
      <c r="F1055" s="5" t="n">
        <v>203000</v>
      </c>
      <c r="G1055" s="6" t="n">
        <v>249000</v>
      </c>
      <c r="H1055" s="4" t="inlineStr">
        <is>
          <t>Cái 6C/H 24C/T Cán hợp kim nhômLưỡi thép Không ghỉ</t>
        </is>
      </c>
    </row>
    <row r="1056">
      <c r="A1056" s="3" t="n">
        <v>1055</v>
      </c>
      <c r="B1056" s="3" t="n">
        <v>54</v>
      </c>
      <c r="C1056" s="4" t="inlineStr">
        <is>
          <t>KPC-164 64mm</t>
        </is>
      </c>
      <c r="D1056" s="3" t="inlineStr">
        <is>
          <t>Cái</t>
        </is>
      </c>
      <c r="E1056" s="5" t="n">
        <v>262000</v>
      </c>
      <c r="F1056" s="5" t="n">
        <v>309000</v>
      </c>
      <c r="G1056" s="6" t="n">
        <v>380000</v>
      </c>
      <c r="H1056" s="4" t="inlineStr">
        <is>
          <t>Cái 6C/H 24C/T Cán hợp kim nhômLưỡi SK5</t>
        </is>
      </c>
    </row>
    <row r="1057">
      <c r="A1057" s="3" t="n">
        <v>1056</v>
      </c>
      <c r="B1057" s="3" t="n">
        <v>55</v>
      </c>
      <c r="C1057" s="4" t="inlineStr">
        <is>
          <t>Dao cắt ống kim loại KPG-032 Phạm vi cắt: 4 - 32mm (1/8” - 1 1/4”)</t>
        </is>
      </c>
      <c r="D1057" s="3" t="inlineStr">
        <is>
          <t>Cái</t>
        </is>
      </c>
      <c r="E1057" s="5" t="n">
        <v>259000</v>
      </c>
      <c r="F1057" s="5" t="n">
        <v>306000</v>
      </c>
      <c r="G1057" s="6" t="n">
        <v>376000</v>
      </c>
      <c r="H1057" s="4" t="inlineStr">
        <is>
          <t>Cái 4C/H 32C/T</t>
        </is>
      </c>
    </row>
    <row r="1058">
      <c r="A1058" s="3" t="n">
        <v>1057</v>
      </c>
      <c r="B1058" s="3" t="n">
        <v>55</v>
      </c>
      <c r="C1058" s="4" t="inlineStr"/>
      <c r="D1058" s="3" t="inlineStr">
        <is>
          <t>Cái</t>
        </is>
      </c>
      <c r="E1058" s="5" t="n">
        <v>286000</v>
      </c>
      <c r="F1058" s="5" t="n">
        <v>338000</v>
      </c>
      <c r="G1058" s="6" t="n">
        <v>415000</v>
      </c>
      <c r="H1058" s="4" t="inlineStr">
        <is>
          <t>Cái 1C/vỉ25C/H 100C/T</t>
        </is>
      </c>
    </row>
    <row r="1059">
      <c r="A1059" s="3" t="n">
        <v>1058</v>
      </c>
      <c r="B1059" s="3" t="n">
        <v>55</v>
      </c>
      <c r="C1059" s="4" t="inlineStr">
        <is>
          <t>Dao cắt ống đồng KPG-042 42mm</t>
        </is>
      </c>
      <c r="D1059" s="3" t="inlineStr">
        <is>
          <t>Cái</t>
        </is>
      </c>
      <c r="E1059" s="5" t="n">
        <v>216000</v>
      </c>
      <c r="F1059" s="5" t="n">
        <v>255000</v>
      </c>
      <c r="G1059" s="6" t="n">
        <v>313000</v>
      </c>
      <c r="H1059" s="4" t="inlineStr">
        <is>
          <t>Cái 6C/H 24C/T Nhôm nguyên khốiĐường kính cắt 1/4" đến 1-5/8", Có kèm 1 lưỡi phụ</t>
        </is>
      </c>
    </row>
    <row r="1060">
      <c r="A1060" s="3" t="n">
        <v>1059</v>
      </c>
      <c r="B1060" s="3" t="n">
        <v>55</v>
      </c>
      <c r="C1060" s="4" t="inlineStr">
        <is>
          <t>Kéo cắt góc nẹp điện KPQ-32  35mm</t>
        </is>
      </c>
      <c r="D1060" s="3" t="inlineStr">
        <is>
          <t>Cái</t>
        </is>
      </c>
      <c r="E1060" s="5" t="n">
        <v>163000</v>
      </c>
      <c r="F1060" s="5" t="n">
        <v>192000</v>
      </c>
      <c r="G1060" s="6" t="n">
        <v>236000</v>
      </c>
      <c r="H1060" s="4" t="inlineStr">
        <is>
          <t>Cái 8C/H 32C/T  hợp kim thép không gỉ lưỡi thép SK5 Nhật Bản</t>
        </is>
      </c>
    </row>
    <row r="1061">
      <c r="A1061" s="3" t="n">
        <v>1060</v>
      </c>
      <c r="B1061" s="3" t="n">
        <v>55</v>
      </c>
      <c r="C1061" s="4" t="inlineStr">
        <is>
          <t>KCT-250 10"</t>
        </is>
      </c>
      <c r="D1061" s="3" t="inlineStr">
        <is>
          <t>Cái</t>
        </is>
      </c>
      <c r="E1061" s="5" t="n">
        <v>105000</v>
      </c>
      <c r="F1061" s="5" t="n">
        <v>124000</v>
      </c>
      <c r="G1061" s="6" t="n">
        <v>152000</v>
      </c>
      <c r="H1061" s="4" t="inlineStr">
        <is>
          <t>Cái 6C/H 36C/T Cán thép carbon bọc nhựa, lưỡi thép CrMo</t>
        </is>
      </c>
    </row>
    <row r="1062">
      <c r="A1062" s="3" t="n">
        <v>1061</v>
      </c>
      <c r="B1062" s="3" t="n">
        <v>55</v>
      </c>
      <c r="C1062" s="4" t="inlineStr">
        <is>
          <t>KDT-250 10"</t>
        </is>
      </c>
      <c r="D1062" s="3" t="inlineStr">
        <is>
          <t>Cái</t>
        </is>
      </c>
      <c r="E1062" s="5" t="n">
        <v>116000</v>
      </c>
      <c r="F1062" s="5" t="n">
        <v>137000</v>
      </c>
      <c r="G1062" s="6" t="n">
        <v>168000</v>
      </c>
      <c r="H1062" s="4" t="inlineStr">
        <is>
          <t>Cái 6C/H 36C/T Thép carbon</t>
        </is>
      </c>
    </row>
    <row r="1063">
      <c r="A1063" s="3" t="n">
        <v>1062</v>
      </c>
      <c r="B1063" s="3" t="n">
        <v>55</v>
      </c>
      <c r="C1063" s="4" t="inlineStr">
        <is>
          <t>KDT-300 12"</t>
        </is>
      </c>
      <c r="D1063" s="3" t="inlineStr">
        <is>
          <t>Cái</t>
        </is>
      </c>
      <c r="E1063" s="5" t="n">
        <v>143000</v>
      </c>
      <c r="F1063" s="5" t="n">
        <v>169000</v>
      </c>
      <c r="G1063" s="6" t="n">
        <v>207000</v>
      </c>
      <c r="H1063" s="4" t="inlineStr">
        <is>
          <t>Cái 6C/H 30C/T Thép carbon</t>
        </is>
      </c>
    </row>
    <row r="1064">
      <c r="A1064" s="3" t="n">
        <v>1063</v>
      </c>
      <c r="B1064" s="3" t="n">
        <v>55</v>
      </c>
      <c r="C1064" s="4" t="inlineStr">
        <is>
          <t>KET-250S 10"</t>
        </is>
      </c>
      <c r="D1064" s="3" t="inlineStr">
        <is>
          <t>Cái</t>
        </is>
      </c>
      <c r="E1064" s="5" t="n">
        <v>108000</v>
      </c>
      <c r="F1064" s="5" t="n">
        <v>128000</v>
      </c>
      <c r="G1064" s="6" t="n">
        <v>157000</v>
      </c>
      <c r="H1064" s="4" t="inlineStr">
        <is>
          <t>Cái 6C/H 36C/T</t>
        </is>
      </c>
    </row>
    <row r="1065">
      <c r="A1065" s="3" t="n">
        <v>1064</v>
      </c>
      <c r="B1065" s="3" t="n">
        <v>55</v>
      </c>
      <c r="C1065" s="4" t="inlineStr">
        <is>
          <t>KET-300S 12"</t>
        </is>
      </c>
      <c r="D1065" s="3" t="inlineStr">
        <is>
          <t>Cái</t>
        </is>
      </c>
      <c r="E1065" s="5" t="n">
        <v>132000</v>
      </c>
      <c r="F1065" s="5" t="n">
        <v>156000</v>
      </c>
      <c r="G1065" s="6" t="n">
        <v>191000</v>
      </c>
      <c r="H1065" s="4" t="inlineStr">
        <is>
          <t>Cái 6C/H 36C/T</t>
        </is>
      </c>
    </row>
    <row r="1066">
      <c r="A1066" s="3" t="n">
        <v>1065</v>
      </c>
      <c r="B1066" s="3" t="n">
        <v>55</v>
      </c>
      <c r="C1066" s="4" t="inlineStr">
        <is>
          <t>KS1-250 10"độ mở: 33mm</t>
        </is>
      </c>
      <c r="D1066" s="3" t="inlineStr">
        <is>
          <t>Cái</t>
        </is>
      </c>
      <c r="E1066" s="5" t="n">
        <v>132000</v>
      </c>
      <c r="F1066" s="5" t="n">
        <v>156000</v>
      </c>
      <c r="G1066" s="6" t="n">
        <v>191000</v>
      </c>
      <c r="H1066" s="4" t="inlineStr">
        <is>
          <t>Cái 6C/H 36C/T Thép Cr- Mo(Cờ-rôm Mô-líp-đen)có khả năng chống va đập, sức mạnh và độ dẻo dai tuyệt vời</t>
        </is>
      </c>
    </row>
    <row r="1067">
      <c r="A1067" s="3" t="n">
        <v>1066</v>
      </c>
      <c r="B1067" s="3" t="n">
        <v>55</v>
      </c>
      <c r="C1067" s="4" t="inlineStr">
        <is>
          <t>KS2-250 10"độ mở: 48mm</t>
        </is>
      </c>
      <c r="D1067" s="3" t="inlineStr">
        <is>
          <t>Cái</t>
        </is>
      </c>
      <c r="E1067" s="5" t="n">
        <v>149000</v>
      </c>
      <c r="F1067" s="5" t="n">
        <v>176000</v>
      </c>
      <c r="G1067" s="6" t="n">
        <v>216000</v>
      </c>
      <c r="H1067" s="4" t="inlineStr">
        <is>
          <t>Cái 6C/H 36C/T Thép  Cr-MoCán bọc nhựa chống trượt</t>
        </is>
      </c>
    </row>
    <row r="1068">
      <c r="A1068" s="3" t="n">
        <v>1067</v>
      </c>
      <c r="B1068" s="3" t="n">
        <v>55</v>
      </c>
      <c r="C1068" s="4" t="inlineStr">
        <is>
          <t>KS4-260 10"độ mở: 100mm</t>
        </is>
      </c>
      <c r="D1068" s="3" t="inlineStr">
        <is>
          <t>Cái</t>
        </is>
      </c>
      <c r="E1068" s="5" t="n">
        <v>270000</v>
      </c>
      <c r="F1068" s="5" t="n">
        <v>319000</v>
      </c>
      <c r="G1068" s="6" t="n">
        <v>392000</v>
      </c>
      <c r="H1068" s="4" t="inlineStr">
        <is>
          <t>Cái 6C/H 36C/T Thép CRVMỏ cong có điều chỉnh 4 độ mở</t>
        </is>
      </c>
    </row>
    <row r="1069">
      <c r="A1069" s="3" t="n">
        <v>1068</v>
      </c>
      <c r="B1069" s="3" t="n">
        <v>55</v>
      </c>
      <c r="C1069" s="4" t="inlineStr">
        <is>
          <t>Kìm chết mỏ nhọn KS-216 8.5"độ mở: 75mm</t>
        </is>
      </c>
      <c r="D1069" s="3" t="inlineStr">
        <is>
          <t>Cái</t>
        </is>
      </c>
      <c r="E1069" s="5" t="n">
        <v>132000</v>
      </c>
      <c r="F1069" s="5" t="n">
        <v>156000</v>
      </c>
      <c r="G1069" s="6" t="n">
        <v>191000</v>
      </c>
      <c r="H1069" s="4" t="inlineStr">
        <is>
          <t>Cái 6C/H 48C/T Thép CrvĐộ mở max 70mm</t>
        </is>
      </c>
    </row>
    <row r="1070">
      <c r="A1070" s="3" t="n">
        <v>1069</v>
      </c>
      <c r="B1070" s="3" t="n">
        <v>55</v>
      </c>
      <c r="C1070" s="4" t="inlineStr">
        <is>
          <t>Kìm chết ngàm rộng KS-264 10"độ mở: 200mm</t>
        </is>
      </c>
      <c r="D1070" s="3" t="inlineStr">
        <is>
          <t>Cái</t>
        </is>
      </c>
      <c r="E1070" s="5" t="n">
        <v>352000</v>
      </c>
      <c r="F1070" s="5" t="n">
        <v>415000</v>
      </c>
      <c r="G1070" s="6" t="n">
        <v>510000</v>
      </c>
      <c r="H1070" s="4" t="inlineStr">
        <is>
          <t>Cái 1C/H 12C/T Thép Carbon</t>
        </is>
      </c>
    </row>
    <row r="1071">
      <c r="A1071" s="3" t="n">
        <v>1070</v>
      </c>
      <c r="B1071" s="3" t="n">
        <v>55</v>
      </c>
      <c r="C1071" s="4" t="inlineStr">
        <is>
          <t>Kìm chết mỏ dẹt KS5-254 10"-254mm</t>
        </is>
      </c>
      <c r="D1071" s="3" t="inlineStr">
        <is>
          <t>Cái</t>
        </is>
      </c>
      <c r="E1071" s="5" t="n">
        <v>176000</v>
      </c>
      <c r="F1071" s="5" t="n">
        <v>208000</v>
      </c>
      <c r="G1071" s="6" t="n">
        <v>255000</v>
      </c>
      <c r="H1071" s="4" t="inlineStr">
        <is>
          <t>Cái 2C/H 16C/T</t>
        </is>
      </c>
    </row>
    <row r="1072">
      <c r="A1072" s="3" t="n">
        <v>1071</v>
      </c>
      <c r="B1072" s="3" t="n">
        <v>55</v>
      </c>
      <c r="C1072" s="4" t="inlineStr">
        <is>
          <t>Kìm chết chữ C KS3-208 11"-208mm</t>
        </is>
      </c>
      <c r="D1072" s="3" t="inlineStr">
        <is>
          <t>Cái</t>
        </is>
      </c>
      <c r="E1072" s="5" t="n">
        <v>132000</v>
      </c>
      <c r="F1072" s="5" t="n">
        <v>156000</v>
      </c>
      <c r="G1072" s="6" t="n">
        <v>191000</v>
      </c>
      <c r="H1072" s="4" t="inlineStr">
        <is>
          <t>Cái 6C/H 24C/T Thép carbon</t>
        </is>
      </c>
    </row>
    <row r="1073">
      <c r="A1073" s="3" t="n">
        <v>1072</v>
      </c>
      <c r="B1073" s="3" t="n">
        <v>55</v>
      </c>
      <c r="C1073" s="4" t="inlineStr">
        <is>
          <t>Kìm chết chữ C ngàm rộng KS3-305 12"-305mm</t>
        </is>
      </c>
      <c r="D1073" s="3" t="inlineStr">
        <is>
          <t>Cái</t>
        </is>
      </c>
      <c r="E1073" s="5" t="n">
        <v>352000</v>
      </c>
      <c r="F1073" s="5" t="n">
        <v>415000</v>
      </c>
      <c r="G1073" s="6" t="n">
        <v>510000</v>
      </c>
      <c r="H1073" s="4" t="inlineStr">
        <is>
          <t>Cái 2C/H 12C/T Độ mở rộng: 30.5cmChất liệu: Thép carbonCông dụng: Dùng để kẹp, cảo tấm kim loại, gỗ, đá…</t>
        </is>
      </c>
    </row>
    <row r="1074">
      <c r="A1074" s="3" t="n">
        <v>1073</v>
      </c>
      <c r="B1074" s="3" t="n">
        <v>55</v>
      </c>
      <c r="C1074" s="4" t="inlineStr">
        <is>
          <t>KCL200 8"</t>
        </is>
      </c>
      <c r="D1074" s="3" t="inlineStr">
        <is>
          <t>Cái</t>
        </is>
      </c>
      <c r="E1074" s="5" t="n">
        <v>116000</v>
      </c>
      <c r="F1074" s="5" t="n">
        <v>137000</v>
      </c>
      <c r="G1074" s="6" t="n">
        <v>168000</v>
      </c>
      <c r="H1074" s="4" t="inlineStr">
        <is>
          <t>Cái 6C/H 48C/T</t>
        </is>
      </c>
    </row>
    <row r="1075">
      <c r="A1075" s="3" t="n">
        <v>1074</v>
      </c>
      <c r="B1075" s="3" t="n">
        <v>55</v>
      </c>
      <c r="C1075" s="4" t="inlineStr">
        <is>
          <t>KCL200 PRO 8"</t>
        </is>
      </c>
      <c r="D1075" s="3" t="inlineStr">
        <is>
          <t>Cái</t>
        </is>
      </c>
      <c r="E1075" s="5" t="n">
        <v>209000</v>
      </c>
      <c r="F1075" s="5" t="n">
        <v>247000</v>
      </c>
      <c r="G1075" s="6" t="n">
        <v>303000</v>
      </c>
      <c r="H1075" s="4" t="inlineStr">
        <is>
          <t>Cái 6C/H 48C/T</t>
        </is>
      </c>
    </row>
    <row r="1076">
      <c r="A1076" s="3" t="n">
        <v>1075</v>
      </c>
      <c r="B1076" s="3" t="n">
        <v>55</v>
      </c>
      <c r="C1076" s="4" t="inlineStr">
        <is>
          <t>KCL-350 14"</t>
        </is>
      </c>
      <c r="D1076" s="3" t="inlineStr">
        <is>
          <t>Cái</t>
        </is>
      </c>
      <c r="E1076" s="5" t="n">
        <v>253000</v>
      </c>
      <c r="F1076" s="5" t="n">
        <v>299000</v>
      </c>
      <c r="G1076" s="6" t="n">
        <v>367000</v>
      </c>
      <c r="H1076" s="4" t="inlineStr">
        <is>
          <t>Cái 1C/H 20C/T</t>
        </is>
      </c>
    </row>
    <row r="1077">
      <c r="A1077" s="3" t="n">
        <v>1076</v>
      </c>
      <c r="B1077" s="3" t="n">
        <v>55</v>
      </c>
      <c r="C1077" s="4" t="inlineStr">
        <is>
          <t>KCL-450 18"</t>
        </is>
      </c>
      <c r="D1077" s="3" t="inlineStr">
        <is>
          <t>Cái</t>
        </is>
      </c>
      <c r="E1077" s="5" t="n">
        <v>319000</v>
      </c>
      <c r="F1077" s="5" t="n">
        <v>377000</v>
      </c>
      <c r="G1077" s="6" t="n">
        <v>463000</v>
      </c>
      <c r="H1077" s="4" t="inlineStr">
        <is>
          <t>Cái 1C/H 10C/T</t>
        </is>
      </c>
    </row>
    <row r="1078">
      <c r="A1078" s="3" t="n">
        <v>1077</v>
      </c>
      <c r="B1078" s="3" t="n">
        <v>55</v>
      </c>
      <c r="C1078" s="4" t="inlineStr">
        <is>
          <t>KCL-750 30"</t>
        </is>
      </c>
      <c r="D1078" s="3" t="inlineStr">
        <is>
          <t>Cái</t>
        </is>
      </c>
      <c r="E1078" s="5" t="n">
        <v>622000</v>
      </c>
      <c r="F1078" s="5" t="n">
        <v>734000</v>
      </c>
      <c r="G1078" s="6" t="n">
        <v>902000</v>
      </c>
      <c r="H1078" s="4" t="inlineStr">
        <is>
          <t>Cái 1C/H 5C/T</t>
        </is>
      </c>
    </row>
    <row r="1079">
      <c r="A1079" s="3" t="n">
        <v>1078</v>
      </c>
      <c r="B1079" s="3" t="n">
        <v>55</v>
      </c>
      <c r="C1079" s="4" t="inlineStr">
        <is>
          <t>KCL-900 36"</t>
        </is>
      </c>
      <c r="D1079" s="3" t="inlineStr">
        <is>
          <t>Cái</t>
        </is>
      </c>
      <c r="E1079" s="5" t="n">
        <v>858000</v>
      </c>
      <c r="F1079" s="5" t="n">
        <v>1012000</v>
      </c>
      <c r="G1079" s="6" t="n">
        <v>1244000</v>
      </c>
      <c r="H1079" s="4" t="inlineStr">
        <is>
          <t>Cái 1C/H 4C/T</t>
        </is>
      </c>
    </row>
    <row r="1080">
      <c r="A1080" s="3" t="n">
        <v>1079</v>
      </c>
      <c r="B1080" s="3" t="n">
        <v>55</v>
      </c>
      <c r="C1080" s="4" t="inlineStr">
        <is>
          <t>KCL-1050 42"</t>
        </is>
      </c>
      <c r="D1080" s="3" t="inlineStr">
        <is>
          <t>Cái</t>
        </is>
      </c>
      <c r="E1080" s="5" t="n">
        <v>1232000</v>
      </c>
      <c r="F1080" s="5" t="n">
        <v>1454000</v>
      </c>
      <c r="G1080" s="6" t="n">
        <v>1786000</v>
      </c>
      <c r="H1080" s="4" t="inlineStr">
        <is>
          <t>Cái 1C/H 2C/T Thép Cr-Mo</t>
        </is>
      </c>
    </row>
    <row r="1081">
      <c r="A1081" s="3" t="n">
        <v>1080</v>
      </c>
      <c r="B1081" s="3" t="n">
        <v>55</v>
      </c>
      <c r="C1081" s="4" t="inlineStr">
        <is>
          <t>Kìm rút đinh KJ-103 10.5"(2.4,3.2,4.0,4.8mm)</t>
        </is>
      </c>
      <c r="D1081" s="3" t="inlineStr">
        <is>
          <t>Cái</t>
        </is>
      </c>
      <c r="E1081" s="5" t="n">
        <v>94000</v>
      </c>
      <c r="F1081" s="5" t="n">
        <v>111000</v>
      </c>
      <c r="G1081" s="6" t="n">
        <v>136000</v>
      </c>
      <c r="H1081" s="4" t="inlineStr">
        <is>
          <t>Cái 6C/H 36C/T Thân thép , cán bọc nhựa PVC</t>
        </is>
      </c>
    </row>
    <row r="1082">
      <c r="A1082" s="3" t="n">
        <v>1081</v>
      </c>
      <c r="B1082" s="3" t="n">
        <v>55</v>
      </c>
      <c r="C1082" s="4" t="inlineStr">
        <is>
          <t>Kìm rút đinh rút trợ lực KJ-104 8"(2.4,3.2,4.0,4.8mm)</t>
        </is>
      </c>
      <c r="D1082" s="3" t="inlineStr">
        <is>
          <t>Cái</t>
        </is>
      </c>
      <c r="E1082" s="5" t="n">
        <v>204000</v>
      </c>
      <c r="F1082" s="5" t="n">
        <v>241000</v>
      </c>
      <c r="G1082" s="6" t="n">
        <v>296000</v>
      </c>
      <c r="H1082" s="4" t="inlineStr">
        <is>
          <t>Cái 6C/H 36C/T Thân nhôm(Al), Cán bọc nhựa PVC</t>
        </is>
      </c>
    </row>
    <row r="1083">
      <c r="A1083" s="3" t="n">
        <v>1082</v>
      </c>
      <c r="B1083" s="3" t="n">
        <v>55</v>
      </c>
      <c r="C1083" s="4" t="inlineStr">
        <is>
          <t>Kìm rút đinh rút KJ-105 10.5"(2.4,3.2,4.0,4.8mm)</t>
        </is>
      </c>
      <c r="D1083" s="3" t="inlineStr">
        <is>
          <t>Cái</t>
        </is>
      </c>
      <c r="E1083" s="5" t="n">
        <v>154000</v>
      </c>
      <c r="F1083" s="5" t="n">
        <v>182000</v>
      </c>
      <c r="G1083" s="6" t="n">
        <v>223000</v>
      </c>
      <c r="H1083" s="4" t="inlineStr">
        <is>
          <t>Cái 6C/H 36C/T Thân nhôm(Al), Cán bọc nhựa PVC</t>
        </is>
      </c>
    </row>
    <row r="1084">
      <c r="A1084" s="3" t="n">
        <v>1083</v>
      </c>
      <c r="B1084" s="3" t="n">
        <v>55</v>
      </c>
      <c r="C1084" s="4" t="inlineStr">
        <is>
          <t>Kìm bắn đinh rút KJ-105B 10.5"(2.4,3.2,4.0,4.8mm)</t>
        </is>
      </c>
      <c r="D1084" s="3" t="inlineStr">
        <is>
          <t>Cái</t>
        </is>
      </c>
      <c r="E1084" s="5" t="n">
        <v>109000</v>
      </c>
      <c r="F1084" s="5" t="n">
        <v>129000</v>
      </c>
      <c r="G1084" s="6" t="n">
        <v>158000</v>
      </c>
      <c r="H1084" s="4" t="inlineStr">
        <is>
          <t>Cái 9C/H 36C/T Cán Thép</t>
        </is>
      </c>
    </row>
    <row r="1085">
      <c r="A1085" s="3" t="n">
        <v>1084</v>
      </c>
      <c r="B1085" s="3" t="n">
        <v>56</v>
      </c>
      <c r="C1085" s="4" t="inlineStr">
        <is>
          <t>Kìm rút đinh công nghiệp KJ-230</t>
        </is>
      </c>
      <c r="D1085" s="3" t="inlineStr">
        <is>
          <t>Cái</t>
        </is>
      </c>
      <c r="E1085" s="5" t="n">
        <v>249000</v>
      </c>
      <c r="F1085" s="5" t="n">
        <v>294000</v>
      </c>
      <c r="G1085" s="6" t="n">
        <v>361000</v>
      </c>
      <c r="H1085" s="4" t="inlineStr">
        <is>
          <t>Cái 1C/H 12C/T Thân thép , cán bọc nhựa PVC</t>
        </is>
      </c>
    </row>
    <row r="1086">
      <c r="A1086" s="3" t="n">
        <v>1085</v>
      </c>
      <c r="B1086" s="3" t="n">
        <v>56</v>
      </c>
      <c r="C1086" s="4" t="inlineStr">
        <is>
          <t>KND180 7"-180mm</t>
        </is>
      </c>
      <c r="D1086" s="3" t="inlineStr">
        <is>
          <t>Cái</t>
        </is>
      </c>
      <c r="E1086" s="5" t="n">
        <v>127000</v>
      </c>
      <c r="F1086" s="5" t="n">
        <v>150000</v>
      </c>
      <c r="G1086" s="6" t="n">
        <v>184000</v>
      </c>
      <c r="H1086" s="4" t="inlineStr">
        <is>
          <t>Cái 6C/H 60C/T Thép CR-v</t>
        </is>
      </c>
    </row>
    <row r="1087">
      <c r="A1087" s="3" t="n">
        <v>1086</v>
      </c>
      <c r="B1087" s="3" t="n">
        <v>56</v>
      </c>
      <c r="C1087" s="4" t="inlineStr">
        <is>
          <t>KND205 8"-205mm</t>
        </is>
      </c>
      <c r="D1087" s="3" t="inlineStr">
        <is>
          <t>Cái</t>
        </is>
      </c>
      <c r="E1087" s="5" t="n">
        <v>160000</v>
      </c>
      <c r="F1087" s="5" t="n">
        <v>189000</v>
      </c>
      <c r="G1087" s="6" t="n">
        <v>232000</v>
      </c>
      <c r="H1087" s="4" t="inlineStr">
        <is>
          <t>Cái 10C/H 40C/T Thép A3, cán bọc nhựa PP&amp;TPR độ bền và đàn hồi cao</t>
        </is>
      </c>
    </row>
    <row r="1088">
      <c r="A1088" s="3" t="n">
        <v>1087</v>
      </c>
      <c r="B1088" s="3" t="n">
        <v>56</v>
      </c>
      <c r="C1088" s="4" t="inlineStr">
        <is>
          <t>Kìm cắt tuốt đa năng 5 in 1 KND200</t>
        </is>
      </c>
      <c r="D1088" s="3" t="inlineStr">
        <is>
          <t>Cái</t>
        </is>
      </c>
      <c r="E1088" s="5" t="n">
        <v>72000</v>
      </c>
      <c r="F1088" s="5" t="n">
        <v>85000</v>
      </c>
      <c r="G1088" s="6" t="n">
        <v>104000</v>
      </c>
      <c r="H1088" s="4" t="inlineStr">
        <is>
          <t>Cái 10C/H 50C/T Thép 50# / tay cầm bọc nhựa TPR Tuốt vỏ dây điện: 0.5-6.0mm².Cắt dây điện: m2.6, m3, m3.5, m4.0, m5.0.</t>
        </is>
      </c>
    </row>
    <row r="1089">
      <c r="A1089" s="3" t="n">
        <v>1088</v>
      </c>
      <c r="B1089" s="3" t="n">
        <v>56</v>
      </c>
      <c r="C1089" s="4" t="inlineStr">
        <is>
          <t>KND150</t>
        </is>
      </c>
      <c r="D1089" s="3" t="inlineStr">
        <is>
          <t>Cái</t>
        </is>
      </c>
      <c r="E1089" s="5" t="n">
        <v>64000</v>
      </c>
      <c r="F1089" s="5" t="n">
        <v>76000</v>
      </c>
      <c r="G1089" s="6" t="n">
        <v>93000</v>
      </c>
      <c r="H1089" s="4" t="inlineStr">
        <is>
          <t>Cái 10C/H 50C/T Thép 65MN / tay cầm bọc nhựa TPRSize từ 0.8-2.6mm²/AWG 10-20.</t>
        </is>
      </c>
    </row>
    <row r="1090">
      <c r="A1090" s="3" t="n">
        <v>1089</v>
      </c>
      <c r="B1090" s="3" t="n">
        <v>56</v>
      </c>
      <c r="C1090" s="4" t="inlineStr">
        <is>
          <t>Kìm bấm Cos vuông KND185</t>
        </is>
      </c>
      <c r="D1090" s="3" t="inlineStr">
        <is>
          <t>Cái</t>
        </is>
      </c>
      <c r="E1090" s="5" t="n">
        <v>182000</v>
      </c>
      <c r="F1090" s="5" t="n">
        <v>215000</v>
      </c>
      <c r="G1090" s="6" t="n">
        <v>264000</v>
      </c>
      <c r="H1090" s="4" t="inlineStr">
        <is>
          <t>Cái 10C/H 40C/T Thép 45# / tay cầm bọc nhựa PP&amp;TPR Phạm vi bấm cos:0.25-10mm²/AWG23-7</t>
        </is>
      </c>
    </row>
    <row r="1091">
      <c r="A1091" s="3" t="n">
        <v>1090</v>
      </c>
      <c r="B1091" s="3" t="n">
        <v>56</v>
      </c>
      <c r="C1091" s="4" t="inlineStr"/>
      <c r="D1091" s="3" t="inlineStr">
        <is>
          <t>Cái</t>
        </is>
      </c>
      <c r="E1091" s="5" t="n">
        <v>97000</v>
      </c>
      <c r="F1091" s="5" t="n">
        <v>115000</v>
      </c>
      <c r="G1091" s="6" t="n">
        <v>141000</v>
      </c>
      <c r="H1091" s="4" t="inlineStr">
        <is>
          <t>Cái 6C/H 60C/T</t>
        </is>
      </c>
    </row>
    <row r="1092">
      <c r="A1092" s="3" t="n">
        <v>1091</v>
      </c>
      <c r="B1092" s="3" t="n">
        <v>56</v>
      </c>
      <c r="C1092" s="4" t="inlineStr">
        <is>
          <t>KC1-08</t>
        </is>
      </c>
      <c r="D1092" s="3" t="inlineStr">
        <is>
          <t>Cái</t>
        </is>
      </c>
      <c r="E1092" s="5" t="n">
        <v>109000</v>
      </c>
      <c r="F1092" s="5" t="n">
        <v>129000</v>
      </c>
      <c r="G1092" s="6" t="n">
        <v>158000</v>
      </c>
      <c r="H1092" s="4" t="inlineStr">
        <is>
          <t>Cái 6C/H 60/T Thép CR-v</t>
        </is>
      </c>
    </row>
    <row r="1093">
      <c r="A1093" s="3" t="n">
        <v>1092</v>
      </c>
      <c r="B1093" s="3" t="n">
        <v>56</v>
      </c>
      <c r="C1093" s="4" t="inlineStr">
        <is>
          <t>Kìm điện đa năng KC1-09 9"</t>
        </is>
      </c>
      <c r="D1093" s="3" t="inlineStr">
        <is>
          <t>Cái</t>
        </is>
      </c>
      <c r="E1093" s="5" t="n">
        <v>127000</v>
      </c>
      <c r="F1093" s="5" t="n">
        <v>150000</v>
      </c>
      <c r="G1093" s="6" t="n">
        <v>184000</v>
      </c>
      <c r="H1093" s="4" t="inlineStr">
        <is>
          <t>Cái 6C/H 60C/T</t>
        </is>
      </c>
    </row>
    <row r="1094">
      <c r="A1094" s="3" t="n">
        <v>1093</v>
      </c>
      <c r="B1094" s="3" t="n">
        <v>56</v>
      </c>
      <c r="C1094" s="4" t="inlineStr">
        <is>
          <t>Kìm nhọn KC2-150 6"</t>
        </is>
      </c>
      <c r="D1094" s="3" t="inlineStr">
        <is>
          <t>Cái</t>
        </is>
      </c>
      <c r="E1094" s="5" t="n">
        <v>91000</v>
      </c>
      <c r="F1094" s="5" t="n">
        <v>107000</v>
      </c>
      <c r="G1094" s="6" t="n">
        <v>132000</v>
      </c>
      <c r="H1094" s="4" t="inlineStr">
        <is>
          <t>Cái 12C/H 72C/T Thép CR-v</t>
        </is>
      </c>
    </row>
    <row r="1095">
      <c r="A1095" s="3" t="n">
        <v>1094</v>
      </c>
      <c r="B1095" s="3" t="n">
        <v>56</v>
      </c>
      <c r="C1095" s="4" t="inlineStr">
        <is>
          <t>Kìm mỏ nhọn đa năng KC2-09 9"</t>
        </is>
      </c>
      <c r="D1095" s="3" t="inlineStr">
        <is>
          <t>Cái</t>
        </is>
      </c>
      <c r="E1095" s="5" t="n">
        <v>127000</v>
      </c>
      <c r="F1095" s="5" t="n">
        <v>150000</v>
      </c>
      <c r="G1095" s="6" t="n">
        <v>184000</v>
      </c>
      <c r="H1095" s="4" t="inlineStr">
        <is>
          <t>Cái 6C/H 60C/T</t>
        </is>
      </c>
    </row>
    <row r="1096">
      <c r="A1096" s="3" t="n">
        <v>1095</v>
      </c>
      <c r="B1096" s="3" t="n">
        <v>56</v>
      </c>
      <c r="C1096" s="4" t="inlineStr">
        <is>
          <t>Kìm cắt KC3-150 6"</t>
        </is>
      </c>
      <c r="D1096" s="3" t="inlineStr">
        <is>
          <t>Cái</t>
        </is>
      </c>
      <c r="E1096" s="5" t="n">
        <v>91000</v>
      </c>
      <c r="F1096" s="5" t="n">
        <v>107000</v>
      </c>
      <c r="G1096" s="6" t="n">
        <v>132000</v>
      </c>
      <c r="H1096" s="4" t="inlineStr">
        <is>
          <t>Cái 12C/H 72C/T Thép CR-v</t>
        </is>
      </c>
    </row>
    <row r="1097">
      <c r="A1097" s="3" t="n">
        <v>1096</v>
      </c>
      <c r="B1097" s="3" t="n">
        <v>56</v>
      </c>
      <c r="C1097" s="4" t="inlineStr"/>
      <c r="D1097" s="3" t="inlineStr">
        <is>
          <t>Cái</t>
        </is>
      </c>
      <c r="E1097" s="5" t="n">
        <v>127000</v>
      </c>
      <c r="F1097" s="5" t="n">
        <v>150000</v>
      </c>
      <c r="G1097" s="6" t="n">
        <v>184000</v>
      </c>
      <c r="H1097" s="4" t="inlineStr">
        <is>
          <t>Cái 6C/H 60C/T</t>
        </is>
      </c>
    </row>
    <row r="1098">
      <c r="A1098" s="3" t="n">
        <v>1097</v>
      </c>
      <c r="B1098" s="3" t="n">
        <v>56</v>
      </c>
      <c r="C1098" s="4" t="inlineStr">
        <is>
          <t>KCH-300 300A</t>
        </is>
      </c>
      <c r="D1098" s="3" t="inlineStr">
        <is>
          <t>Cái</t>
        </is>
      </c>
      <c r="E1098" s="5" t="n">
        <v>77000</v>
      </c>
      <c r="F1098" s="5" t="n">
        <v>91000</v>
      </c>
      <c r="G1098" s="6" t="n">
        <v>112000</v>
      </c>
      <c r="H1098" s="4" t="inlineStr">
        <is>
          <t>Cái 40C/T</t>
        </is>
      </c>
    </row>
    <row r="1099">
      <c r="A1099" s="3" t="n">
        <v>1098</v>
      </c>
      <c r="B1099" s="3" t="n">
        <v>56</v>
      </c>
      <c r="C1099" s="4" t="inlineStr">
        <is>
          <t>KCH-600 600A</t>
        </is>
      </c>
      <c r="D1099" s="3" t="inlineStr">
        <is>
          <t>Cái</t>
        </is>
      </c>
      <c r="E1099" s="5" t="n">
        <v>99000</v>
      </c>
      <c r="F1099" s="5" t="n">
        <v>117000</v>
      </c>
      <c r="G1099" s="6" t="n">
        <v>144000</v>
      </c>
      <c r="H1099" s="4" t="inlineStr">
        <is>
          <t>Cái 40C/T</t>
        </is>
      </c>
    </row>
    <row r="1100">
      <c r="A1100" s="3" t="n">
        <v>1099</v>
      </c>
      <c r="B1100" s="3" t="n">
        <v>56</v>
      </c>
      <c r="C1100" s="4" t="inlineStr">
        <is>
          <t>KCH-800</t>
        </is>
      </c>
      <c r="D1100" s="3" t="inlineStr">
        <is>
          <t>Cái</t>
        </is>
      </c>
      <c r="E1100" s="5" t="n">
        <v>127000</v>
      </c>
      <c r="F1100" s="5" t="n">
        <v>150000</v>
      </c>
      <c r="G1100" s="6" t="n">
        <v>184000</v>
      </c>
      <c r="H1100" s="4" t="inlineStr">
        <is>
          <t>Cái 10C/H 30C/T</t>
        </is>
      </c>
    </row>
    <row r="1101">
      <c r="A1101" s="3" t="n">
        <v>1100</v>
      </c>
      <c r="B1101" s="3" t="n">
        <v>56</v>
      </c>
      <c r="C1101" s="4" t="inlineStr">
        <is>
          <t>KC4-250 10"</t>
        </is>
      </c>
      <c r="D1101" s="3" t="inlineStr">
        <is>
          <t>Cái</t>
        </is>
      </c>
      <c r="E1101" s="5" t="n">
        <v>152000</v>
      </c>
      <c r="F1101" s="5" t="n">
        <v>179000</v>
      </c>
      <c r="G1101" s="6" t="n">
        <v>220000</v>
      </c>
      <c r="H1101" s="4" t="inlineStr">
        <is>
          <t>Cái 6C/H 48C/T</t>
        </is>
      </c>
    </row>
    <row r="1102">
      <c r="A1102" s="3" t="n">
        <v>1101</v>
      </c>
      <c r="B1102" s="3" t="n">
        <v>56</v>
      </c>
      <c r="C1102" s="4" t="inlineStr">
        <is>
          <t>KC4-300 12"</t>
        </is>
      </c>
      <c r="D1102" s="3" t="inlineStr">
        <is>
          <t>Cái</t>
        </is>
      </c>
      <c r="E1102" s="5" t="n">
        <v>193000</v>
      </c>
      <c r="F1102" s="5" t="n">
        <v>228000</v>
      </c>
      <c r="G1102" s="6" t="n">
        <v>280000</v>
      </c>
      <c r="H1102" s="4" t="inlineStr">
        <is>
          <t>Cái 6C/H 36C/T</t>
        </is>
      </c>
    </row>
    <row r="1103">
      <c r="A1103" s="3" t="n">
        <v>1102</v>
      </c>
      <c r="B1103" s="3" t="n">
        <v>56</v>
      </c>
      <c r="C1103" s="4" t="inlineStr">
        <is>
          <t>Kìm thẳng phe trong KCA 180 7"</t>
        </is>
      </c>
      <c r="D1103" s="3" t="inlineStr">
        <is>
          <t>Cái</t>
        </is>
      </c>
      <c r="E1103" s="5" t="n">
        <v>61000</v>
      </c>
      <c r="F1103" s="5" t="n">
        <v>72000</v>
      </c>
      <c r="G1103" s="6" t="n">
        <v>89000</v>
      </c>
      <c r="H1103" s="4" t="inlineStr">
        <is>
          <t>Cái 12C/H 72C/T</t>
        </is>
      </c>
    </row>
    <row r="1104">
      <c r="A1104" s="3" t="n">
        <v>1103</v>
      </c>
      <c r="B1104" s="3" t="n">
        <v>56</v>
      </c>
      <c r="C1104" s="4" t="inlineStr">
        <is>
          <t>Kìm thẳng phe ngoài KCB 180 7"</t>
        </is>
      </c>
      <c r="D1104" s="3" t="inlineStr">
        <is>
          <t>Cái</t>
        </is>
      </c>
      <c r="E1104" s="5" t="n">
        <v>61000</v>
      </c>
      <c r="F1104" s="5" t="n">
        <v>72000</v>
      </c>
      <c r="G1104" s="6" t="n">
        <v>89000</v>
      </c>
      <c r="H1104" s="4" t="inlineStr">
        <is>
          <t>Cái 12C/H 72C/T</t>
        </is>
      </c>
    </row>
    <row r="1105">
      <c r="A1105" s="3" t="n">
        <v>1104</v>
      </c>
      <c r="B1105" s="3" t="n">
        <v>56</v>
      </c>
      <c r="C1105" s="4" t="inlineStr">
        <is>
          <t>Kìm cong phe trong KCD 180 7"</t>
        </is>
      </c>
      <c r="D1105" s="3" t="inlineStr">
        <is>
          <t>Cái</t>
        </is>
      </c>
      <c r="E1105" s="5" t="n">
        <v>61000</v>
      </c>
      <c r="F1105" s="5" t="n">
        <v>72000</v>
      </c>
      <c r="G1105" s="6" t="n">
        <v>89000</v>
      </c>
      <c r="H1105" s="4" t="inlineStr">
        <is>
          <t>Cái 12C/H 72C/T</t>
        </is>
      </c>
    </row>
    <row r="1106">
      <c r="A1106" s="3" t="n">
        <v>1105</v>
      </c>
      <c r="B1106" s="3" t="n">
        <v>56</v>
      </c>
      <c r="C1106" s="4" t="inlineStr">
        <is>
          <t>Kìm cong phe ngoài KCE 180 7"</t>
        </is>
      </c>
      <c r="D1106" s="3" t="inlineStr">
        <is>
          <t>Cái</t>
        </is>
      </c>
      <c r="E1106" s="5" t="n">
        <v>61000</v>
      </c>
      <c r="F1106" s="5" t="n">
        <v>72000</v>
      </c>
      <c r="G1106" s="6" t="n">
        <v>89000</v>
      </c>
      <c r="H1106" s="4" t="inlineStr">
        <is>
          <t>Cái 12C/H 72C/T</t>
        </is>
      </c>
    </row>
    <row r="1107">
      <c r="A1107" s="3" t="n">
        <v>1106</v>
      </c>
      <c r="B1107" s="3" t="n">
        <v>56</v>
      </c>
      <c r="C1107" s="4" t="inlineStr">
        <is>
          <t>KD1-200 8"-200mm</t>
        </is>
      </c>
      <c r="D1107" s="3" t="inlineStr">
        <is>
          <t>Cái</t>
        </is>
      </c>
      <c r="E1107" s="5" t="n">
        <v>86000</v>
      </c>
      <c r="F1107" s="5" t="n">
        <v>102000</v>
      </c>
      <c r="G1107" s="6" t="n">
        <v>125000</v>
      </c>
      <c r="H1107" s="4" t="inlineStr">
        <is>
          <t>Cái 6C/H 60C/T</t>
        </is>
      </c>
    </row>
    <row r="1108">
      <c r="A1108" s="3" t="n">
        <v>1107</v>
      </c>
      <c r="B1108" s="3" t="n">
        <v>56</v>
      </c>
      <c r="C1108" s="4" t="inlineStr">
        <is>
          <t>KD1-250 10"-250mm</t>
        </is>
      </c>
      <c r="D1108" s="3" t="inlineStr">
        <is>
          <t>Cái</t>
        </is>
      </c>
      <c r="E1108" s="5" t="n">
        <v>121000</v>
      </c>
      <c r="F1108" s="5" t="n">
        <v>143000</v>
      </c>
      <c r="G1108" s="6" t="n">
        <v>176000</v>
      </c>
      <c r="H1108" s="4" t="inlineStr">
        <is>
          <t>Cái 6C/H 48C/T</t>
        </is>
      </c>
    </row>
    <row r="1109">
      <c r="A1109" s="3" t="n">
        <v>1108</v>
      </c>
      <c r="B1109" s="3" t="n">
        <v>56</v>
      </c>
      <c r="C1109" s="4" t="inlineStr">
        <is>
          <t>KD1-300 12"-300mm</t>
        </is>
      </c>
      <c r="D1109" s="3" t="inlineStr">
        <is>
          <t>Cái</t>
        </is>
      </c>
      <c r="E1109" s="5" t="n">
        <v>165000</v>
      </c>
      <c r="F1109" s="5" t="n">
        <v>195000</v>
      </c>
      <c r="G1109" s="6" t="n">
        <v>239000</v>
      </c>
      <c r="H1109" s="4" t="inlineStr">
        <is>
          <t>Cái 3C/H 24C/T</t>
        </is>
      </c>
    </row>
    <row r="1110">
      <c r="A1110" s="3" t="n">
        <v>1109</v>
      </c>
      <c r="B1110" s="3" t="n">
        <v>57</v>
      </c>
      <c r="C1110" s="4" t="inlineStr">
        <is>
          <t>KD2-200 8"-200mm</t>
        </is>
      </c>
      <c r="D1110" s="3" t="inlineStr">
        <is>
          <t>Cái</t>
        </is>
      </c>
      <c r="E1110" s="5" t="n">
        <v>86000</v>
      </c>
      <c r="F1110" s="5" t="n">
        <v>102000</v>
      </c>
      <c r="G1110" s="6" t="n">
        <v>125000</v>
      </c>
      <c r="H1110" s="4" t="inlineStr">
        <is>
          <t>Cái 6C/H 60C/T</t>
        </is>
      </c>
    </row>
    <row r="1111">
      <c r="A1111" s="3" t="n">
        <v>1110</v>
      </c>
      <c r="B1111" s="3" t="n">
        <v>57</v>
      </c>
      <c r="C1111" s="4" t="inlineStr">
        <is>
          <t>KD2-250 10"-250mm</t>
        </is>
      </c>
      <c r="D1111" s="3" t="inlineStr">
        <is>
          <t>Cái</t>
        </is>
      </c>
      <c r="E1111" s="5" t="n">
        <v>127000</v>
      </c>
      <c r="F1111" s="5" t="n">
        <v>150000</v>
      </c>
      <c r="G1111" s="6" t="n">
        <v>184000</v>
      </c>
      <c r="H1111" s="4" t="inlineStr">
        <is>
          <t>Cái 6C/H 48C/T</t>
        </is>
      </c>
    </row>
    <row r="1112">
      <c r="A1112" s="3" t="n">
        <v>1111</v>
      </c>
      <c r="B1112" s="3" t="n">
        <v>57</v>
      </c>
      <c r="C1112" s="4" t="inlineStr">
        <is>
          <t>KD2-300 12"-300mm</t>
        </is>
      </c>
      <c r="D1112" s="3" t="inlineStr">
        <is>
          <t>Cái</t>
        </is>
      </c>
      <c r="E1112" s="5" t="n">
        <v>165000</v>
      </c>
      <c r="F1112" s="5" t="n">
        <v>195000</v>
      </c>
      <c r="G1112" s="6" t="n">
        <v>239000</v>
      </c>
      <c r="H1112" s="4" t="inlineStr">
        <is>
          <t>Cái 6C/H 24C/T</t>
        </is>
      </c>
    </row>
    <row r="1113">
      <c r="A1113" s="3" t="n">
        <v>1112</v>
      </c>
      <c r="B1113" s="3" t="n">
        <v>57</v>
      </c>
      <c r="C1113" s="4" t="inlineStr">
        <is>
          <t>KD2-375 15'-375mm</t>
        </is>
      </c>
      <c r="D1113" s="3" t="inlineStr">
        <is>
          <t>Cái</t>
        </is>
      </c>
      <c r="E1113" s="5" t="n">
        <v>286000</v>
      </c>
      <c r="F1113" s="5" t="n">
        <v>338000</v>
      </c>
      <c r="G1113" s="6" t="n">
        <v>415000</v>
      </c>
      <c r="H1113" s="4" t="inlineStr">
        <is>
          <t>Cái 2C/H 16C/T</t>
        </is>
      </c>
    </row>
    <row r="1114">
      <c r="A1114" s="3" t="n">
        <v>1113</v>
      </c>
      <c r="B1114" s="3" t="n">
        <v>57</v>
      </c>
      <c r="C1114" s="4" t="inlineStr">
        <is>
          <t>KD5-150 6"-150mm</t>
        </is>
      </c>
      <c r="D1114" s="3" t="inlineStr">
        <is>
          <t>Cái</t>
        </is>
      </c>
      <c r="E1114" s="5" t="n">
        <v>149000</v>
      </c>
      <c r="F1114" s="5" t="n">
        <v>176000</v>
      </c>
      <c r="G1114" s="6" t="n">
        <v>216000</v>
      </c>
      <c r="H1114" s="4" t="inlineStr">
        <is>
          <t>Cái 6C/H 72C/T</t>
        </is>
      </c>
    </row>
    <row r="1115">
      <c r="A1115" s="3" t="n">
        <v>1114</v>
      </c>
      <c r="B1115" s="3" t="n">
        <v>57</v>
      </c>
      <c r="C1115" s="4" t="inlineStr">
        <is>
          <t>KD5-200 8"-200mm</t>
        </is>
      </c>
      <c r="D1115" s="3" t="inlineStr">
        <is>
          <t>Cái</t>
        </is>
      </c>
      <c r="E1115" s="5" t="n">
        <v>193000</v>
      </c>
      <c r="F1115" s="5" t="n">
        <v>228000</v>
      </c>
      <c r="G1115" s="6" t="n">
        <v>280000</v>
      </c>
      <c r="H1115" s="4" t="inlineStr">
        <is>
          <t>Cái 6C/H 48C/T</t>
        </is>
      </c>
    </row>
    <row r="1116">
      <c r="A1116" s="3" t="n">
        <v>1115</v>
      </c>
      <c r="B1116" s="3" t="n">
        <v>57</v>
      </c>
      <c r="C1116" s="4" t="inlineStr">
        <is>
          <t>KD5-250 10"-250mm</t>
        </is>
      </c>
      <c r="D1116" s="3" t="inlineStr">
        <is>
          <t>Cái</t>
        </is>
      </c>
      <c r="E1116" s="5" t="n">
        <v>292000</v>
      </c>
      <c r="F1116" s="5" t="n">
        <v>344000</v>
      </c>
      <c r="G1116" s="6" t="n">
        <v>423000</v>
      </c>
      <c r="H1116" s="4" t="inlineStr">
        <is>
          <t>Cái 6C/H 36C/T</t>
        </is>
      </c>
    </row>
    <row r="1117">
      <c r="A1117" s="3" t="n">
        <v>1116</v>
      </c>
      <c r="B1117" s="3" t="n">
        <v>57</v>
      </c>
      <c r="C1117" s="4" t="inlineStr">
        <is>
          <t>KD5-300 12"-300mm</t>
        </is>
      </c>
      <c r="D1117" s="3" t="inlineStr">
        <is>
          <t>Cái</t>
        </is>
      </c>
      <c r="E1117" s="5" t="n">
        <v>413000</v>
      </c>
      <c r="F1117" s="5" t="n">
        <v>487000</v>
      </c>
      <c r="G1117" s="6" t="n">
        <v>599000</v>
      </c>
      <c r="H1117" s="4" t="inlineStr">
        <is>
          <t>Cái 4C/H 24C/T</t>
        </is>
      </c>
    </row>
    <row r="1118">
      <c r="A1118" s="3" t="n">
        <v>1117</v>
      </c>
      <c r="B1118" s="3" t="n">
        <v>57</v>
      </c>
      <c r="C1118" s="4" t="inlineStr">
        <is>
          <t>KD3-200 8"-200mm</t>
        </is>
      </c>
      <c r="D1118" s="3" t="inlineStr">
        <is>
          <t>Cái</t>
        </is>
      </c>
      <c r="E1118" s="5" t="n">
        <v>108000</v>
      </c>
      <c r="F1118" s="5" t="n">
        <v>128000</v>
      </c>
      <c r="G1118" s="6" t="n">
        <v>157000</v>
      </c>
      <c r="H1118" s="4" t="inlineStr">
        <is>
          <t>Cái 6C/H 60C/T</t>
        </is>
      </c>
    </row>
    <row r="1119">
      <c r="A1119" s="3" t="n">
        <v>1118</v>
      </c>
      <c r="B1119" s="3" t="n">
        <v>57</v>
      </c>
      <c r="C1119" s="4" t="inlineStr">
        <is>
          <t>KD3-250 10"-250mm</t>
        </is>
      </c>
      <c r="D1119" s="3" t="inlineStr">
        <is>
          <t>Cái</t>
        </is>
      </c>
      <c r="E1119" s="5" t="n">
        <v>163000</v>
      </c>
      <c r="F1119" s="5" t="n">
        <v>192000</v>
      </c>
      <c r="G1119" s="6" t="n">
        <v>236000</v>
      </c>
      <c r="H1119" s="4" t="inlineStr">
        <is>
          <t>Cái 6C/H 48C/T</t>
        </is>
      </c>
    </row>
    <row r="1120">
      <c r="A1120" s="3" t="n">
        <v>1119</v>
      </c>
      <c r="B1120" s="3" t="n">
        <v>57</v>
      </c>
      <c r="C1120" s="4" t="inlineStr">
        <is>
          <t>KD3-300 12"-300mm</t>
        </is>
      </c>
      <c r="D1120" s="3" t="inlineStr">
        <is>
          <t>Cái</t>
        </is>
      </c>
      <c r="E1120" s="5" t="n">
        <v>204000</v>
      </c>
      <c r="F1120" s="5" t="n">
        <v>241000</v>
      </c>
      <c r="G1120" s="6" t="n">
        <v>296000</v>
      </c>
      <c r="H1120" s="4" t="inlineStr">
        <is>
          <t>Cái 6C/H 24C/T</t>
        </is>
      </c>
    </row>
    <row r="1121">
      <c r="A1121" s="3" t="n">
        <v>1120</v>
      </c>
      <c r="B1121" s="3" t="n">
        <v>57</v>
      </c>
      <c r="C1121" s="4" t="inlineStr">
        <is>
          <t>KW-300 12"-300mm</t>
        </is>
      </c>
      <c r="D1121" s="3" t="inlineStr">
        <is>
          <t>Cái</t>
        </is>
      </c>
      <c r="E1121" s="5" t="n">
        <v>141000</v>
      </c>
      <c r="F1121" s="5" t="n">
        <v>167000</v>
      </c>
      <c r="G1121" s="6" t="n">
        <v>205000</v>
      </c>
      <c r="H1121" s="4" t="inlineStr">
        <is>
          <t>Cái 6C/H 36C/T</t>
        </is>
      </c>
    </row>
    <row r="1122">
      <c r="A1122" s="3" t="n">
        <v>1121</v>
      </c>
      <c r="B1122" s="3" t="n">
        <v>57</v>
      </c>
      <c r="C1122" s="4" t="inlineStr">
        <is>
          <t>KW-350 14"-350mm</t>
        </is>
      </c>
      <c r="D1122" s="3" t="inlineStr">
        <is>
          <t>Cái</t>
        </is>
      </c>
      <c r="E1122" s="5" t="n">
        <v>174000</v>
      </c>
      <c r="F1122" s="5" t="n">
        <v>205000</v>
      </c>
      <c r="G1122" s="6" t="n">
        <v>252000</v>
      </c>
      <c r="H1122" s="4" t="inlineStr">
        <is>
          <t>Cái 4C/H 24C/T</t>
        </is>
      </c>
    </row>
    <row r="1123">
      <c r="A1123" s="3" t="n">
        <v>1122</v>
      </c>
      <c r="B1123" s="3" t="n">
        <v>57</v>
      </c>
      <c r="C1123" s="4" t="inlineStr">
        <is>
          <t>KW-450 18"-450mm</t>
        </is>
      </c>
      <c r="D1123" s="3" t="inlineStr">
        <is>
          <t>Cái</t>
        </is>
      </c>
      <c r="E1123" s="5" t="n">
        <v>248000</v>
      </c>
      <c r="F1123" s="5" t="n">
        <v>293000</v>
      </c>
      <c r="G1123" s="6" t="n">
        <v>360000</v>
      </c>
      <c r="H1123" s="4" t="inlineStr">
        <is>
          <t>Cái 4C/H 16C/T</t>
        </is>
      </c>
    </row>
    <row r="1124">
      <c r="A1124" s="3" t="n">
        <v>1123</v>
      </c>
      <c r="B1124" s="3" t="n">
        <v>57</v>
      </c>
      <c r="C1124" s="4" t="inlineStr">
        <is>
          <t>KW-600 24"-600mm</t>
        </is>
      </c>
      <c r="D1124" s="3" t="inlineStr">
        <is>
          <t>Cái</t>
        </is>
      </c>
      <c r="E1124" s="5" t="n">
        <v>352000</v>
      </c>
      <c r="F1124" s="5" t="n">
        <v>415000</v>
      </c>
      <c r="G1124" s="6" t="n">
        <v>510000</v>
      </c>
      <c r="H1124" s="4" t="inlineStr">
        <is>
          <t>Cái 2C/H 10C/T</t>
        </is>
      </c>
    </row>
    <row r="1125">
      <c r="A1125" s="3" t="n">
        <v>1124</v>
      </c>
      <c r="B1125" s="3" t="n">
        <v>57</v>
      </c>
      <c r="C1125" s="4" t="inlineStr">
        <is>
          <t>KUC40 40W</t>
        </is>
      </c>
      <c r="D1125" s="3" t="inlineStr">
        <is>
          <t>Cái</t>
        </is>
      </c>
      <c r="E1125" s="5" t="n">
        <v>121000</v>
      </c>
      <c r="F1125" s="5" t="n">
        <v>143000</v>
      </c>
      <c r="G1125" s="6" t="n">
        <v>176000</v>
      </c>
      <c r="H1125" s="4" t="inlineStr">
        <is>
          <t>Cái 10C/H 80C/T</t>
        </is>
      </c>
    </row>
    <row r="1126">
      <c r="A1126" s="3" t="n">
        <v>1125</v>
      </c>
      <c r="B1126" s="3" t="n">
        <v>57</v>
      </c>
      <c r="C1126" s="4" t="inlineStr">
        <is>
          <t>KUC60 60W</t>
        </is>
      </c>
      <c r="D1126" s="3" t="inlineStr">
        <is>
          <t>Cái</t>
        </is>
      </c>
      <c r="E1126" s="5" t="n">
        <v>132000</v>
      </c>
      <c r="F1126" s="5" t="n">
        <v>156000</v>
      </c>
      <c r="G1126" s="6" t="n">
        <v>191000</v>
      </c>
      <c r="H1126" s="4" t="inlineStr">
        <is>
          <t>Cái 10C/H 80C/T</t>
        </is>
      </c>
    </row>
    <row r="1127">
      <c r="A1127" s="3" t="n">
        <v>1126</v>
      </c>
      <c r="B1127" s="3" t="n">
        <v>57</v>
      </c>
      <c r="C1127" s="4" t="inlineStr">
        <is>
          <t>KUC80 80W</t>
        </is>
      </c>
      <c r="D1127" s="3" t="inlineStr">
        <is>
          <t>Cái</t>
        </is>
      </c>
      <c r="E1127" s="5" t="n">
        <v>154000</v>
      </c>
      <c r="F1127" s="5" t="n">
        <v>182000</v>
      </c>
      <c r="G1127" s="6" t="n">
        <v>223000</v>
      </c>
      <c r="H1127" s="4" t="inlineStr">
        <is>
          <t>Cái 10C/H 80C/T</t>
        </is>
      </c>
    </row>
    <row r="1128">
      <c r="A1128" s="3" t="n">
        <v>1127</v>
      </c>
      <c r="B1128" s="3" t="n">
        <v>57</v>
      </c>
      <c r="C1128" s="4" t="inlineStr">
        <is>
          <t>KF-101</t>
        </is>
      </c>
      <c r="D1128" s="3" t="inlineStr">
        <is>
          <t>Cái</t>
        </is>
      </c>
      <c r="E1128" s="5" t="n">
        <v>127000</v>
      </c>
      <c r="F1128" s="5" t="n">
        <v>150000</v>
      </c>
      <c r="G1128" s="6" t="n">
        <v>184000</v>
      </c>
      <c r="H1128" s="4" t="inlineStr">
        <is>
          <t>Cái 10C/H 40C/T Đinh dày 0.7mmCỡ ghim 16/6-16/8</t>
        </is>
      </c>
    </row>
    <row r="1129">
      <c r="A1129" s="3" t="n">
        <v>1128</v>
      </c>
      <c r="B1129" s="3" t="n">
        <v>57</v>
      </c>
      <c r="C1129" s="4" t="inlineStr">
        <is>
          <t>KF-103</t>
        </is>
      </c>
      <c r="D1129" s="3" t="inlineStr">
        <is>
          <t>Cái</t>
        </is>
      </c>
      <c r="E1129" s="5" t="n">
        <v>143000</v>
      </c>
      <c r="F1129" s="5" t="n">
        <v>169000</v>
      </c>
      <c r="G1129" s="6" t="n">
        <v>207000</v>
      </c>
      <c r="H1129" s="4" t="inlineStr">
        <is>
          <t>Cái 6C/H 24C/T 3 chức năng , đinh dày 1.2mm</t>
        </is>
      </c>
    </row>
    <row r="1130">
      <c r="A1130" s="3" t="n">
        <v>1129</v>
      </c>
      <c r="B1130" s="3" t="n">
        <v>57</v>
      </c>
      <c r="C1130" s="4" t="inlineStr">
        <is>
          <t>KF-201 TL: 200g</t>
        </is>
      </c>
      <c r="D1130" s="3" t="inlineStr">
        <is>
          <t>Cái</t>
        </is>
      </c>
      <c r="E1130" s="5" t="n">
        <v>121000</v>
      </c>
      <c r="F1130" s="5" t="n">
        <v>143000</v>
      </c>
      <c r="G1130" s="6" t="n">
        <v>176000</v>
      </c>
      <c r="H1130" s="4" t="inlineStr">
        <is>
          <t>Cái 12C/H 72C/T</t>
        </is>
      </c>
    </row>
    <row r="1131">
      <c r="A1131" s="3" t="n">
        <v>1130</v>
      </c>
      <c r="B1131" s="3" t="n">
        <v>57</v>
      </c>
      <c r="C1131" s="4" t="inlineStr">
        <is>
          <t>KF-301</t>
        </is>
      </c>
      <c r="D1131" s="3" t="inlineStr">
        <is>
          <t>Cái</t>
        </is>
      </c>
      <c r="E1131" s="5" t="n">
        <v>242000</v>
      </c>
      <c r="F1131" s="5" t="n">
        <v>286000</v>
      </c>
      <c r="G1131" s="6" t="n">
        <v>351000</v>
      </c>
      <c r="H1131" s="4" t="inlineStr">
        <is>
          <t>Cái 6C/H 18C/T</t>
        </is>
      </c>
    </row>
    <row r="1132">
      <c r="A1132" s="3" t="n">
        <v>1131</v>
      </c>
      <c r="B1132" s="3" t="n">
        <v>57</v>
      </c>
      <c r="C1132" s="4" t="inlineStr">
        <is>
          <t>KFG-1.2/8/11.3 1.2/8/11.3</t>
        </is>
      </c>
      <c r="D1132" s="3" t="inlineStr">
        <is>
          <t>Hộp</t>
        </is>
      </c>
      <c r="E1132" s="5" t="n">
        <v>52000</v>
      </c>
      <c r="F1132" s="5" t="n">
        <v>61000</v>
      </c>
      <c r="G1132" s="6" t="n">
        <v>75000</v>
      </c>
      <c r="H1132" s="4" t="inlineStr">
        <is>
          <t>Hộp 1 Hộp5000 cái 25C/T Dùng cho KF 103</t>
        </is>
      </c>
    </row>
    <row r="1133">
      <c r="A1133" s="3" t="n">
        <v>1132</v>
      </c>
      <c r="B1133" s="3" t="n">
        <v>57</v>
      </c>
      <c r="C1133" s="4" t="inlineStr">
        <is>
          <t>KFG-13/6 0.7/6/10.6</t>
        </is>
      </c>
      <c r="D1133" s="3" t="inlineStr">
        <is>
          <t>Hộp</t>
        </is>
      </c>
      <c r="E1133" s="5" t="n">
        <v>26000</v>
      </c>
      <c r="F1133" s="5" t="n">
        <v>31000</v>
      </c>
      <c r="G1133" s="6" t="n">
        <v>38000</v>
      </c>
      <c r="H1133" s="4" t="inlineStr">
        <is>
          <t>Hộp 1 Hộp5000 cái 50C/T</t>
        </is>
      </c>
    </row>
    <row r="1134">
      <c r="A1134" s="3" t="n">
        <v>1133</v>
      </c>
      <c r="B1134" s="3" t="n">
        <v>57</v>
      </c>
      <c r="C1134" s="4" t="inlineStr">
        <is>
          <t>KFG-16/6 0.7/6/11.3</t>
        </is>
      </c>
      <c r="D1134" s="3" t="inlineStr">
        <is>
          <t>Hộp</t>
        </is>
      </c>
      <c r="E1134" s="5" t="n">
        <v>27000</v>
      </c>
      <c r="F1134" s="5" t="n">
        <v>32000</v>
      </c>
      <c r="G1134" s="6" t="n">
        <v>39000</v>
      </c>
      <c r="H1134" s="4" t="inlineStr">
        <is>
          <t>Hộp 1 Hộp5000 cái 50C/T</t>
        </is>
      </c>
    </row>
    <row r="1135">
      <c r="A1135" s="3" t="n">
        <v>1134</v>
      </c>
      <c r="B1135" s="3" t="n">
        <v>57</v>
      </c>
      <c r="C1135" s="4" t="inlineStr">
        <is>
          <t>KFG-16/8 0.7/8/11.3</t>
        </is>
      </c>
      <c r="D1135" s="3" t="inlineStr">
        <is>
          <t>Hộp</t>
        </is>
      </c>
      <c r="E1135" s="5" t="n">
        <v>31000</v>
      </c>
      <c r="F1135" s="5" t="n">
        <v>37000</v>
      </c>
      <c r="G1135" s="6" t="n">
        <v>45000</v>
      </c>
      <c r="H1135" s="4" t="inlineStr">
        <is>
          <t>Hộp 1 Hộp5000 cái 40C/T</t>
        </is>
      </c>
    </row>
    <row r="1136">
      <c r="A1136" s="3" t="n">
        <v>1135</v>
      </c>
      <c r="B1136" s="3" t="n">
        <v>57</v>
      </c>
      <c r="C1136" s="4" t="inlineStr">
        <is>
          <t>KAC100</t>
        </is>
      </c>
      <c r="D1136" s="3" t="inlineStr">
        <is>
          <t>Cái</t>
        </is>
      </c>
      <c r="E1136" s="5" t="n">
        <v>149000</v>
      </c>
      <c r="F1136" s="5" t="n">
        <v>176000</v>
      </c>
      <c r="G1136" s="6" t="n">
        <v>216000</v>
      </c>
      <c r="H1136" s="4" t="inlineStr">
        <is>
          <t>Cái 12C/H 48C/T</t>
        </is>
      </c>
    </row>
    <row r="1137">
      <c r="A1137" s="3" t="n">
        <v>1136</v>
      </c>
      <c r="B1137" s="3" t="n">
        <v>57</v>
      </c>
      <c r="C1137" s="4" t="inlineStr">
        <is>
          <t>KAC20</t>
        </is>
      </c>
      <c r="D1137" s="3" t="inlineStr">
        <is>
          <t>Cái</t>
        </is>
      </c>
      <c r="E1137" s="5" t="n">
        <v>87000</v>
      </c>
      <c r="F1137" s="5" t="n">
        <v>103000</v>
      </c>
      <c r="G1137" s="6" t="n">
        <v>126000</v>
      </c>
      <c r="H1137" s="4" t="inlineStr">
        <is>
          <t>Cái 16C/H 64C/T</t>
        </is>
      </c>
    </row>
    <row r="1138">
      <c r="A1138" s="3" t="n">
        <v>1137</v>
      </c>
      <c r="B1138" s="3" t="n">
        <v>57</v>
      </c>
      <c r="C1138" s="4" t="inlineStr">
        <is>
          <t>Dụng cụ khò gas mini K54M 11.5*3*150mmTL: 161g</t>
        </is>
      </c>
      <c r="D1138" s="3" t="inlineStr">
        <is>
          <t>Cái</t>
        </is>
      </c>
      <c r="E1138" s="5" t="n">
        <v>209000</v>
      </c>
      <c r="F1138" s="5" t="n">
        <v>247000</v>
      </c>
      <c r="G1138" s="6" t="n">
        <v>303000</v>
      </c>
      <c r="H1138" s="4" t="inlineStr">
        <is>
          <t>Cái 1C/H 50C/T Chất liệu: Nhựa cao cấp, hợp kim kẽmNhiệt độ ngọn lửa: 2327 độ F</t>
        </is>
      </c>
    </row>
    <row r="1139">
      <c r="A1139" s="3" t="n">
        <v>1138</v>
      </c>
      <c r="B1139" s="3" t="n">
        <v>57</v>
      </c>
      <c r="C1139" s="4" t="inlineStr"/>
      <c r="D1139" s="3" t="inlineStr">
        <is>
          <t>Cái</t>
        </is>
      </c>
      <c r="E1139" s="5" t="n">
        <v>154000</v>
      </c>
      <c r="F1139" s="5" t="n">
        <v>182000</v>
      </c>
      <c r="G1139" s="6" t="n">
        <v>223000</v>
      </c>
      <c r="H1139" s="4" t="inlineStr">
        <is>
          <t>Cái 10C/H 100C/T</t>
        </is>
      </c>
    </row>
    <row r="1140">
      <c r="A1140" s="3" t="n">
        <v>1139</v>
      </c>
      <c r="B1140" s="3" t="n">
        <v>57</v>
      </c>
      <c r="C1140" s="4" t="inlineStr"/>
      <c r="D1140" s="3" t="inlineStr">
        <is>
          <t>Cái</t>
        </is>
      </c>
      <c r="E1140" s="5" t="n">
        <v>149000</v>
      </c>
      <c r="F1140" s="5" t="n">
        <v>176000</v>
      </c>
      <c r="G1140" s="6" t="n">
        <v>216000</v>
      </c>
      <c r="H1140" s="4" t="inlineStr">
        <is>
          <t>Cái 10C/H 100C/T</t>
        </is>
      </c>
    </row>
    <row r="1141">
      <c r="A1141" s="3" t="n">
        <v>1140</v>
      </c>
      <c r="B1141" s="3" t="n">
        <v>58</v>
      </c>
      <c r="C1141" s="4" t="inlineStr">
        <is>
          <t>KV1-6*100 6*100mm</t>
        </is>
      </c>
      <c r="D1141" s="3" t="inlineStr">
        <is>
          <t>Cái</t>
        </is>
      </c>
      <c r="E1141" s="5" t="n">
        <v>22000</v>
      </c>
      <c r="F1141" s="5" t="n">
        <v>26000</v>
      </c>
      <c r="G1141" s="6" t="n">
        <v>32000</v>
      </c>
      <c r="H1141" s="4" t="inlineStr">
        <is>
          <t>Cái 12C/H 240C/T</t>
        </is>
      </c>
    </row>
    <row r="1142">
      <c r="A1142" s="3" t="n">
        <v>1141</v>
      </c>
      <c r="B1142" s="3" t="n">
        <v>58</v>
      </c>
      <c r="C1142" s="4" t="inlineStr">
        <is>
          <t>KV1-6*150 6*150mm</t>
        </is>
      </c>
      <c r="D1142" s="3" t="inlineStr">
        <is>
          <t>Cái</t>
        </is>
      </c>
      <c r="E1142" s="5" t="n">
        <v>25000</v>
      </c>
      <c r="F1142" s="5" t="n">
        <v>29000</v>
      </c>
      <c r="G1142" s="6" t="n">
        <v>36000</v>
      </c>
      <c r="H1142" s="4" t="inlineStr">
        <is>
          <t>Cái 12C/H 240C/T</t>
        </is>
      </c>
    </row>
    <row r="1143">
      <c r="A1143" s="3" t="n">
        <v>1142</v>
      </c>
      <c r="B1143" s="3" t="n">
        <v>58</v>
      </c>
      <c r="C1143" s="4" t="inlineStr">
        <is>
          <t>KV1-6*200 6*200mm</t>
        </is>
      </c>
      <c r="D1143" s="3" t="inlineStr">
        <is>
          <t>Cái</t>
        </is>
      </c>
      <c r="E1143" s="5" t="n">
        <v>29000</v>
      </c>
      <c r="F1143" s="5" t="n">
        <v>34000</v>
      </c>
      <c r="G1143" s="6" t="n">
        <v>42000</v>
      </c>
      <c r="H1143" s="4" t="inlineStr">
        <is>
          <t>Cái 12C/H 240C/T</t>
        </is>
      </c>
    </row>
    <row r="1144">
      <c r="A1144" s="3" t="n">
        <v>1143</v>
      </c>
      <c r="B1144" s="3" t="n">
        <v>58</v>
      </c>
      <c r="C1144" s="4" t="inlineStr">
        <is>
          <t>KV2-6*100 6*100mm</t>
        </is>
      </c>
      <c r="D1144" s="3" t="inlineStr">
        <is>
          <t>Cái</t>
        </is>
      </c>
      <c r="E1144" s="5" t="n">
        <v>44000</v>
      </c>
      <c r="F1144" s="5" t="n">
        <v>52000</v>
      </c>
      <c r="G1144" s="6" t="n">
        <v>64000</v>
      </c>
      <c r="H1144" s="4" t="inlineStr">
        <is>
          <t>Cái 12C/H 240C/T Tu vít 2 đầu , thép s2 cao cấp</t>
        </is>
      </c>
    </row>
    <row r="1145">
      <c r="A1145" s="3" t="n">
        <v>1144</v>
      </c>
      <c r="B1145" s="3" t="n">
        <v>58</v>
      </c>
      <c r="C1145" s="4" t="inlineStr">
        <is>
          <t>KV2-6*150 6*150mm</t>
        </is>
      </c>
      <c r="D1145" s="3" t="inlineStr">
        <is>
          <t>Cái</t>
        </is>
      </c>
      <c r="E1145" s="5" t="n">
        <v>46000</v>
      </c>
      <c r="F1145" s="5" t="n">
        <v>54000</v>
      </c>
      <c r="G1145" s="6" t="n">
        <v>67000</v>
      </c>
      <c r="H1145" s="4" t="inlineStr">
        <is>
          <t>Cái 12C/H 240C/T Tu vít 2 đầu , thép s2 cao cấp</t>
        </is>
      </c>
    </row>
    <row r="1146">
      <c r="A1146" s="3" t="n">
        <v>1145</v>
      </c>
      <c r="B1146" s="3" t="n">
        <v>58</v>
      </c>
      <c r="C1146" s="4" t="inlineStr">
        <is>
          <t>KV2-6*200 6*200mm</t>
        </is>
      </c>
      <c r="D1146" s="3" t="inlineStr">
        <is>
          <t>Cái</t>
        </is>
      </c>
      <c r="E1146" s="5" t="n">
        <v>48000</v>
      </c>
      <c r="F1146" s="5" t="n">
        <v>57000</v>
      </c>
      <c r="G1146" s="6" t="n">
        <v>70000</v>
      </c>
      <c r="H1146" s="4" t="inlineStr">
        <is>
          <t>Cái 12C/H 240C/T Tu vít 2 đầu , thép s2 cao cấp</t>
        </is>
      </c>
    </row>
    <row r="1147">
      <c r="A1147" s="3" t="n">
        <v>1146</v>
      </c>
      <c r="B1147" s="3" t="n">
        <v>58</v>
      </c>
      <c r="C1147" s="4" t="inlineStr">
        <is>
          <t>KVS2-6*100 6*100mm</t>
        </is>
      </c>
      <c r="D1147" s="3" t="inlineStr">
        <is>
          <t>Cái</t>
        </is>
      </c>
      <c r="E1147" s="5" t="n">
        <v>33000</v>
      </c>
      <c r="F1147" s="5" t="n">
        <v>39000</v>
      </c>
      <c r="G1147" s="6" t="n">
        <v>48000</v>
      </c>
      <c r="H1147" s="4" t="inlineStr">
        <is>
          <t>Cái 12C/H 144C/T</t>
        </is>
      </c>
    </row>
    <row r="1148">
      <c r="A1148" s="3" t="n">
        <v>1147</v>
      </c>
      <c r="B1148" s="3" t="n">
        <v>58</v>
      </c>
      <c r="C1148" s="4" t="inlineStr">
        <is>
          <t>KVS2-6*150 6*150mm</t>
        </is>
      </c>
      <c r="D1148" s="3" t="inlineStr">
        <is>
          <t>Cái</t>
        </is>
      </c>
      <c r="E1148" s="5" t="n">
        <v>37000</v>
      </c>
      <c r="F1148" s="5" t="n">
        <v>44000</v>
      </c>
      <c r="G1148" s="6" t="n">
        <v>54000</v>
      </c>
      <c r="H1148" s="4" t="inlineStr">
        <is>
          <t>Cái 12C/H 144C/T</t>
        </is>
      </c>
    </row>
    <row r="1149">
      <c r="A1149" s="3" t="n">
        <v>1148</v>
      </c>
      <c r="B1149" s="3" t="n">
        <v>58</v>
      </c>
      <c r="C1149" s="4" t="inlineStr">
        <is>
          <t>KVS2-6*200 6*200mm</t>
        </is>
      </c>
      <c r="D1149" s="3" t="inlineStr">
        <is>
          <t>Cái</t>
        </is>
      </c>
      <c r="E1149" s="5" t="n">
        <v>44000</v>
      </c>
      <c r="F1149" s="5" t="n">
        <v>52000</v>
      </c>
      <c r="G1149" s="6" t="n">
        <v>64000</v>
      </c>
      <c r="H1149" s="4" t="inlineStr">
        <is>
          <t>Cái 12C/H 144C/T</t>
        </is>
      </c>
    </row>
    <row r="1150">
      <c r="A1150" s="3" t="n">
        <v>1149</v>
      </c>
      <c r="B1150" s="3" t="n">
        <v>58</v>
      </c>
      <c r="C1150" s="4" t="inlineStr">
        <is>
          <t>Tuốc nơ vít 2 đầu tịnh tiến S2 KV3-6*150 6*150mm</t>
        </is>
      </c>
      <c r="D1150" s="3" t="inlineStr">
        <is>
          <t>Cái</t>
        </is>
      </c>
      <c r="E1150" s="5" t="n">
        <v>51000</v>
      </c>
      <c r="F1150" s="5" t="n">
        <v>60000</v>
      </c>
      <c r="G1150" s="6" t="n">
        <v>74000</v>
      </c>
      <c r="H1150" s="4" t="inlineStr">
        <is>
          <t>Cái 12C/H 240C/T  - Thép S2 siêu cứng- Có 1 đầu dẹp và 1 đầu bake có thể tịnh tiến từ 100-150mm</t>
        </is>
      </c>
    </row>
    <row r="1151">
      <c r="A1151" s="3" t="n">
        <v>1150</v>
      </c>
      <c r="B1151" s="3" t="n">
        <v>58</v>
      </c>
      <c r="C1151" s="4" t="inlineStr">
        <is>
          <t>KV4-6*38 6*38mm</t>
        </is>
      </c>
      <c r="D1151" s="3" t="inlineStr">
        <is>
          <t>Cái</t>
        </is>
      </c>
      <c r="E1151" s="5" t="n">
        <v>68000</v>
      </c>
      <c r="F1151" s="5" t="n">
        <v>80000</v>
      </c>
      <c r="G1151" s="6" t="n">
        <v>99000</v>
      </c>
      <c r="H1151" s="4" t="inlineStr">
        <is>
          <t>Cái 12C/H 240C/T</t>
        </is>
      </c>
    </row>
    <row r="1152">
      <c r="A1152" s="3" t="n">
        <v>1151</v>
      </c>
      <c r="B1152" s="3" t="n">
        <v>58</v>
      </c>
      <c r="C1152" s="4" t="inlineStr">
        <is>
          <t>KV4-6*150 6*150mm</t>
        </is>
      </c>
      <c r="D1152" s="3" t="inlineStr">
        <is>
          <t>Cái</t>
        </is>
      </c>
      <c r="E1152" s="5" t="n">
        <v>83000</v>
      </c>
      <c r="F1152" s="5" t="n">
        <v>98000</v>
      </c>
      <c r="G1152" s="6" t="n">
        <v>120000</v>
      </c>
      <c r="H1152" s="4" t="inlineStr">
        <is>
          <t>Cái 12C/H 240C/T</t>
        </is>
      </c>
    </row>
    <row r="1153">
      <c r="A1153" s="3" t="n">
        <v>1152</v>
      </c>
      <c r="B1153" s="3" t="n">
        <v>58</v>
      </c>
      <c r="C1153" s="4" t="inlineStr">
        <is>
          <t>KV5-6*150 6*150mm</t>
        </is>
      </c>
      <c r="D1153" s="3" t="inlineStr">
        <is>
          <t>Cái</t>
        </is>
      </c>
      <c r="E1153" s="5" t="n">
        <v>76000</v>
      </c>
      <c r="F1153" s="5" t="n">
        <v>90000</v>
      </c>
      <c r="G1153" s="6" t="n">
        <v>110000</v>
      </c>
      <c r="H1153" s="4" t="inlineStr">
        <is>
          <t>Cái 6C/H 240C/T  - Thép S2 siêu cứng- Có 1 đầu dẹp và 1 đầu bake , tự động điều chỉnh với 3 chức năng</t>
        </is>
      </c>
    </row>
    <row r="1154">
      <c r="A1154" s="3" t="n">
        <v>1153</v>
      </c>
      <c r="B1154" s="3" t="n">
        <v>58</v>
      </c>
      <c r="C1154" s="4" t="inlineStr">
        <is>
          <t>KV6-6*150 6*150mm</t>
        </is>
      </c>
      <c r="D1154" s="3" t="inlineStr">
        <is>
          <t>Cái</t>
        </is>
      </c>
      <c r="E1154" s="5" t="n">
        <v>29000</v>
      </c>
      <c r="F1154" s="5" t="n">
        <v>34000</v>
      </c>
      <c r="G1154" s="6" t="n">
        <v>42000</v>
      </c>
      <c r="H1154" s="4" t="inlineStr">
        <is>
          <t>Cái 12C/H 240C/T Đầu vít dẹp, Thép CR-v</t>
        </is>
      </c>
    </row>
    <row r="1155">
      <c r="A1155" s="3" t="n">
        <v>1154</v>
      </c>
      <c r="B1155" s="3" t="n">
        <v>58</v>
      </c>
      <c r="C1155" s="4" t="inlineStr">
        <is>
          <t>KV6+6*150 6*150mm</t>
        </is>
      </c>
      <c r="D1155" s="3" t="inlineStr">
        <is>
          <t>Cái</t>
        </is>
      </c>
      <c r="E1155" s="5" t="n">
        <v>29000</v>
      </c>
      <c r="F1155" s="5" t="n">
        <v>34000</v>
      </c>
      <c r="G1155" s="6" t="n">
        <v>42000</v>
      </c>
      <c r="H1155" s="4" t="inlineStr">
        <is>
          <t>Cái 12C/H 240C/T Đầu vít bake, Thép CR-v</t>
        </is>
      </c>
    </row>
    <row r="1156">
      <c r="A1156" s="3" t="n">
        <v>1155</v>
      </c>
      <c r="B1156" s="3" t="n">
        <v>58</v>
      </c>
      <c r="C1156" s="4" t="inlineStr">
        <is>
          <t>KV6-6*200 6*200mm</t>
        </is>
      </c>
      <c r="D1156" s="3" t="inlineStr">
        <is>
          <t>Cái</t>
        </is>
      </c>
      <c r="E1156" s="5" t="n">
        <v>40000</v>
      </c>
      <c r="F1156" s="5" t="n">
        <v>47000</v>
      </c>
      <c r="G1156" s="6" t="n">
        <v>58000</v>
      </c>
      <c r="H1156" s="4" t="inlineStr">
        <is>
          <t>Cái 12C/H 240C/T Đầu vít dẹp, Thép CR-v</t>
        </is>
      </c>
    </row>
    <row r="1157">
      <c r="A1157" s="3" t="n">
        <v>1156</v>
      </c>
      <c r="B1157" s="3" t="n">
        <v>58</v>
      </c>
      <c r="C1157" s="4" t="inlineStr">
        <is>
          <t>KV6+6*200 6*200mm</t>
        </is>
      </c>
      <c r="D1157" s="3" t="inlineStr">
        <is>
          <t>Cái</t>
        </is>
      </c>
      <c r="E1157" s="5" t="n">
        <v>40000</v>
      </c>
      <c r="F1157" s="5" t="n">
        <v>47000</v>
      </c>
      <c r="G1157" s="6" t="n">
        <v>58000</v>
      </c>
      <c r="H1157" s="4" t="inlineStr">
        <is>
          <t>Cái 12C/H 240C/T Đầu vít bake, Thép CR-v</t>
        </is>
      </c>
    </row>
    <row r="1158">
      <c r="A1158" s="3" t="n">
        <v>1157</v>
      </c>
      <c r="B1158" s="3" t="n">
        <v>58</v>
      </c>
      <c r="C1158" s="4" t="inlineStr">
        <is>
          <t>KV6-8*200 8*200mm</t>
        </is>
      </c>
      <c r="D1158" s="3" t="inlineStr">
        <is>
          <t>Cái</t>
        </is>
      </c>
      <c r="E1158" s="5" t="n">
        <v>46000</v>
      </c>
      <c r="F1158" s="5" t="n">
        <v>54000</v>
      </c>
      <c r="G1158" s="6" t="n">
        <v>67000</v>
      </c>
      <c r="H1158" s="4" t="inlineStr">
        <is>
          <t>Cái 12C/H 144C/T Đầu vít dẹp, Thép CR-v</t>
        </is>
      </c>
    </row>
    <row r="1159">
      <c r="A1159" s="3" t="n">
        <v>1158</v>
      </c>
      <c r="B1159" s="3" t="n">
        <v>58</v>
      </c>
      <c r="C1159" s="4" t="inlineStr">
        <is>
          <t>KV6+8*200 8*200mm</t>
        </is>
      </c>
      <c r="D1159" s="3" t="inlineStr">
        <is>
          <t>Cái</t>
        </is>
      </c>
      <c r="E1159" s="5" t="n">
        <v>46000</v>
      </c>
      <c r="F1159" s="5" t="n">
        <v>54000</v>
      </c>
      <c r="G1159" s="6" t="n">
        <v>67000</v>
      </c>
      <c r="H1159" s="4" t="inlineStr">
        <is>
          <t>Cái 12C/H 144C/T Đầu vít bake, Thép CR-v</t>
        </is>
      </c>
    </row>
    <row r="1160">
      <c r="A1160" s="3" t="n">
        <v>1159</v>
      </c>
      <c r="B1160" s="3" t="n">
        <v>58</v>
      </c>
      <c r="C1160" s="4" t="inlineStr">
        <is>
          <t>Bộ tua vít điện KB-E5701 Khối lượng: 70g/475g</t>
        </is>
      </c>
      <c r="D1160" s="3" t="inlineStr">
        <is>
          <t>Cái</t>
        </is>
      </c>
      <c r="E1160" s="5" t="n">
        <v>968000</v>
      </c>
      <c r="F1160" s="5" t="n">
        <v>1104000</v>
      </c>
      <c r="G1160" s="6" t="n">
        <v>1307000</v>
      </c>
      <c r="H1160" s="4" t="inlineStr">
        <is>
          <t>Cái 18C/H 36C/T</t>
        </is>
      </c>
    </row>
    <row r="1161">
      <c r="A1161" s="3" t="n">
        <v>1160</v>
      </c>
      <c r="B1161" s="3" t="n">
        <v>58</v>
      </c>
      <c r="C1161" s="4" t="inlineStr">
        <is>
          <t>Bộ tuốc nơ vít đa năng 36 chi tiết KV7-036</t>
        </is>
      </c>
      <c r="D1161" s="3" t="inlineStr">
        <is>
          <t>Cái</t>
        </is>
      </c>
      <c r="E1161" s="5" t="n">
        <v>176000</v>
      </c>
      <c r="F1161" s="5" t="n">
        <v>208000</v>
      </c>
      <c r="G1161" s="6" t="n">
        <v>255000</v>
      </c>
      <c r="H1161" s="4" t="inlineStr">
        <is>
          <t>Cái 12/H 72/T Thép hợp kim cao cấp S2-PH2</t>
        </is>
      </c>
    </row>
    <row r="1162">
      <c r="A1162" s="3" t="n">
        <v>1161</v>
      </c>
      <c r="B1162" s="3" t="n">
        <v>58</v>
      </c>
      <c r="C1162" s="4" t="inlineStr">
        <is>
          <t>KV8-113</t>
        </is>
      </c>
      <c r="D1162" s="3" t="inlineStr">
        <is>
          <t>Bộ</t>
        </is>
      </c>
      <c r="E1162" s="5" t="n">
        <v>372000</v>
      </c>
      <c r="F1162" s="5" t="n">
        <v>439000</v>
      </c>
      <c r="G1162" s="6" t="n">
        <v>539000</v>
      </c>
      <c r="H1162" s="4" t="inlineStr">
        <is>
          <t>Bộ 1C/H 21C/T Thép hợp kim cao cấp S2-PH2</t>
        </is>
      </c>
    </row>
    <row r="1163">
      <c r="A1163" s="3" t="n">
        <v>1162</v>
      </c>
      <c r="B1163" s="3" t="n">
        <v>58</v>
      </c>
      <c r="C1163" s="4" t="inlineStr"/>
      <c r="D1163" s="3" t="inlineStr">
        <is>
          <t>Bộ</t>
        </is>
      </c>
      <c r="E1163" s="5" t="n">
        <v>220000</v>
      </c>
      <c r="F1163" s="5" t="n">
        <v>260000</v>
      </c>
      <c r="G1163" s="6" t="n">
        <v>319000</v>
      </c>
      <c r="H1163" s="4" t="inlineStr">
        <is>
          <t>Bộ 1C/H 20C/T</t>
        </is>
      </c>
    </row>
    <row r="1164">
      <c r="A1164" s="3" t="n">
        <v>1163</v>
      </c>
      <c r="B1164" s="3" t="n">
        <v>58</v>
      </c>
      <c r="C1164" s="4" t="inlineStr">
        <is>
          <t>Bộ cần tuýp tự động 12 chi tiết KLG12 8, 9, 10, 12 13, 14, 1719, 22, 24</t>
        </is>
      </c>
      <c r="D1164" s="3" t="inlineStr">
        <is>
          <t>Bộ</t>
        </is>
      </c>
      <c r="E1164" s="5" t="n">
        <v>424000</v>
      </c>
      <c r="F1164" s="5" t="n">
        <v>500000</v>
      </c>
      <c r="G1164" s="6" t="n">
        <v>615000</v>
      </c>
      <c r="H1164" s="4" t="inlineStr">
        <is>
          <t>Bộ 2C/H 12C/T  Thép CR-v</t>
        </is>
      </c>
    </row>
    <row r="1165">
      <c r="A1165" s="3" t="n">
        <v>1164</v>
      </c>
      <c r="B1165" s="3" t="n">
        <v>58</v>
      </c>
      <c r="C1165" s="4" t="inlineStr">
        <is>
          <t>KLG12s 1/4"</t>
        </is>
      </c>
      <c r="D1165" s="3" t="inlineStr">
        <is>
          <t>Bộ</t>
        </is>
      </c>
      <c r="E1165" s="5" t="n">
        <v>253000</v>
      </c>
      <c r="F1165" s="5" t="n">
        <v>299000</v>
      </c>
      <c r="G1165" s="6" t="n">
        <v>367000</v>
      </c>
      <c r="H1165" s="4" t="inlineStr">
        <is>
          <t>Bộ 1C/H 40C/T Bộ 12 chi tiết, thép CrV gồm: 10 tuýp, 1 cần tự động 1/4, 1 cần nối</t>
        </is>
      </c>
    </row>
    <row r="1166">
      <c r="A1166" s="3" t="n">
        <v>1165</v>
      </c>
      <c r="B1166" s="3" t="n">
        <v>59</v>
      </c>
      <c r="C1166" s="4" t="inlineStr"/>
      <c r="D1166" s="3" t="inlineStr">
        <is>
          <t>Bộ</t>
        </is>
      </c>
      <c r="E1166" s="5" t="n">
        <v>792000</v>
      </c>
      <c r="F1166" s="5" t="n">
        <v>934000</v>
      </c>
      <c r="G1166" s="6" t="n">
        <v>1148000</v>
      </c>
      <c r="H1166" s="4" t="inlineStr">
        <is>
          <t>Bộ 1C/H 16C/T</t>
        </is>
      </c>
    </row>
    <row r="1167">
      <c r="A1167" s="3" t="n">
        <v>1166</v>
      </c>
      <c r="B1167" s="3" t="n">
        <v>59</v>
      </c>
      <c r="C1167" s="4" t="inlineStr">
        <is>
          <t>KLG21 1/2"</t>
        </is>
      </c>
      <c r="D1167" s="3" t="inlineStr">
        <is>
          <t>Bộ</t>
        </is>
      </c>
      <c r="E1167" s="5" t="n">
        <v>814000</v>
      </c>
      <c r="F1167" s="5" t="n">
        <v>960000</v>
      </c>
      <c r="G1167" s="6" t="n">
        <v>1180000</v>
      </c>
      <c r="H1167" s="4" t="inlineStr">
        <is>
          <t>Bộ 1B/H 4B/T Bộ 21 chi tiết, thép CrV gồm: 18 tuýp, 1 cần nối chữ L, 1 cần nối 5", 1 cần tự động 1/2"</t>
        </is>
      </c>
    </row>
    <row r="1168">
      <c r="A1168" s="3" t="n">
        <v>1167</v>
      </c>
      <c r="B1168" s="3" t="n">
        <v>59</v>
      </c>
      <c r="C1168" s="4" t="inlineStr">
        <is>
          <t>KLG24 1/2"</t>
        </is>
      </c>
      <c r="D1168" s="3" t="inlineStr">
        <is>
          <t>Bộ</t>
        </is>
      </c>
      <c r="E1168" s="5" t="n">
        <v>1045000</v>
      </c>
      <c r="F1168" s="5" t="n">
        <v>1233000</v>
      </c>
      <c r="G1168" s="6" t="n">
        <v>1515000</v>
      </c>
      <c r="H1168" s="4" t="inlineStr">
        <is>
          <t>Bộ 1B/H 4B/T</t>
        </is>
      </c>
    </row>
    <row r="1169">
      <c r="A1169" s="3" t="n">
        <v>1168</v>
      </c>
      <c r="B1169" s="3" t="n">
        <v>59</v>
      </c>
      <c r="C1169" s="4" t="inlineStr">
        <is>
          <t>KM08 8</t>
        </is>
      </c>
      <c r="D1169" s="3" t="inlineStr">
        <is>
          <t>Cái</t>
        </is>
      </c>
      <c r="E1169" s="5" t="n">
        <v>17000</v>
      </c>
      <c r="F1169" s="5" t="n">
        <v>20000</v>
      </c>
      <c r="G1169" s="6" t="n">
        <v>25000</v>
      </c>
      <c r="H1169" s="4" t="inlineStr">
        <is>
          <t>Cái 10C/H 200C/T</t>
        </is>
      </c>
    </row>
    <row r="1170">
      <c r="A1170" s="3" t="n">
        <v>1169</v>
      </c>
      <c r="B1170" s="3" t="n">
        <v>59</v>
      </c>
      <c r="C1170" s="4" t="inlineStr">
        <is>
          <t>KM09 9</t>
        </is>
      </c>
      <c r="D1170" s="3" t="inlineStr">
        <is>
          <t>Cái</t>
        </is>
      </c>
      <c r="E1170" s="5" t="n">
        <v>17000</v>
      </c>
      <c r="F1170" s="5" t="n">
        <v>20000</v>
      </c>
      <c r="G1170" s="6" t="n">
        <v>25000</v>
      </c>
      <c r="H1170" s="4" t="inlineStr">
        <is>
          <t>Cái 10C/H 200C/T</t>
        </is>
      </c>
    </row>
    <row r="1171">
      <c r="A1171" s="3" t="n">
        <v>1170</v>
      </c>
      <c r="B1171" s="3" t="n">
        <v>59</v>
      </c>
      <c r="C1171" s="4" t="inlineStr">
        <is>
          <t>KM10 10</t>
        </is>
      </c>
      <c r="D1171" s="3" t="inlineStr">
        <is>
          <t>Cái</t>
        </is>
      </c>
      <c r="E1171" s="5" t="n">
        <v>17000</v>
      </c>
      <c r="F1171" s="5" t="n">
        <v>20000</v>
      </c>
      <c r="G1171" s="6" t="n">
        <v>25000</v>
      </c>
      <c r="H1171" s="4" t="inlineStr">
        <is>
          <t>Cái 10C/H 200C/T</t>
        </is>
      </c>
    </row>
    <row r="1172">
      <c r="A1172" s="3" t="n">
        <v>1171</v>
      </c>
      <c r="B1172" s="3" t="n">
        <v>59</v>
      </c>
      <c r="C1172" s="4" t="inlineStr">
        <is>
          <t>KM11 11</t>
        </is>
      </c>
      <c r="D1172" s="3" t="inlineStr">
        <is>
          <t>Cái</t>
        </is>
      </c>
      <c r="E1172" s="5" t="n">
        <v>17000</v>
      </c>
      <c r="F1172" s="5" t="n">
        <v>20000</v>
      </c>
      <c r="G1172" s="6" t="n">
        <v>25000</v>
      </c>
      <c r="H1172" s="4" t="inlineStr">
        <is>
          <t>Cái 10C/H 200C/T</t>
        </is>
      </c>
    </row>
    <row r="1173">
      <c r="A1173" s="3" t="n">
        <v>1172</v>
      </c>
      <c r="B1173" s="3" t="n">
        <v>59</v>
      </c>
      <c r="C1173" s="4" t="inlineStr">
        <is>
          <t>KM12 12</t>
        </is>
      </c>
      <c r="D1173" s="3" t="inlineStr">
        <is>
          <t>Cái</t>
        </is>
      </c>
      <c r="E1173" s="5" t="n">
        <v>17000</v>
      </c>
      <c r="F1173" s="5" t="n">
        <v>20000</v>
      </c>
      <c r="G1173" s="6" t="n">
        <v>25000</v>
      </c>
      <c r="H1173" s="4" t="inlineStr">
        <is>
          <t>Cái 10C/H 200C/T</t>
        </is>
      </c>
    </row>
    <row r="1174">
      <c r="A1174" s="3" t="n">
        <v>1173</v>
      </c>
      <c r="B1174" s="3" t="n">
        <v>59</v>
      </c>
      <c r="C1174" s="4" t="inlineStr">
        <is>
          <t>KM13 13</t>
        </is>
      </c>
      <c r="D1174" s="3" t="inlineStr">
        <is>
          <t>Cái</t>
        </is>
      </c>
      <c r="E1174" s="5" t="n">
        <v>17000</v>
      </c>
      <c r="F1174" s="5" t="n">
        <v>20000</v>
      </c>
      <c r="G1174" s="6" t="n">
        <v>25000</v>
      </c>
      <c r="H1174" s="4" t="inlineStr">
        <is>
          <t>Cái 10C/H 200C/T</t>
        </is>
      </c>
    </row>
    <row r="1175">
      <c r="A1175" s="3" t="n">
        <v>1174</v>
      </c>
      <c r="B1175" s="3" t="n">
        <v>59</v>
      </c>
      <c r="C1175" s="4" t="inlineStr">
        <is>
          <t>KM14 14</t>
        </is>
      </c>
      <c r="D1175" s="3" t="inlineStr">
        <is>
          <t>Cái</t>
        </is>
      </c>
      <c r="E1175" s="5" t="n">
        <v>17000</v>
      </c>
      <c r="F1175" s="5" t="n">
        <v>20000</v>
      </c>
      <c r="G1175" s="6" t="n">
        <v>25000</v>
      </c>
      <c r="H1175" s="4" t="inlineStr">
        <is>
          <t>Cái 10C/H 200C/T</t>
        </is>
      </c>
    </row>
    <row r="1176">
      <c r="A1176" s="3" t="n">
        <v>1175</v>
      </c>
      <c r="B1176" s="3" t="n">
        <v>59</v>
      </c>
      <c r="C1176" s="4" t="inlineStr">
        <is>
          <t>KM15 15</t>
        </is>
      </c>
      <c r="D1176" s="3" t="inlineStr">
        <is>
          <t>Cái</t>
        </is>
      </c>
      <c r="E1176" s="5" t="n">
        <v>17000</v>
      </c>
      <c r="F1176" s="5" t="n">
        <v>20000</v>
      </c>
      <c r="G1176" s="6" t="n">
        <v>25000</v>
      </c>
      <c r="H1176" s="4" t="inlineStr">
        <is>
          <t>Cái 10C/H 200C/T</t>
        </is>
      </c>
    </row>
    <row r="1177">
      <c r="A1177" s="3" t="n">
        <v>1176</v>
      </c>
      <c r="B1177" s="3" t="n">
        <v>59</v>
      </c>
      <c r="C1177" s="4" t="inlineStr">
        <is>
          <t>KM16 16</t>
        </is>
      </c>
      <c r="D1177" s="3" t="inlineStr">
        <is>
          <t>Cái</t>
        </is>
      </c>
      <c r="E1177" s="5" t="n">
        <v>17000</v>
      </c>
      <c r="F1177" s="5" t="n">
        <v>20000</v>
      </c>
      <c r="G1177" s="6" t="n">
        <v>25000</v>
      </c>
      <c r="H1177" s="4" t="inlineStr">
        <is>
          <t>Cái 10C/H 200C/T</t>
        </is>
      </c>
    </row>
    <row r="1178">
      <c r="A1178" s="3" t="n">
        <v>1177</v>
      </c>
      <c r="B1178" s="3" t="n">
        <v>59</v>
      </c>
      <c r="C1178" s="4" t="inlineStr">
        <is>
          <t>KM17 17</t>
        </is>
      </c>
      <c r="D1178" s="3" t="inlineStr">
        <is>
          <t>Cái</t>
        </is>
      </c>
      <c r="E1178" s="5" t="n">
        <v>18000</v>
      </c>
      <c r="F1178" s="5" t="n">
        <v>21000</v>
      </c>
      <c r="G1178" s="6" t="n">
        <v>26000</v>
      </c>
      <c r="H1178" s="4" t="inlineStr">
        <is>
          <t>Cái 10C/H 200C/T</t>
        </is>
      </c>
    </row>
    <row r="1179">
      <c r="A1179" s="3" t="n">
        <v>1178</v>
      </c>
      <c r="B1179" s="3" t="n">
        <v>59</v>
      </c>
      <c r="C1179" s="4" t="inlineStr">
        <is>
          <t>KM18 18</t>
        </is>
      </c>
      <c r="D1179" s="3" t="inlineStr">
        <is>
          <t>Cái</t>
        </is>
      </c>
      <c r="E1179" s="5" t="n">
        <v>19000</v>
      </c>
      <c r="F1179" s="5" t="n">
        <v>23000</v>
      </c>
      <c r="G1179" s="6" t="n">
        <v>28000</v>
      </c>
      <c r="H1179" s="4" t="inlineStr">
        <is>
          <t>Cái 10C/H 200C/T</t>
        </is>
      </c>
    </row>
    <row r="1180">
      <c r="A1180" s="3" t="n">
        <v>1179</v>
      </c>
      <c r="B1180" s="3" t="n">
        <v>59</v>
      </c>
      <c r="C1180" s="4" t="inlineStr">
        <is>
          <t>KM19 19</t>
        </is>
      </c>
      <c r="D1180" s="3" t="inlineStr">
        <is>
          <t>Cái</t>
        </is>
      </c>
      <c r="E1180" s="5" t="n">
        <v>19000</v>
      </c>
      <c r="F1180" s="5" t="n">
        <v>23000</v>
      </c>
      <c r="G1180" s="6" t="n">
        <v>28000</v>
      </c>
      <c r="H1180" s="4" t="inlineStr">
        <is>
          <t>Cái 10C/H 200C/T</t>
        </is>
      </c>
    </row>
    <row r="1181">
      <c r="A1181" s="3" t="n">
        <v>1180</v>
      </c>
      <c r="B1181" s="3" t="n">
        <v>59</v>
      </c>
      <c r="C1181" s="4" t="inlineStr">
        <is>
          <t>KM21 21</t>
        </is>
      </c>
      <c r="D1181" s="3" t="inlineStr">
        <is>
          <t>Cái</t>
        </is>
      </c>
      <c r="E1181" s="5" t="n">
        <v>23000</v>
      </c>
      <c r="F1181" s="5" t="n">
        <v>27000</v>
      </c>
      <c r="G1181" s="6" t="n">
        <v>33000</v>
      </c>
      <c r="H1181" s="4" t="inlineStr">
        <is>
          <t>Cái 10C/H 200C/T</t>
        </is>
      </c>
    </row>
    <row r="1182">
      <c r="A1182" s="3" t="n">
        <v>1181</v>
      </c>
      <c r="B1182" s="3" t="n">
        <v>59</v>
      </c>
      <c r="C1182" s="4" t="inlineStr">
        <is>
          <t>KM22 22</t>
        </is>
      </c>
      <c r="D1182" s="3" t="inlineStr">
        <is>
          <t>Cái</t>
        </is>
      </c>
      <c r="E1182" s="5" t="n">
        <v>25000</v>
      </c>
      <c r="F1182" s="5" t="n">
        <v>29000</v>
      </c>
      <c r="G1182" s="6" t="n">
        <v>36000</v>
      </c>
      <c r="H1182" s="4" t="inlineStr">
        <is>
          <t>Cái 10C/H 200C/T</t>
        </is>
      </c>
    </row>
    <row r="1183">
      <c r="A1183" s="3" t="n">
        <v>1182</v>
      </c>
      <c r="B1183" s="3" t="n">
        <v>59</v>
      </c>
      <c r="C1183" s="4" t="inlineStr">
        <is>
          <t>KM23 23</t>
        </is>
      </c>
      <c r="D1183" s="3" t="inlineStr">
        <is>
          <t>Cái</t>
        </is>
      </c>
      <c r="E1183" s="5" t="n">
        <v>28000</v>
      </c>
      <c r="F1183" s="5" t="n">
        <v>33000</v>
      </c>
      <c r="G1183" s="6" t="n">
        <v>41000</v>
      </c>
      <c r="H1183" s="4" t="inlineStr">
        <is>
          <t>Cái 10C/H 200C/T</t>
        </is>
      </c>
    </row>
    <row r="1184">
      <c r="A1184" s="3" t="n">
        <v>1183</v>
      </c>
      <c r="B1184" s="3" t="n">
        <v>59</v>
      </c>
      <c r="C1184" s="4" t="inlineStr">
        <is>
          <t>KM24 24</t>
        </is>
      </c>
      <c r="D1184" s="3" t="inlineStr">
        <is>
          <t>Cái</t>
        </is>
      </c>
      <c r="E1184" s="5" t="n">
        <v>28000</v>
      </c>
      <c r="F1184" s="5" t="n">
        <v>33000</v>
      </c>
      <c r="G1184" s="6" t="n">
        <v>41000</v>
      </c>
      <c r="H1184" s="4" t="inlineStr">
        <is>
          <t>Cái 10C/H 100C/T</t>
        </is>
      </c>
    </row>
    <row r="1185">
      <c r="A1185" s="3" t="n">
        <v>1184</v>
      </c>
      <c r="B1185" s="3" t="n">
        <v>59</v>
      </c>
      <c r="C1185" s="4" t="inlineStr">
        <is>
          <t>KM27 27</t>
        </is>
      </c>
      <c r="D1185" s="3" t="inlineStr">
        <is>
          <t>Cái</t>
        </is>
      </c>
      <c r="E1185" s="5" t="n">
        <v>34000</v>
      </c>
      <c r="F1185" s="5" t="n">
        <v>40000</v>
      </c>
      <c r="G1185" s="6" t="n">
        <v>49000</v>
      </c>
      <c r="H1185" s="4" t="inlineStr">
        <is>
          <t>Cái 10C/H 100C/T</t>
        </is>
      </c>
    </row>
    <row r="1186">
      <c r="A1186" s="3" t="n">
        <v>1185</v>
      </c>
      <c r="B1186" s="3" t="n">
        <v>59</v>
      </c>
      <c r="C1186" s="4" t="inlineStr">
        <is>
          <t>KM30 30</t>
        </is>
      </c>
      <c r="D1186" s="3" t="inlineStr">
        <is>
          <t>Cái</t>
        </is>
      </c>
      <c r="E1186" s="5" t="n">
        <v>42000</v>
      </c>
      <c r="F1186" s="5" t="n">
        <v>50000</v>
      </c>
      <c r="G1186" s="6" t="n">
        <v>61000</v>
      </c>
      <c r="H1186" s="4" t="inlineStr">
        <is>
          <t>Cái 10C/H 100C/T</t>
        </is>
      </c>
    </row>
    <row r="1187">
      <c r="A1187" s="3" t="n">
        <v>1186</v>
      </c>
      <c r="B1187" s="3" t="n">
        <v>59</v>
      </c>
      <c r="C1187" s="4" t="inlineStr">
        <is>
          <t>KM32 32</t>
        </is>
      </c>
      <c r="D1187" s="3" t="inlineStr">
        <is>
          <t>Cái</t>
        </is>
      </c>
      <c r="E1187" s="5" t="n">
        <v>44000</v>
      </c>
      <c r="F1187" s="5" t="n">
        <v>52000</v>
      </c>
      <c r="G1187" s="6" t="n">
        <v>64000</v>
      </c>
      <c r="H1187" s="4" t="inlineStr">
        <is>
          <t>Cái 10C/H 80C/T</t>
        </is>
      </c>
    </row>
    <row r="1188">
      <c r="A1188" s="3" t="n">
        <v>1187</v>
      </c>
      <c r="B1188" s="3" t="n">
        <v>59</v>
      </c>
      <c r="C1188" s="4" t="inlineStr">
        <is>
          <t>KT-08 8</t>
        </is>
      </c>
      <c r="D1188" s="3" t="inlineStr">
        <is>
          <t>Cái</t>
        </is>
      </c>
      <c r="E1188" s="5" t="n">
        <v>42000</v>
      </c>
      <c r="F1188" s="5" t="n">
        <v>50000</v>
      </c>
      <c r="G1188" s="6" t="n">
        <v>61000</v>
      </c>
      <c r="H1188" s="4" t="inlineStr">
        <is>
          <t>Cái 20C/H 80C/T</t>
        </is>
      </c>
    </row>
    <row r="1189">
      <c r="A1189" s="3" t="n">
        <v>1188</v>
      </c>
      <c r="B1189" s="3" t="n">
        <v>59</v>
      </c>
      <c r="C1189" s="4" t="inlineStr">
        <is>
          <t>KT-10 10</t>
        </is>
      </c>
      <c r="D1189" s="3" t="inlineStr">
        <is>
          <t>Cái</t>
        </is>
      </c>
      <c r="E1189" s="5" t="n">
        <v>42000</v>
      </c>
      <c r="F1189" s="5" t="n">
        <v>50000</v>
      </c>
      <c r="G1189" s="6" t="n">
        <v>61000</v>
      </c>
      <c r="H1189" s="4" t="inlineStr">
        <is>
          <t>Cái 20C/H 80C/T</t>
        </is>
      </c>
    </row>
    <row r="1190">
      <c r="A1190" s="3" t="n">
        <v>1189</v>
      </c>
      <c r="B1190" s="3" t="n">
        <v>59</v>
      </c>
      <c r="C1190" s="4" t="inlineStr">
        <is>
          <t>KT-12 12</t>
        </is>
      </c>
      <c r="D1190" s="3" t="inlineStr">
        <is>
          <t>Cái</t>
        </is>
      </c>
      <c r="E1190" s="5" t="n">
        <v>43000</v>
      </c>
      <c r="F1190" s="5" t="n">
        <v>51000</v>
      </c>
      <c r="G1190" s="6" t="n">
        <v>62000</v>
      </c>
      <c r="H1190" s="4" t="inlineStr">
        <is>
          <t>Cái 20C/H 80C/T</t>
        </is>
      </c>
    </row>
    <row r="1191">
      <c r="A1191" s="3" t="n">
        <v>1190</v>
      </c>
      <c r="B1191" s="3" t="n">
        <v>59</v>
      </c>
      <c r="C1191" s="4" t="inlineStr">
        <is>
          <t>KT-13 13</t>
        </is>
      </c>
      <c r="D1191" s="3" t="inlineStr">
        <is>
          <t>Cái</t>
        </is>
      </c>
      <c r="E1191" s="5" t="n">
        <v>43000</v>
      </c>
      <c r="F1191" s="5" t="n">
        <v>51000</v>
      </c>
      <c r="G1191" s="6" t="n">
        <v>62000</v>
      </c>
      <c r="H1191" s="4" t="inlineStr">
        <is>
          <t>Cái 20C/H 80C/T</t>
        </is>
      </c>
    </row>
    <row r="1192">
      <c r="A1192" s="3" t="n">
        <v>1191</v>
      </c>
      <c r="B1192" s="3" t="n">
        <v>59</v>
      </c>
      <c r="C1192" s="4" t="inlineStr">
        <is>
          <t>KT-14 14</t>
        </is>
      </c>
      <c r="D1192" s="3" t="inlineStr">
        <is>
          <t>Cái</t>
        </is>
      </c>
      <c r="E1192" s="5" t="n">
        <v>43000</v>
      </c>
      <c r="F1192" s="5" t="n">
        <v>51000</v>
      </c>
      <c r="G1192" s="6" t="n">
        <v>62000</v>
      </c>
      <c r="H1192" s="4" t="inlineStr">
        <is>
          <t>Cái 20C/H 80C/T</t>
        </is>
      </c>
    </row>
    <row r="1193">
      <c r="A1193" s="3" t="n">
        <v>1192</v>
      </c>
      <c r="B1193" s="3" t="n">
        <v>59</v>
      </c>
      <c r="C1193" s="4" t="inlineStr">
        <is>
          <t>KT-17 17</t>
        </is>
      </c>
      <c r="D1193" s="3" t="inlineStr">
        <is>
          <t>Cái</t>
        </is>
      </c>
      <c r="E1193" s="5" t="n">
        <v>59000</v>
      </c>
      <c r="F1193" s="5" t="n">
        <v>70000</v>
      </c>
      <c r="G1193" s="6" t="n">
        <v>86000</v>
      </c>
      <c r="H1193" s="4" t="inlineStr">
        <is>
          <t>Cái 15C/H 80C/T</t>
        </is>
      </c>
    </row>
    <row r="1194">
      <c r="A1194" s="3" t="n">
        <v>1193</v>
      </c>
      <c r="B1194" s="3" t="n">
        <v>59</v>
      </c>
      <c r="C1194" s="4" t="inlineStr">
        <is>
          <t>KT-19 19</t>
        </is>
      </c>
      <c r="D1194" s="3" t="inlineStr">
        <is>
          <t>Cái</t>
        </is>
      </c>
      <c r="E1194" s="5" t="n">
        <v>65000</v>
      </c>
      <c r="F1194" s="5" t="n">
        <v>77000</v>
      </c>
      <c r="G1194" s="6" t="n">
        <v>94000</v>
      </c>
      <c r="H1194" s="4" t="inlineStr">
        <is>
          <t>Cái 15C/H 80C/T</t>
        </is>
      </c>
    </row>
    <row r="1195">
      <c r="A1195" s="3" t="n">
        <v>1194</v>
      </c>
      <c r="B1195" s="3" t="n">
        <v>59</v>
      </c>
      <c r="C1195" s="4" t="inlineStr">
        <is>
          <t>LA-35.16 3.5m*16mm</t>
        </is>
      </c>
      <c r="D1195" s="3" t="inlineStr">
        <is>
          <t>Cái</t>
        </is>
      </c>
      <c r="E1195" s="5" t="n">
        <v>20000</v>
      </c>
      <c r="F1195" s="5" t="n">
        <v>24000</v>
      </c>
      <c r="G1195" s="6" t="n">
        <v>29000</v>
      </c>
      <c r="H1195" s="4" t="inlineStr">
        <is>
          <t>Cái 12C/H 168C/T</t>
        </is>
      </c>
    </row>
    <row r="1196">
      <c r="A1196" s="3" t="n">
        <v>1195</v>
      </c>
      <c r="B1196" s="3" t="n">
        <v>59</v>
      </c>
      <c r="C1196" s="4" t="inlineStr">
        <is>
          <t>LA-50.19 5m*19mm</t>
        </is>
      </c>
      <c r="D1196" s="3" t="inlineStr">
        <is>
          <t>Cái</t>
        </is>
      </c>
      <c r="E1196" s="5" t="n">
        <v>29000</v>
      </c>
      <c r="F1196" s="5" t="n">
        <v>34000</v>
      </c>
      <c r="G1196" s="6" t="n">
        <v>42000</v>
      </c>
      <c r="H1196" s="4" t="inlineStr">
        <is>
          <t>Cái 12C/H 120C/T</t>
        </is>
      </c>
    </row>
    <row r="1197">
      <c r="A1197" s="3" t="n">
        <v>1196</v>
      </c>
      <c r="B1197" s="3" t="n">
        <v>59</v>
      </c>
      <c r="C1197" s="4" t="inlineStr">
        <is>
          <t>LA-75.25 7.5m*25mm</t>
        </is>
      </c>
      <c r="D1197" s="3" t="inlineStr">
        <is>
          <t>Cái</t>
        </is>
      </c>
      <c r="E1197" s="5" t="n">
        <v>48000</v>
      </c>
      <c r="F1197" s="5" t="n">
        <v>57000</v>
      </c>
      <c r="G1197" s="6" t="n">
        <v>70000</v>
      </c>
      <c r="H1197" s="4" t="inlineStr">
        <is>
          <t>Cái 12C/H 48C/T</t>
        </is>
      </c>
    </row>
    <row r="1198">
      <c r="A1198" s="3" t="n">
        <v>1197</v>
      </c>
      <c r="B1198" s="3" t="n">
        <v>59</v>
      </c>
      <c r="C1198" s="4" t="inlineStr">
        <is>
          <t>LA-100.25 10m*25mm</t>
        </is>
      </c>
      <c r="D1198" s="3" t="inlineStr">
        <is>
          <t>Cái</t>
        </is>
      </c>
      <c r="E1198" s="5" t="n">
        <v>64000</v>
      </c>
      <c r="F1198" s="5" t="n">
        <v>76000</v>
      </c>
      <c r="G1198" s="6" t="n">
        <v>93000</v>
      </c>
      <c r="H1198" s="4" t="inlineStr">
        <is>
          <t>Cái 6C/H 48C/T</t>
        </is>
      </c>
    </row>
    <row r="1199">
      <c r="A1199" s="3" t="n">
        <v>1198</v>
      </c>
      <c r="B1199" s="3" t="n">
        <v>59</v>
      </c>
      <c r="C1199" s="4" t="inlineStr">
        <is>
          <t>LA-50.19 (new) 5.0m*19mm</t>
        </is>
      </c>
      <c r="D1199" s="3" t="inlineStr">
        <is>
          <t>Cái</t>
        </is>
      </c>
      <c r="E1199" s="5" t="n">
        <v>33000</v>
      </c>
      <c r="F1199" s="5" t="n">
        <v>39000</v>
      </c>
      <c r="G1199" s="6" t="n">
        <v>48000</v>
      </c>
      <c r="H1199" s="4" t="inlineStr">
        <is>
          <t>Cái 6C/H 60C/T</t>
        </is>
      </c>
    </row>
    <row r="1200">
      <c r="A1200" s="3" t="n">
        <v>1199</v>
      </c>
      <c r="B1200" s="3" t="n">
        <v>59</v>
      </c>
      <c r="C1200" s="4" t="inlineStr">
        <is>
          <t>LA-50.25 (new) 5.0m*25mm</t>
        </is>
      </c>
      <c r="D1200" s="3" t="inlineStr">
        <is>
          <t>Cái</t>
        </is>
      </c>
      <c r="E1200" s="5" t="n">
        <v>37000</v>
      </c>
      <c r="F1200" s="5" t="n">
        <v>44000</v>
      </c>
      <c r="G1200" s="6" t="n">
        <v>54000</v>
      </c>
      <c r="H1200" s="4" t="inlineStr">
        <is>
          <t>Cái 6C/H 60C/T</t>
        </is>
      </c>
    </row>
    <row r="1201">
      <c r="A1201" s="3" t="n">
        <v>1200</v>
      </c>
      <c r="B1201" s="3" t="n">
        <v>59</v>
      </c>
      <c r="C1201" s="4" t="inlineStr">
        <is>
          <t>LA-75.25 (new) 7.5m*25mm</t>
        </is>
      </c>
      <c r="D1201" s="3" t="inlineStr">
        <is>
          <t>Cái</t>
        </is>
      </c>
      <c r="E1201" s="5" t="n">
        <v>55000</v>
      </c>
      <c r="F1201" s="5" t="n">
        <v>65000</v>
      </c>
      <c r="G1201" s="6" t="n">
        <v>80000</v>
      </c>
      <c r="H1201" s="4" t="inlineStr">
        <is>
          <t>Cái 6C/H 48C/T</t>
        </is>
      </c>
    </row>
    <row r="1202">
      <c r="A1202" s="3" t="n">
        <v>1201</v>
      </c>
      <c r="B1202" s="3" t="n">
        <v>59</v>
      </c>
      <c r="C1202" s="4" t="inlineStr">
        <is>
          <t>LA-100.25 (new) 10m*25mm</t>
        </is>
      </c>
      <c r="D1202" s="3" t="inlineStr">
        <is>
          <t>Cái</t>
        </is>
      </c>
      <c r="E1202" s="5" t="n">
        <v>75000</v>
      </c>
      <c r="F1202" s="5" t="n">
        <v>89000</v>
      </c>
      <c r="G1202" s="6" t="n">
        <v>109000</v>
      </c>
      <c r="H1202" s="4" t="inlineStr">
        <is>
          <t>Cái 6C/H 36C/T màu trắng</t>
        </is>
      </c>
    </row>
    <row r="1203">
      <c r="A1203" s="3" t="n">
        <v>1202</v>
      </c>
      <c r="B1203" s="3" t="n">
        <v>59</v>
      </c>
      <c r="C1203" s="4" t="inlineStr">
        <is>
          <t>LB-35.16 3.5m*16mm</t>
        </is>
      </c>
      <c r="D1203" s="3" t="inlineStr">
        <is>
          <t>Cái</t>
        </is>
      </c>
      <c r="E1203" s="5" t="n">
        <v>22000</v>
      </c>
      <c r="F1203" s="5" t="n">
        <v>26000</v>
      </c>
      <c r="G1203" s="6" t="n">
        <v>32000</v>
      </c>
      <c r="H1203" s="4" t="inlineStr">
        <is>
          <t>Cái 12/H 168C/T</t>
        </is>
      </c>
    </row>
    <row r="1204">
      <c r="A1204" s="3" t="n">
        <v>1203</v>
      </c>
      <c r="B1204" s="3" t="n">
        <v>59</v>
      </c>
      <c r="C1204" s="4" t="inlineStr">
        <is>
          <t>LB-50.19 5m*19mm</t>
        </is>
      </c>
      <c r="D1204" s="3" t="inlineStr">
        <is>
          <t>Cái</t>
        </is>
      </c>
      <c r="E1204" s="5" t="n">
        <v>36000</v>
      </c>
      <c r="F1204" s="5" t="n">
        <v>42000</v>
      </c>
      <c r="G1204" s="6" t="n">
        <v>52000</v>
      </c>
      <c r="H1204" s="4" t="inlineStr">
        <is>
          <t>Cái 12/H 120C/T</t>
        </is>
      </c>
    </row>
    <row r="1205">
      <c r="A1205" s="3" t="n">
        <v>1204</v>
      </c>
      <c r="B1205" s="3" t="n">
        <v>59</v>
      </c>
      <c r="C1205" s="4" t="inlineStr">
        <is>
          <t>LB-100.25 10m*25mm</t>
        </is>
      </c>
      <c r="D1205" s="3" t="inlineStr">
        <is>
          <t>Cái</t>
        </is>
      </c>
      <c r="E1205" s="5" t="n">
        <v>75000</v>
      </c>
      <c r="F1205" s="5" t="n">
        <v>89000</v>
      </c>
      <c r="G1205" s="6" t="n">
        <v>109000</v>
      </c>
      <c r="H1205" s="4" t="inlineStr">
        <is>
          <t>Cái 6C/H 48C/T</t>
        </is>
      </c>
    </row>
    <row r="1206">
      <c r="A1206" s="3" t="n">
        <v>1205</v>
      </c>
      <c r="B1206" s="3" t="n">
        <v>59</v>
      </c>
      <c r="C1206" s="4" t="inlineStr">
        <is>
          <t>LC-20.13 2m*13mm</t>
        </is>
      </c>
      <c r="D1206" s="3" t="inlineStr">
        <is>
          <t>Cái</t>
        </is>
      </c>
      <c r="E1206" s="5" t="n">
        <v>25000</v>
      </c>
      <c r="F1206" s="5" t="n">
        <v>29000</v>
      </c>
      <c r="G1206" s="6" t="n">
        <v>36000</v>
      </c>
      <c r="H1206" s="4" t="inlineStr">
        <is>
          <t>Cái 50C/H 200C/T Thước kéo bọc cao su cao cấpmàu vàng</t>
        </is>
      </c>
    </row>
    <row r="1207">
      <c r="A1207" s="3" t="n">
        <v>1206</v>
      </c>
      <c r="B1207" s="3" t="n">
        <v>59</v>
      </c>
      <c r="C1207" s="4" t="inlineStr">
        <is>
          <t>LC-50.19 5m*19mm</t>
        </is>
      </c>
      <c r="D1207" s="3" t="inlineStr">
        <is>
          <t>Cái</t>
        </is>
      </c>
      <c r="E1207" s="5" t="n">
        <v>50000</v>
      </c>
      <c r="F1207" s="5" t="n">
        <v>59000</v>
      </c>
      <c r="G1207" s="6" t="n">
        <v>73000</v>
      </c>
      <c r="H1207" s="4" t="inlineStr">
        <is>
          <t>Cái 12C/H 120C/T</t>
        </is>
      </c>
    </row>
    <row r="1208">
      <c r="A1208" s="3" t="n">
        <v>1207</v>
      </c>
      <c r="B1208" s="3" t="n">
        <v>59</v>
      </c>
      <c r="C1208" s="4" t="inlineStr">
        <is>
          <t>LC-75.25 7.5m*25mm</t>
        </is>
      </c>
      <c r="D1208" s="3" t="inlineStr">
        <is>
          <t>Cái</t>
        </is>
      </c>
      <c r="E1208" s="5" t="n">
        <v>90000</v>
      </c>
      <c r="F1208" s="5" t="n">
        <v>106000</v>
      </c>
      <c r="G1208" s="6" t="n">
        <v>131000</v>
      </c>
      <c r="H1208" s="4" t="inlineStr">
        <is>
          <t>Cái 12C/H 48C/T</t>
        </is>
      </c>
    </row>
    <row r="1209">
      <c r="A1209" s="3" t="n">
        <v>1208</v>
      </c>
      <c r="B1209" s="3" t="n">
        <v>59</v>
      </c>
      <c r="C1209" s="4" t="inlineStr">
        <is>
          <t>MB-50.19 5m*19mm</t>
        </is>
      </c>
      <c r="D1209" s="3" t="inlineStr">
        <is>
          <t>Cái</t>
        </is>
      </c>
      <c r="E1209" s="5" t="n">
        <v>48000</v>
      </c>
      <c r="F1209" s="5" t="n">
        <v>57000</v>
      </c>
      <c r="G1209" s="6" t="n">
        <v>70000</v>
      </c>
      <c r="H1209" s="4" t="inlineStr">
        <is>
          <t>Cái 12C/H 120C/T</t>
        </is>
      </c>
    </row>
    <row r="1210">
      <c r="A1210" s="3" t="n">
        <v>1209</v>
      </c>
      <c r="B1210" s="3" t="n">
        <v>59</v>
      </c>
      <c r="C1210" s="4" t="inlineStr">
        <is>
          <t>MB-50.25 5m*25mm</t>
        </is>
      </c>
      <c r="D1210" s="3" t="inlineStr">
        <is>
          <t>Cái</t>
        </is>
      </c>
      <c r="E1210" s="5" t="n">
        <v>64000</v>
      </c>
      <c r="F1210" s="5" t="n">
        <v>76000</v>
      </c>
      <c r="G1210" s="6" t="n">
        <v>93000</v>
      </c>
      <c r="H1210" s="4" t="inlineStr">
        <is>
          <t>Cái 12C/H 96C/T</t>
        </is>
      </c>
    </row>
    <row r="1211">
      <c r="A1211" s="3" t="n">
        <v>1210</v>
      </c>
      <c r="B1211" s="3" t="n">
        <v>59</v>
      </c>
      <c r="C1211" s="4" t="inlineStr">
        <is>
          <t>MB-75.25 7.5m*25mm</t>
        </is>
      </c>
      <c r="D1211" s="3" t="inlineStr">
        <is>
          <t>Cái</t>
        </is>
      </c>
      <c r="E1211" s="5" t="n">
        <v>79000</v>
      </c>
      <c r="F1211" s="5" t="n">
        <v>93000</v>
      </c>
      <c r="G1211" s="6" t="n">
        <v>115000</v>
      </c>
      <c r="H1211" s="4" t="inlineStr">
        <is>
          <t>Cái 12C/H 48C/T</t>
        </is>
      </c>
    </row>
    <row r="1212">
      <c r="A1212" s="3" t="n">
        <v>1211</v>
      </c>
      <c r="B1212" s="3" t="n">
        <v>60</v>
      </c>
      <c r="C1212" s="4" t="inlineStr">
        <is>
          <t>MA-50.19 5m*19mm</t>
        </is>
      </c>
      <c r="D1212" s="3" t="inlineStr">
        <is>
          <t>Cái</t>
        </is>
      </c>
      <c r="E1212" s="5" t="n">
        <v>33000</v>
      </c>
      <c r="F1212" s="5" t="n">
        <v>39000</v>
      </c>
      <c r="G1212" s="6" t="n">
        <v>48000</v>
      </c>
      <c r="H1212" s="4" t="inlineStr">
        <is>
          <t>Cái 12C/H 120C/T</t>
        </is>
      </c>
    </row>
    <row r="1213">
      <c r="A1213" s="3" t="n">
        <v>1212</v>
      </c>
      <c r="B1213" s="3" t="n">
        <v>60</v>
      </c>
      <c r="C1213" s="4" t="inlineStr">
        <is>
          <t>MA-50.25 5m*25mm</t>
        </is>
      </c>
      <c r="D1213" s="3" t="inlineStr">
        <is>
          <t>Cái</t>
        </is>
      </c>
      <c r="E1213" s="5" t="n">
        <v>40000</v>
      </c>
      <c r="F1213" s="5" t="n">
        <v>47000</v>
      </c>
      <c r="G1213" s="6" t="n">
        <v>58000</v>
      </c>
      <c r="H1213" s="4" t="inlineStr">
        <is>
          <t>Cái 12C/H 120C/T</t>
        </is>
      </c>
    </row>
    <row r="1214">
      <c r="A1214" s="3" t="n">
        <v>1213</v>
      </c>
      <c r="B1214" s="3" t="n">
        <v>60</v>
      </c>
      <c r="C1214" s="4" t="inlineStr">
        <is>
          <t>MA-75.25 7.5m*25mm</t>
        </is>
      </c>
      <c r="D1214" s="3" t="inlineStr">
        <is>
          <t>Cái</t>
        </is>
      </c>
      <c r="E1214" s="5" t="n">
        <v>54000</v>
      </c>
      <c r="F1214" s="5" t="n">
        <v>64000</v>
      </c>
      <c r="G1214" s="6" t="n">
        <v>78000</v>
      </c>
      <c r="H1214" s="4" t="inlineStr">
        <is>
          <t>Cái 6C/H 72C/T</t>
        </is>
      </c>
    </row>
    <row r="1215">
      <c r="A1215" s="3" t="n">
        <v>1214</v>
      </c>
      <c r="B1215" s="3" t="n">
        <v>60</v>
      </c>
      <c r="C1215" s="4" t="inlineStr">
        <is>
          <t>MC-30.16 3m*16mm</t>
        </is>
      </c>
      <c r="D1215" s="3" t="inlineStr">
        <is>
          <t>Cái</t>
        </is>
      </c>
      <c r="E1215" s="5" t="n">
        <v>37000</v>
      </c>
      <c r="F1215" s="5" t="n">
        <v>44000</v>
      </c>
      <c r="G1215" s="6" t="n">
        <v>54000</v>
      </c>
      <c r="H1215" s="4" t="inlineStr">
        <is>
          <t>Cái 12C/H 144C/T</t>
        </is>
      </c>
    </row>
    <row r="1216">
      <c r="A1216" s="3" t="n">
        <v>1215</v>
      </c>
      <c r="B1216" s="3" t="n">
        <v>60</v>
      </c>
      <c r="C1216" s="4" t="inlineStr">
        <is>
          <t>MC-50.25 5m*25mm</t>
        </is>
      </c>
      <c r="D1216" s="3" t="inlineStr">
        <is>
          <t>Cái</t>
        </is>
      </c>
      <c r="E1216" s="5" t="n">
        <v>59000</v>
      </c>
      <c r="F1216" s="5" t="n">
        <v>70000</v>
      </c>
      <c r="G1216" s="6" t="n">
        <v>86000</v>
      </c>
      <c r="H1216" s="4" t="inlineStr">
        <is>
          <t>Cái 12C/H 72C/T</t>
        </is>
      </c>
    </row>
    <row r="1217">
      <c r="A1217" s="3" t="n">
        <v>1216</v>
      </c>
      <c r="B1217" s="3" t="n">
        <v>60</v>
      </c>
      <c r="C1217" s="4" t="inlineStr">
        <is>
          <t>MC-80.25 8m*25mm</t>
        </is>
      </c>
      <c r="D1217" s="3" t="inlineStr">
        <is>
          <t>Cái</t>
        </is>
      </c>
      <c r="E1217" s="5" t="n">
        <v>79000</v>
      </c>
      <c r="F1217" s="5" t="n">
        <v>93000</v>
      </c>
      <c r="G1217" s="6" t="n">
        <v>115000</v>
      </c>
      <c r="H1217" s="4" t="inlineStr">
        <is>
          <t>Cái 12C/H 48C/T</t>
        </is>
      </c>
    </row>
    <row r="1218">
      <c r="A1218" s="3" t="n">
        <v>1217</v>
      </c>
      <c r="B1218" s="3" t="n">
        <v>60</v>
      </c>
      <c r="C1218" s="4" t="inlineStr">
        <is>
          <t>MD-50.25 5m*25mm</t>
        </is>
      </c>
      <c r="D1218" s="3" t="inlineStr">
        <is>
          <t>Cái</t>
        </is>
      </c>
      <c r="E1218" s="5" t="n">
        <v>64000</v>
      </c>
      <c r="F1218" s="5" t="n">
        <v>76000</v>
      </c>
      <c r="G1218" s="6" t="n">
        <v>93000</v>
      </c>
      <c r="H1218" s="4" t="inlineStr">
        <is>
          <t>Cái 12C/H 72C/T</t>
        </is>
      </c>
    </row>
    <row r="1219">
      <c r="A1219" s="3" t="n">
        <v>1218</v>
      </c>
      <c r="B1219" s="3" t="n">
        <v>60</v>
      </c>
      <c r="C1219" s="4" t="inlineStr">
        <is>
          <t>MD-80.25 8m*25mm</t>
        </is>
      </c>
      <c r="D1219" s="3" t="inlineStr">
        <is>
          <t>Cái</t>
        </is>
      </c>
      <c r="E1219" s="5" t="n">
        <v>81000</v>
      </c>
      <c r="F1219" s="5" t="n">
        <v>96000</v>
      </c>
      <c r="G1219" s="6" t="n">
        <v>118000</v>
      </c>
      <c r="H1219" s="4" t="inlineStr">
        <is>
          <t>Cái 12C/H 48C/T</t>
        </is>
      </c>
    </row>
    <row r="1220">
      <c r="A1220" s="3" t="n">
        <v>1219</v>
      </c>
      <c r="B1220" s="3" t="n">
        <v>60</v>
      </c>
      <c r="C1220" s="4" t="inlineStr">
        <is>
          <t>KTT-25A 225mm</t>
        </is>
      </c>
      <c r="D1220" s="3" t="inlineStr">
        <is>
          <t>Cái</t>
        </is>
      </c>
      <c r="E1220" s="5" t="n">
        <v>35000</v>
      </c>
      <c r="F1220" s="5" t="n">
        <v>41000</v>
      </c>
      <c r="G1220" s="6" t="n">
        <v>51000</v>
      </c>
      <c r="H1220" s="4" t="inlineStr">
        <is>
          <t>Cái 100C/T Thước công nghiệp mini 3 bọt thuỷ</t>
        </is>
      </c>
    </row>
    <row r="1221">
      <c r="A1221" s="3" t="n">
        <v>1220</v>
      </c>
      <c r="B1221" s="3" t="n">
        <v>60</v>
      </c>
      <c r="C1221" s="4" t="inlineStr">
        <is>
          <t>KTT-30A 300mm</t>
        </is>
      </c>
      <c r="D1221" s="3" t="inlineStr">
        <is>
          <t>Cái</t>
        </is>
      </c>
      <c r="E1221" s="5" t="n">
        <v>79000</v>
      </c>
      <c r="F1221" s="5" t="n">
        <v>93000</v>
      </c>
      <c r="G1221" s="6" t="n">
        <v>115000</v>
      </c>
      <c r="H1221" s="4" t="inlineStr">
        <is>
          <t>Cái 60C/T</t>
        </is>
      </c>
    </row>
    <row r="1222">
      <c r="A1222" s="3" t="n">
        <v>1221</v>
      </c>
      <c r="B1222" s="3" t="n">
        <v>60</v>
      </c>
      <c r="C1222" s="4" t="inlineStr">
        <is>
          <t>KTT-45A 450mm</t>
        </is>
      </c>
      <c r="D1222" s="3" t="inlineStr">
        <is>
          <t>Cái</t>
        </is>
      </c>
      <c r="E1222" s="5" t="n">
        <v>101000</v>
      </c>
      <c r="F1222" s="5" t="n">
        <v>119000</v>
      </c>
      <c r="G1222" s="6" t="n">
        <v>147000</v>
      </c>
      <c r="H1222" s="4" t="inlineStr">
        <is>
          <t>Cái 60C/T</t>
        </is>
      </c>
    </row>
    <row r="1223">
      <c r="A1223" s="3" t="n">
        <v>1222</v>
      </c>
      <c r="B1223" s="3" t="n">
        <v>60</v>
      </c>
      <c r="C1223" s="4" t="inlineStr">
        <is>
          <t>KTT-60A 600mm</t>
        </is>
      </c>
      <c r="D1223" s="3" t="inlineStr">
        <is>
          <t>Cái</t>
        </is>
      </c>
      <c r="E1223" s="5" t="n">
        <v>128000</v>
      </c>
      <c r="F1223" s="5" t="n">
        <v>151000</v>
      </c>
      <c r="G1223" s="6" t="n">
        <v>186000</v>
      </c>
      <c r="H1223" s="4" t="inlineStr">
        <is>
          <t>Cái 60C/T</t>
        </is>
      </c>
    </row>
    <row r="1224">
      <c r="A1224" s="3" t="n">
        <v>1223</v>
      </c>
      <c r="B1224" s="3" t="n">
        <v>60</v>
      </c>
      <c r="C1224" s="4" t="inlineStr">
        <is>
          <t>KTT-80A 800mm</t>
        </is>
      </c>
      <c r="D1224" s="3" t="inlineStr">
        <is>
          <t>Cái</t>
        </is>
      </c>
      <c r="E1224" s="5" t="n">
        <v>163000</v>
      </c>
      <c r="F1224" s="5" t="n">
        <v>192000</v>
      </c>
      <c r="G1224" s="6" t="n">
        <v>236000</v>
      </c>
      <c r="H1224" s="4" t="inlineStr">
        <is>
          <t>Cái 30C/T</t>
        </is>
      </c>
    </row>
    <row r="1225">
      <c r="A1225" s="3" t="n">
        <v>1224</v>
      </c>
      <c r="B1225" s="3" t="n">
        <v>60</v>
      </c>
      <c r="C1225" s="4" t="inlineStr">
        <is>
          <t>KTT-30B 300mm</t>
        </is>
      </c>
      <c r="D1225" s="3" t="inlineStr">
        <is>
          <t>Cái</t>
        </is>
      </c>
      <c r="E1225" s="5" t="n">
        <v>108000</v>
      </c>
      <c r="F1225" s="5" t="n">
        <v>128000</v>
      </c>
      <c r="G1225" s="6" t="n">
        <v>157000</v>
      </c>
      <c r="H1225" s="4" t="inlineStr">
        <is>
          <t>Cái 40C/T</t>
        </is>
      </c>
    </row>
    <row r="1226">
      <c r="A1226" s="3" t="n">
        <v>1225</v>
      </c>
      <c r="B1226" s="3" t="n">
        <v>60</v>
      </c>
      <c r="C1226" s="4" t="inlineStr">
        <is>
          <t>KTT-40B 400mm</t>
        </is>
      </c>
      <c r="D1226" s="3" t="inlineStr">
        <is>
          <t>Cái</t>
        </is>
      </c>
      <c r="E1226" s="5" t="n">
        <v>132000</v>
      </c>
      <c r="F1226" s="5" t="n">
        <v>156000</v>
      </c>
      <c r="G1226" s="6" t="n">
        <v>191000</v>
      </c>
      <c r="H1226" s="4" t="inlineStr">
        <is>
          <t>Cái 40C/T</t>
        </is>
      </c>
    </row>
    <row r="1227">
      <c r="A1227" s="3" t="n">
        <v>1226</v>
      </c>
      <c r="B1227" s="3" t="n">
        <v>60</v>
      </c>
      <c r="C1227" s="4" t="inlineStr">
        <is>
          <t>KTT-50B 500mm</t>
        </is>
      </c>
      <c r="D1227" s="3" t="inlineStr">
        <is>
          <t>Cái</t>
        </is>
      </c>
      <c r="E1227" s="5" t="n">
        <v>150000</v>
      </c>
      <c r="F1227" s="5" t="n">
        <v>177000</v>
      </c>
      <c r="G1227" s="6" t="n">
        <v>218000</v>
      </c>
      <c r="H1227" s="4" t="inlineStr">
        <is>
          <t>Cái 40C/T</t>
        </is>
      </c>
    </row>
    <row r="1228">
      <c r="A1228" s="3" t="n">
        <v>1227</v>
      </c>
      <c r="B1228" s="3" t="n">
        <v>60</v>
      </c>
      <c r="C1228" s="4" t="inlineStr">
        <is>
          <t>KTT-60B 600mm</t>
        </is>
      </c>
      <c r="D1228" s="3" t="inlineStr">
        <is>
          <t>Cái</t>
        </is>
      </c>
      <c r="E1228" s="5" t="n">
        <v>182000</v>
      </c>
      <c r="F1228" s="5" t="n">
        <v>215000</v>
      </c>
      <c r="G1228" s="6" t="n">
        <v>264000</v>
      </c>
      <c r="H1228" s="4" t="inlineStr">
        <is>
          <t>Cái 40C/T</t>
        </is>
      </c>
    </row>
    <row r="1229">
      <c r="A1229" s="3" t="n">
        <v>1228</v>
      </c>
      <c r="B1229" s="3" t="n">
        <v>60</v>
      </c>
      <c r="C1229" s="4" t="inlineStr">
        <is>
          <t>KTT-80B 800mm</t>
        </is>
      </c>
      <c r="D1229" s="3" t="inlineStr">
        <is>
          <t>Cái</t>
        </is>
      </c>
      <c r="E1229" s="5" t="n">
        <v>231000</v>
      </c>
      <c r="F1229" s="5" t="n">
        <v>273000</v>
      </c>
      <c r="G1229" s="6" t="n">
        <v>335000</v>
      </c>
      <c r="H1229" s="4" t="inlineStr">
        <is>
          <t>Cái 40C/T</t>
        </is>
      </c>
    </row>
    <row r="1230">
      <c r="A1230" s="3" t="n">
        <v>1229</v>
      </c>
      <c r="B1230" s="3" t="n">
        <v>60</v>
      </c>
      <c r="C1230" s="4" t="inlineStr">
        <is>
          <t>KTT-100B 1000mm</t>
        </is>
      </c>
      <c r="D1230" s="3" t="inlineStr">
        <is>
          <t>Cái</t>
        </is>
      </c>
      <c r="E1230" s="5" t="n">
        <v>262000</v>
      </c>
      <c r="F1230" s="5" t="n">
        <v>309000</v>
      </c>
      <c r="G1230" s="6" t="n">
        <v>380000</v>
      </c>
      <c r="H1230" s="4" t="inlineStr">
        <is>
          <t>Cái 40C/T</t>
        </is>
      </c>
    </row>
    <row r="1231">
      <c r="A1231" s="3" t="n">
        <v>1230</v>
      </c>
      <c r="B1231" s="3" t="n">
        <v>60</v>
      </c>
      <c r="C1231" s="4" t="inlineStr">
        <is>
          <t>KTT-25C 250mm</t>
        </is>
      </c>
      <c r="D1231" s="3" t="inlineStr">
        <is>
          <t>Cái</t>
        </is>
      </c>
      <c r="E1231" s="5" t="n">
        <v>149000</v>
      </c>
      <c r="F1231" s="5" t="n">
        <v>176000</v>
      </c>
      <c r="G1231" s="6" t="n">
        <v>216000</v>
      </c>
      <c r="H1231" s="4" t="inlineStr">
        <is>
          <t>Cái 60C/T Khung nhôm đúc nguyên khối , 3 bọt thuỷĐộ chính xác 0.5mm/1m</t>
        </is>
      </c>
    </row>
    <row r="1232">
      <c r="A1232" s="3" t="n">
        <v>1231</v>
      </c>
      <c r="B1232" s="3" t="n">
        <v>60</v>
      </c>
      <c r="C1232" s="4" t="inlineStr">
        <is>
          <t>KTT-40C 400mm</t>
        </is>
      </c>
      <c r="D1232" s="3" t="inlineStr">
        <is>
          <t>Cái</t>
        </is>
      </c>
      <c r="E1232" s="5" t="n">
        <v>149000</v>
      </c>
      <c r="F1232" s="5" t="n">
        <v>176000</v>
      </c>
      <c r="G1232" s="6" t="n">
        <v>216000</v>
      </c>
      <c r="H1232" s="4" t="inlineStr">
        <is>
          <t>Cái 60C/T</t>
        </is>
      </c>
    </row>
    <row r="1233">
      <c r="A1233" s="3" t="n">
        <v>1232</v>
      </c>
      <c r="B1233" s="3" t="n">
        <v>60</v>
      </c>
      <c r="C1233" s="4" t="inlineStr">
        <is>
          <t>KTT-50C 500mm</t>
        </is>
      </c>
      <c r="D1233" s="3" t="inlineStr">
        <is>
          <t>Cái</t>
        </is>
      </c>
      <c r="E1233" s="5" t="n">
        <v>152000</v>
      </c>
      <c r="F1233" s="5" t="n">
        <v>179000</v>
      </c>
      <c r="G1233" s="6" t="n">
        <v>220000</v>
      </c>
      <c r="H1233" s="4" t="inlineStr">
        <is>
          <t>Cái 60C/T</t>
        </is>
      </c>
    </row>
    <row r="1234">
      <c r="A1234" s="3" t="n">
        <v>1233</v>
      </c>
      <c r="B1234" s="3" t="n">
        <v>60</v>
      </c>
      <c r="C1234" s="4" t="inlineStr">
        <is>
          <t>KTT-60C 600mm</t>
        </is>
      </c>
      <c r="D1234" s="3" t="inlineStr">
        <is>
          <t>Cái</t>
        </is>
      </c>
      <c r="E1234" s="5" t="n">
        <v>163000</v>
      </c>
      <c r="F1234" s="5" t="n">
        <v>192000</v>
      </c>
      <c r="G1234" s="6" t="n">
        <v>236000</v>
      </c>
      <c r="H1234" s="4" t="inlineStr">
        <is>
          <t>Cái 60C/T</t>
        </is>
      </c>
    </row>
    <row r="1235">
      <c r="A1235" s="3" t="n">
        <v>1234</v>
      </c>
      <c r="B1235" s="3" t="n">
        <v>60</v>
      </c>
      <c r="C1235" s="4" t="inlineStr">
        <is>
          <t>KMC-30 30m</t>
        </is>
      </c>
      <c r="D1235" s="3" t="inlineStr">
        <is>
          <t>Cái</t>
        </is>
      </c>
      <c r="E1235" s="5" t="n">
        <v>193000</v>
      </c>
      <c r="F1235" s="5" t="n">
        <v>228000</v>
      </c>
      <c r="G1235" s="6" t="n">
        <v>280000</v>
      </c>
      <c r="H1235" s="4" t="inlineStr">
        <is>
          <t>Cái 1C/H 20C/T</t>
        </is>
      </c>
    </row>
    <row r="1236">
      <c r="A1236" s="3" t="n">
        <v>1235</v>
      </c>
      <c r="B1236" s="3" t="n">
        <v>60</v>
      </c>
      <c r="C1236" s="4" t="inlineStr">
        <is>
          <t>KMC-50 50m</t>
        </is>
      </c>
      <c r="D1236" s="3" t="inlineStr">
        <is>
          <t>Cái</t>
        </is>
      </c>
      <c r="E1236" s="5" t="n">
        <v>256000</v>
      </c>
      <c r="F1236" s="5" t="n">
        <v>302000</v>
      </c>
      <c r="G1236" s="6" t="n">
        <v>371000</v>
      </c>
      <c r="H1236" s="4" t="inlineStr">
        <is>
          <t>Cái 1C/H 20C/T</t>
        </is>
      </c>
    </row>
    <row r="1237">
      <c r="A1237" s="3" t="n">
        <v>1236</v>
      </c>
      <c r="B1237" s="3" t="n">
        <v>60</v>
      </c>
      <c r="C1237" s="4" t="inlineStr">
        <is>
          <t>TK-150 0-150mm</t>
        </is>
      </c>
      <c r="D1237" s="3" t="inlineStr">
        <is>
          <t>Cái</t>
        </is>
      </c>
      <c r="E1237" s="5" t="n">
        <v>182000</v>
      </c>
      <c r="F1237" s="5" t="n">
        <v>215000</v>
      </c>
      <c r="G1237" s="6" t="n">
        <v>264000</v>
      </c>
      <c r="H1237" s="4" t="inlineStr">
        <is>
          <t>Cái 1C/H 50C/T Dải đo: 0-150mm/ 0-6inch</t>
        </is>
      </c>
    </row>
    <row r="1238">
      <c r="A1238" s="3" t="n">
        <v>1237</v>
      </c>
      <c r="B1238" s="3" t="n">
        <v>60</v>
      </c>
      <c r="C1238" s="4" t="inlineStr">
        <is>
          <t>TK-200 0-200mm</t>
        </is>
      </c>
      <c r="D1238" s="3" t="inlineStr">
        <is>
          <t>Cái</t>
        </is>
      </c>
      <c r="E1238" s="5" t="n">
        <v>286000</v>
      </c>
      <c r="F1238" s="5" t="n">
        <v>338000</v>
      </c>
      <c r="G1238" s="6" t="n">
        <v>415000</v>
      </c>
      <c r="H1238" s="4" t="inlineStr">
        <is>
          <t>Cái 1C/H 50C/T Dải đo: 0-200mm/ 0-8inch</t>
        </is>
      </c>
    </row>
    <row r="1239">
      <c r="A1239" s="3" t="n">
        <v>1238</v>
      </c>
      <c r="B1239" s="3" t="n">
        <v>60</v>
      </c>
      <c r="C1239" s="4" t="inlineStr">
        <is>
          <t>Thước kẹp điện tử TKE-150 0-150mm</t>
        </is>
      </c>
      <c r="D1239" s="3" t="inlineStr">
        <is>
          <t>Cái</t>
        </is>
      </c>
      <c r="E1239" s="5" t="n">
        <v>539000</v>
      </c>
      <c r="F1239" s="5" t="n">
        <v>636000</v>
      </c>
      <c r="G1239" s="6" t="n">
        <v>782000</v>
      </c>
      <c r="H1239" s="4" t="inlineStr">
        <is>
          <t>Cái 1C/H 50C/T</t>
        </is>
      </c>
    </row>
    <row r="1240">
      <c r="A1240" s="3" t="n">
        <v>1239</v>
      </c>
      <c r="B1240" s="3" t="n">
        <v>60</v>
      </c>
      <c r="C1240" s="4" t="inlineStr">
        <is>
          <t>Thước Panme TK-025 0-25mm</t>
        </is>
      </c>
      <c r="D1240" s="3" t="inlineStr">
        <is>
          <t>Cái</t>
        </is>
      </c>
      <c r="E1240" s="5" t="n">
        <v>396000</v>
      </c>
      <c r="F1240" s="5" t="n">
        <v>467000</v>
      </c>
      <c r="G1240" s="6" t="n">
        <v>574000</v>
      </c>
      <c r="H1240" s="4" t="inlineStr">
        <is>
          <t>Cái 1C/H 50C/T</t>
        </is>
      </c>
    </row>
    <row r="1241">
      <c r="A1241" s="3" t="n">
        <v>1240</v>
      </c>
      <c r="B1241" s="3" t="n">
        <v>60</v>
      </c>
      <c r="C1241" s="4" t="inlineStr">
        <is>
          <t>KHD4212 NEW 420*340*120mmTL:</t>
        </is>
      </c>
      <c r="D1241" s="3" t="inlineStr">
        <is>
          <t>Cái</t>
        </is>
      </c>
      <c r="E1241" s="5" t="n">
        <v>1996</v>
      </c>
      <c r="F1241" s="5" t="n">
        <v>539000</v>
      </c>
      <c r="G1241" s="6" t="n">
        <v>615000</v>
      </c>
      <c r="H1241" s="4" t="inlineStr">
        <is>
          <t>Cái</t>
        </is>
      </c>
    </row>
    <row r="1242">
      <c r="A1242" s="3" t="n">
        <v>1241</v>
      </c>
      <c r="B1242" s="3" t="n">
        <v>60</v>
      </c>
      <c r="C1242" s="4" t="inlineStr">
        <is>
          <t>KHD4216 420*340*160mmTL:</t>
        </is>
      </c>
      <c r="D1242" s="3" t="inlineStr">
        <is>
          <t>Cái</t>
        </is>
      </c>
      <c r="E1242" s="5" t="n">
        <v>2065</v>
      </c>
      <c r="F1242" s="5" t="n">
        <v>484000</v>
      </c>
      <c r="G1242" s="6" t="n">
        <v>552000</v>
      </c>
      <c r="H1242" s="4" t="inlineStr">
        <is>
          <t>Cái Vật liệu: nhựa ABSChống nước, chống va đập</t>
        </is>
      </c>
    </row>
    <row r="1243">
      <c r="A1243" s="3" t="n">
        <v>1242</v>
      </c>
      <c r="B1243" s="3" t="n">
        <v>60</v>
      </c>
      <c r="C1243" s="4" t="inlineStr"/>
      <c r="D1243" s="3" t="inlineStr">
        <is>
          <t>Cái</t>
        </is>
      </c>
      <c r="E1243" s="5" t="n">
        <v>825000</v>
      </c>
      <c r="F1243" s="5" t="n">
        <v>941000</v>
      </c>
      <c r="G1243" s="6" t="n">
        <v>1114000</v>
      </c>
      <c r="H1243" s="4" t="inlineStr">
        <is>
          <t>Cái Vật liệu: nhựa nguyên sinh ABS độ bền caoChống nước, chống va đập</t>
        </is>
      </c>
    </row>
    <row r="1244">
      <c r="A1244" s="3" t="n">
        <v>1243</v>
      </c>
      <c r="B1244" s="3" t="n">
        <v>60</v>
      </c>
      <c r="C1244" s="4" t="inlineStr">
        <is>
          <t>KHD20 460*260*200mmTL: 2.9kg</t>
        </is>
      </c>
      <c r="D1244" s="3" t="inlineStr">
        <is>
          <t>Cái</t>
        </is>
      </c>
      <c r="E1244" s="5" t="n">
        <v>396000</v>
      </c>
      <c r="F1244" s="5" t="n">
        <v>452000</v>
      </c>
      <c r="G1244" s="6" t="n">
        <v>535000</v>
      </c>
      <c r="H1244" s="4" t="inlineStr">
        <is>
          <t>Cái</t>
        </is>
      </c>
    </row>
    <row r="1245">
      <c r="A1245" s="3" t="n">
        <v>1244</v>
      </c>
      <c r="B1245" s="3" t="n">
        <v>61</v>
      </c>
      <c r="C1245" s="4" t="inlineStr">
        <is>
          <t>LED7000 190*145*440mmTL: 2850g</t>
        </is>
      </c>
      <c r="D1245" s="3" t="inlineStr">
        <is>
          <t>Cái</t>
        </is>
      </c>
      <c r="E1245" s="5" t="n">
        <v>3200000</v>
      </c>
      <c r="F1245" s="5" t="n">
        <v>3648000</v>
      </c>
      <c r="G1245" s="6" t="n">
        <v>4320000</v>
      </c>
      <c r="H1245" s="4" t="inlineStr">
        <is>
          <t>Cái 1C/H 2C/T</t>
        </is>
      </c>
    </row>
    <row r="1246">
      <c r="A1246" s="3" t="n">
        <v>1245</v>
      </c>
      <c r="B1246" s="3" t="n">
        <v>61</v>
      </c>
      <c r="C1246" s="4" t="inlineStr">
        <is>
          <t>LED6500 250*145*300mmTL: 2400g</t>
        </is>
      </c>
      <c r="D1246" s="3" t="inlineStr">
        <is>
          <t>Cái</t>
        </is>
      </c>
      <c r="E1246" s="5" t="n">
        <v>1800000</v>
      </c>
      <c r="F1246" s="5" t="n">
        <v>2052000</v>
      </c>
      <c r="G1246" s="6" t="n">
        <v>2430000</v>
      </c>
      <c r="H1246" s="4" t="inlineStr">
        <is>
          <t>Cái 1C/H 4C/T</t>
        </is>
      </c>
    </row>
    <row r="1247">
      <c r="A1247" s="3" t="n">
        <v>1246</v>
      </c>
      <c r="B1247" s="3" t="n">
        <v>61</v>
      </c>
      <c r="C1247" s="4" t="inlineStr">
        <is>
          <t>LED600 186*53.5*36mm TL: 245g</t>
        </is>
      </c>
      <c r="D1247" s="3" t="inlineStr">
        <is>
          <t>Cái</t>
        </is>
      </c>
      <c r="E1247" s="5" t="n">
        <v>650000</v>
      </c>
      <c r="F1247" s="5" t="n">
        <v>741000</v>
      </c>
      <c r="G1247" s="6" t="n">
        <v>878000</v>
      </c>
      <c r="H1247" s="4" t="inlineStr">
        <is>
          <t>Cái 1C/H 10C/T</t>
        </is>
      </c>
    </row>
    <row r="1248">
      <c r="A1248" s="3" t="n">
        <v>1247</v>
      </c>
      <c r="B1248" s="3" t="n">
        <v>61</v>
      </c>
      <c r="C1248" s="4" t="inlineStr"/>
      <c r="D1248" s="3" t="inlineStr">
        <is>
          <t>Cái</t>
        </is>
      </c>
      <c r="E1248" s="5" t="n">
        <v>490000</v>
      </c>
      <c r="F1248" s="5" t="n">
        <v>559000</v>
      </c>
      <c r="G1248" s="6" t="n">
        <v>662000</v>
      </c>
      <c r="H1248" s="4" t="inlineStr">
        <is>
          <t>Cái 1C/H 24C/T</t>
        </is>
      </c>
    </row>
    <row r="1249">
      <c r="A1249" s="3" t="n">
        <v>1248</v>
      </c>
      <c r="B1249" s="3" t="n">
        <v>62</v>
      </c>
      <c r="C1249" s="4" t="inlineStr">
        <is>
          <t>LED500 68*39*40 mmTL: 113g</t>
        </is>
      </c>
      <c r="D1249" s="3" t="inlineStr">
        <is>
          <t>Cái</t>
        </is>
      </c>
      <c r="E1249" s="5" t="n">
        <v>440000</v>
      </c>
      <c r="F1249" s="5" t="n">
        <v>502000</v>
      </c>
      <c r="G1249" s="6" t="n">
        <v>594000</v>
      </c>
      <c r="H1249" s="4" t="inlineStr">
        <is>
          <t>Cái 1c/H 24c/T</t>
        </is>
      </c>
    </row>
    <row r="1250">
      <c r="A1250" s="3" t="n">
        <v>1249</v>
      </c>
      <c r="B1250" s="3" t="n">
        <v>62</v>
      </c>
      <c r="C1250" s="4" t="inlineStr">
        <is>
          <t>LED800 81,5*43*45mmTL: 105 g</t>
        </is>
      </c>
      <c r="D1250" s="3" t="inlineStr">
        <is>
          <t>Cái</t>
        </is>
      </c>
      <c r="E1250" s="5" t="n">
        <v>430000</v>
      </c>
      <c r="F1250" s="5" t="n">
        <v>490000</v>
      </c>
      <c r="G1250" s="6" t="n">
        <v>581000</v>
      </c>
      <c r="H1250" s="4" t="inlineStr">
        <is>
          <t>Cái 1c/H 50c/T</t>
        </is>
      </c>
    </row>
    <row r="1251">
      <c r="A1251" s="3" t="n">
        <v>1250</v>
      </c>
      <c r="B1251" s="3" t="n">
        <v>62</v>
      </c>
      <c r="C1251" s="4" t="inlineStr"/>
      <c r="D1251" s="3" t="inlineStr">
        <is>
          <t>Cái</t>
        </is>
      </c>
      <c r="E1251" s="5" t="n">
        <v>620000</v>
      </c>
      <c r="F1251" s="5" t="n">
        <v>707000</v>
      </c>
      <c r="G1251" s="6" t="n">
        <v>837000</v>
      </c>
      <c r="H1251" s="4" t="inlineStr">
        <is>
          <t>Cái 1C/H 50C/T</t>
        </is>
      </c>
    </row>
    <row r="1252">
      <c r="A1252" s="3" t="n">
        <v>1251</v>
      </c>
      <c r="B1252" s="3" t="n">
        <v>62</v>
      </c>
      <c r="C1252" s="4" t="inlineStr">
        <is>
          <t>LED2000 180*155*59mmTL: 706g</t>
        </is>
      </c>
      <c r="D1252" s="3" t="inlineStr">
        <is>
          <t>Cái</t>
        </is>
      </c>
      <c r="E1252" s="5" t="n">
        <v>920000</v>
      </c>
      <c r="F1252" s="5" t="n">
        <v>1049000</v>
      </c>
      <c r="G1252" s="6" t="n">
        <v>1242000</v>
      </c>
      <c r="H1252" s="4" t="inlineStr">
        <is>
          <t>Cái 1C/H 10C/T</t>
        </is>
      </c>
    </row>
    <row r="1253">
      <c r="A1253" s="3" t="n">
        <v>1252</v>
      </c>
      <c r="B1253" s="3" t="n">
        <v>63</v>
      </c>
      <c r="C1253" s="4" t="inlineStr">
        <is>
          <t>LED1500 128*99.5*46mm</t>
        </is>
      </c>
      <c r="D1253" s="3" t="inlineStr">
        <is>
          <t>Cái</t>
        </is>
      </c>
      <c r="E1253" s="5" t="n">
        <v>1060000</v>
      </c>
      <c r="F1253" s="5" t="n">
        <v>1208000</v>
      </c>
      <c r="G1253" s="6" t="n">
        <v>1431000</v>
      </c>
      <c r="H1253" s="4" t="inlineStr">
        <is>
          <t>Cái 1C/H 20C/T</t>
        </is>
      </c>
    </row>
    <row r="1254">
      <c r="A1254" s="3" t="n">
        <v>1253</v>
      </c>
      <c r="B1254" s="3" t="n">
        <v>63</v>
      </c>
      <c r="C1254" s="4" t="inlineStr"/>
      <c r="D1254" s="3" t="inlineStr">
        <is>
          <t>Cái</t>
        </is>
      </c>
      <c r="E1254" s="5" t="n">
        <v>730000</v>
      </c>
      <c r="F1254" s="5" t="n">
        <v>832000</v>
      </c>
      <c r="G1254" s="6" t="n">
        <v>986000</v>
      </c>
      <c r="H1254" s="4" t="inlineStr">
        <is>
          <t>Cái 1C/H</t>
        </is>
      </c>
    </row>
    <row r="1255">
      <c r="A1255" s="3" t="n">
        <v>1254</v>
      </c>
      <c r="B1255" s="3" t="n">
        <v>64</v>
      </c>
      <c r="C1255" s="4" t="inlineStr">
        <is>
          <t>KBA-U1200 TL/KT:5.5/5.0 kg</t>
        </is>
      </c>
      <c r="D1255" s="3" t="inlineStr">
        <is>
          <t>Cái</t>
        </is>
      </c>
      <c r="E1255" s="5" t="n">
        <v>1100000</v>
      </c>
      <c r="F1255" s="5" t="n">
        <v>1230000</v>
      </c>
      <c r="G1255" s="6" t="n">
        <v>1430000</v>
      </c>
      <c r="H1255" s="4" t="inlineStr">
        <is>
          <t>Cái</t>
        </is>
      </c>
    </row>
    <row r="1256">
      <c r="A1256" s="3" t="n">
        <v>1255</v>
      </c>
      <c r="B1256" s="3" t="n">
        <v>64</v>
      </c>
      <c r="C1256" s="4" t="inlineStr">
        <is>
          <t>KBA-UL1200 TL/KT:5.5/5.0 kg</t>
        </is>
      </c>
      <c r="D1256" s="3" t="inlineStr">
        <is>
          <t>Cái</t>
        </is>
      </c>
      <c r="E1256" s="5" t="n">
        <v>1290000</v>
      </c>
      <c r="F1256" s="5" t="n">
        <v>1450000</v>
      </c>
      <c r="G1256" s="6" t="n">
        <v>1680000</v>
      </c>
      <c r="H1256" s="4" t="inlineStr">
        <is>
          <t>Cái</t>
        </is>
      </c>
    </row>
    <row r="1257">
      <c r="A1257" s="3" t="n">
        <v>1256</v>
      </c>
      <c r="B1257" s="3" t="n">
        <v>64</v>
      </c>
      <c r="C1257" s="4" t="inlineStr">
        <is>
          <t>KBA-I1500 TL/KT: 11.4/10.6kg</t>
        </is>
      </c>
      <c r="D1257" s="3" t="inlineStr">
        <is>
          <t>Cái</t>
        </is>
      </c>
      <c r="E1257" s="5" t="n">
        <v>2050000</v>
      </c>
      <c r="F1257" s="5" t="n">
        <v>2300000</v>
      </c>
      <c r="G1257" s="6" t="n">
        <v>2670000</v>
      </c>
      <c r="H1257" s="4" t="inlineStr">
        <is>
          <t>Cái</t>
        </is>
      </c>
    </row>
    <row r="1258">
      <c r="A1258" s="3" t="n">
        <v>1257</v>
      </c>
      <c r="B1258" s="3" t="n">
        <v>64</v>
      </c>
      <c r="C1258" s="4" t="inlineStr">
        <is>
          <t>KBA-US1500 TL: 8.4kg</t>
        </is>
      </c>
      <c r="D1258" s="3" t="inlineStr">
        <is>
          <t>Cái</t>
        </is>
      </c>
      <c r="E1258" s="5" t="n">
        <v>1900000</v>
      </c>
      <c r="F1258" s="5" t="n">
        <v>2130000</v>
      </c>
      <c r="G1258" s="6" t="n">
        <v>2470000</v>
      </c>
      <c r="H1258" s="4" t="inlineStr">
        <is>
          <t>Cái</t>
        </is>
      </c>
    </row>
    <row r="1259">
      <c r="A1259" s="3" t="n">
        <v>1258</v>
      </c>
      <c r="B1259" s="3" t="n">
        <v>64</v>
      </c>
      <c r="C1259" s="4" t="inlineStr">
        <is>
          <t>KBC-I1800 TL/KT: 17/15.5kg</t>
        </is>
      </c>
      <c r="D1259" s="3" t="inlineStr">
        <is>
          <t>Cái</t>
        </is>
      </c>
      <c r="E1259" s="5" t="n">
        <v>3120000</v>
      </c>
      <c r="F1259" s="5" t="n">
        <v>3490000</v>
      </c>
      <c r="G1259" s="6" t="n">
        <v>4060000</v>
      </c>
      <c r="H1259" s="4" t="inlineStr">
        <is>
          <t>Cái</t>
        </is>
      </c>
    </row>
    <row r="1260">
      <c r="A1260" s="3" t="n">
        <v>1259</v>
      </c>
      <c r="B1260" s="3" t="n">
        <v>64</v>
      </c>
      <c r="C1260" s="4" t="inlineStr">
        <is>
          <t>Máy rửa xeKing Blue KBC-I2400 TL/KT: 34.5/30.5kg</t>
        </is>
      </c>
      <c r="D1260" s="3" t="inlineStr">
        <is>
          <t>Cái</t>
        </is>
      </c>
      <c r="E1260" s="5" t="n">
        <v>7900000</v>
      </c>
      <c r="F1260" s="5" t="n">
        <v>8850000</v>
      </c>
      <c r="G1260" s="6" t="n">
        <v>10270000</v>
      </c>
      <c r="H1260" s="4" t="inlineStr">
        <is>
          <t>Cái</t>
        </is>
      </c>
    </row>
    <row r="1261">
      <c r="A1261" s="3" t="n">
        <v>1260</v>
      </c>
      <c r="B1261" s="3" t="n">
        <v>65</v>
      </c>
      <c r="C1261" s="4" t="inlineStr">
        <is>
          <t>Súng bắn đinh hơi KBO- FG30 KBO-FG30 255*55*168mmTL: 1.1 kg</t>
        </is>
      </c>
      <c r="D1261" s="3" t="inlineStr">
        <is>
          <t>Cái</t>
        </is>
      </c>
      <c r="E1261" s="5" t="n">
        <v>426000</v>
      </c>
      <c r="F1261" s="5" t="n">
        <v>494000</v>
      </c>
      <c r="G1261" s="6" t="n">
        <v>596000</v>
      </c>
      <c r="H1261" s="4" t="inlineStr">
        <is>
          <t>Cái 1C/H 30C/T Thân nhôm hợp kim, đinh F30, đầu chống kẹt đinhSản phẩm được bảo hành 6 tháng</t>
        </is>
      </c>
    </row>
    <row r="1262">
      <c r="A1262" s="3" t="n">
        <v>1261</v>
      </c>
      <c r="B1262" s="3" t="n">
        <v>65</v>
      </c>
      <c r="C1262" s="4" t="inlineStr">
        <is>
          <t>Súng Bắn Đinh KBO-F3050 KBO-F3050 TL: 1.4 kg</t>
        </is>
      </c>
      <c r="D1262" s="3" t="inlineStr">
        <is>
          <t>Cái</t>
        </is>
      </c>
      <c r="E1262" s="5" t="n">
        <v>935000</v>
      </c>
      <c r="F1262" s="5" t="n">
        <v>1085000</v>
      </c>
      <c r="G1262" s="6" t="n">
        <v>1309000</v>
      </c>
      <c r="H1262" s="4" t="inlineStr">
        <is>
          <t>Cái 1C/H 10C/T</t>
        </is>
      </c>
    </row>
    <row r="1263">
      <c r="A1263" s="3" t="n">
        <v>1262</v>
      </c>
      <c r="B1263" s="3" t="n">
        <v>65</v>
      </c>
      <c r="C1263" s="4" t="inlineStr">
        <is>
          <t>KBO-ST64 320*85*260 mmTL: 3.2 kg</t>
        </is>
      </c>
      <c r="D1263" s="3" t="inlineStr">
        <is>
          <t>Cái</t>
        </is>
      </c>
      <c r="E1263" s="5" t="n">
        <v>946000</v>
      </c>
      <c r="F1263" s="5" t="n">
        <v>1097000</v>
      </c>
      <c r="G1263" s="6" t="n">
        <v>1324000</v>
      </c>
      <c r="H1263" s="4" t="inlineStr">
        <is>
          <t>Cái 1C/H 6C/T</t>
        </is>
      </c>
    </row>
    <row r="1264">
      <c r="A1264" s="3" t="n">
        <v>1263</v>
      </c>
      <c r="B1264" s="3" t="n">
        <v>65</v>
      </c>
      <c r="C1264" s="4" t="inlineStr">
        <is>
          <t>Súng phun sơn KBO-W71 KBO-W71</t>
        </is>
      </c>
      <c r="D1264" s="3" t="inlineStr">
        <is>
          <t>Cái</t>
        </is>
      </c>
      <c r="E1264" s="5" t="n">
        <v>317000</v>
      </c>
      <c r="F1264" s="5" t="n">
        <v>374000</v>
      </c>
      <c r="G1264" s="6" t="n">
        <v>460000</v>
      </c>
      <c r="H1264" s="4" t="inlineStr">
        <is>
          <t>Cái 1C/H 20C/T Đầu phun tiêu chuẩn: 1.5mmThể tích bình sơn: 400ccSản phẩm được bảo hành 3 tháng</t>
        </is>
      </c>
    </row>
    <row r="1265">
      <c r="A1265" s="3" t="n">
        <v>1264</v>
      </c>
      <c r="B1265" s="3" t="n">
        <v>65</v>
      </c>
      <c r="C1265" s="4" t="inlineStr">
        <is>
          <t>Súng Phun Sơn KBO-R500 KBO-R500 TL: 0.35 kg</t>
        </is>
      </c>
      <c r="D1265" s="3" t="inlineStr">
        <is>
          <t>Cái</t>
        </is>
      </c>
      <c r="E1265" s="5" t="n">
        <v>889000</v>
      </c>
      <c r="F1265" s="5" t="n">
        <v>1049000</v>
      </c>
      <c r="G1265" s="6" t="n">
        <v>1289000</v>
      </c>
      <c r="H1265" s="4" t="inlineStr">
        <is>
          <t>Cái 1C/H 10C/T</t>
        </is>
      </c>
    </row>
    <row r="1266">
      <c r="A1266" s="3" t="n">
        <v>1265</v>
      </c>
      <c r="B1266" s="3" t="n">
        <v>65</v>
      </c>
      <c r="C1266" s="4" t="inlineStr">
        <is>
          <t>Súng Xịt Hơi KBO-X0215 KBO-X0215</t>
        </is>
      </c>
      <c r="D1266" s="3" t="inlineStr">
        <is>
          <t>Cái</t>
        </is>
      </c>
      <c r="E1266" s="5" t="n">
        <v>97000</v>
      </c>
      <c r="F1266" s="5" t="n">
        <v>115000</v>
      </c>
      <c r="G1266" s="6" t="n">
        <v>141000</v>
      </c>
      <c r="H1266" s="4" t="inlineStr">
        <is>
          <t>Cái 1C/H 30C/T Thép carbon</t>
        </is>
      </c>
    </row>
    <row r="1267">
      <c r="A1267" s="3" t="n">
        <v>1266</v>
      </c>
      <c r="B1267" s="3" t="n">
        <v>66</v>
      </c>
      <c r="C1267" s="4" t="inlineStr">
        <is>
          <t>KB-02X 6.5*7.2*8cm</t>
        </is>
      </c>
      <c r="D1267" s="3" t="inlineStr">
        <is>
          <t>Cái</t>
        </is>
      </c>
      <c r="E1267" s="5" t="n">
        <v>700000</v>
      </c>
      <c r="F1267" s="5" t="n">
        <v>780000</v>
      </c>
      <c r="G1267" s="6" t="n">
        <v>910000</v>
      </c>
      <c r="H1267" s="4" t="inlineStr">
        <is>
          <t>Cái 1C/H 40C/T</t>
        </is>
      </c>
    </row>
    <row r="1268">
      <c r="A1268" s="3" t="n">
        <v>1267</v>
      </c>
      <c r="B1268" s="3" t="n">
        <v>66</v>
      </c>
      <c r="C1268" s="4" t="inlineStr"/>
      <c r="D1268" s="3" t="inlineStr">
        <is>
          <t>Cái</t>
        </is>
      </c>
      <c r="E1268" s="5" t="n">
        <v>890000</v>
      </c>
      <c r="F1268" s="5" t="n">
        <v>1000000</v>
      </c>
      <c r="G1268" s="6" t="n">
        <v>1160000</v>
      </c>
      <c r="H1268" s="4" t="inlineStr">
        <is>
          <t>Cái 1C/H 4C/T</t>
        </is>
      </c>
    </row>
    <row r="1269">
      <c r="A1269" s="3" t="n">
        <v>1268</v>
      </c>
      <c r="B1269" s="3" t="n">
        <v>66</v>
      </c>
      <c r="C1269" s="4" t="inlineStr">
        <is>
          <t>KB-05X (NEW) 20*13*13cm</t>
        </is>
      </c>
      <c r="D1269" s="3" t="inlineStr">
        <is>
          <t>Cái</t>
        </is>
      </c>
      <c r="E1269" s="5" t="n">
        <v>1350000</v>
      </c>
      <c r="F1269" s="5" t="n">
        <v>1510000</v>
      </c>
      <c r="G1269" s="6" t="n">
        <v>1760000</v>
      </c>
      <c r="H1269" s="4" t="inlineStr">
        <is>
          <t>Cái 1C/H 8C/T</t>
        </is>
      </c>
    </row>
    <row r="1270">
      <c r="A1270" s="3" t="n">
        <v>1269</v>
      </c>
      <c r="B1270" s="3" t="n">
        <v>66</v>
      </c>
      <c r="C1270" s="4" t="inlineStr">
        <is>
          <t>KB-05XS 20*13*13cm</t>
        </is>
      </c>
      <c r="D1270" s="3" t="inlineStr">
        <is>
          <t>Cái</t>
        </is>
      </c>
      <c r="E1270" s="5" t="n">
        <v>2090000</v>
      </c>
      <c r="F1270" s="5" t="n">
        <v>2340000</v>
      </c>
      <c r="G1270" s="6" t="n">
        <v>2720000</v>
      </c>
      <c r="H1270" s="4" t="inlineStr">
        <is>
          <t>Cái 1C/H 6C/T</t>
        </is>
      </c>
    </row>
    <row r="1271">
      <c r="A1271" s="3" t="n">
        <v>1270</v>
      </c>
      <c r="B1271" s="3" t="n">
        <v>66</v>
      </c>
      <c r="C1271" s="4" t="inlineStr">
        <is>
          <t>Máy cân bằng12 tia KB-12XV TL: 800g ± 10g</t>
        </is>
      </c>
      <c r="D1271" s="3" t="inlineStr">
        <is>
          <t>Cái</t>
        </is>
      </c>
      <c r="E1271" s="5" t="n">
        <v>2300000</v>
      </c>
      <c r="F1271" s="5" t="n">
        <v>2580000</v>
      </c>
      <c r="G1271" s="6" t="n">
        <v>2990000</v>
      </c>
      <c r="H1271" s="4" t="inlineStr">
        <is>
          <t>Cái 1C/H 6C/T</t>
        </is>
      </c>
    </row>
    <row r="1272">
      <c r="A1272" s="3" t="n">
        <v>1271</v>
      </c>
      <c r="B1272" s="3" t="n">
        <v>67</v>
      </c>
      <c r="C1272" s="4" t="inlineStr">
        <is>
          <t>Máy cân bằng 16 tia  KB-16XV TL: 800g ± 10g</t>
        </is>
      </c>
      <c r="D1272" s="3" t="inlineStr">
        <is>
          <t>Cái</t>
        </is>
      </c>
      <c r="E1272" s="5" t="n">
        <v>2560000</v>
      </c>
      <c r="F1272" s="5" t="n">
        <v>2870000</v>
      </c>
      <c r="G1272" s="6" t="n">
        <v>3330000</v>
      </c>
      <c r="H1272" s="4" t="inlineStr">
        <is>
          <t>Cái 1C/H 6C/T</t>
        </is>
      </c>
    </row>
    <row r="1273">
      <c r="A1273" s="3" t="n">
        <v>1272</v>
      </c>
      <c r="B1273" s="3" t="n">
        <v>67</v>
      </c>
      <c r="C1273" s="4" t="inlineStr">
        <is>
          <t>Pin máy cân bằng PIN</t>
        </is>
      </c>
      <c r="D1273" s="3" t="inlineStr">
        <is>
          <t>Cái</t>
        </is>
      </c>
      <c r="E1273" s="5" t="n">
        <v>190000</v>
      </c>
      <c r="F1273" s="5" t="n">
        <v>220000</v>
      </c>
      <c r="G1273" s="6" t="n">
        <v>270000</v>
      </c>
      <c r="H1273" s="4" t="inlineStr">
        <is>
          <t>Cái 1C/H Phụ kiện dành cho khách mua Máy cân bằng khi cần mua thêm pin</t>
        </is>
      </c>
    </row>
    <row r="1274">
      <c r="A1274" s="3" t="n">
        <v>1273</v>
      </c>
      <c r="B1274" s="3" t="n">
        <v>67</v>
      </c>
      <c r="C1274" s="4" t="inlineStr">
        <is>
          <t>Thước đo khoảng cách laser KNZ-50X 120*50*25mmTL: 92g</t>
        </is>
      </c>
      <c r="D1274" s="3" t="inlineStr">
        <is>
          <t>Cái</t>
        </is>
      </c>
      <c r="E1274" s="5" t="n">
        <v>560000</v>
      </c>
      <c r="F1274" s="5" t="n">
        <v>620000</v>
      </c>
      <c r="G1274" s="6" t="n">
        <v>720000</v>
      </c>
      <c r="H1274" s="4" t="inlineStr">
        <is>
          <t>Cái 1C/H 40C/T</t>
        </is>
      </c>
    </row>
    <row r="1275">
      <c r="A1275" s="3" t="n">
        <v>1274</v>
      </c>
      <c r="B1275" s="3" t="n">
        <v>67</v>
      </c>
      <c r="C1275" s="4" t="inlineStr">
        <is>
          <t>Thước đo khoảng cách laser KNZ-100X 120*50*25mmTL: 92g</t>
        </is>
      </c>
      <c r="D1275" s="3" t="inlineStr">
        <is>
          <t>Cái</t>
        </is>
      </c>
      <c r="E1275" s="5" t="n">
        <v>730000</v>
      </c>
      <c r="F1275" s="5" t="n">
        <v>810000</v>
      </c>
      <c r="G1275" s="6" t="n">
        <v>940000</v>
      </c>
      <c r="H1275" s="4" t="inlineStr">
        <is>
          <t>Cái 1C/H 40C/T</t>
        </is>
      </c>
    </row>
    <row r="1276">
      <c r="A1276" s="3" t="n">
        <v>1275</v>
      </c>
      <c r="B1276" s="3" t="n">
        <v>67</v>
      </c>
      <c r="C1276" s="4" t="inlineStr"/>
      <c r="D1276" s="3" t="inlineStr">
        <is>
          <t>Cái</t>
        </is>
      </c>
      <c r="E1276" s="5" t="n">
        <v>1080000</v>
      </c>
      <c r="F1276" s="5" t="n">
        <v>1210000</v>
      </c>
      <c r="G1276" s="6" t="n">
        <v>1400000</v>
      </c>
      <c r="H1276" s="4" t="inlineStr">
        <is>
          <t>Cái 1C/H 40C/T</t>
        </is>
      </c>
    </row>
    <row r="1277">
      <c r="A1277" s="3" t="n">
        <v>1276</v>
      </c>
      <c r="B1277" s="3" t="n">
        <v>68</v>
      </c>
      <c r="C1277" s="4" t="inlineStr">
        <is>
          <t>KYX40 40mm</t>
        </is>
      </c>
      <c r="D1277" s="3" t="inlineStr">
        <is>
          <t>Cái</t>
        </is>
      </c>
      <c r="E1277" s="5" t="n">
        <v>90000</v>
      </c>
      <c r="F1277" s="5" t="n">
        <v>104000</v>
      </c>
      <c r="G1277" s="6" t="n">
        <v>126000</v>
      </c>
      <c r="H1277" s="4" t="inlineStr">
        <is>
          <t>Cái 6c/H 72c/T Chất liệu khoá đồng 100%</t>
        </is>
      </c>
    </row>
    <row r="1278">
      <c r="A1278" s="3" t="n">
        <v>1277</v>
      </c>
      <c r="B1278" s="3" t="n">
        <v>68</v>
      </c>
      <c r="C1278" s="4" t="inlineStr">
        <is>
          <t>KYX50 50mm</t>
        </is>
      </c>
      <c r="D1278" s="3" t="inlineStr">
        <is>
          <t>Cái</t>
        </is>
      </c>
      <c r="E1278" s="5" t="n">
        <v>130000</v>
      </c>
      <c r="F1278" s="5" t="n">
        <v>151000</v>
      </c>
      <c r="G1278" s="6" t="n">
        <v>182000</v>
      </c>
      <c r="H1278" s="4" t="inlineStr">
        <is>
          <t>Cái 6c/H 72c/T Chất liệu khoá đồng 100%</t>
        </is>
      </c>
    </row>
    <row r="1279">
      <c r="A1279" s="3" t="n">
        <v>1278</v>
      </c>
      <c r="B1279" s="3" t="n">
        <v>68</v>
      </c>
      <c r="C1279" s="4" t="inlineStr">
        <is>
          <t>KYX60 60mm</t>
        </is>
      </c>
      <c r="D1279" s="3" t="inlineStr">
        <is>
          <t>Cái</t>
        </is>
      </c>
      <c r="E1279" s="5" t="n">
        <v>176000</v>
      </c>
      <c r="F1279" s="5" t="n">
        <v>204000</v>
      </c>
      <c r="G1279" s="6" t="n">
        <v>246000</v>
      </c>
      <c r="H1279" s="4" t="inlineStr">
        <is>
          <t>Cái 6c/H 48c/T Chất liệu khoá đồng 100%</t>
        </is>
      </c>
    </row>
    <row r="1280">
      <c r="A1280" s="3" t="n">
        <v>1279</v>
      </c>
      <c r="B1280" s="3" t="n">
        <v>68</v>
      </c>
      <c r="C1280" s="4" t="inlineStr">
        <is>
          <t>KYG70 70mm</t>
        </is>
      </c>
      <c r="D1280" s="3" t="inlineStr">
        <is>
          <t>Cái</t>
        </is>
      </c>
      <c r="E1280" s="5" t="n">
        <v>198000</v>
      </c>
      <c r="F1280" s="5" t="n">
        <v>230000</v>
      </c>
      <c r="G1280" s="6" t="n">
        <v>277000</v>
      </c>
      <c r="H1280" s="4" t="inlineStr">
        <is>
          <t>Cái 6c/H 48c/T</t>
        </is>
      </c>
    </row>
    <row r="1281">
      <c r="A1281" s="3" t="n">
        <v>1280</v>
      </c>
      <c r="B1281" s="3" t="n">
        <v>68</v>
      </c>
      <c r="C1281" s="4" t="inlineStr">
        <is>
          <t>KYG80 80mm</t>
        </is>
      </c>
      <c r="D1281" s="3" t="inlineStr">
        <is>
          <t>Cái</t>
        </is>
      </c>
      <c r="E1281" s="5" t="n">
        <v>218000</v>
      </c>
      <c r="F1281" s="5" t="n">
        <v>253000</v>
      </c>
      <c r="G1281" s="6" t="n">
        <v>305000</v>
      </c>
      <c r="H1281" s="4" t="inlineStr">
        <is>
          <t>Cái 6c/H 36c/T</t>
        </is>
      </c>
    </row>
    <row r="1282">
      <c r="A1282" s="3" t="n">
        <v>1281</v>
      </c>
      <c r="B1282" s="3" t="n">
        <v>68</v>
      </c>
      <c r="C1282" s="4" t="inlineStr">
        <is>
          <t>KYS60 60mm</t>
        </is>
      </c>
      <c r="D1282" s="3" t="inlineStr">
        <is>
          <t>Cái</t>
        </is>
      </c>
      <c r="E1282" s="5" t="n">
        <v>109000</v>
      </c>
      <c r="F1282" s="5" t="n">
        <v>127000</v>
      </c>
      <c r="G1282" s="6" t="n">
        <v>153000</v>
      </c>
      <c r="H1282" s="4" t="inlineStr">
        <is>
          <t>Cái 6c/H 48c/T</t>
        </is>
      </c>
    </row>
    <row r="1283">
      <c r="A1283" s="3" t="n">
        <v>1282</v>
      </c>
      <c r="B1283" s="3" t="n">
        <v>68</v>
      </c>
      <c r="C1283" s="4" t="inlineStr">
        <is>
          <t>KYZ50 50mm</t>
        </is>
      </c>
      <c r="D1283" s="3" t="inlineStr">
        <is>
          <t>Cái</t>
        </is>
      </c>
      <c r="E1283" s="5" t="n">
        <v>152000</v>
      </c>
      <c r="F1283" s="5" t="n">
        <v>176000</v>
      </c>
      <c r="G1283" s="6" t="n">
        <v>213000</v>
      </c>
      <c r="H1283" s="4" t="inlineStr">
        <is>
          <t>Cái 6c/H 48c/T</t>
        </is>
      </c>
    </row>
    <row r="1284">
      <c r="A1284" s="3" t="n">
        <v>1283</v>
      </c>
      <c r="B1284" s="3" t="n">
        <v>68</v>
      </c>
      <c r="C1284" s="4" t="inlineStr">
        <is>
          <t>KYZ60 60mm</t>
        </is>
      </c>
      <c r="D1284" s="3" t="inlineStr">
        <is>
          <t>Cái</t>
        </is>
      </c>
      <c r="E1284" s="5" t="n">
        <v>209000</v>
      </c>
      <c r="F1284" s="5" t="n">
        <v>243000</v>
      </c>
      <c r="G1284" s="6" t="n">
        <v>293000</v>
      </c>
      <c r="H1284" s="4" t="inlineStr">
        <is>
          <t>Cái 6c/H 36c/T</t>
        </is>
      </c>
    </row>
    <row r="1285">
      <c r="A1285" s="3" t="n">
        <v>1284</v>
      </c>
      <c r="B1285" s="3" t="n">
        <v>68</v>
      </c>
      <c r="C1285" s="4" t="inlineStr">
        <is>
          <t>KYV40 40mm</t>
        </is>
      </c>
      <c r="D1285" s="3" t="inlineStr">
        <is>
          <t>Cái</t>
        </is>
      </c>
      <c r="E1285" s="5" t="n">
        <v>62000</v>
      </c>
      <c r="F1285" s="5" t="n">
        <v>72000</v>
      </c>
      <c r="G1285" s="6" t="n">
        <v>87000</v>
      </c>
      <c r="H1285" s="4" t="inlineStr">
        <is>
          <t>Cái 6c/H 96c/T chất liệu khoá đồng 100%</t>
        </is>
      </c>
    </row>
    <row r="1286">
      <c r="A1286" s="3" t="n">
        <v>1285</v>
      </c>
      <c r="B1286" s="3" t="n">
        <v>68</v>
      </c>
      <c r="C1286" s="4" t="inlineStr">
        <is>
          <t>KYV50 50mm</t>
        </is>
      </c>
      <c r="D1286" s="3" t="inlineStr">
        <is>
          <t>Cái</t>
        </is>
      </c>
      <c r="E1286" s="5" t="n">
        <v>73000</v>
      </c>
      <c r="F1286" s="5" t="n">
        <v>85000</v>
      </c>
      <c r="G1286" s="6" t="n">
        <v>102000</v>
      </c>
      <c r="H1286" s="4" t="inlineStr">
        <is>
          <t>Cái 6c/H 72c/T chất liệu khoá đồng 100%</t>
        </is>
      </c>
    </row>
    <row r="1287">
      <c r="A1287" s="3" t="n">
        <v>1286</v>
      </c>
      <c r="B1287" s="3" t="n">
        <v>68</v>
      </c>
      <c r="C1287" s="4" t="inlineStr">
        <is>
          <t>KYV60 60mm</t>
        </is>
      </c>
      <c r="D1287" s="3" t="inlineStr">
        <is>
          <t>Cái</t>
        </is>
      </c>
      <c r="E1287" s="5" t="n">
        <v>83000</v>
      </c>
      <c r="F1287" s="5" t="n">
        <v>96000</v>
      </c>
      <c r="G1287" s="6" t="n">
        <v>116000</v>
      </c>
      <c r="H1287" s="4" t="inlineStr">
        <is>
          <t>Cái 6c/H 48c/T chất liệu khoá đồng 100%</t>
        </is>
      </c>
    </row>
    <row r="1288">
      <c r="A1288" s="3" t="n">
        <v>1287</v>
      </c>
      <c r="B1288" s="3" t="n">
        <v>68</v>
      </c>
      <c r="C1288" s="4" t="inlineStr">
        <is>
          <t>KYT40 40mm</t>
        </is>
      </c>
      <c r="D1288" s="3" t="inlineStr">
        <is>
          <t>Cái</t>
        </is>
      </c>
      <c r="E1288" s="5" t="n">
        <v>108000</v>
      </c>
      <c r="F1288" s="5" t="n">
        <v>125000</v>
      </c>
      <c r="G1288" s="6" t="n">
        <v>151000</v>
      </c>
      <c r="H1288" s="4" t="inlineStr">
        <is>
          <t>Cái 6c/H 72c/T</t>
        </is>
      </c>
    </row>
    <row r="1289">
      <c r="A1289" s="3" t="n">
        <v>1288</v>
      </c>
      <c r="B1289" s="3" t="n">
        <v>68</v>
      </c>
      <c r="C1289" s="4" t="inlineStr">
        <is>
          <t>KYT50 50mm</t>
        </is>
      </c>
      <c r="D1289" s="3" t="inlineStr">
        <is>
          <t>Cái</t>
        </is>
      </c>
      <c r="E1289" s="5" t="n">
        <v>141000</v>
      </c>
      <c r="F1289" s="5" t="n">
        <v>163000</v>
      </c>
      <c r="G1289" s="6" t="n">
        <v>197000</v>
      </c>
      <c r="H1289" s="4" t="inlineStr">
        <is>
          <t>Cái 6c/H 48c/T</t>
        </is>
      </c>
    </row>
    <row r="1290">
      <c r="A1290" s="3" t="n">
        <v>1289</v>
      </c>
      <c r="B1290" s="3" t="n">
        <v>68</v>
      </c>
      <c r="C1290" s="4" t="inlineStr">
        <is>
          <t>KYT60 60mm</t>
        </is>
      </c>
      <c r="D1290" s="3" t="inlineStr">
        <is>
          <t>Cái</t>
        </is>
      </c>
      <c r="E1290" s="5" t="n">
        <v>182000</v>
      </c>
      <c r="F1290" s="5" t="n">
        <v>211000</v>
      </c>
      <c r="G1290" s="6" t="n">
        <v>255000</v>
      </c>
      <c r="H1290" s="4" t="inlineStr">
        <is>
          <t>Cái 6c/H 36c/T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2026-10-15T07:37:02Z</dcterms:created>
  <dcterms:modified xmlns:dcterms="http://purl.org/dc/terms/" xmlns:xsi="http://www.w3.org/2001/XMLSchema-instance" xsi:type="dcterms:W3CDTF">2026-10-15T07:37:12Z</dcterms:modified>
</cp:coreProperties>
</file>